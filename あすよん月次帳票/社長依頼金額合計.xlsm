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Ohnosys\004_データ抽出\20260106\"/>
    </mc:Choice>
  </mc:AlternateContent>
  <xr:revisionPtr revIDLastSave="0" documentId="13_ncr:1_{78C242F5-3EEE-487E-BC4A-BD2B55C02B87}" xr6:coauthVersionLast="47" xr6:coauthVersionMax="47" xr10:uidLastSave="{00000000-0000-0000-0000-000000000000}"/>
  <bookViews>
    <workbookView xWindow="-23148" yWindow="-108" windowWidth="23256" windowHeight="12456" xr2:uid="{0736A2AF-0CC8-44ED-BB7B-6EC374E36089}"/>
  </bookViews>
  <sheets>
    <sheet name="Sheet1" sheetId="2" r:id="rId1"/>
    <sheet name="売上・仕入" sheetId="1" r:id="rId2"/>
    <sheet name="在庫_オーノ" sheetId="3" r:id="rId3"/>
    <sheet name="在庫_カーペット" sheetId="4" r:id="rId4"/>
    <sheet name="在庫_ダスコン" sheetId="5" r:id="rId5"/>
  </sheets>
  <externalReferences>
    <externalReference r:id="rId6"/>
  </externalReferences>
  <definedNames>
    <definedName name="_xlnm._FilterDatabase" localSheetId="0" hidden="1">Sheet1!$A$14:$F$65</definedName>
    <definedName name="_xlnm._FilterDatabase" localSheetId="2" hidden="1">在庫_オーノ!$A$1:$H$366</definedName>
    <definedName name="_xlnm._FilterDatabase" localSheetId="3" hidden="1">在庫_カーペット!$A$1:$H$420</definedName>
    <definedName name="_xlnm._FilterDatabase" localSheetId="4" hidden="1">在庫_ダスコン!$A$1:$H$1</definedName>
    <definedName name="_xlnm._FilterDatabase" localSheetId="1" hidden="1">売上・仕入!$A$1:$T$3850</definedName>
    <definedName name="ＤＢ一欄">[1]ＤＢ一欄!$B$4:$G$102</definedName>
    <definedName name="_xlnm.Print_Area" localSheetId="0">Sheet1!$A$1:$F$12</definedName>
    <definedName name="項目一覧">[1]項目一覧!$A$2:$F$729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2" l="1"/>
  <c r="F65" i="2"/>
  <c r="D19" i="2"/>
  <c r="C4" i="2" s="1"/>
  <c r="D52" i="2"/>
  <c r="F64" i="2"/>
  <c r="E62" i="2"/>
  <c r="F61" i="2"/>
  <c r="E63" i="2"/>
  <c r="E60" i="2"/>
  <c r="D59" i="2"/>
  <c r="D58" i="2"/>
  <c r="D57" i="2"/>
  <c r="D56" i="2"/>
  <c r="D55" i="2"/>
  <c r="F54" i="2"/>
  <c r="E53" i="2"/>
  <c r="D51" i="2"/>
  <c r="D50" i="2"/>
  <c r="D49" i="2"/>
  <c r="D48" i="2"/>
  <c r="D47" i="2"/>
  <c r="F46" i="2"/>
  <c r="F45" i="2"/>
  <c r="E44" i="2"/>
  <c r="E43" i="2"/>
  <c r="D42" i="2"/>
  <c r="D41" i="2"/>
  <c r="D40" i="2"/>
  <c r="D39" i="2"/>
  <c r="D38" i="2"/>
  <c r="F37" i="2"/>
  <c r="E36" i="2"/>
  <c r="D35" i="2"/>
  <c r="D34" i="2"/>
  <c r="D33" i="2"/>
  <c r="D32" i="2"/>
  <c r="D31" i="2"/>
  <c r="E21" i="2"/>
  <c r="E29" i="2"/>
  <c r="F5" i="2" s="1"/>
  <c r="D28" i="2"/>
  <c r="C6" i="2" s="1"/>
  <c r="D27" i="2"/>
  <c r="D26" i="2"/>
  <c r="D25" i="2"/>
  <c r="D24" i="2"/>
  <c r="F22" i="2"/>
  <c r="E20" i="2"/>
  <c r="D18" i="2"/>
  <c r="D17" i="2"/>
  <c r="D16" i="2"/>
  <c r="D15" i="2"/>
  <c r="F7" i="2" l="1"/>
  <c r="F8" i="2"/>
  <c r="F11" i="2"/>
  <c r="F10" i="2"/>
  <c r="C10" i="2"/>
  <c r="F9" i="2"/>
  <c r="C9" i="2"/>
  <c r="C7" i="2"/>
  <c r="C3" i="2"/>
  <c r="F3" i="2"/>
  <c r="C5" i="2"/>
  <c r="C8" i="2"/>
</calcChain>
</file>

<file path=xl/sharedStrings.xml><?xml version="1.0" encoding="utf-8"?>
<sst xmlns="http://schemas.openxmlformats.org/spreadsheetml/2006/main" count="62741" uniqueCount="4184">
  <si>
    <t>伝票No</t>
  </si>
  <si>
    <t>枝番</t>
  </si>
  <si>
    <t>取引区分</t>
  </si>
  <si>
    <t>伝票日付</t>
  </si>
  <si>
    <t>部門CD</t>
  </si>
  <si>
    <t>取引先CD</t>
  </si>
  <si>
    <t>取引先名</t>
  </si>
  <si>
    <t>品部門CD</t>
  </si>
  <si>
    <t>品名CD</t>
  </si>
  <si>
    <t>品種CD</t>
  </si>
  <si>
    <t>色CD</t>
  </si>
  <si>
    <t>品名</t>
  </si>
  <si>
    <t>品種名</t>
  </si>
  <si>
    <t>色名</t>
  </si>
  <si>
    <t>数量</t>
  </si>
  <si>
    <t>単位CD</t>
  </si>
  <si>
    <t>単価</t>
  </si>
  <si>
    <t>金額</t>
  </si>
  <si>
    <t>00035645</t>
  </si>
  <si>
    <t>00035646</t>
  </si>
  <si>
    <t>00035647</t>
  </si>
  <si>
    <t>00035648</t>
  </si>
  <si>
    <t>00035649</t>
  </si>
  <si>
    <t>00035653</t>
  </si>
  <si>
    <t>00035654</t>
  </si>
  <si>
    <t>00035655</t>
  </si>
  <si>
    <t>00035656</t>
  </si>
  <si>
    <t>00035657</t>
  </si>
  <si>
    <t>00035658</t>
  </si>
  <si>
    <t>00035659</t>
  </si>
  <si>
    <t>00035660</t>
  </si>
  <si>
    <t>00035661</t>
  </si>
  <si>
    <t>00035662</t>
  </si>
  <si>
    <t>00035663</t>
  </si>
  <si>
    <t>00035664</t>
  </si>
  <si>
    <t>00035665</t>
  </si>
  <si>
    <t>00035666</t>
  </si>
  <si>
    <t>00035667</t>
  </si>
  <si>
    <t>00035668</t>
  </si>
  <si>
    <t>00035669</t>
  </si>
  <si>
    <t>00035670</t>
  </si>
  <si>
    <t>00035671</t>
  </si>
  <si>
    <t>00035672</t>
  </si>
  <si>
    <t>00035673</t>
  </si>
  <si>
    <t>00035674</t>
  </si>
  <si>
    <t>00035675</t>
  </si>
  <si>
    <t>00035676</t>
  </si>
  <si>
    <t>00035677</t>
  </si>
  <si>
    <t>00035678</t>
  </si>
  <si>
    <t>00035679</t>
  </si>
  <si>
    <t>00035680</t>
  </si>
  <si>
    <t>00035681</t>
  </si>
  <si>
    <t>00035682</t>
  </si>
  <si>
    <t>00035683</t>
  </si>
  <si>
    <t>00035684</t>
  </si>
  <si>
    <t>00035685</t>
  </si>
  <si>
    <t>00035686</t>
  </si>
  <si>
    <t>00035687</t>
  </si>
  <si>
    <t>00035688</t>
  </si>
  <si>
    <t>00035689</t>
  </si>
  <si>
    <t>00035690</t>
  </si>
  <si>
    <t>00035691</t>
  </si>
  <si>
    <t>00035692</t>
  </si>
  <si>
    <t>00035693</t>
  </si>
  <si>
    <t>00035694</t>
  </si>
  <si>
    <t>00035695</t>
  </si>
  <si>
    <t>00035696</t>
  </si>
  <si>
    <t>00035697</t>
  </si>
  <si>
    <t>00035698</t>
  </si>
  <si>
    <t>00035699</t>
  </si>
  <si>
    <t>00035700</t>
  </si>
  <si>
    <t>00035701</t>
  </si>
  <si>
    <t>00035702</t>
  </si>
  <si>
    <t>00035703</t>
  </si>
  <si>
    <t>00035704</t>
  </si>
  <si>
    <t>00035705</t>
  </si>
  <si>
    <t>00035706</t>
  </si>
  <si>
    <t>00035707</t>
  </si>
  <si>
    <t>00035708</t>
  </si>
  <si>
    <t>00035709</t>
  </si>
  <si>
    <t>00035710</t>
  </si>
  <si>
    <t>00035711</t>
  </si>
  <si>
    <t>00035712</t>
  </si>
  <si>
    <t>00035713</t>
  </si>
  <si>
    <t>00035714</t>
  </si>
  <si>
    <t>00035715</t>
  </si>
  <si>
    <t>00035716</t>
  </si>
  <si>
    <t>00035717</t>
  </si>
  <si>
    <t>00035718</t>
  </si>
  <si>
    <t>00035719</t>
  </si>
  <si>
    <t>00035720</t>
  </si>
  <si>
    <t>00035721</t>
  </si>
  <si>
    <t>00035722</t>
  </si>
  <si>
    <t>00035723</t>
  </si>
  <si>
    <t>00035724</t>
  </si>
  <si>
    <t>00035725</t>
  </si>
  <si>
    <t>00035726</t>
  </si>
  <si>
    <t>00035727</t>
  </si>
  <si>
    <t>00035728</t>
  </si>
  <si>
    <t>00035729</t>
  </si>
  <si>
    <t>00035730</t>
  </si>
  <si>
    <t>00035731</t>
  </si>
  <si>
    <t>00035732</t>
  </si>
  <si>
    <t>00035733</t>
  </si>
  <si>
    <t>00035734</t>
  </si>
  <si>
    <t>00035735</t>
  </si>
  <si>
    <t>00035736</t>
  </si>
  <si>
    <t>00035737</t>
  </si>
  <si>
    <t>00035738</t>
  </si>
  <si>
    <t>00035739</t>
  </si>
  <si>
    <t>00035740</t>
  </si>
  <si>
    <t>00035741</t>
  </si>
  <si>
    <t>00035742</t>
  </si>
  <si>
    <t>00035743</t>
  </si>
  <si>
    <t>00035744</t>
  </si>
  <si>
    <t>00035745</t>
  </si>
  <si>
    <t>00035746</t>
  </si>
  <si>
    <t>00035751</t>
  </si>
  <si>
    <t>00052291</t>
  </si>
  <si>
    <t>00052302</t>
  </si>
  <si>
    <t>00052314</t>
  </si>
  <si>
    <t>00052331</t>
  </si>
  <si>
    <t>00052350</t>
  </si>
  <si>
    <t>00052371</t>
  </si>
  <si>
    <t>00052374</t>
  </si>
  <si>
    <t>00052382</t>
  </si>
  <si>
    <t>00094575</t>
  </si>
  <si>
    <t>00094576</t>
  </si>
  <si>
    <t>00094577</t>
  </si>
  <si>
    <t>00094578</t>
  </si>
  <si>
    <t>00094579</t>
  </si>
  <si>
    <t>00094580</t>
  </si>
  <si>
    <t>00094581</t>
  </si>
  <si>
    <t>00094582</t>
  </si>
  <si>
    <t>00094583</t>
  </si>
  <si>
    <t>00094584</t>
  </si>
  <si>
    <t>00094585</t>
  </si>
  <si>
    <t>00094586</t>
  </si>
  <si>
    <t>00094587</t>
  </si>
  <si>
    <t>00094588</t>
  </si>
  <si>
    <t>00094589</t>
  </si>
  <si>
    <t>00094590</t>
  </si>
  <si>
    <t>00094591</t>
  </si>
  <si>
    <t>00094592</t>
  </si>
  <si>
    <t>00094593</t>
  </si>
  <si>
    <t>00094594</t>
  </si>
  <si>
    <t>00094595</t>
  </si>
  <si>
    <t>00094596</t>
  </si>
  <si>
    <t>00094597</t>
  </si>
  <si>
    <t>00094598</t>
  </si>
  <si>
    <t>00094599</t>
  </si>
  <si>
    <t>00094600</t>
  </si>
  <si>
    <t>00094601</t>
  </si>
  <si>
    <t>00094602</t>
  </si>
  <si>
    <t>00094603</t>
  </si>
  <si>
    <t>00094604</t>
  </si>
  <si>
    <t>00094605</t>
  </si>
  <si>
    <t>00094606</t>
  </si>
  <si>
    <t>00094607</t>
  </si>
  <si>
    <t>00094608</t>
  </si>
  <si>
    <t>00094609</t>
  </si>
  <si>
    <t>00094610</t>
  </si>
  <si>
    <t>00094611</t>
  </si>
  <si>
    <t>00094613</t>
  </si>
  <si>
    <t>00094614</t>
  </si>
  <si>
    <t>00094615</t>
  </si>
  <si>
    <t>00094616</t>
  </si>
  <si>
    <t>00094617</t>
  </si>
  <si>
    <t>00094618</t>
  </si>
  <si>
    <t>00094619</t>
  </si>
  <si>
    <t>00094620</t>
  </si>
  <si>
    <t>00094621</t>
  </si>
  <si>
    <t>00094622</t>
  </si>
  <si>
    <t>00094623</t>
  </si>
  <si>
    <t>00094624</t>
  </si>
  <si>
    <t>00094625</t>
  </si>
  <si>
    <t>00094626</t>
  </si>
  <si>
    <t>00094627</t>
  </si>
  <si>
    <t>00094628</t>
  </si>
  <si>
    <t>00094629</t>
  </si>
  <si>
    <t>00094630</t>
  </si>
  <si>
    <t>00094631</t>
  </si>
  <si>
    <t>00094632</t>
  </si>
  <si>
    <t>00094633</t>
  </si>
  <si>
    <t>00094634</t>
  </si>
  <si>
    <t>00094635</t>
  </si>
  <si>
    <t>00094636</t>
  </si>
  <si>
    <t>00094643</t>
  </si>
  <si>
    <t>00094644</t>
  </si>
  <si>
    <t>00094645</t>
  </si>
  <si>
    <t>00094646</t>
  </si>
  <si>
    <t>00094647</t>
  </si>
  <si>
    <t>00094648</t>
  </si>
  <si>
    <t>00094649</t>
  </si>
  <si>
    <t>00094650</t>
  </si>
  <si>
    <t>00094651</t>
  </si>
  <si>
    <t>00094652</t>
  </si>
  <si>
    <t>00094653</t>
  </si>
  <si>
    <t>00094654</t>
  </si>
  <si>
    <t>00094655</t>
  </si>
  <si>
    <t>00094656</t>
  </si>
  <si>
    <t>00094657</t>
  </si>
  <si>
    <t>00094658</t>
  </si>
  <si>
    <t>00094659</t>
  </si>
  <si>
    <t>00094660</t>
  </si>
  <si>
    <t>00094661</t>
  </si>
  <si>
    <t>00094662</t>
  </si>
  <si>
    <t>00094663</t>
  </si>
  <si>
    <t>00094664</t>
  </si>
  <si>
    <t>00094665</t>
  </si>
  <si>
    <t>00094666</t>
  </si>
  <si>
    <t>00094667</t>
  </si>
  <si>
    <t>00094668</t>
  </si>
  <si>
    <t>00094669</t>
  </si>
  <si>
    <t>00094670</t>
  </si>
  <si>
    <t>00094671</t>
  </si>
  <si>
    <t>00094672</t>
  </si>
  <si>
    <t>00094673</t>
  </si>
  <si>
    <t>00094674</t>
  </si>
  <si>
    <t>00094683</t>
  </si>
  <si>
    <t>00094684</t>
  </si>
  <si>
    <t>00094685</t>
  </si>
  <si>
    <t>00094686</t>
  </si>
  <si>
    <t>00181829</t>
  </si>
  <si>
    <t>00181830</t>
  </si>
  <si>
    <t>00181831</t>
  </si>
  <si>
    <t>00181835</t>
  </si>
  <si>
    <t>00181836</t>
  </si>
  <si>
    <t>00181837</t>
  </si>
  <si>
    <t>00181838</t>
  </si>
  <si>
    <t>00181839</t>
  </si>
  <si>
    <t>00181841</t>
  </si>
  <si>
    <t>00181842</t>
  </si>
  <si>
    <t>00181843</t>
  </si>
  <si>
    <t>00181844</t>
  </si>
  <si>
    <t>00181845</t>
  </si>
  <si>
    <t>00181846</t>
  </si>
  <si>
    <t>00181847</t>
  </si>
  <si>
    <t>00181848</t>
  </si>
  <si>
    <t>00181849</t>
  </si>
  <si>
    <t>00181850</t>
  </si>
  <si>
    <t>00181851</t>
  </si>
  <si>
    <t>00181852</t>
  </si>
  <si>
    <t>00181856</t>
  </si>
  <si>
    <t>00181857</t>
  </si>
  <si>
    <t>00181858</t>
  </si>
  <si>
    <t>00181859</t>
  </si>
  <si>
    <t>00181860</t>
  </si>
  <si>
    <t>00181861</t>
  </si>
  <si>
    <t>00181862</t>
  </si>
  <si>
    <t>00181866</t>
  </si>
  <si>
    <t>00181867</t>
  </si>
  <si>
    <t>00181872</t>
  </si>
  <si>
    <t>00181873</t>
  </si>
  <si>
    <t>00181879</t>
  </si>
  <si>
    <t>00181880</t>
  </si>
  <si>
    <t>00181881</t>
  </si>
  <si>
    <t>00181882</t>
  </si>
  <si>
    <t>00181885</t>
  </si>
  <si>
    <t>00181893</t>
  </si>
  <si>
    <t>00181894</t>
  </si>
  <si>
    <t>00181895</t>
  </si>
  <si>
    <t>00181899</t>
  </si>
  <si>
    <t>00181900</t>
  </si>
  <si>
    <t>00181905</t>
  </si>
  <si>
    <t>00181906</t>
  </si>
  <si>
    <t>00181907</t>
  </si>
  <si>
    <t>00181908</t>
  </si>
  <si>
    <t>00181911</t>
  </si>
  <si>
    <t>00181912</t>
  </si>
  <si>
    <t>00181913</t>
  </si>
  <si>
    <t>00181914</t>
  </si>
  <si>
    <t>00181915</t>
  </si>
  <si>
    <t>00181921</t>
  </si>
  <si>
    <t>00181922</t>
  </si>
  <si>
    <t>00181924</t>
  </si>
  <si>
    <t>00181925</t>
  </si>
  <si>
    <t>00181926</t>
  </si>
  <si>
    <t>00181927</t>
  </si>
  <si>
    <t>00181928</t>
  </si>
  <si>
    <t>00181930</t>
  </si>
  <si>
    <t>00181932</t>
  </si>
  <si>
    <t>00181933</t>
  </si>
  <si>
    <t>00181938</t>
  </si>
  <si>
    <t>00181939</t>
  </si>
  <si>
    <t>00181941</t>
  </si>
  <si>
    <t>00181943</t>
  </si>
  <si>
    <t>00181944</t>
  </si>
  <si>
    <t>00181945</t>
  </si>
  <si>
    <t>00181948</t>
  </si>
  <si>
    <t>00181949</t>
  </si>
  <si>
    <t>00181950</t>
  </si>
  <si>
    <t>00181951</t>
  </si>
  <si>
    <t>00181959</t>
  </si>
  <si>
    <t>00181960</t>
  </si>
  <si>
    <t>00181961</t>
  </si>
  <si>
    <t>00181967</t>
  </si>
  <si>
    <t>00181968</t>
  </si>
  <si>
    <t>00181971</t>
  </si>
  <si>
    <t>00181972</t>
  </si>
  <si>
    <t>00181973</t>
  </si>
  <si>
    <t>00181985</t>
  </si>
  <si>
    <t>00181986</t>
  </si>
  <si>
    <t>00181987</t>
  </si>
  <si>
    <t>00181988</t>
  </si>
  <si>
    <t>00181989</t>
  </si>
  <si>
    <t>00181990</t>
  </si>
  <si>
    <t>00181991</t>
  </si>
  <si>
    <t>00181992</t>
  </si>
  <si>
    <t>00181993</t>
  </si>
  <si>
    <t>00181994</t>
  </si>
  <si>
    <t>00181995</t>
  </si>
  <si>
    <t>00182016</t>
  </si>
  <si>
    <t>00182017</t>
  </si>
  <si>
    <t>00182030</t>
  </si>
  <si>
    <t>00182031</t>
  </si>
  <si>
    <t>00182045</t>
  </si>
  <si>
    <t>00182046</t>
  </si>
  <si>
    <t>00182047</t>
  </si>
  <si>
    <t>00182048</t>
  </si>
  <si>
    <t>00182049</t>
  </si>
  <si>
    <t>00182050</t>
  </si>
  <si>
    <t>00182051</t>
  </si>
  <si>
    <t>00182052</t>
  </si>
  <si>
    <t>00182055</t>
  </si>
  <si>
    <t>00182056</t>
  </si>
  <si>
    <t>00182060</t>
  </si>
  <si>
    <t>00182061</t>
  </si>
  <si>
    <t>00182062</t>
  </si>
  <si>
    <t>00182063</t>
  </si>
  <si>
    <t>00182064</t>
  </si>
  <si>
    <t>00182065</t>
  </si>
  <si>
    <t>00182066</t>
  </si>
  <si>
    <t>00182067</t>
  </si>
  <si>
    <t>00182068</t>
  </si>
  <si>
    <t>00182069</t>
  </si>
  <si>
    <t>00182070</t>
  </si>
  <si>
    <t>00182071</t>
  </si>
  <si>
    <t>00182072</t>
  </si>
  <si>
    <t>00182073</t>
  </si>
  <si>
    <t>00182074</t>
  </si>
  <si>
    <t>00182077</t>
  </si>
  <si>
    <t>00182081</t>
  </si>
  <si>
    <t>00182082</t>
  </si>
  <si>
    <t>00182091</t>
  </si>
  <si>
    <t>00182092</t>
  </si>
  <si>
    <t>00182093</t>
  </si>
  <si>
    <t>00182096</t>
  </si>
  <si>
    <t>00182097</t>
  </si>
  <si>
    <t>00182110</t>
  </si>
  <si>
    <t>00182111</t>
  </si>
  <si>
    <t>00182112</t>
  </si>
  <si>
    <t>00182128</t>
  </si>
  <si>
    <t>00182129</t>
  </si>
  <si>
    <t>00182130</t>
  </si>
  <si>
    <t>00182131</t>
  </si>
  <si>
    <t>00248557</t>
  </si>
  <si>
    <t>00248558</t>
  </si>
  <si>
    <t>00248559</t>
  </si>
  <si>
    <t>00248560</t>
  </si>
  <si>
    <t>00248568</t>
  </si>
  <si>
    <t>00248578</t>
  </si>
  <si>
    <t>00248579</t>
  </si>
  <si>
    <t>00248580</t>
  </si>
  <si>
    <t>00248581</t>
  </si>
  <si>
    <t>00248582</t>
  </si>
  <si>
    <t>00248588</t>
  </si>
  <si>
    <t>00248598</t>
  </si>
  <si>
    <t>00248599</t>
  </si>
  <si>
    <t>00248600</t>
  </si>
  <si>
    <t>00248601</t>
  </si>
  <si>
    <t>00248602</t>
  </si>
  <si>
    <t>00248603</t>
  </si>
  <si>
    <t>00248604</t>
  </si>
  <si>
    <t>00248608</t>
  </si>
  <si>
    <t>00248609</t>
  </si>
  <si>
    <t>00248610</t>
  </si>
  <si>
    <t>00248612</t>
  </si>
  <si>
    <t>00248621</t>
  </si>
  <si>
    <t>00248622</t>
  </si>
  <si>
    <t>00248623</t>
  </si>
  <si>
    <t>00248624</t>
  </si>
  <si>
    <t>00248625</t>
  </si>
  <si>
    <t>00248626</t>
  </si>
  <si>
    <t>00248628</t>
  </si>
  <si>
    <t>00248629</t>
  </si>
  <si>
    <t>00248630</t>
  </si>
  <si>
    <t>00248631</t>
  </si>
  <si>
    <t>00248632</t>
  </si>
  <si>
    <t>00248633</t>
  </si>
  <si>
    <t>00248634</t>
  </si>
  <si>
    <t>00248635</t>
  </si>
  <si>
    <t>00248636</t>
  </si>
  <si>
    <t>00248637</t>
  </si>
  <si>
    <t>00248638</t>
  </si>
  <si>
    <t>00248639</t>
  </si>
  <si>
    <t>00248640</t>
  </si>
  <si>
    <t>00248641</t>
  </si>
  <si>
    <t>00248642</t>
  </si>
  <si>
    <t>00248643</t>
  </si>
  <si>
    <t>00248644</t>
  </si>
  <si>
    <t>00248645</t>
  </si>
  <si>
    <t>00248646</t>
  </si>
  <si>
    <t>00248647</t>
  </si>
  <si>
    <t>00248648</t>
  </si>
  <si>
    <t>00248649</t>
  </si>
  <si>
    <t>00248650</t>
  </si>
  <si>
    <t>00248651</t>
  </si>
  <si>
    <t>00248652</t>
  </si>
  <si>
    <t>00248653</t>
  </si>
  <si>
    <t>00248654</t>
  </si>
  <si>
    <t>00248655</t>
  </si>
  <si>
    <t>00248656</t>
  </si>
  <si>
    <t>00248657</t>
  </si>
  <si>
    <t>00248658</t>
  </si>
  <si>
    <t>00248659</t>
  </si>
  <si>
    <t>00248660</t>
  </si>
  <si>
    <t>00248661</t>
  </si>
  <si>
    <t>00248662</t>
  </si>
  <si>
    <t>00248663</t>
  </si>
  <si>
    <t>00248664</t>
  </si>
  <si>
    <t>00248665</t>
  </si>
  <si>
    <t>00248666</t>
  </si>
  <si>
    <t>00248667</t>
  </si>
  <si>
    <t>00248669</t>
  </si>
  <si>
    <t>00248670</t>
  </si>
  <si>
    <t>00248671</t>
  </si>
  <si>
    <t>00248672</t>
  </si>
  <si>
    <t>00248673</t>
  </si>
  <si>
    <t>00248674</t>
  </si>
  <si>
    <t>00248675</t>
  </si>
  <si>
    <t>00248676</t>
  </si>
  <si>
    <t>00248677</t>
  </si>
  <si>
    <t>00248678</t>
  </si>
  <si>
    <t>00248679</t>
  </si>
  <si>
    <t>00248680</t>
  </si>
  <si>
    <t>00248681</t>
  </si>
  <si>
    <t>00248682</t>
  </si>
  <si>
    <t>00248683</t>
  </si>
  <si>
    <t>00248684</t>
  </si>
  <si>
    <t>00248685</t>
  </si>
  <si>
    <t>00248686</t>
  </si>
  <si>
    <t>00248687</t>
  </si>
  <si>
    <t>00248688</t>
  </si>
  <si>
    <t>00248689</t>
  </si>
  <si>
    <t>00248690</t>
  </si>
  <si>
    <t>00248691</t>
  </si>
  <si>
    <t>00248692</t>
  </si>
  <si>
    <t>00248693</t>
  </si>
  <si>
    <t>00248694</t>
  </si>
  <si>
    <t>00248695</t>
  </si>
  <si>
    <t>00248696</t>
  </si>
  <si>
    <t>00248697</t>
  </si>
  <si>
    <t>00248698</t>
  </si>
  <si>
    <t>00248699</t>
  </si>
  <si>
    <t>00248700</t>
  </si>
  <si>
    <t>00248701</t>
  </si>
  <si>
    <t>00248702</t>
  </si>
  <si>
    <t>00248703</t>
  </si>
  <si>
    <t>00248704</t>
  </si>
  <si>
    <t>00248705</t>
  </si>
  <si>
    <t>00248706</t>
  </si>
  <si>
    <t>00248707</t>
  </si>
  <si>
    <t>00248708</t>
  </si>
  <si>
    <t>00248709</t>
  </si>
  <si>
    <t>00248710</t>
  </si>
  <si>
    <t>00248711</t>
  </si>
  <si>
    <t>00248712</t>
  </si>
  <si>
    <t>00248713</t>
  </si>
  <si>
    <t>00248714</t>
  </si>
  <si>
    <t>00248715</t>
  </si>
  <si>
    <t>00248716</t>
  </si>
  <si>
    <t>00248717</t>
  </si>
  <si>
    <t>00248718</t>
  </si>
  <si>
    <t>00248719</t>
  </si>
  <si>
    <t>00248720</t>
  </si>
  <si>
    <t>00248721</t>
  </si>
  <si>
    <t>00248722</t>
  </si>
  <si>
    <t>00248723</t>
  </si>
  <si>
    <t>00248724</t>
  </si>
  <si>
    <t>00248725</t>
  </si>
  <si>
    <t>00248726</t>
  </si>
  <si>
    <t>00248727</t>
  </si>
  <si>
    <t>00248728</t>
  </si>
  <si>
    <t>00248729</t>
  </si>
  <si>
    <t>00248730</t>
  </si>
  <si>
    <t>00248731</t>
  </si>
  <si>
    <t>00248732</t>
  </si>
  <si>
    <t>00248733</t>
  </si>
  <si>
    <t>00248734</t>
  </si>
  <si>
    <t>00248735</t>
  </si>
  <si>
    <t>00248736</t>
  </si>
  <si>
    <t>00248737</t>
  </si>
  <si>
    <t>00248738</t>
  </si>
  <si>
    <t>00248739</t>
  </si>
  <si>
    <t>00248740</t>
  </si>
  <si>
    <t>00248741</t>
  </si>
  <si>
    <t>00248742</t>
  </si>
  <si>
    <t>00248743</t>
  </si>
  <si>
    <t>00248744</t>
  </si>
  <si>
    <t>00248745</t>
  </si>
  <si>
    <t>00248746</t>
  </si>
  <si>
    <t>00248747</t>
  </si>
  <si>
    <t>00248748</t>
  </si>
  <si>
    <t>00248749</t>
  </si>
  <si>
    <t>00248750</t>
  </si>
  <si>
    <t>00248751</t>
  </si>
  <si>
    <t>00248752</t>
  </si>
  <si>
    <t>00248753</t>
  </si>
  <si>
    <t>00248754</t>
  </si>
  <si>
    <t>00248755</t>
  </si>
  <si>
    <t>00248756</t>
  </si>
  <si>
    <t>00248757</t>
  </si>
  <si>
    <t>00248758</t>
  </si>
  <si>
    <t>00248759</t>
  </si>
  <si>
    <t>00248760</t>
  </si>
  <si>
    <t>00248761</t>
  </si>
  <si>
    <t>00248762</t>
  </si>
  <si>
    <t>00248763</t>
  </si>
  <si>
    <t>00248764</t>
  </si>
  <si>
    <t>00248765</t>
  </si>
  <si>
    <t>00248766</t>
  </si>
  <si>
    <t>00248767</t>
  </si>
  <si>
    <t>00248768</t>
  </si>
  <si>
    <t>00248769</t>
  </si>
  <si>
    <t>00248770</t>
  </si>
  <si>
    <t>00248771</t>
  </si>
  <si>
    <t>00248772</t>
  </si>
  <si>
    <t>00248773</t>
  </si>
  <si>
    <t>00248774</t>
  </si>
  <si>
    <t>00248775</t>
  </si>
  <si>
    <t>00248776</t>
  </si>
  <si>
    <t>00248777</t>
  </si>
  <si>
    <t>00248778</t>
  </si>
  <si>
    <t>00248779</t>
  </si>
  <si>
    <t>00248780</t>
  </si>
  <si>
    <t>00248781</t>
  </si>
  <si>
    <t>00248782</t>
  </si>
  <si>
    <t>00248783</t>
  </si>
  <si>
    <t>00248784</t>
  </si>
  <si>
    <t>00248785</t>
  </si>
  <si>
    <t>00248786</t>
  </si>
  <si>
    <t>00248787</t>
  </si>
  <si>
    <t>00248788</t>
  </si>
  <si>
    <t>00248789</t>
  </si>
  <si>
    <t>00248790</t>
  </si>
  <si>
    <t>00248791</t>
  </si>
  <si>
    <t>00248792</t>
  </si>
  <si>
    <t>00248793</t>
  </si>
  <si>
    <t>00248794</t>
  </si>
  <si>
    <t>00248795</t>
  </si>
  <si>
    <t>00248796</t>
  </si>
  <si>
    <t>00248797</t>
  </si>
  <si>
    <t>00248798</t>
  </si>
  <si>
    <t>00248799</t>
  </si>
  <si>
    <t>00248800</t>
  </si>
  <si>
    <t>00248801</t>
  </si>
  <si>
    <t>00248802</t>
  </si>
  <si>
    <t>00248803</t>
  </si>
  <si>
    <t>00248804</t>
  </si>
  <si>
    <t>00248805</t>
  </si>
  <si>
    <t>00248806</t>
  </si>
  <si>
    <t>00248807</t>
  </si>
  <si>
    <t>00248808</t>
  </si>
  <si>
    <t>00248809</t>
  </si>
  <si>
    <t>00248810</t>
  </si>
  <si>
    <t>00248811</t>
  </si>
  <si>
    <t>00248812</t>
  </si>
  <si>
    <t>00248813</t>
  </si>
  <si>
    <t>00248814</t>
  </si>
  <si>
    <t>00248815</t>
  </si>
  <si>
    <t>00248816</t>
  </si>
  <si>
    <t>00248817</t>
  </si>
  <si>
    <t>00248818</t>
  </si>
  <si>
    <t>00248819</t>
  </si>
  <si>
    <t>00248820</t>
  </si>
  <si>
    <t>00248821</t>
  </si>
  <si>
    <t>00248822</t>
  </si>
  <si>
    <t>00248823</t>
  </si>
  <si>
    <t>00248824</t>
  </si>
  <si>
    <t>00248825</t>
  </si>
  <si>
    <t>00248826</t>
  </si>
  <si>
    <t>00248827</t>
  </si>
  <si>
    <t>00248828</t>
  </si>
  <si>
    <t>00248829</t>
  </si>
  <si>
    <t>00248830</t>
  </si>
  <si>
    <t>00248831</t>
  </si>
  <si>
    <t>00248832</t>
  </si>
  <si>
    <t>00248833</t>
  </si>
  <si>
    <t>00248834</t>
  </si>
  <si>
    <t>00248835</t>
  </si>
  <si>
    <t>00248836</t>
  </si>
  <si>
    <t>00248837</t>
  </si>
  <si>
    <t>00248838</t>
  </si>
  <si>
    <t>00248839</t>
  </si>
  <si>
    <t>00248840</t>
  </si>
  <si>
    <t>00248841</t>
  </si>
  <si>
    <t>00248842</t>
  </si>
  <si>
    <t>00248843</t>
  </si>
  <si>
    <t>00248844</t>
  </si>
  <si>
    <t>00248845</t>
  </si>
  <si>
    <t>00248846</t>
  </si>
  <si>
    <t>00248847</t>
  </si>
  <si>
    <t>00248848</t>
  </si>
  <si>
    <t>00248849</t>
  </si>
  <si>
    <t>00248850</t>
  </si>
  <si>
    <t>00248851</t>
  </si>
  <si>
    <t>00248852</t>
  </si>
  <si>
    <t>00248853</t>
  </si>
  <si>
    <t>00248854</t>
  </si>
  <si>
    <t>00248855</t>
  </si>
  <si>
    <t>00248856</t>
  </si>
  <si>
    <t>00248857</t>
  </si>
  <si>
    <t>00248858</t>
  </si>
  <si>
    <t>00248859</t>
  </si>
  <si>
    <t>00248860</t>
  </si>
  <si>
    <t>00248861</t>
  </si>
  <si>
    <t>00248862</t>
  </si>
  <si>
    <t>00248863</t>
  </si>
  <si>
    <t>00248864</t>
  </si>
  <si>
    <t>00248865</t>
  </si>
  <si>
    <t>00248866</t>
  </si>
  <si>
    <t>00248867</t>
  </si>
  <si>
    <t>00248868</t>
  </si>
  <si>
    <t>00248869</t>
  </si>
  <si>
    <t>00248870</t>
  </si>
  <si>
    <t>00248871</t>
  </si>
  <si>
    <t>00248872</t>
  </si>
  <si>
    <t>00248873</t>
  </si>
  <si>
    <t>00248874</t>
  </si>
  <si>
    <t>00248875</t>
  </si>
  <si>
    <t>00248876</t>
  </si>
  <si>
    <t>00248877</t>
  </si>
  <si>
    <t>00248878</t>
  </si>
  <si>
    <t>00248879</t>
  </si>
  <si>
    <t>00248880</t>
  </si>
  <si>
    <t>00248881</t>
  </si>
  <si>
    <t>00248882</t>
  </si>
  <si>
    <t>00248883</t>
  </si>
  <si>
    <t>00248884</t>
  </si>
  <si>
    <t>00248885</t>
  </si>
  <si>
    <t>00248886</t>
  </si>
  <si>
    <t>00248887</t>
  </si>
  <si>
    <t>00248888</t>
  </si>
  <si>
    <t>00248889</t>
  </si>
  <si>
    <t>00248890</t>
  </si>
  <si>
    <t>00248891</t>
  </si>
  <si>
    <t>00248892</t>
  </si>
  <si>
    <t>00248893</t>
  </si>
  <si>
    <t>00248894</t>
  </si>
  <si>
    <t>00248895</t>
  </si>
  <si>
    <t>00248896</t>
  </si>
  <si>
    <t>00248897</t>
  </si>
  <si>
    <t>00248898</t>
  </si>
  <si>
    <t>00248899</t>
  </si>
  <si>
    <t>00248900</t>
  </si>
  <si>
    <t>00248901</t>
  </si>
  <si>
    <t>00248902</t>
  </si>
  <si>
    <t>00248903</t>
  </si>
  <si>
    <t>00248904</t>
  </si>
  <si>
    <t>00248905</t>
  </si>
  <si>
    <t>00248906</t>
  </si>
  <si>
    <t>00248907</t>
  </si>
  <si>
    <t>00248908</t>
  </si>
  <si>
    <t>00248909</t>
  </si>
  <si>
    <t>00248910</t>
  </si>
  <si>
    <t>00248911</t>
  </si>
  <si>
    <t>00248912</t>
  </si>
  <si>
    <t>00248913</t>
  </si>
  <si>
    <t>00248914</t>
  </si>
  <si>
    <t>00248915</t>
  </si>
  <si>
    <t>00248916</t>
  </si>
  <si>
    <t>00248917</t>
  </si>
  <si>
    <t>00248918</t>
  </si>
  <si>
    <t>00248919</t>
  </si>
  <si>
    <t>00248920</t>
  </si>
  <si>
    <t>00248921</t>
  </si>
  <si>
    <t>00248922</t>
  </si>
  <si>
    <t>00248923</t>
  </si>
  <si>
    <t>00248924</t>
  </si>
  <si>
    <t>00248929</t>
  </si>
  <si>
    <t>00248930</t>
  </si>
  <si>
    <t>00248931</t>
  </si>
  <si>
    <t>00248932</t>
  </si>
  <si>
    <t>00248933</t>
  </si>
  <si>
    <t>00248934</t>
  </si>
  <si>
    <t>00248935</t>
  </si>
  <si>
    <t>00248936</t>
  </si>
  <si>
    <t>00248937</t>
  </si>
  <si>
    <t>00248938</t>
  </si>
  <si>
    <t>00248939</t>
  </si>
  <si>
    <t>00248940</t>
  </si>
  <si>
    <t>00248941</t>
  </si>
  <si>
    <t>00248942</t>
  </si>
  <si>
    <t>00248943</t>
  </si>
  <si>
    <t>00248944</t>
  </si>
  <si>
    <t>00248945</t>
  </si>
  <si>
    <t>00248946</t>
  </si>
  <si>
    <t>00248961</t>
  </si>
  <si>
    <t>00248962</t>
  </si>
  <si>
    <t>00248963</t>
  </si>
  <si>
    <t>00248964</t>
  </si>
  <si>
    <t>00544661</t>
  </si>
  <si>
    <t>00544662</t>
  </si>
  <si>
    <t>00544663</t>
  </si>
  <si>
    <t>00544664</t>
  </si>
  <si>
    <t>00544667</t>
  </si>
  <si>
    <t>00544668</t>
  </si>
  <si>
    <t>00544669</t>
  </si>
  <si>
    <t>00544670</t>
  </si>
  <si>
    <t>00544671</t>
  </si>
  <si>
    <t>00544672</t>
  </si>
  <si>
    <t>00544673</t>
  </si>
  <si>
    <t>00544674</t>
  </si>
  <si>
    <t>00544675</t>
  </si>
  <si>
    <t>00544676</t>
  </si>
  <si>
    <t>00544677</t>
  </si>
  <si>
    <t>00544678</t>
  </si>
  <si>
    <t>00544679</t>
  </si>
  <si>
    <t>00544680</t>
  </si>
  <si>
    <t>00544681</t>
  </si>
  <si>
    <t>00544682</t>
  </si>
  <si>
    <t>00544683</t>
  </si>
  <si>
    <t>00544684</t>
  </si>
  <si>
    <t>00544685</t>
  </si>
  <si>
    <t>00544686</t>
  </si>
  <si>
    <t>00544687</t>
  </si>
  <si>
    <t>00544695</t>
  </si>
  <si>
    <t>00544696</t>
  </si>
  <si>
    <t>00544697</t>
  </si>
  <si>
    <t>00544698</t>
  </si>
  <si>
    <t>00544699</t>
  </si>
  <si>
    <t>00544700</t>
  </si>
  <si>
    <t>00544702</t>
  </si>
  <si>
    <t>00544705</t>
  </si>
  <si>
    <t>00544706</t>
  </si>
  <si>
    <t>00544708</t>
  </si>
  <si>
    <t>00544712</t>
  </si>
  <si>
    <t>00544713</t>
  </si>
  <si>
    <t>00544714</t>
  </si>
  <si>
    <t>00544715</t>
  </si>
  <si>
    <t>00544716</t>
  </si>
  <si>
    <t>00544717</t>
  </si>
  <si>
    <t>00544718</t>
  </si>
  <si>
    <t>00544719</t>
  </si>
  <si>
    <t>00544720</t>
  </si>
  <si>
    <t>00544721</t>
  </si>
  <si>
    <t>00544722</t>
  </si>
  <si>
    <t>00544723</t>
  </si>
  <si>
    <t>00544724</t>
  </si>
  <si>
    <t>00544725</t>
  </si>
  <si>
    <t>00544726</t>
  </si>
  <si>
    <t>00544727</t>
  </si>
  <si>
    <t>00544728</t>
  </si>
  <si>
    <t>00544729</t>
  </si>
  <si>
    <t>00544730</t>
  </si>
  <si>
    <t>00544731</t>
  </si>
  <si>
    <t>00544732</t>
  </si>
  <si>
    <t>00544733</t>
  </si>
  <si>
    <t>00544734</t>
  </si>
  <si>
    <t>00544735</t>
  </si>
  <si>
    <t>00544736</t>
  </si>
  <si>
    <t>00544737</t>
  </si>
  <si>
    <t>00544738</t>
  </si>
  <si>
    <t>00544741</t>
  </si>
  <si>
    <t>00544748</t>
  </si>
  <si>
    <t>00544749</t>
  </si>
  <si>
    <t>00544750</t>
  </si>
  <si>
    <t>00544751</t>
  </si>
  <si>
    <t>00544752</t>
  </si>
  <si>
    <t>00544753</t>
  </si>
  <si>
    <t>00544754</t>
  </si>
  <si>
    <t>00544755</t>
  </si>
  <si>
    <t>00544756</t>
  </si>
  <si>
    <t>00544757</t>
  </si>
  <si>
    <t>00544758</t>
  </si>
  <si>
    <t>00544759</t>
  </si>
  <si>
    <t>00544760</t>
  </si>
  <si>
    <t>00544761</t>
  </si>
  <si>
    <t>00544762</t>
  </si>
  <si>
    <t>00544763</t>
  </si>
  <si>
    <t>00544764</t>
  </si>
  <si>
    <t>00544765</t>
  </si>
  <si>
    <t>00544766</t>
  </si>
  <si>
    <t>00544767</t>
  </si>
  <si>
    <t>00544768</t>
  </si>
  <si>
    <t>00544769</t>
  </si>
  <si>
    <t>00544770</t>
  </si>
  <si>
    <t>00544771</t>
  </si>
  <si>
    <t>00544772</t>
  </si>
  <si>
    <t>00544773</t>
  </si>
  <si>
    <t>00544774</t>
  </si>
  <si>
    <t>00544775</t>
  </si>
  <si>
    <t>00544782</t>
  </si>
  <si>
    <t>00544783</t>
  </si>
  <si>
    <t>00544784</t>
  </si>
  <si>
    <t>00544785</t>
  </si>
  <si>
    <t>00544786</t>
  </si>
  <si>
    <t>00544787</t>
  </si>
  <si>
    <t>00544788</t>
  </si>
  <si>
    <t>00544789</t>
  </si>
  <si>
    <t>00544790</t>
  </si>
  <si>
    <t>00544791</t>
  </si>
  <si>
    <t>00544792</t>
  </si>
  <si>
    <t>00544793</t>
  </si>
  <si>
    <t>00544794</t>
  </si>
  <si>
    <t>00544795</t>
  </si>
  <si>
    <t>00544796</t>
  </si>
  <si>
    <t>00544797</t>
  </si>
  <si>
    <t>00544798</t>
  </si>
  <si>
    <t>00544800</t>
  </si>
  <si>
    <t>00544801</t>
  </si>
  <si>
    <t>00544802</t>
  </si>
  <si>
    <t>00544803</t>
  </si>
  <si>
    <t>00544804</t>
  </si>
  <si>
    <t>00544805</t>
  </si>
  <si>
    <t>00544806</t>
  </si>
  <si>
    <t>00544807</t>
  </si>
  <si>
    <t>00544808</t>
  </si>
  <si>
    <t>00544809</t>
  </si>
  <si>
    <t>00544810</t>
  </si>
  <si>
    <t>00544811</t>
  </si>
  <si>
    <t>00544812</t>
  </si>
  <si>
    <t>00544813</t>
  </si>
  <si>
    <t>00544814</t>
  </si>
  <si>
    <t>00544815</t>
  </si>
  <si>
    <t>00544816</t>
  </si>
  <si>
    <t>00544817</t>
  </si>
  <si>
    <t>00544818</t>
  </si>
  <si>
    <t>00544819</t>
  </si>
  <si>
    <t>00544820</t>
  </si>
  <si>
    <t>00544821</t>
  </si>
  <si>
    <t>00544822</t>
  </si>
  <si>
    <t>00544823</t>
  </si>
  <si>
    <t>00544824</t>
  </si>
  <si>
    <t>00544825</t>
  </si>
  <si>
    <t>00544826</t>
  </si>
  <si>
    <t>00544827</t>
  </si>
  <si>
    <t>00544828</t>
  </si>
  <si>
    <t>00544829</t>
  </si>
  <si>
    <t>00544830</t>
  </si>
  <si>
    <t>00544831</t>
  </si>
  <si>
    <t>00544832</t>
  </si>
  <si>
    <t>00544833</t>
  </si>
  <si>
    <t>00544834</t>
  </si>
  <si>
    <t>00544835</t>
  </si>
  <si>
    <t>00544836</t>
  </si>
  <si>
    <t>00544837</t>
  </si>
  <si>
    <t>00544838</t>
  </si>
  <si>
    <t>00544839</t>
  </si>
  <si>
    <t>00544840</t>
  </si>
  <si>
    <t>00544841</t>
  </si>
  <si>
    <t>00544842</t>
  </si>
  <si>
    <t>00544843</t>
  </si>
  <si>
    <t>00544844</t>
  </si>
  <si>
    <t>00544845</t>
  </si>
  <si>
    <t>00544846</t>
  </si>
  <si>
    <t>00544847</t>
  </si>
  <si>
    <t>00544848</t>
  </si>
  <si>
    <t>00544849</t>
  </si>
  <si>
    <t>00544850</t>
  </si>
  <si>
    <t>00544851</t>
  </si>
  <si>
    <t>00544852</t>
  </si>
  <si>
    <t>00544853</t>
  </si>
  <si>
    <t>00544854</t>
  </si>
  <si>
    <t>00544855</t>
  </si>
  <si>
    <t>00544856</t>
  </si>
  <si>
    <t>00544857</t>
  </si>
  <si>
    <t>00544858</t>
  </si>
  <si>
    <t>00544859</t>
  </si>
  <si>
    <t>00544860</t>
  </si>
  <si>
    <t>00544861</t>
  </si>
  <si>
    <t>00544862</t>
  </si>
  <si>
    <t>00544863</t>
  </si>
  <si>
    <t>00544864</t>
  </si>
  <si>
    <t>00544865</t>
  </si>
  <si>
    <t>00544866</t>
  </si>
  <si>
    <t>00544867</t>
  </si>
  <si>
    <t>00544868</t>
  </si>
  <si>
    <t>00544869</t>
  </si>
  <si>
    <t>00544870</t>
  </si>
  <si>
    <t>00544871</t>
  </si>
  <si>
    <t>00544872</t>
  </si>
  <si>
    <t>00544873</t>
  </si>
  <si>
    <t>00544874</t>
  </si>
  <si>
    <t>00544875</t>
  </si>
  <si>
    <t>00544876</t>
  </si>
  <si>
    <t>00544877</t>
  </si>
  <si>
    <t>00544878</t>
  </si>
  <si>
    <t>00544879</t>
  </si>
  <si>
    <t>00544880</t>
  </si>
  <si>
    <t>00544881</t>
  </si>
  <si>
    <t>00544882</t>
  </si>
  <si>
    <t>00544883</t>
  </si>
  <si>
    <t>00544884</t>
  </si>
  <si>
    <t>00544885</t>
  </si>
  <si>
    <t>00544886</t>
  </si>
  <si>
    <t>00544887</t>
  </si>
  <si>
    <t>00544888</t>
  </si>
  <si>
    <t>00544889</t>
  </si>
  <si>
    <t>00544890</t>
  </si>
  <si>
    <t>00544891</t>
  </si>
  <si>
    <t>00544892</t>
  </si>
  <si>
    <t>00544893</t>
  </si>
  <si>
    <t>00544894</t>
  </si>
  <si>
    <t>00544895</t>
  </si>
  <si>
    <t>00544896</t>
  </si>
  <si>
    <t>00544897</t>
  </si>
  <si>
    <t>00544898</t>
  </si>
  <si>
    <t>00544899</t>
  </si>
  <si>
    <t>00544900</t>
  </si>
  <si>
    <t>00544901</t>
  </si>
  <si>
    <t>00544902</t>
  </si>
  <si>
    <t>00544903</t>
  </si>
  <si>
    <t>00544904</t>
  </si>
  <si>
    <t>00544905</t>
  </si>
  <si>
    <t>00544906</t>
  </si>
  <si>
    <t>00544907</t>
  </si>
  <si>
    <t>00544908</t>
  </si>
  <si>
    <t>00544909</t>
  </si>
  <si>
    <t>00544910</t>
  </si>
  <si>
    <t>00544911</t>
  </si>
  <si>
    <t>00544912</t>
  </si>
  <si>
    <t>00544913</t>
  </si>
  <si>
    <t>00544914</t>
  </si>
  <si>
    <t>00544915</t>
  </si>
  <si>
    <t>00544916</t>
  </si>
  <si>
    <t>00544917</t>
  </si>
  <si>
    <t>00544918</t>
  </si>
  <si>
    <t>00544919</t>
  </si>
  <si>
    <t>00544920</t>
  </si>
  <si>
    <t>00544921</t>
  </si>
  <si>
    <t>00544922</t>
  </si>
  <si>
    <t>00544923</t>
  </si>
  <si>
    <t>00544924</t>
  </si>
  <si>
    <t>00544925</t>
  </si>
  <si>
    <t>00544926</t>
  </si>
  <si>
    <t>00544927</t>
  </si>
  <si>
    <t>00544928</t>
  </si>
  <si>
    <t>00544929</t>
  </si>
  <si>
    <t>00544930</t>
  </si>
  <si>
    <t>00544931</t>
  </si>
  <si>
    <t>00544932</t>
  </si>
  <si>
    <t>00544933</t>
  </si>
  <si>
    <t>00544934</t>
  </si>
  <si>
    <t>00544935</t>
  </si>
  <si>
    <t>00544936</t>
  </si>
  <si>
    <t>00544937</t>
  </si>
  <si>
    <t>00544938</t>
  </si>
  <si>
    <t>00544939</t>
  </si>
  <si>
    <t>00544940</t>
  </si>
  <si>
    <t>00544941</t>
  </si>
  <si>
    <t>00544942</t>
  </si>
  <si>
    <t>00544943</t>
  </si>
  <si>
    <t>00544944</t>
  </si>
  <si>
    <t>00544945</t>
  </si>
  <si>
    <t>00544946</t>
  </si>
  <si>
    <t>00544947</t>
  </si>
  <si>
    <t>00544948</t>
  </si>
  <si>
    <t>00544949</t>
  </si>
  <si>
    <t>00544950</t>
  </si>
  <si>
    <t>00544952</t>
  </si>
  <si>
    <t>00544953</t>
  </si>
  <si>
    <t>00544954</t>
  </si>
  <si>
    <t>00544955</t>
  </si>
  <si>
    <t>00544956</t>
  </si>
  <si>
    <t>00544957</t>
  </si>
  <si>
    <t>00544958</t>
  </si>
  <si>
    <t>00544959</t>
  </si>
  <si>
    <t>00544960</t>
  </si>
  <si>
    <t>00544961</t>
  </si>
  <si>
    <t>00544962</t>
  </si>
  <si>
    <t>00544963</t>
  </si>
  <si>
    <t>00544964</t>
  </si>
  <si>
    <t>00544965</t>
  </si>
  <si>
    <t>00544966</t>
  </si>
  <si>
    <t>00544967</t>
  </si>
  <si>
    <t>00544968</t>
  </si>
  <si>
    <t>00544969</t>
  </si>
  <si>
    <t>00544970</t>
  </si>
  <si>
    <t>00544971</t>
  </si>
  <si>
    <t>00544972</t>
  </si>
  <si>
    <t>00544973</t>
  </si>
  <si>
    <t>00544974</t>
  </si>
  <si>
    <t>00544975</t>
  </si>
  <si>
    <t>00544976</t>
  </si>
  <si>
    <t>00544977</t>
  </si>
  <si>
    <t>00544978</t>
  </si>
  <si>
    <t>00544979</t>
  </si>
  <si>
    <t>00544980</t>
  </si>
  <si>
    <t>00544981</t>
  </si>
  <si>
    <t>00544982</t>
  </si>
  <si>
    <t>00544983</t>
  </si>
  <si>
    <t>00544984</t>
  </si>
  <si>
    <t>00544985</t>
  </si>
  <si>
    <t>00544986</t>
  </si>
  <si>
    <t>00544987</t>
  </si>
  <si>
    <t>00544988</t>
  </si>
  <si>
    <t>00544989</t>
  </si>
  <si>
    <t>00544990</t>
  </si>
  <si>
    <t>00544991</t>
  </si>
  <si>
    <t>00544992</t>
  </si>
  <si>
    <t>00544993</t>
  </si>
  <si>
    <t>00544994</t>
  </si>
  <si>
    <t>00544995</t>
  </si>
  <si>
    <t>00544996</t>
  </si>
  <si>
    <t>00544997</t>
  </si>
  <si>
    <t>00544998</t>
  </si>
  <si>
    <t>00544999</t>
  </si>
  <si>
    <t>00545000</t>
  </si>
  <si>
    <t>00545001</t>
  </si>
  <si>
    <t>00545002</t>
  </si>
  <si>
    <t>00545003</t>
  </si>
  <si>
    <t>00545004</t>
  </si>
  <si>
    <t>00545005</t>
  </si>
  <si>
    <t>00545006</t>
  </si>
  <si>
    <t>00545007</t>
  </si>
  <si>
    <t>00545008</t>
  </si>
  <si>
    <t>00545009</t>
  </si>
  <si>
    <t>00545010</t>
  </si>
  <si>
    <t>00545011</t>
  </si>
  <si>
    <t>00545012</t>
  </si>
  <si>
    <t>00545013</t>
  </si>
  <si>
    <t>00545014</t>
  </si>
  <si>
    <t>00545015</t>
  </si>
  <si>
    <t>00545016</t>
  </si>
  <si>
    <t>00545017</t>
  </si>
  <si>
    <t>00545018</t>
  </si>
  <si>
    <t>00545019</t>
  </si>
  <si>
    <t>00545020</t>
  </si>
  <si>
    <t>00545021</t>
  </si>
  <si>
    <t>00545022</t>
  </si>
  <si>
    <t>00545023</t>
  </si>
  <si>
    <t>00545024</t>
  </si>
  <si>
    <t>00545025</t>
  </si>
  <si>
    <t>00545026</t>
  </si>
  <si>
    <t>00545027</t>
  </si>
  <si>
    <t>00545028</t>
  </si>
  <si>
    <t>00545029</t>
  </si>
  <si>
    <t>00545030</t>
  </si>
  <si>
    <t>00545031</t>
  </si>
  <si>
    <t>00545032</t>
  </si>
  <si>
    <t>00545033</t>
  </si>
  <si>
    <t>00545034</t>
  </si>
  <si>
    <t>00545035</t>
  </si>
  <si>
    <t>00545036</t>
  </si>
  <si>
    <t>00545037</t>
  </si>
  <si>
    <t>00545038</t>
  </si>
  <si>
    <t>00545039</t>
  </si>
  <si>
    <t>00545040</t>
  </si>
  <si>
    <t>00545041</t>
  </si>
  <si>
    <t>00545042</t>
  </si>
  <si>
    <t>00545043</t>
  </si>
  <si>
    <t>00545044</t>
  </si>
  <si>
    <t>00545045</t>
  </si>
  <si>
    <t>00545046</t>
  </si>
  <si>
    <t>00545047</t>
  </si>
  <si>
    <t>00545048</t>
  </si>
  <si>
    <t>00545049</t>
  </si>
  <si>
    <t>00545050</t>
  </si>
  <si>
    <t>00545051</t>
  </si>
  <si>
    <t>00545052</t>
  </si>
  <si>
    <t>00545053</t>
  </si>
  <si>
    <t>00545054</t>
  </si>
  <si>
    <t>00545055</t>
  </si>
  <si>
    <t>00545056</t>
  </si>
  <si>
    <t>00545057</t>
  </si>
  <si>
    <t>00545058</t>
  </si>
  <si>
    <t>00545059</t>
  </si>
  <si>
    <t>00545060</t>
  </si>
  <si>
    <t>00545061</t>
  </si>
  <si>
    <t>00545062</t>
  </si>
  <si>
    <t>00545063</t>
  </si>
  <si>
    <t>00545064</t>
  </si>
  <si>
    <t>00545065</t>
  </si>
  <si>
    <t>00545066</t>
  </si>
  <si>
    <t>00545067</t>
  </si>
  <si>
    <t>00545068</t>
  </si>
  <si>
    <t>00545069</t>
  </si>
  <si>
    <t>00545070</t>
  </si>
  <si>
    <t>00545071</t>
  </si>
  <si>
    <t>00545072</t>
  </si>
  <si>
    <t>00545073</t>
  </si>
  <si>
    <t>00545074</t>
  </si>
  <si>
    <t>00545075</t>
  </si>
  <si>
    <t>00545076</t>
  </si>
  <si>
    <t>00545077</t>
  </si>
  <si>
    <t>00545078</t>
  </si>
  <si>
    <t>00545079</t>
  </si>
  <si>
    <t>00545080</t>
  </si>
  <si>
    <t>00545081</t>
  </si>
  <si>
    <t>00545082</t>
  </si>
  <si>
    <t>00545083</t>
  </si>
  <si>
    <t>00545084</t>
  </si>
  <si>
    <t>00545085</t>
  </si>
  <si>
    <t>00545086</t>
  </si>
  <si>
    <t>00545087</t>
  </si>
  <si>
    <t>00545088</t>
  </si>
  <si>
    <t>00545089</t>
  </si>
  <si>
    <t>00545090</t>
  </si>
  <si>
    <t>00545091</t>
  </si>
  <si>
    <t>00545092</t>
  </si>
  <si>
    <t>00545093</t>
  </si>
  <si>
    <t>00545094</t>
  </si>
  <si>
    <t>00545095</t>
  </si>
  <si>
    <t>00545096</t>
  </si>
  <si>
    <t>00545097</t>
  </si>
  <si>
    <t>00545098</t>
  </si>
  <si>
    <t>00545099</t>
  </si>
  <si>
    <t>00545100</t>
  </si>
  <si>
    <t>00545101</t>
  </si>
  <si>
    <t>00545102</t>
  </si>
  <si>
    <t>00545103</t>
  </si>
  <si>
    <t>00545104</t>
  </si>
  <si>
    <t>00545105</t>
  </si>
  <si>
    <t>00545106</t>
  </si>
  <si>
    <t>00545107</t>
  </si>
  <si>
    <t>00545108</t>
  </si>
  <si>
    <t>00545109</t>
  </si>
  <si>
    <t>00545110</t>
  </si>
  <si>
    <t>00545111</t>
  </si>
  <si>
    <t>00545112</t>
  </si>
  <si>
    <t>00545113</t>
  </si>
  <si>
    <t>00545114</t>
  </si>
  <si>
    <t>00545115</t>
  </si>
  <si>
    <t>00545116</t>
  </si>
  <si>
    <t>00545117</t>
  </si>
  <si>
    <t>00545118</t>
  </si>
  <si>
    <t>00545119</t>
  </si>
  <si>
    <t>00545120</t>
  </si>
  <si>
    <t>00545121</t>
  </si>
  <si>
    <t>00545122</t>
  </si>
  <si>
    <t>00545123</t>
  </si>
  <si>
    <t>00545124</t>
  </si>
  <si>
    <t>00545125</t>
  </si>
  <si>
    <t>00545126</t>
  </si>
  <si>
    <t>00545127</t>
  </si>
  <si>
    <t>00545128</t>
  </si>
  <si>
    <t>00545129</t>
  </si>
  <si>
    <t>00545130</t>
  </si>
  <si>
    <t>00545131</t>
  </si>
  <si>
    <t>00545132</t>
  </si>
  <si>
    <t>00545133</t>
  </si>
  <si>
    <t>00545134</t>
  </si>
  <si>
    <t>00545135</t>
  </si>
  <si>
    <t>00545136</t>
  </si>
  <si>
    <t>00545137</t>
  </si>
  <si>
    <t>00545138</t>
  </si>
  <si>
    <t>00545139</t>
  </si>
  <si>
    <t>00545140</t>
  </si>
  <si>
    <t>00545141</t>
  </si>
  <si>
    <t>00545142</t>
  </si>
  <si>
    <t>00545143</t>
  </si>
  <si>
    <t>00545144</t>
  </si>
  <si>
    <t>00545145</t>
  </si>
  <si>
    <t>00545146</t>
  </si>
  <si>
    <t>00545147</t>
  </si>
  <si>
    <t>00545148</t>
  </si>
  <si>
    <t>00545149</t>
  </si>
  <si>
    <t>00545150</t>
  </si>
  <si>
    <t>00545151</t>
  </si>
  <si>
    <t>00545152</t>
  </si>
  <si>
    <t>00545153</t>
  </si>
  <si>
    <t>00545154</t>
  </si>
  <si>
    <t>00545155</t>
  </si>
  <si>
    <t>00545156</t>
  </si>
  <si>
    <t>00545157</t>
  </si>
  <si>
    <t>00545158</t>
  </si>
  <si>
    <t>00545159</t>
  </si>
  <si>
    <t>00545160</t>
  </si>
  <si>
    <t>00545161</t>
  </si>
  <si>
    <t>00545162</t>
  </si>
  <si>
    <t>00545163</t>
  </si>
  <si>
    <t>00545164</t>
  </si>
  <si>
    <t>00545165</t>
  </si>
  <si>
    <t>00545166</t>
  </si>
  <si>
    <t>00545167</t>
  </si>
  <si>
    <t>00545168</t>
  </si>
  <si>
    <t>00545169</t>
  </si>
  <si>
    <t>00545170</t>
  </si>
  <si>
    <t>00545171</t>
  </si>
  <si>
    <t>00545172</t>
  </si>
  <si>
    <t>00545173</t>
  </si>
  <si>
    <t>00545174</t>
  </si>
  <si>
    <t>00545175</t>
  </si>
  <si>
    <t>00545176</t>
  </si>
  <si>
    <t>00545177</t>
  </si>
  <si>
    <t>00545178</t>
  </si>
  <si>
    <t>00545179</t>
  </si>
  <si>
    <t>00545180</t>
  </si>
  <si>
    <t>00545181</t>
  </si>
  <si>
    <t>00545182</t>
  </si>
  <si>
    <t>00545183</t>
  </si>
  <si>
    <t>00545184</t>
  </si>
  <si>
    <t>00545185</t>
  </si>
  <si>
    <t>00545186</t>
  </si>
  <si>
    <t>00545187</t>
  </si>
  <si>
    <t>00545188</t>
  </si>
  <si>
    <t>00545189</t>
  </si>
  <si>
    <t>00545190</t>
  </si>
  <si>
    <t>00545191</t>
  </si>
  <si>
    <t>00545192</t>
  </si>
  <si>
    <t>00545193</t>
  </si>
  <si>
    <t>00545194</t>
  </si>
  <si>
    <t>00545195</t>
  </si>
  <si>
    <t>00545196</t>
  </si>
  <si>
    <t>00545197</t>
  </si>
  <si>
    <t>00545198</t>
  </si>
  <si>
    <t>00545199</t>
  </si>
  <si>
    <t>00545200</t>
  </si>
  <si>
    <t>00545201</t>
  </si>
  <si>
    <t>00545202</t>
  </si>
  <si>
    <t>00545203</t>
  </si>
  <si>
    <t>00545204</t>
  </si>
  <si>
    <t>00545205</t>
  </si>
  <si>
    <t>00545206</t>
  </si>
  <si>
    <t>00545207</t>
  </si>
  <si>
    <t>00545208</t>
  </si>
  <si>
    <t>00545209</t>
  </si>
  <si>
    <t>00545210</t>
  </si>
  <si>
    <t>00545211</t>
  </si>
  <si>
    <t>00545212</t>
  </si>
  <si>
    <t>00545213</t>
  </si>
  <si>
    <t>00545214</t>
  </si>
  <si>
    <t>00545215</t>
  </si>
  <si>
    <t>00545216</t>
  </si>
  <si>
    <t>00545217</t>
  </si>
  <si>
    <t>00545218</t>
  </si>
  <si>
    <t>00545219</t>
  </si>
  <si>
    <t>00545220</t>
  </si>
  <si>
    <t>00545221</t>
  </si>
  <si>
    <t>00545222</t>
  </si>
  <si>
    <t>00545223</t>
  </si>
  <si>
    <t>00545224</t>
  </si>
  <si>
    <t>00545225</t>
  </si>
  <si>
    <t>00545226</t>
  </si>
  <si>
    <t>00545227</t>
  </si>
  <si>
    <t>00545228</t>
  </si>
  <si>
    <t>00545229</t>
  </si>
  <si>
    <t>00545230</t>
  </si>
  <si>
    <t>00545231</t>
  </si>
  <si>
    <t>00545232</t>
  </si>
  <si>
    <t>00545233</t>
  </si>
  <si>
    <t>00545234</t>
  </si>
  <si>
    <t>00545235</t>
  </si>
  <si>
    <t>00545236</t>
  </si>
  <si>
    <t>00545237</t>
  </si>
  <si>
    <t>00545238</t>
  </si>
  <si>
    <t>00545239</t>
  </si>
  <si>
    <t>00545240</t>
  </si>
  <si>
    <t>00545241</t>
  </si>
  <si>
    <t>00545242</t>
  </si>
  <si>
    <t>00545243</t>
  </si>
  <si>
    <t>00545244</t>
  </si>
  <si>
    <t>00545245</t>
  </si>
  <si>
    <t>00545246</t>
  </si>
  <si>
    <t>00545247</t>
  </si>
  <si>
    <t>00545248</t>
  </si>
  <si>
    <t>00545249</t>
  </si>
  <si>
    <t>00545250</t>
  </si>
  <si>
    <t>00545251</t>
  </si>
  <si>
    <t>00545252</t>
  </si>
  <si>
    <t>00545253</t>
  </si>
  <si>
    <t>00545254</t>
  </si>
  <si>
    <t>00545255</t>
  </si>
  <si>
    <t>00545256</t>
  </si>
  <si>
    <t>00545257</t>
  </si>
  <si>
    <t>00545258</t>
  </si>
  <si>
    <t>00545259</t>
  </si>
  <si>
    <t>00545260</t>
  </si>
  <si>
    <t>00545261</t>
  </si>
  <si>
    <t>00545262</t>
  </si>
  <si>
    <t>00545263</t>
  </si>
  <si>
    <t>00545264</t>
  </si>
  <si>
    <t>00545265</t>
  </si>
  <si>
    <t>00545266</t>
  </si>
  <si>
    <t>00545267</t>
  </si>
  <si>
    <t>00545268</t>
  </si>
  <si>
    <t>00545269</t>
  </si>
  <si>
    <t>00545270</t>
  </si>
  <si>
    <t>00545271</t>
  </si>
  <si>
    <t>00545272</t>
  </si>
  <si>
    <t>00545273</t>
  </si>
  <si>
    <t>00545274</t>
  </si>
  <si>
    <t>00545275</t>
  </si>
  <si>
    <t>00545276</t>
  </si>
  <si>
    <t>00545277</t>
  </si>
  <si>
    <t>00545278</t>
  </si>
  <si>
    <t>00545279</t>
  </si>
  <si>
    <t>00545280</t>
  </si>
  <si>
    <t>00545281</t>
  </si>
  <si>
    <t>00545282</t>
  </si>
  <si>
    <t>00545283</t>
  </si>
  <si>
    <t>00545284</t>
  </si>
  <si>
    <t>00545285</t>
  </si>
  <si>
    <t>00545286</t>
  </si>
  <si>
    <t>00545287</t>
  </si>
  <si>
    <t>00545288</t>
  </si>
  <si>
    <t>00545289</t>
  </si>
  <si>
    <t>00545290</t>
  </si>
  <si>
    <t>00545291</t>
  </si>
  <si>
    <t>00545292</t>
  </si>
  <si>
    <t>00545293</t>
  </si>
  <si>
    <t>00545294</t>
  </si>
  <si>
    <t>00545295</t>
  </si>
  <si>
    <t>00545296</t>
  </si>
  <si>
    <t>00545297</t>
  </si>
  <si>
    <t>00545298</t>
  </si>
  <si>
    <t>00545299</t>
  </si>
  <si>
    <t>00545300</t>
  </si>
  <si>
    <t>00545301</t>
  </si>
  <si>
    <t>00545302</t>
  </si>
  <si>
    <t>00545303</t>
  </si>
  <si>
    <t>00545304</t>
  </si>
  <si>
    <t>00545305</t>
  </si>
  <si>
    <t>00545306</t>
  </si>
  <si>
    <t>00545307</t>
  </si>
  <si>
    <t>00545308</t>
  </si>
  <si>
    <t>00545309</t>
  </si>
  <si>
    <t>00545310</t>
  </si>
  <si>
    <t>00545311</t>
  </si>
  <si>
    <t>00545312</t>
  </si>
  <si>
    <t>00545313</t>
  </si>
  <si>
    <t>00545314</t>
  </si>
  <si>
    <t>00545315</t>
  </si>
  <si>
    <t>00545316</t>
  </si>
  <si>
    <t>00545317</t>
  </si>
  <si>
    <t>00545318</t>
  </si>
  <si>
    <t>00545319</t>
  </si>
  <si>
    <t>00545320</t>
  </si>
  <si>
    <t>00545321</t>
  </si>
  <si>
    <t>00545322</t>
  </si>
  <si>
    <t>00545323</t>
  </si>
  <si>
    <t>00545324</t>
  </si>
  <si>
    <t>00545325</t>
  </si>
  <si>
    <t>00545326</t>
  </si>
  <si>
    <t>00545327</t>
  </si>
  <si>
    <t>00545328</t>
  </si>
  <si>
    <t>00545329</t>
  </si>
  <si>
    <t>00545330</t>
  </si>
  <si>
    <t>00545331</t>
  </si>
  <si>
    <t>00545332</t>
  </si>
  <si>
    <t>00545333</t>
  </si>
  <si>
    <t>00545334</t>
  </si>
  <si>
    <t>00545335</t>
  </si>
  <si>
    <t>00545336</t>
  </si>
  <si>
    <t>00545337</t>
  </si>
  <si>
    <t>00545338</t>
  </si>
  <si>
    <t>00545339</t>
  </si>
  <si>
    <t>00545340</t>
  </si>
  <si>
    <t>00545341</t>
  </si>
  <si>
    <t>00545342</t>
  </si>
  <si>
    <t>00545343</t>
  </si>
  <si>
    <t>00545344</t>
  </si>
  <si>
    <t>00545345</t>
  </si>
  <si>
    <t>00545346</t>
  </si>
  <si>
    <t>00545347</t>
  </si>
  <si>
    <t>00545348</t>
  </si>
  <si>
    <t>00545349</t>
  </si>
  <si>
    <t>00545350</t>
  </si>
  <si>
    <t>00545351</t>
  </si>
  <si>
    <t>00545352</t>
  </si>
  <si>
    <t>00545353</t>
  </si>
  <si>
    <t>00545354</t>
  </si>
  <si>
    <t>00545355</t>
  </si>
  <si>
    <t>00545356</t>
  </si>
  <si>
    <t>00545357</t>
  </si>
  <si>
    <t>00545358</t>
  </si>
  <si>
    <t>00545359</t>
  </si>
  <si>
    <t>00545360</t>
  </si>
  <si>
    <t>00545361</t>
  </si>
  <si>
    <t>00545362</t>
  </si>
  <si>
    <t>00545363</t>
  </si>
  <si>
    <t>00545364</t>
  </si>
  <si>
    <t>00545365</t>
  </si>
  <si>
    <t>00545366</t>
  </si>
  <si>
    <t>00545367</t>
  </si>
  <si>
    <t>00545368</t>
  </si>
  <si>
    <t>00545369</t>
  </si>
  <si>
    <t>00545370</t>
  </si>
  <si>
    <t>00545371</t>
  </si>
  <si>
    <t>00545372</t>
  </si>
  <si>
    <t>00545373</t>
  </si>
  <si>
    <t>00545374</t>
  </si>
  <si>
    <t>00545375</t>
  </si>
  <si>
    <t>00545376</t>
  </si>
  <si>
    <t>00545377</t>
  </si>
  <si>
    <t>00545378</t>
  </si>
  <si>
    <t>00545379</t>
  </si>
  <si>
    <t>00545380</t>
  </si>
  <si>
    <t>00545381</t>
  </si>
  <si>
    <t>00545382</t>
  </si>
  <si>
    <t>00545383</t>
  </si>
  <si>
    <t>00545384</t>
  </si>
  <si>
    <t>00545385</t>
  </si>
  <si>
    <t>00545386</t>
  </si>
  <si>
    <t>00545387</t>
  </si>
  <si>
    <t>00545388</t>
  </si>
  <si>
    <t>00545389</t>
  </si>
  <si>
    <t>00545390</t>
  </si>
  <si>
    <t>00545391</t>
  </si>
  <si>
    <t>00545392</t>
  </si>
  <si>
    <t>00545393</t>
  </si>
  <si>
    <t>00545394</t>
  </si>
  <si>
    <t>00545395</t>
  </si>
  <si>
    <t>00545396</t>
  </si>
  <si>
    <t>00545397</t>
  </si>
  <si>
    <t>00545398</t>
  </si>
  <si>
    <t>00545399</t>
  </si>
  <si>
    <t>00545400</t>
  </si>
  <si>
    <t>00545401</t>
  </si>
  <si>
    <t>00545402</t>
  </si>
  <si>
    <t>00545403</t>
  </si>
  <si>
    <t>00545404</t>
  </si>
  <si>
    <t>00545405</t>
  </si>
  <si>
    <t>00545406</t>
  </si>
  <si>
    <t>00545408</t>
  </si>
  <si>
    <t>00545409</t>
  </si>
  <si>
    <t>00545410</t>
  </si>
  <si>
    <t>00545411</t>
  </si>
  <si>
    <t>00545412</t>
  </si>
  <si>
    <t>00545413</t>
  </si>
  <si>
    <t>00545414</t>
  </si>
  <si>
    <t>00545415</t>
  </si>
  <si>
    <t>00545416</t>
  </si>
  <si>
    <t>00545417</t>
  </si>
  <si>
    <t>00545418</t>
  </si>
  <si>
    <t>00545419</t>
  </si>
  <si>
    <t>00545420</t>
  </si>
  <si>
    <t>00545422</t>
  </si>
  <si>
    <t>00545423</t>
  </si>
  <si>
    <t>00545424</t>
  </si>
  <si>
    <t>00545425</t>
  </si>
  <si>
    <t>00545426</t>
  </si>
  <si>
    <t>00545427</t>
  </si>
  <si>
    <t>00545428</t>
  </si>
  <si>
    <t>00545429</t>
  </si>
  <si>
    <t>00545430</t>
  </si>
  <si>
    <t>00545431</t>
  </si>
  <si>
    <t>00545432</t>
  </si>
  <si>
    <t>00545433</t>
  </si>
  <si>
    <t>00545434</t>
  </si>
  <si>
    <t>00545435</t>
  </si>
  <si>
    <t>00545436</t>
  </si>
  <si>
    <t>00545437</t>
  </si>
  <si>
    <t>00545438</t>
  </si>
  <si>
    <t>00545439</t>
  </si>
  <si>
    <t>00545440</t>
  </si>
  <si>
    <t>00545456</t>
  </si>
  <si>
    <t>00545457</t>
  </si>
  <si>
    <t>00545458</t>
  </si>
  <si>
    <t>00545459</t>
  </si>
  <si>
    <t>00545466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</si>
  <si>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</si>
  <si>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</si>
  <si>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</si>
  <si>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</si>
  <si>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</si>
  <si>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</si>
  <si>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</si>
  <si>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</si>
  <si>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</si>
  <si>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</si>
  <si>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</si>
  <si>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</si>
  <si>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</si>
  <si>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</si>
  <si>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</si>
  <si>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900</t>
  </si>
  <si>
    <t>950</t>
  </si>
  <si>
    <t>400</t>
  </si>
  <si>
    <t>800</t>
  </si>
  <si>
    <t>500</t>
  </si>
  <si>
    <t>110</t>
  </si>
  <si>
    <t>300</t>
  </si>
  <si>
    <t>0009999</t>
  </si>
  <si>
    <t>0000308</t>
  </si>
  <si>
    <t>0001634</t>
  </si>
  <si>
    <t>0001570</t>
  </si>
  <si>
    <t>0001509</t>
  </si>
  <si>
    <t>0001533</t>
  </si>
  <si>
    <t>0001514</t>
  </si>
  <si>
    <t>0001568</t>
  </si>
  <si>
    <t>0045014</t>
  </si>
  <si>
    <t>0001589</t>
  </si>
  <si>
    <t>0001507</t>
  </si>
  <si>
    <t>0000804</t>
  </si>
  <si>
    <t>0001641</t>
  </si>
  <si>
    <t>0000866</t>
  </si>
  <si>
    <t>0000163</t>
  </si>
  <si>
    <t>0000009</t>
  </si>
  <si>
    <t>0021195</t>
  </si>
  <si>
    <t>0000152</t>
  </si>
  <si>
    <t>0001022</t>
  </si>
  <si>
    <t>0001576</t>
  </si>
  <si>
    <t>0000813</t>
  </si>
  <si>
    <t>0001563</t>
  </si>
  <si>
    <t>0001602</t>
  </si>
  <si>
    <t>0001503</t>
  </si>
  <si>
    <t>0001636</t>
  </si>
  <si>
    <t>0001558</t>
  </si>
  <si>
    <t>0000012</t>
  </si>
  <si>
    <t>0001516</t>
  </si>
  <si>
    <t>0001400</t>
  </si>
  <si>
    <t>0080067</t>
  </si>
  <si>
    <t>0002095</t>
  </si>
  <si>
    <t>0080020</t>
  </si>
  <si>
    <t>0080033</t>
  </si>
  <si>
    <t>0002116</t>
  </si>
  <si>
    <t>0002101</t>
  </si>
  <si>
    <t>0002118</t>
  </si>
  <si>
    <t>0000317</t>
  </si>
  <si>
    <t>0006037</t>
  </si>
  <si>
    <t>0001081</t>
  </si>
  <si>
    <t>0000366</t>
  </si>
  <si>
    <t>0000352</t>
  </si>
  <si>
    <t>0000292</t>
  </si>
  <si>
    <t>0010000</t>
  </si>
  <si>
    <t>0000109</t>
  </si>
  <si>
    <t>0001003</t>
  </si>
  <si>
    <t>0080043</t>
  </si>
  <si>
    <t>0000350</t>
  </si>
  <si>
    <t>0080018</t>
  </si>
  <si>
    <t>0080005</t>
  </si>
  <si>
    <t>0001614</t>
  </si>
  <si>
    <t>0001035</t>
  </si>
  <si>
    <t>0001554</t>
  </si>
  <si>
    <t>0080142</t>
  </si>
  <si>
    <t>0080037</t>
  </si>
  <si>
    <t>0001117</t>
  </si>
  <si>
    <t>0002109</t>
  </si>
  <si>
    <t>0006218</t>
  </si>
  <si>
    <t>0080304</t>
  </si>
  <si>
    <t>0000307</t>
  </si>
  <si>
    <t>0002098</t>
  </si>
  <si>
    <t>0000207</t>
  </si>
  <si>
    <t>0080000</t>
  </si>
  <si>
    <t>0000253</t>
  </si>
  <si>
    <t>0080290</t>
  </si>
  <si>
    <t>0021188</t>
  </si>
  <si>
    <t>0000314</t>
  </si>
  <si>
    <t>0013659</t>
  </si>
  <si>
    <t>0080136</t>
  </si>
  <si>
    <t>0001632</t>
  </si>
  <si>
    <t>A</t>
  </si>
  <si>
    <t>E</t>
  </si>
  <si>
    <t>B</t>
  </si>
  <si>
    <t>K</t>
  </si>
  <si>
    <t>D</t>
  </si>
  <si>
    <t>C</t>
  </si>
  <si>
    <t>L</t>
  </si>
  <si>
    <t>J</t>
  </si>
  <si>
    <t>0042</t>
  </si>
  <si>
    <t>7210</t>
  </si>
  <si>
    <t>7216</t>
  </si>
  <si>
    <t>0054</t>
  </si>
  <si>
    <t>7050</t>
  </si>
  <si>
    <t>7153</t>
  </si>
  <si>
    <t>7091</t>
  </si>
  <si>
    <t>7165</t>
  </si>
  <si>
    <t>0053</t>
  </si>
  <si>
    <t>0061</t>
  </si>
  <si>
    <t>7023</t>
  </si>
  <si>
    <t>7089</t>
  </si>
  <si>
    <t>7129</t>
  </si>
  <si>
    <t>7051</t>
  </si>
  <si>
    <t>7021</t>
  </si>
  <si>
    <t>7143</t>
  </si>
  <si>
    <t>7113</t>
  </si>
  <si>
    <t>7085</t>
  </si>
  <si>
    <t>7217</t>
  </si>
  <si>
    <t>7144</t>
  </si>
  <si>
    <t>7111</t>
  </si>
  <si>
    <t>7084</t>
  </si>
  <si>
    <t>7254</t>
  </si>
  <si>
    <t>7024</t>
  </si>
  <si>
    <t>7122</t>
  </si>
  <si>
    <t>7390</t>
  </si>
  <si>
    <t>7399</t>
  </si>
  <si>
    <t>0211</t>
  </si>
  <si>
    <t>8005</t>
  </si>
  <si>
    <t>1048</t>
  </si>
  <si>
    <t>7452</t>
  </si>
  <si>
    <t>8004</t>
  </si>
  <si>
    <t>6081</t>
  </si>
  <si>
    <t>7488</t>
  </si>
  <si>
    <t>6080</t>
  </si>
  <si>
    <t>6074</t>
  </si>
  <si>
    <t>6085</t>
  </si>
  <si>
    <t>7067</t>
  </si>
  <si>
    <t>4002</t>
  </si>
  <si>
    <t>6806</t>
  </si>
  <si>
    <t>4007</t>
  </si>
  <si>
    <t>4010</t>
  </si>
  <si>
    <t>0244</t>
  </si>
  <si>
    <t>8039</t>
  </si>
  <si>
    <t>8046</t>
  </si>
  <si>
    <t>4013</t>
  </si>
  <si>
    <t>7459</t>
  </si>
  <si>
    <t>7261</t>
  </si>
  <si>
    <t>0035</t>
  </si>
  <si>
    <t>7484</t>
  </si>
  <si>
    <t>0532</t>
  </si>
  <si>
    <t>4008</t>
  </si>
  <si>
    <t>7652</t>
  </si>
  <si>
    <t>7491</t>
  </si>
  <si>
    <t>0049</t>
  </si>
  <si>
    <t>8017</t>
  </si>
  <si>
    <t>7448</t>
  </si>
  <si>
    <t>7439</t>
  </si>
  <si>
    <t>7479</t>
  </si>
  <si>
    <t>7454</t>
  </si>
  <si>
    <t>0028</t>
  </si>
  <si>
    <t>4003</t>
  </si>
  <si>
    <t>0522</t>
  </si>
  <si>
    <t>7486</t>
  </si>
  <si>
    <t>4012</t>
  </si>
  <si>
    <t>4011</t>
  </si>
  <si>
    <t>8006</t>
  </si>
  <si>
    <t>9999</t>
  </si>
  <si>
    <t>1013</t>
  </si>
  <si>
    <t>0072</t>
  </si>
  <si>
    <t>0074</t>
  </si>
  <si>
    <t>0133</t>
  </si>
  <si>
    <t>0073</t>
  </si>
  <si>
    <t>0814</t>
  </si>
  <si>
    <t>0813</t>
  </si>
  <si>
    <t>0512</t>
  </si>
  <si>
    <t>0001</t>
  </si>
  <si>
    <t>0005</t>
  </si>
  <si>
    <t>7086</t>
  </si>
  <si>
    <t>1003</t>
  </si>
  <si>
    <t>0036</t>
  </si>
  <si>
    <t>0063</t>
  </si>
  <si>
    <t>1006</t>
  </si>
  <si>
    <t>0124</t>
  </si>
  <si>
    <t>1614</t>
  </si>
  <si>
    <t>7413</t>
  </si>
  <si>
    <t>3009</t>
  </si>
  <si>
    <t>1633</t>
  </si>
  <si>
    <t>4016</t>
  </si>
  <si>
    <t>1001</t>
  </si>
  <si>
    <t>9997</t>
  </si>
  <si>
    <t>9991</t>
  </si>
  <si>
    <t>0145</t>
  </si>
  <si>
    <t>0146</t>
  </si>
  <si>
    <t>0048</t>
  </si>
  <si>
    <t>0017</t>
  </si>
  <si>
    <t>0019</t>
  </si>
  <si>
    <t>0003</t>
  </si>
  <si>
    <t>0011</t>
  </si>
  <si>
    <t>0012</t>
  </si>
  <si>
    <t>0018</t>
  </si>
  <si>
    <t>0067</t>
  </si>
  <si>
    <t>0009</t>
  </si>
  <si>
    <t>0034</t>
  </si>
  <si>
    <t>6999</t>
  </si>
  <si>
    <t>2006</t>
  </si>
  <si>
    <t>2004</t>
  </si>
  <si>
    <t>0008</t>
  </si>
  <si>
    <t>0450</t>
  </si>
  <si>
    <t>0647</t>
  </si>
  <si>
    <t>0646</t>
  </si>
  <si>
    <t>0637</t>
  </si>
  <si>
    <t>0648</t>
  </si>
  <si>
    <t>0632</t>
  </si>
  <si>
    <t>0633</t>
  </si>
  <si>
    <t>0641</t>
  </si>
  <si>
    <t>0635</t>
  </si>
  <si>
    <t>0626</t>
  </si>
  <si>
    <t>0634</t>
  </si>
  <si>
    <t>0029</t>
  </si>
  <si>
    <t>8999</t>
  </si>
  <si>
    <t>0065</t>
  </si>
  <si>
    <t>0102</t>
  </si>
  <si>
    <t>7090</t>
  </si>
  <si>
    <t>0047</t>
  </si>
  <si>
    <t>3144</t>
  </si>
  <si>
    <t>0645</t>
  </si>
  <si>
    <t>0630</t>
  </si>
  <si>
    <t>0640</t>
  </si>
  <si>
    <t>1002</t>
  </si>
  <si>
    <t>0642</t>
  </si>
  <si>
    <t>7013</t>
  </si>
  <si>
    <t>7018</t>
  </si>
  <si>
    <t>0561</t>
  </si>
  <si>
    <t>7008</t>
  </si>
  <si>
    <t>7007</t>
  </si>
  <si>
    <t>1999</t>
  </si>
  <si>
    <t>8102</t>
  </si>
  <si>
    <t>0024</t>
  </si>
  <si>
    <t>0901</t>
  </si>
  <si>
    <t>6075</t>
  </si>
  <si>
    <t>6078</t>
  </si>
  <si>
    <t>6084</t>
  </si>
  <si>
    <t>2000</t>
  </si>
  <si>
    <t>7140</t>
  </si>
  <si>
    <t>0044</t>
  </si>
  <si>
    <t>8038</t>
  </si>
  <si>
    <t>0046</t>
  </si>
  <si>
    <t>6079</t>
  </si>
  <si>
    <t>7477</t>
  </si>
  <si>
    <t>7379</t>
  </si>
  <si>
    <t>7480</t>
  </si>
  <si>
    <t>7270</t>
  </si>
  <si>
    <t>4005</t>
  </si>
  <si>
    <t>7397</t>
  </si>
  <si>
    <t>0104</t>
  </si>
  <si>
    <t>0196</t>
  </si>
  <si>
    <t>4006</t>
  </si>
  <si>
    <t>2970</t>
  </si>
  <si>
    <t>4009</t>
  </si>
  <si>
    <t>2986</t>
  </si>
  <si>
    <t>69</t>
  </si>
  <si>
    <t>66</t>
  </si>
  <si>
    <t>72</t>
  </si>
  <si>
    <t>80</t>
  </si>
  <si>
    <t>73</t>
  </si>
  <si>
    <t>03</t>
  </si>
  <si>
    <t>05</t>
  </si>
  <si>
    <t>24</t>
  </si>
  <si>
    <t>71</t>
  </si>
  <si>
    <t>84</t>
  </si>
  <si>
    <t>49</t>
  </si>
  <si>
    <t>04</t>
  </si>
  <si>
    <t>99</t>
  </si>
  <si>
    <t>51</t>
  </si>
  <si>
    <t>89</t>
  </si>
  <si>
    <t>52</t>
  </si>
  <si>
    <t>07</t>
  </si>
  <si>
    <t>16</t>
  </si>
  <si>
    <t>50</t>
  </si>
  <si>
    <t>23</t>
  </si>
  <si>
    <t>60</t>
  </si>
  <si>
    <t>19</t>
  </si>
  <si>
    <t>001</t>
  </si>
  <si>
    <t>089</t>
  </si>
  <si>
    <t>999</t>
  </si>
  <si>
    <t>019</t>
  </si>
  <si>
    <t>016</t>
  </si>
  <si>
    <t>092</t>
  </si>
  <si>
    <t>084</t>
  </si>
  <si>
    <t>083</t>
  </si>
  <si>
    <t>022</t>
  </si>
  <si>
    <t>082</t>
  </si>
  <si>
    <t>088</t>
  </si>
  <si>
    <t>093</t>
  </si>
  <si>
    <t>013</t>
  </si>
  <si>
    <t>995</t>
  </si>
  <si>
    <t>111</t>
  </si>
  <si>
    <t>383</t>
  </si>
  <si>
    <t>401</t>
  </si>
  <si>
    <t>005</t>
  </si>
  <si>
    <t>085</t>
  </si>
  <si>
    <t>532</t>
  </si>
  <si>
    <t>065</t>
  </si>
  <si>
    <t>062</t>
  </si>
  <si>
    <t>659</t>
  </si>
  <si>
    <t>660</t>
  </si>
  <si>
    <t>010</t>
  </si>
  <si>
    <t>405</t>
  </si>
  <si>
    <t>003</t>
  </si>
  <si>
    <t>006</t>
  </si>
  <si>
    <t>201</t>
  </si>
  <si>
    <t>202</t>
  </si>
  <si>
    <t>144</t>
  </si>
  <si>
    <t>011</t>
  </si>
  <si>
    <t>207</t>
  </si>
  <si>
    <t>002</t>
  </si>
  <si>
    <t>412</t>
  </si>
  <si>
    <t>301</t>
  </si>
  <si>
    <t>801</t>
  </si>
  <si>
    <t>243</t>
  </si>
  <si>
    <t>124</t>
  </si>
  <si>
    <t>213</t>
  </si>
  <si>
    <t>451</t>
  </si>
  <si>
    <t>382</t>
  </si>
  <si>
    <t>403</t>
  </si>
  <si>
    <t>303</t>
  </si>
  <si>
    <t>454</t>
  </si>
  <si>
    <t>897</t>
  </si>
  <si>
    <t>998</t>
  </si>
  <si>
    <t>252</t>
  </si>
  <si>
    <t>147</t>
  </si>
  <si>
    <t>225</t>
  </si>
  <si>
    <t>210</t>
  </si>
  <si>
    <t>021</t>
  </si>
  <si>
    <t>602</t>
  </si>
  <si>
    <t>257</t>
  </si>
  <si>
    <t>018</t>
  </si>
  <si>
    <t>067</t>
  </si>
  <si>
    <t>256</t>
  </si>
  <si>
    <t>004</t>
  </si>
  <si>
    <t>258</t>
  </si>
  <si>
    <t>122</t>
  </si>
  <si>
    <t>130</t>
  </si>
  <si>
    <t>091</t>
  </si>
  <si>
    <t>112</t>
  </si>
  <si>
    <t>043</t>
  </si>
  <si>
    <t>012</t>
  </si>
  <si>
    <t>072</t>
  </si>
  <si>
    <t>020</t>
  </si>
  <si>
    <t>051</t>
  </si>
  <si>
    <t>024</t>
  </si>
  <si>
    <t>038</t>
  </si>
  <si>
    <t>129</t>
  </si>
  <si>
    <t>029</t>
  </si>
  <si>
    <t>008</t>
  </si>
  <si>
    <t>251</t>
  </si>
  <si>
    <t>074</t>
  </si>
  <si>
    <t>044</t>
  </si>
  <si>
    <t>046</t>
  </si>
  <si>
    <t>037</t>
  </si>
  <si>
    <t>075</t>
  </si>
  <si>
    <t>255</t>
  </si>
  <si>
    <t>009</t>
  </si>
  <si>
    <t>007</t>
  </si>
  <si>
    <t>015</t>
  </si>
  <si>
    <t>035</t>
  </si>
  <si>
    <t>997</t>
  </si>
  <si>
    <t>066</t>
  </si>
  <si>
    <t>030</t>
  </si>
  <si>
    <t>471</t>
  </si>
  <si>
    <t>402</t>
  </si>
  <si>
    <t>404</t>
  </si>
  <si>
    <t>095</t>
  </si>
  <si>
    <t>060</t>
  </si>
  <si>
    <t>014</t>
  </si>
  <si>
    <t>023</t>
  </si>
  <si>
    <t>101</t>
  </si>
  <si>
    <t>919</t>
  </si>
  <si>
    <t>915</t>
  </si>
  <si>
    <t>216</t>
  </si>
  <si>
    <t>621</t>
  </si>
  <si>
    <t>545</t>
  </si>
  <si>
    <t>241</t>
  </si>
  <si>
    <t>203</t>
  </si>
  <si>
    <t>662</t>
  </si>
  <si>
    <t>453</t>
  </si>
  <si>
    <t>01</t>
  </si>
  <si>
    <t>06</t>
  </si>
  <si>
    <t>00</t>
  </si>
  <si>
    <t xml:space="preserve">  </t>
  </si>
  <si>
    <t>18</t>
  </si>
  <si>
    <t>SL</t>
  </si>
  <si>
    <t>PR</t>
  </si>
  <si>
    <t>58</t>
  </si>
  <si>
    <t>68</t>
  </si>
  <si>
    <t>55</t>
  </si>
  <si>
    <t>22</t>
  </si>
  <si>
    <t>20</t>
  </si>
  <si>
    <t>17</t>
  </si>
  <si>
    <t>30</t>
  </si>
  <si>
    <t>40</t>
  </si>
  <si>
    <t>35</t>
  </si>
  <si>
    <t xml:space="preserve">株式会社　オーノ    </t>
  </si>
  <si>
    <t>日本カーペット工業㈱</t>
  </si>
  <si>
    <t xml:space="preserve">東伸織物株式会社    </t>
  </si>
  <si>
    <t xml:space="preserve">柳谷敷物株式会社    </t>
  </si>
  <si>
    <t>ゴールデンフリース㈱</t>
  </si>
  <si>
    <t xml:space="preserve">株式会社ヒガシ化学  </t>
  </si>
  <si>
    <t xml:space="preserve">吉川織物株式会社    </t>
  </si>
  <si>
    <t xml:space="preserve">樋上敷物株式会社    </t>
  </si>
  <si>
    <t xml:space="preserve">持倉タフト          </t>
  </si>
  <si>
    <t xml:space="preserve">比楽紡績株式会社    </t>
  </si>
  <si>
    <t xml:space="preserve">株式会社テザック    </t>
  </si>
  <si>
    <t xml:space="preserve">三和合繊株式会社    </t>
  </si>
  <si>
    <t xml:space="preserve">堀シャーリング㈱    </t>
  </si>
  <si>
    <t xml:space="preserve">ワールド敷物加工㈱  </t>
  </si>
  <si>
    <t xml:space="preserve">宏洋繊維株式会社    </t>
  </si>
  <si>
    <t xml:space="preserve">サンミック㈱　ﾀﾞｽｺﾝ </t>
  </si>
  <si>
    <t xml:space="preserve">西野敷物株式会社    </t>
  </si>
  <si>
    <t>丸紅ｲﾝﾃｯｸｽ株式会社</t>
  </si>
  <si>
    <t xml:space="preserve">東リ株式会社        </t>
  </si>
  <si>
    <t xml:space="preserve">サンミック㈱和歌山  </t>
  </si>
  <si>
    <t xml:space="preserve">上神谷倉庫株式会社  </t>
  </si>
  <si>
    <t>ENEOSﾏﾃﾘｱﾙﾄﾚｰﾃﾞｨﾝｸﾞK.K</t>
  </si>
  <si>
    <t>ユニチカ㈱ｶｰﾍﾟｯﾄ課</t>
  </si>
  <si>
    <t xml:space="preserve">株式会社　カネカ    </t>
  </si>
  <si>
    <t xml:space="preserve">ユニプラステック㈱  </t>
  </si>
  <si>
    <t xml:space="preserve">萩原工業株式会社    </t>
  </si>
  <si>
    <t xml:space="preserve">FLANO INDUSTRIES      </t>
  </si>
  <si>
    <t xml:space="preserve">株式会社ダイコク    </t>
  </si>
  <si>
    <t xml:space="preserve">㈱ＳＫインテリア    </t>
  </si>
  <si>
    <t xml:space="preserve">小森株式会社        </t>
  </si>
  <si>
    <t xml:space="preserve">JIANGSU KAILI CARPET  </t>
  </si>
  <si>
    <t xml:space="preserve">北陸紡績株式会社    </t>
  </si>
  <si>
    <t xml:space="preserve">株式会社横田染工場  </t>
  </si>
  <si>
    <t xml:space="preserve">PRETTIG GRASS         </t>
  </si>
  <si>
    <t xml:space="preserve">CARPET WORLD,KOREA    </t>
  </si>
  <si>
    <t xml:space="preserve">SHANGHAI CONFORT ITN  </t>
  </si>
  <si>
    <t>㈱ﾄｰｶｲ LEC事業本部</t>
  </si>
  <si>
    <t xml:space="preserve">ｸﾘｰﾝﾃｯｸｽ･ｼﾞｬﾊﾟﾝ㈱   </t>
  </si>
  <si>
    <t xml:space="preserve">豊通ﾌｧｯｼｮﾝｴｸｽﾌﾟﾚｽ   </t>
  </si>
  <si>
    <t>ウォータースタンド㈱</t>
  </si>
  <si>
    <t xml:space="preserve">カネヨウ株式会社    </t>
  </si>
  <si>
    <t xml:space="preserve">株式会社廣瀬商会    </t>
  </si>
  <si>
    <t xml:space="preserve">小口                </t>
  </si>
  <si>
    <t xml:space="preserve">伊藤忠商事株式会社  </t>
  </si>
  <si>
    <t>帝人ﾌﾛﾝﾃｨｱ株式会社</t>
  </si>
  <si>
    <t xml:space="preserve">昭和興産㈱大阪支店  </t>
  </si>
  <si>
    <t xml:space="preserve">株式会社サンゲツ    </t>
  </si>
  <si>
    <t xml:space="preserve">山一株式会社 大阪 </t>
  </si>
  <si>
    <t xml:space="preserve">ハンダ株式会社      </t>
  </si>
  <si>
    <t xml:space="preserve">株式会社フォーリン  </t>
  </si>
  <si>
    <t xml:space="preserve">豊通ﾏﾃｯｸｽ株式会社 </t>
  </si>
  <si>
    <t xml:space="preserve">トーセン株式会社    </t>
  </si>
  <si>
    <t xml:space="preserve">マルヰ産業㈱        </t>
  </si>
  <si>
    <t xml:space="preserve">株式会社日本ﾊｲﾊﾟｲﾙ  </t>
  </si>
  <si>
    <t xml:space="preserve">三共毛織株式会社    </t>
  </si>
  <si>
    <t xml:space="preserve">VIAM MANUFACTURING    </t>
  </si>
  <si>
    <t>山本ビニター株式会社</t>
  </si>
  <si>
    <t xml:space="preserve">コクヨ株式会社      </t>
  </si>
  <si>
    <t xml:space="preserve">永大化工株式会社    </t>
  </si>
  <si>
    <t>EIDAIKAKO(VIETNAM)CO,.</t>
  </si>
  <si>
    <t xml:space="preserve">SUMINOE株式会社     </t>
  </si>
  <si>
    <t xml:space="preserve">旭化成ｱﾄﾞﾊﾞﾝｽ㈱   </t>
  </si>
  <si>
    <t xml:space="preserve">山本産業株式会社    </t>
  </si>
  <si>
    <t xml:space="preserve">倉敷紡績㈱輸出      </t>
  </si>
  <si>
    <t xml:space="preserve">大野株式会社        </t>
  </si>
  <si>
    <t xml:space="preserve">㈱川島織物セルコン  </t>
  </si>
  <si>
    <t>ユニベールサービス㈱</t>
  </si>
  <si>
    <t>日本バイリーン㈱東京</t>
  </si>
  <si>
    <t xml:space="preserve">堀田カーペット㈱    </t>
  </si>
  <si>
    <t>ルーチェ（製品売り）</t>
  </si>
  <si>
    <t xml:space="preserve">SKｲﾝﾃﾘｱﾊﾒｺﾐﾏｯﾄ      </t>
  </si>
  <si>
    <t xml:space="preserve">SKｲﾝﾃﾘｱ OMT原着１   </t>
  </si>
  <si>
    <t xml:space="preserve">Gﾅｲﾛﾝﾗﾊﾞｰﾏｯﾄ          </t>
  </si>
  <si>
    <t xml:space="preserve">ＡＲ特種マットWH    </t>
  </si>
  <si>
    <t xml:space="preserve">ｵﾘｼﾞﾅﾙﾏｯﾄ ﾆｯｾｲ C      </t>
  </si>
  <si>
    <t xml:space="preserve">ＴＤＭ　Ｐｌｕｓ    </t>
  </si>
  <si>
    <t xml:space="preserve">ライトスリムエコ    </t>
  </si>
  <si>
    <t xml:space="preserve">Gはめ込み　別注     </t>
  </si>
  <si>
    <t xml:space="preserve">アベイルー原着O     </t>
  </si>
  <si>
    <t xml:space="preserve">吸水マットⅡ　別注  </t>
  </si>
  <si>
    <t xml:space="preserve">ＳＡマットWH(RFID)  </t>
  </si>
  <si>
    <t xml:space="preserve">ﾆｭｰｸﾛｽﾏｯﾄ ｶﾗｰ         </t>
  </si>
  <si>
    <t xml:space="preserve">ＡＲ特種マットｶﾗｰ   </t>
  </si>
  <si>
    <t xml:space="preserve">吸水素足マット      </t>
  </si>
  <si>
    <t xml:space="preserve">吸水マットⅡ        </t>
  </si>
  <si>
    <t xml:space="preserve">ﾆｭｰｸﾛｽﾏｯﾄ RXC 2       </t>
  </si>
  <si>
    <t xml:space="preserve">ＪＵＳＴOMTﾏｯﾄ      </t>
  </si>
  <si>
    <t xml:space="preserve">ＳＡマットｶﾗｰ･ｱｸﾃｽ  </t>
  </si>
  <si>
    <t xml:space="preserve">ＢＲＳⅡ            </t>
  </si>
  <si>
    <t>ニュークロスマットⅡ</t>
  </si>
  <si>
    <t xml:space="preserve">ＪＵＳＴﾊﾒｺﾐ ﾏｯﾄ    </t>
  </si>
  <si>
    <t xml:space="preserve">ＳＡマットﾎﾜｲﾄ･ｱｸﾃｽ </t>
  </si>
  <si>
    <t xml:space="preserve">ｵﾘｼﾞﾅﾙﾏｯﾄ山崎- A    </t>
  </si>
  <si>
    <t>トリニティーマットⅡ</t>
  </si>
  <si>
    <t xml:space="preserve">いらせ              </t>
  </si>
  <si>
    <t xml:space="preserve">ﾀﾞｽｺﾝﾏｯﾄ補修代      </t>
  </si>
  <si>
    <t xml:space="preserve">試作　速乾性マット  </t>
  </si>
  <si>
    <t xml:space="preserve">ｺﾞﾑｼｰﾄ NCN-4118B      </t>
  </si>
  <si>
    <t xml:space="preserve">ｺﾞﾑｼｰﾄ NCN-4104B      </t>
  </si>
  <si>
    <t xml:space="preserve">ｱﾍﾞｲﾙ別注‐Ｏ　原着 </t>
  </si>
  <si>
    <t xml:space="preserve">ｵﾘｼﾞﾅﾙﾏｯﾄ S-NH30      </t>
  </si>
  <si>
    <t xml:space="preserve">ＣＬ－１９１１Ｚ    </t>
  </si>
  <si>
    <t xml:space="preserve">ドットスクア        </t>
  </si>
  <si>
    <t xml:space="preserve">サンナチュラル      </t>
  </si>
  <si>
    <t xml:space="preserve">ルクソール          </t>
  </si>
  <si>
    <t xml:space="preserve">トリアックⅡ        </t>
  </si>
  <si>
    <t xml:space="preserve">ニューワーゲン      </t>
  </si>
  <si>
    <t xml:space="preserve">アドニス            </t>
  </si>
  <si>
    <t xml:space="preserve">アスシード          </t>
  </si>
  <si>
    <t xml:space="preserve">シーザリオ          </t>
  </si>
  <si>
    <t xml:space="preserve">ﾌﾟﾘﾝｽｻｸﾗ客室6F7F8F  </t>
  </si>
  <si>
    <t xml:space="preserve">治療器マット        </t>
  </si>
  <si>
    <t>京王ﾌﾟﾗｻﾞ新宿11Fﾛｳ</t>
  </si>
  <si>
    <t>ﾒﾄﾛﾎﾟﾘﾀﾝ盛岡客室ﾌﾞﾗｳ</t>
  </si>
  <si>
    <t xml:space="preserve">超低22*13特耳防オ </t>
  </si>
  <si>
    <t xml:space="preserve">三菱EVﾌﾟﾚﾐｱﾑｳｫｰﾙ    </t>
  </si>
  <si>
    <t xml:space="preserve">サンビート          </t>
  </si>
  <si>
    <t xml:space="preserve">ﾌﾟﾘﾝｽさくらｶﾝﾌｧﾚﾝｽ  </t>
  </si>
  <si>
    <t xml:space="preserve">ヴェルファー        </t>
  </si>
  <si>
    <t xml:space="preserve">両面滑り止めシート  </t>
  </si>
  <si>
    <t>アーチＮＥＷ原反渡し</t>
  </si>
  <si>
    <t xml:space="preserve">マスターフルⅡ      </t>
  </si>
  <si>
    <t xml:space="preserve">仙田向け            </t>
  </si>
  <si>
    <t>ｲﾝﾀｰｺﾝﾁﾈﾝﾀﾙH大阪　桜</t>
  </si>
  <si>
    <t xml:space="preserve">ＪＰＭ２ａ          </t>
  </si>
  <si>
    <t xml:space="preserve">ノーブフローNF      </t>
  </si>
  <si>
    <t xml:space="preserve">ﾀﾞｽﾄ吸水ﾏｯﾄ原反渡 </t>
  </si>
  <si>
    <t xml:space="preserve">アングレーヌ        </t>
  </si>
  <si>
    <t xml:space="preserve">シンクロニシティ    </t>
  </si>
  <si>
    <t xml:space="preserve">ジェネグラン        </t>
  </si>
  <si>
    <t xml:space="preserve">ボンフリーⅡ        </t>
  </si>
  <si>
    <t>マット滑り止めシート</t>
  </si>
  <si>
    <t xml:space="preserve">ﾌﾟﾘﾝｽｻｸﾗ廊下6F7F8F  </t>
  </si>
  <si>
    <t xml:space="preserve">ﾛｰﾀｽRVｾｰﾙｽ            </t>
  </si>
  <si>
    <t xml:space="preserve">ササハⅡ            </t>
  </si>
  <si>
    <t xml:space="preserve">都ｼﾃｨ近鉄京都ﾛｳｶ  </t>
  </si>
  <si>
    <t>国立競技場VIPﾙｰﾑ OMT</t>
  </si>
  <si>
    <t xml:space="preserve">サンビクトリア      </t>
  </si>
  <si>
    <t xml:space="preserve">試作                </t>
  </si>
  <si>
    <t xml:space="preserve">試作300             </t>
  </si>
  <si>
    <t xml:space="preserve">試作400             </t>
  </si>
  <si>
    <t xml:space="preserve">試作500             </t>
  </si>
  <si>
    <t xml:space="preserve">CL-28-H(ﾋｶﾞｼ)         </t>
  </si>
  <si>
    <t xml:space="preserve">PP18×16ｵｲﾙ         </t>
  </si>
  <si>
    <t xml:space="preserve">PP18×16防虫ｵｲﾙ   </t>
  </si>
  <si>
    <t xml:space="preserve">PP22×18防虫      </t>
  </si>
  <si>
    <t xml:space="preserve">PP18×16防虫      </t>
  </si>
  <si>
    <t xml:space="preserve">ﾏﾘｯｸｽ80906BSE         </t>
  </si>
  <si>
    <t xml:space="preserve">ｱﾋﾟｰﾙ 21202/BNZ       </t>
  </si>
  <si>
    <t xml:space="preserve">ｺﾙﾊﾞｯｸTM-120          </t>
  </si>
  <si>
    <t xml:space="preserve"> ﾅｲﾛﾝﾗﾊﾞｰ 原着1     </t>
  </si>
  <si>
    <t xml:space="preserve"> ﾅｲﾛﾝﾗﾊﾞｰ 原着3     </t>
  </si>
  <si>
    <t xml:space="preserve">試作ﾎﾃﾙﾐﾗｺｽﾀ        </t>
  </si>
  <si>
    <t xml:space="preserve">ＡＲ（原反）WH      </t>
  </si>
  <si>
    <t xml:space="preserve">7 OZｼﾞｭｰﾄ             </t>
  </si>
  <si>
    <t>ＫＱＮ　ＮＥＷ原反渡</t>
  </si>
  <si>
    <t xml:space="preserve">PP18×14防虫      </t>
  </si>
  <si>
    <t xml:space="preserve">CL-1133               </t>
  </si>
  <si>
    <t xml:space="preserve">PP22×16防虫ｵｲﾙ   </t>
  </si>
  <si>
    <t xml:space="preserve">CLP24×22 ｵｲﾙ       </t>
  </si>
  <si>
    <t xml:space="preserve">CH-3823               </t>
  </si>
  <si>
    <t xml:space="preserve">試作ｳｨﾝｻﾞｰﾎﾃﾙﾘﾉﾍﾞ2  </t>
  </si>
  <si>
    <t xml:space="preserve">ﾊﾞｯｷﾝｸﾞ加工ｴｽﾍﾟﾗﾝｻR </t>
  </si>
  <si>
    <t xml:space="preserve">70200/WTO             </t>
  </si>
  <si>
    <t xml:space="preserve">XR-2130               </t>
  </si>
  <si>
    <t>ｲﾝﾀｰｺﾝﾁﾈﾝﾀﾙH大阪ﾎﾜｲｴ</t>
  </si>
  <si>
    <t xml:space="preserve">ﾊﾞｯｷﾝｸﾞ加工ｴｽﾍﾟﾗﾝｻ  </t>
  </si>
  <si>
    <t>ベーシング　廣瀬商会</t>
  </si>
  <si>
    <t xml:space="preserve">運賃                </t>
  </si>
  <si>
    <t xml:space="preserve">京王ﾌﾟﾗｻﾞﾎﾃﾙ新宿  </t>
  </si>
  <si>
    <t>新宿ワシントンホテル</t>
  </si>
  <si>
    <t xml:space="preserve">ノーブフロー        </t>
  </si>
  <si>
    <t xml:space="preserve">ﾏﾘｯｸｽ80906BSE(110)    </t>
  </si>
  <si>
    <t xml:space="preserve">ＰＳ１０            </t>
  </si>
  <si>
    <t xml:space="preserve">ＥＬＰ              </t>
  </si>
  <si>
    <t xml:space="preserve">ＫＣＤ１８          </t>
  </si>
  <si>
    <t xml:space="preserve">ＰＲＯＴＥＸ－Ｓ    </t>
  </si>
  <si>
    <t xml:space="preserve">ＳＢ                </t>
  </si>
  <si>
    <t>ﾅｲﾛﾝﾗﾊﾞｰ原着１(ﾄｰｶｲ)</t>
  </si>
  <si>
    <t>ﾅｲﾛﾝﾗﾊﾞｰ原着３(ﾄｰｶｲ)</t>
  </si>
  <si>
    <t xml:space="preserve">ＫＣＷ５ＷＴ        </t>
  </si>
  <si>
    <t xml:space="preserve">ＡＨＰ              </t>
  </si>
  <si>
    <t xml:space="preserve">ＳＩ                </t>
  </si>
  <si>
    <t xml:space="preserve">ＲＣＬ              </t>
  </si>
  <si>
    <t xml:space="preserve">ＡＨ                </t>
  </si>
  <si>
    <t xml:space="preserve">ＡＨＤ１０          </t>
  </si>
  <si>
    <t xml:space="preserve">ロック糸(ｱｽﾜﾝ)      </t>
  </si>
  <si>
    <t xml:space="preserve">T-D92A 2022-1140      </t>
  </si>
  <si>
    <t xml:space="preserve">T-D92A 2022-1225      </t>
  </si>
  <si>
    <t xml:space="preserve">D40L 2020             </t>
  </si>
  <si>
    <t xml:space="preserve">ＡＲ白黒            </t>
  </si>
  <si>
    <t>ﾒﾄﾛﾎﾟﾘﾀﾝ盛岡7F客室</t>
  </si>
  <si>
    <t xml:space="preserve">ＳＹＳ              </t>
  </si>
  <si>
    <t xml:space="preserve">マニット            </t>
  </si>
  <si>
    <t xml:space="preserve">ＦＶＯＣＨ２ＬＢ    </t>
  </si>
  <si>
    <t>ＨＯＥＰＷ８ＢＶＢＫ</t>
  </si>
  <si>
    <t xml:space="preserve">ＦＶＯＣＨ２ＣＡ    </t>
  </si>
  <si>
    <t>ＨＯＥＰＷ８ＣＶＢＫ</t>
  </si>
  <si>
    <t xml:space="preserve">ＨＯＰＥ９ＥＡ２Ｖ  </t>
  </si>
  <si>
    <t xml:space="preserve">ＨＯＰＥ９ＥＡ３Ｖ  </t>
  </si>
  <si>
    <t xml:space="preserve">ＦＶＯＳＵＩＣＪＢ  </t>
  </si>
  <si>
    <t xml:space="preserve">ＨＯＰＥ９ＥＡ５Ｖ  </t>
  </si>
  <si>
    <t xml:space="preserve">ＴＶＯ８００ＢＡ    </t>
  </si>
  <si>
    <t xml:space="preserve">ＨＯＰＥ９ＥＡ４Ｖ  </t>
  </si>
  <si>
    <t xml:space="preserve">ﾐﾂﾋﾞｼEV PW ｽﾄﾗｲﾌﾟ     </t>
  </si>
  <si>
    <t xml:space="preserve">ＭＣＳ              </t>
  </si>
  <si>
    <t xml:space="preserve">ロック糸            </t>
  </si>
  <si>
    <t xml:space="preserve">ＳＰ                </t>
  </si>
  <si>
    <t xml:space="preserve">JSR ﾏｯﾄ滑り止めｼｰﾄ  </t>
  </si>
  <si>
    <t xml:space="preserve">ＡＲ                </t>
  </si>
  <si>
    <t xml:space="preserve">ＳＢＰ１-140100     </t>
  </si>
  <si>
    <t xml:space="preserve">治療器保護ﾏｯﾄ       </t>
  </si>
  <si>
    <t xml:space="preserve">ＰＲＯＴＥＸ－Ｍ    </t>
  </si>
  <si>
    <t xml:space="preserve">兵庫県公館「議場」  </t>
  </si>
  <si>
    <t xml:space="preserve">ＴＶＯ１２０ＤＧＡ  </t>
  </si>
  <si>
    <t xml:space="preserve">ＴＶＯ３００ＤＡ    </t>
  </si>
  <si>
    <t xml:space="preserve">ＧＴＶＯ６４６ＷＡ  </t>
  </si>
  <si>
    <t xml:space="preserve">ベーシング（大野）  </t>
  </si>
  <si>
    <t xml:space="preserve">長野NCﾋﾞﾙﾎﾃﾙ客室  </t>
  </si>
  <si>
    <t xml:space="preserve">ＦＶＯＳＵＩＬＫＢ  </t>
  </si>
  <si>
    <t xml:space="preserve">SPQ-30                </t>
  </si>
  <si>
    <t xml:space="preserve">CEL-66                </t>
  </si>
  <si>
    <t xml:space="preserve">ＣＨ－０１          </t>
  </si>
  <si>
    <t xml:space="preserve">PE5300T/8F/直毛     </t>
  </si>
  <si>
    <t xml:space="preserve">PE3850T/8F/ｸﾘﾝﾌﾟ      </t>
  </si>
  <si>
    <t>都ｼﾃｨ近鉄京都6Fﾛｳｶ</t>
  </si>
  <si>
    <t xml:space="preserve">値引・値増          </t>
  </si>
  <si>
    <t xml:space="preserve">ウレタン(4MM)       </t>
  </si>
  <si>
    <t xml:space="preserve">ＢＭ                </t>
  </si>
  <si>
    <t xml:space="preserve">ﾎﾃﾙﾒﾄﾛﾎﾟﾘﾀﾝ盛岡     </t>
  </si>
  <si>
    <t xml:space="preserve">第４営業部サンプル  </t>
  </si>
  <si>
    <t xml:space="preserve">サンプル            </t>
  </si>
  <si>
    <t xml:space="preserve">ﾀﾞｽｺﾝﾏｯﾄ ｻﾝﾌﾟﾙ 1      </t>
  </si>
  <si>
    <t xml:space="preserve">Gﾅｲﾛﾝﾗﾊﾞｰ ﾏｯﾄ -１色 </t>
  </si>
  <si>
    <t xml:space="preserve">ＡＲ特種マット      </t>
  </si>
  <si>
    <t xml:space="preserve">TFT１５             </t>
  </si>
  <si>
    <t xml:space="preserve">TFTキカクガイ       </t>
  </si>
  <si>
    <t xml:space="preserve">TFT１２             </t>
  </si>
  <si>
    <t xml:space="preserve">ＮＥＫＺＭ          </t>
  </si>
  <si>
    <t xml:space="preserve">ﾙｰﾁｪGY別注          </t>
  </si>
  <si>
    <t xml:space="preserve">ＮＥＫ０７５        </t>
  </si>
  <si>
    <t xml:space="preserve">ＴＤＭ ＰＬＵＳ   </t>
  </si>
  <si>
    <t xml:space="preserve">ルーチェ            </t>
  </si>
  <si>
    <t xml:space="preserve">アスメロディⅡ      </t>
  </si>
  <si>
    <t xml:space="preserve">ニューアスポーター  </t>
  </si>
  <si>
    <t xml:space="preserve">ﾆｭｰｳｰﾙﾎﾟﾘｯｼｬｰ         </t>
  </si>
  <si>
    <t xml:space="preserve">ラリスタン          </t>
  </si>
  <si>
    <t xml:space="preserve">ベーシング          </t>
  </si>
  <si>
    <t xml:space="preserve">ＳＡマットﾎﾜｲﾄ      </t>
  </si>
  <si>
    <t xml:space="preserve">NEWアバロンマット   </t>
  </si>
  <si>
    <t xml:space="preserve">Gはめ込みﾏｯﾄ-２色 </t>
  </si>
  <si>
    <t xml:space="preserve">アベイル別注‐Ｏ    </t>
  </si>
  <si>
    <t xml:space="preserve">吸水マットⅡ 別注 </t>
  </si>
  <si>
    <t xml:space="preserve">ＮＥＫＴＲＭ        </t>
  </si>
  <si>
    <t xml:space="preserve">TFTキカクガイ ２  </t>
  </si>
  <si>
    <t xml:space="preserve">TFT２４             </t>
  </si>
  <si>
    <t xml:space="preserve">ＮＥＫ９０２        </t>
  </si>
  <si>
    <t xml:space="preserve">TFTタンショク       </t>
  </si>
  <si>
    <t xml:space="preserve">TFT３０             </t>
  </si>
  <si>
    <t xml:space="preserve">ｻﾆﾏｯﾄNEWチェス    </t>
  </si>
  <si>
    <t xml:space="preserve">ＮＹ無地マット      </t>
  </si>
  <si>
    <t xml:space="preserve">ＮＥＫ０１５        </t>
  </si>
  <si>
    <t xml:space="preserve">TFTタンショク ２  </t>
  </si>
  <si>
    <t xml:space="preserve">TFT７．５           </t>
  </si>
  <si>
    <t xml:space="preserve">ＳＡマット ｶﾗｰ      </t>
  </si>
  <si>
    <t xml:space="preserve">ニュークロスマット  </t>
  </si>
  <si>
    <t xml:space="preserve">サンネイチャーⅡ    </t>
  </si>
  <si>
    <t xml:space="preserve">ﾀｲﾙｶｰﾍﾟｯﾄﾖｳｽﾍﾞﾘﾄﾞﾒｼｰﾄ </t>
  </si>
  <si>
    <t xml:space="preserve">コルバックTM-120    </t>
  </si>
  <si>
    <t xml:space="preserve">ニューアスノーブル  </t>
  </si>
  <si>
    <t xml:space="preserve">ＡＲ（原反）WH･ｱｸﾃｽ </t>
  </si>
  <si>
    <t xml:space="preserve">ＪＵＳＴ OMTﾏｯﾄ     </t>
  </si>
  <si>
    <t xml:space="preserve">アバンクロス        </t>
  </si>
  <si>
    <t xml:space="preserve">フレンドエイジ(FD)  </t>
  </si>
  <si>
    <t xml:space="preserve">ディライアンⅢ      </t>
  </si>
  <si>
    <t xml:space="preserve">TFT１２ １        </t>
  </si>
  <si>
    <t xml:space="preserve">ﾛﾝｽﾃｯﾌﾟﾏｯﾄｼﾞｵｽﾄﾗｲﾌﾟ   </t>
  </si>
  <si>
    <t xml:space="preserve">ｴｸｼﾌﾞ有馬EC ZX241E  </t>
  </si>
  <si>
    <t xml:space="preserve">ＮＥＫ３０２        </t>
  </si>
  <si>
    <t xml:space="preserve">ＮＥＫ７５２        </t>
  </si>
  <si>
    <t xml:space="preserve">SELEGA-28J１段目    </t>
  </si>
  <si>
    <t xml:space="preserve">SELEGA-28J２段目    </t>
  </si>
  <si>
    <t xml:space="preserve">SELEGA-28J３段目    </t>
  </si>
  <si>
    <t xml:space="preserve">ＳＹＳ　ＭＶＳ      </t>
  </si>
  <si>
    <t xml:space="preserve">ＮＥＫ９０１        </t>
  </si>
  <si>
    <t xml:space="preserve">ＮＥＫ０１２        </t>
  </si>
  <si>
    <t xml:space="preserve">TFT４０             </t>
  </si>
  <si>
    <t xml:space="preserve">ＮＥＫ１２３        </t>
  </si>
  <si>
    <t xml:space="preserve">ｱｸｾｽﾏｯﾄ               </t>
  </si>
  <si>
    <t xml:space="preserve">仙田向けUG-1728     </t>
  </si>
  <si>
    <t xml:space="preserve">プリントマット      </t>
  </si>
  <si>
    <t xml:space="preserve">補修品              </t>
  </si>
  <si>
    <t xml:space="preserve">SELEGA-2J１段目     </t>
  </si>
  <si>
    <t xml:space="preserve">SELEGA-2J２段目     </t>
  </si>
  <si>
    <t xml:space="preserve">SELEGA-2J３段目     </t>
  </si>
  <si>
    <t xml:space="preserve">カット代            </t>
  </si>
  <si>
    <t xml:space="preserve">ホテル東急レイ長野  </t>
  </si>
  <si>
    <t xml:space="preserve">新宿ﾜｼﾝﾄﾝﾎﾃﾙ客室  </t>
  </si>
  <si>
    <t>国立競技場VIPﾙｰﾑ MLC</t>
  </si>
  <si>
    <t xml:space="preserve">運賃（11/4出荷）  </t>
  </si>
  <si>
    <t xml:space="preserve">運賃（12/1出荷）  </t>
  </si>
  <si>
    <t xml:space="preserve">ｲﾝﾀｰｺﾝﾁﾈﾝﾀﾙ大阪     </t>
  </si>
  <si>
    <t xml:space="preserve">            </t>
  </si>
  <si>
    <t xml:space="preserve">原反ｶｯﾄ   </t>
  </si>
  <si>
    <t xml:space="preserve">OSA25-150   </t>
  </si>
  <si>
    <t xml:space="preserve">OSA25-124   </t>
  </si>
  <si>
    <t xml:space="preserve">第二基布  </t>
  </si>
  <si>
    <t xml:space="preserve">原糸      </t>
  </si>
  <si>
    <t xml:space="preserve">ﾗﾃｯｸｽ       </t>
  </si>
  <si>
    <t xml:space="preserve">ロール    </t>
  </si>
  <si>
    <t xml:space="preserve">別注      </t>
  </si>
  <si>
    <t xml:space="preserve">原　反    </t>
  </si>
  <si>
    <t xml:space="preserve">第一基布  </t>
  </si>
  <si>
    <t xml:space="preserve">ﾛｯｸ糸     </t>
  </si>
  <si>
    <t xml:space="preserve">ﾚｲｼｽﾃﾑ      </t>
  </si>
  <si>
    <t>短尺ロール</t>
  </si>
  <si>
    <t>タフト生機</t>
  </si>
  <si>
    <t>12/5ｵﾘｴﾝﾀﾙCP</t>
  </si>
  <si>
    <t>ｺｰﾃｲﾝｸﾞﾊﾝｾｲﾋ</t>
  </si>
  <si>
    <t xml:space="preserve">12/16川島 </t>
  </si>
  <si>
    <t xml:space="preserve">マット    </t>
  </si>
  <si>
    <t>11F12F Bﾀｲﾌﾟ</t>
  </si>
  <si>
    <t xml:space="preserve">MUR RM2408  </t>
  </si>
  <si>
    <t xml:space="preserve">原綿      </t>
  </si>
  <si>
    <t xml:space="preserve">その他    </t>
  </si>
  <si>
    <t xml:space="preserve">毛布      </t>
  </si>
  <si>
    <t xml:space="preserve">11F Cﾀｲﾌﾟ   </t>
  </si>
  <si>
    <t xml:space="preserve">9F 1回目  </t>
  </si>
  <si>
    <t xml:space="preserve">          </t>
  </si>
  <si>
    <t xml:space="preserve">12F C 05-25 </t>
  </si>
  <si>
    <t xml:space="preserve">9F 2回目  </t>
  </si>
  <si>
    <t xml:space="preserve">7F客室    </t>
  </si>
  <si>
    <t xml:space="preserve">13F 1回目 </t>
  </si>
  <si>
    <t xml:space="preserve">ｴｸｼﾌﾞ本館 </t>
  </si>
  <si>
    <t>三井ｶﾞｰﾃﾞﾝ</t>
  </si>
  <si>
    <t>㈱ﾉｰｽｸﾞﾗﾌｨ</t>
  </si>
  <si>
    <t xml:space="preserve">ﾘﾌﾚｯｼｭ      </t>
  </si>
  <si>
    <t>ﾘｮｰﾋﾞ㈱ﾀﾞｲ</t>
  </si>
  <si>
    <t xml:space="preserve">U251122     </t>
  </si>
  <si>
    <t>01-2511-0729</t>
  </si>
  <si>
    <t>01-2511-0770</t>
  </si>
  <si>
    <t>01-2511-0288</t>
  </si>
  <si>
    <t>R4681 ㈱ｱｷ</t>
  </si>
  <si>
    <t xml:space="preserve">ﾀ8066 APPUI </t>
  </si>
  <si>
    <t>ｵ1799 INTIMA</t>
  </si>
  <si>
    <t>01-2511-0771</t>
  </si>
  <si>
    <t xml:space="preserve">郷彩 根 </t>
  </si>
  <si>
    <t xml:space="preserve">PACHI PACHI </t>
  </si>
  <si>
    <t>会員制倶楽</t>
  </si>
  <si>
    <t xml:space="preserve">NICHIEI     </t>
  </si>
  <si>
    <t xml:space="preserve">ご注文口  </t>
  </si>
  <si>
    <t>SANS(縦長)</t>
  </si>
  <si>
    <t xml:space="preserve">WEINS       </t>
  </si>
  <si>
    <t xml:space="preserve">ﾈｲﾋﾞｰﾌﾞﾙｰ(  </t>
  </si>
  <si>
    <t xml:space="preserve">GINZA NOVO  </t>
  </si>
  <si>
    <t xml:space="preserve">AOYAMA GATE </t>
  </si>
  <si>
    <t xml:space="preserve">天下一品  </t>
  </si>
  <si>
    <t xml:space="preserve">HIBISCUS    </t>
  </si>
  <si>
    <t xml:space="preserve">HIBISCUS(   </t>
  </si>
  <si>
    <t xml:space="preserve">CONVERSE    </t>
  </si>
  <si>
    <t xml:space="preserve">PET LIFE    </t>
  </si>
  <si>
    <t xml:space="preserve">LIVEMAX     </t>
  </si>
  <si>
    <t>02-2512-0001</t>
  </si>
  <si>
    <t>02-2512-0003</t>
  </si>
  <si>
    <t>02-2512-0004</t>
  </si>
  <si>
    <t>07-2511-0874</t>
  </si>
  <si>
    <t>07-2511-0886</t>
  </si>
  <si>
    <t xml:space="preserve">グレー    </t>
  </si>
  <si>
    <t xml:space="preserve">MA3S-WH     </t>
  </si>
  <si>
    <t xml:space="preserve">MA3W-WH     </t>
  </si>
  <si>
    <t xml:space="preserve">PREMIER     </t>
  </si>
  <si>
    <t xml:space="preserve">日新ﾊﾁﾐﾂ  </t>
  </si>
  <si>
    <t xml:space="preserve">ﾉｴﾋﾞｱ       </t>
  </si>
  <si>
    <t xml:space="preserve">ﾘﾝﾅｲ 生産 </t>
  </si>
  <si>
    <t xml:space="preserve">KLCｾﾐﾅｰ御 </t>
  </si>
  <si>
    <t xml:space="preserve">KLCｾﾐﾅｰ大 </t>
  </si>
  <si>
    <t xml:space="preserve">ﾁ0865 ﾙｰﾄｲ  </t>
  </si>
  <si>
    <t xml:space="preserve">ﾁ0863 ﾙｰﾄｲ  </t>
  </si>
  <si>
    <t xml:space="preserve">ﾁ0864 ﾙｰﾄｲ  </t>
  </si>
  <si>
    <t>01-2511-0730</t>
  </si>
  <si>
    <t>H1699 京鉄</t>
  </si>
  <si>
    <t>ｱA582 BARｼﾞｮ</t>
  </si>
  <si>
    <t xml:space="preserve">ｱA585 BAR   </t>
  </si>
  <si>
    <t xml:space="preserve">ｺ1608 HAIR  </t>
  </si>
  <si>
    <t>ｺ1606 株式</t>
  </si>
  <si>
    <t>ｺ1607 株式</t>
  </si>
  <si>
    <t>R4682 赤坂</t>
  </si>
  <si>
    <t>ﾙ0979 福岡</t>
  </si>
  <si>
    <t>ｳ2164 嶋会</t>
  </si>
  <si>
    <t>ﾏ0888 株式</t>
  </si>
  <si>
    <t>09-2511-0127</t>
  </si>
  <si>
    <t>09-2511-0128</t>
  </si>
  <si>
    <t>09-2511-0129</t>
  </si>
  <si>
    <t>09-2511-0130</t>
  </si>
  <si>
    <t>01-2511-1263</t>
  </si>
  <si>
    <t>02-2512-0023</t>
  </si>
  <si>
    <t>13-2512-0003</t>
  </si>
  <si>
    <t xml:space="preserve">牛びより  </t>
  </si>
  <si>
    <t>FIT IN PLAZA</t>
  </si>
  <si>
    <t xml:space="preserve">ﾀｲｾｲﾊｳｼﾞｰ   </t>
  </si>
  <si>
    <t>ﾚｯﾄﾞ(無地)</t>
  </si>
  <si>
    <t xml:space="preserve">ｺｺｱﾌﾞﾗｳﾝ(   </t>
  </si>
  <si>
    <t>ｴﾒﾗﾙﾄﾞｸﾞﾘｰﾝ(</t>
  </si>
  <si>
    <t xml:space="preserve">ﾛｲﾔﾙﾌﾞﾙｰ(   </t>
  </si>
  <si>
    <t>09-2512-0009</t>
  </si>
  <si>
    <t>11-2512-0016</t>
  </si>
  <si>
    <t>11-2512-0021</t>
  </si>
  <si>
    <t>01-2511-0892</t>
  </si>
  <si>
    <t>ｻ1688 ｴﾌﾌﾞﾝﾉ</t>
  </si>
  <si>
    <t>01-2511-0890</t>
  </si>
  <si>
    <t>ｲ3214 桃李</t>
  </si>
  <si>
    <t>ﾛ1494 生活</t>
  </si>
  <si>
    <t xml:space="preserve">ﾀ8062 ｶﾚｰ   </t>
  </si>
  <si>
    <t xml:space="preserve">ﾀ8063 ｶﾚｰ   </t>
  </si>
  <si>
    <t xml:space="preserve">ﾀ8069 FE.   </t>
  </si>
  <si>
    <t xml:space="preserve">ﾀ8067 NABE  </t>
  </si>
  <si>
    <t xml:space="preserve">ﾀ8068 NABE  </t>
  </si>
  <si>
    <t>ｼ1176 ｸﾗﾌﾞﾊｳ</t>
  </si>
  <si>
    <t>ｼ1177 ｸﾗﾌﾞﾊｳ</t>
  </si>
  <si>
    <t>ﾉ0618 ㈱大</t>
  </si>
  <si>
    <t>ｷ2209 ﾀﾞﾌﾞﾙｽ</t>
  </si>
  <si>
    <t>ｳ2163 海鮮</t>
  </si>
  <si>
    <t>ﾃ1419 医療</t>
  </si>
  <si>
    <t xml:space="preserve">ﾅ1763 SNACK </t>
  </si>
  <si>
    <t xml:space="preserve">HAIR SALON  </t>
  </si>
  <si>
    <t xml:space="preserve">CLUB ZERO   </t>
  </si>
  <si>
    <t xml:space="preserve">からあげ  </t>
  </si>
  <si>
    <t xml:space="preserve">IL BAROCCO  </t>
  </si>
  <si>
    <t xml:space="preserve">ANSHINDO    </t>
  </si>
  <si>
    <t>04-2512-0061</t>
  </si>
  <si>
    <t>03-2512-0023</t>
  </si>
  <si>
    <t xml:space="preserve">MU3S        </t>
  </si>
  <si>
    <t xml:space="preserve">MA3MS-WH    </t>
  </si>
  <si>
    <t xml:space="preserve">MA3T-WH     </t>
  </si>
  <si>
    <t xml:space="preserve">MA3WS-WH    </t>
  </si>
  <si>
    <t xml:space="preserve">MA4OM-GN    </t>
  </si>
  <si>
    <t xml:space="preserve">RXC-24      </t>
  </si>
  <si>
    <t>MINN河原町</t>
  </si>
  <si>
    <t xml:space="preserve">ｽﾗｯﾌﾟﾀﾞｯｼｭ  </t>
  </si>
  <si>
    <t>ｱﾄﾞﾘｰﾑ大宮</t>
  </si>
  <si>
    <t xml:space="preserve">金山      </t>
  </si>
  <si>
    <t xml:space="preserve">S251109     </t>
  </si>
  <si>
    <t xml:space="preserve">S251108     </t>
  </si>
  <si>
    <t xml:space="preserve">U251125     </t>
  </si>
  <si>
    <t>ｼ1178 ANGEL+</t>
  </si>
  <si>
    <t>ｴ1813 ｸﾚｱﾈｸｽ</t>
  </si>
  <si>
    <t>ﾏ0889 SUMOMO</t>
  </si>
  <si>
    <t xml:space="preserve">ﾊﾟﾝﾄﾞｰﾙ     </t>
  </si>
  <si>
    <t xml:space="preserve">LGY-3W      </t>
  </si>
  <si>
    <t>LIVMAX HOTEL</t>
  </si>
  <si>
    <t>02-2512-0151</t>
  </si>
  <si>
    <t xml:space="preserve">ｻﾝｺｯｸ揖斐 </t>
  </si>
  <si>
    <t>ｽﾃｰｷのあさ</t>
  </si>
  <si>
    <t xml:space="preserve">中央食堂  </t>
  </si>
  <si>
    <t xml:space="preserve">ﾌｧｲﾝ        </t>
  </si>
  <si>
    <t xml:space="preserve">ﾄﾖﾀﾊﾞｯﾃﾘｰ   </t>
  </si>
  <si>
    <t>多摩丘陵病</t>
  </si>
  <si>
    <t>01-2511-0728</t>
  </si>
  <si>
    <t xml:space="preserve">U251121     </t>
  </si>
  <si>
    <t>01-2511-0893</t>
  </si>
  <si>
    <t>01-2511-0784</t>
  </si>
  <si>
    <t>01-2511-0785</t>
  </si>
  <si>
    <t>ｲ3215 ｸﾛｽﾛｰﾄ</t>
  </si>
  <si>
    <t>H1698 居酒</t>
  </si>
  <si>
    <t>01-2511-0896</t>
  </si>
  <si>
    <t>ｱA586 喜怒</t>
  </si>
  <si>
    <t>ｿ1893 総合</t>
  </si>
  <si>
    <t>ｶ2201 ﾎﾃﾙ･ﾙ･</t>
  </si>
  <si>
    <t>ﾘ1680 ｺﾚｸﾃｨﾌ</t>
  </si>
  <si>
    <t>01-2511-0921</t>
  </si>
  <si>
    <t>01-2511-0922</t>
  </si>
  <si>
    <t>01-2511-0924</t>
  </si>
  <si>
    <t xml:space="preserve">S251110     </t>
  </si>
  <si>
    <t>11-2511-0137</t>
  </si>
  <si>
    <t xml:space="preserve">UTSURA 1    </t>
  </si>
  <si>
    <t xml:space="preserve">UTSURA 2    </t>
  </si>
  <si>
    <t xml:space="preserve">ﾐﾓｻﾞ        </t>
  </si>
  <si>
    <t>ここでくつ</t>
  </si>
  <si>
    <t xml:space="preserve">MITO        </t>
  </si>
  <si>
    <t xml:space="preserve">ﾎｼ薬局    </t>
  </si>
  <si>
    <t>07-2512-0195</t>
  </si>
  <si>
    <t xml:space="preserve">251007-39   </t>
  </si>
  <si>
    <t>04-2512-0110</t>
  </si>
  <si>
    <t>08-2512-0062</t>
  </si>
  <si>
    <t>02-2512-0183</t>
  </si>
  <si>
    <t>02-2512-0184</t>
  </si>
  <si>
    <t>07-2512-0232</t>
  </si>
  <si>
    <t>01-2511-0540</t>
  </si>
  <si>
    <t>01-2511-0541</t>
  </si>
  <si>
    <t>B0570 ﾋﾟﾗﾃｨｽ</t>
  </si>
  <si>
    <t>ﾀ8073 ｴﾆﾀｲﾑﾌ</t>
  </si>
  <si>
    <t>ｱA583 赤身</t>
  </si>
  <si>
    <t>ｹ3613 BAR600</t>
  </si>
  <si>
    <t>ｹ3614 TESHIM</t>
  </si>
  <si>
    <t>ﾂ1907 GRAND'</t>
  </si>
  <si>
    <t>01-2512-0367</t>
  </si>
  <si>
    <t>180X240(縦</t>
  </si>
  <si>
    <t xml:space="preserve">ARTIVA      </t>
  </si>
  <si>
    <t xml:space="preserve">CLUB NILS   </t>
  </si>
  <si>
    <t xml:space="preserve">燻 KUYURI </t>
  </si>
  <si>
    <t xml:space="preserve">PREMIERE    </t>
  </si>
  <si>
    <t xml:space="preserve">WABIYA      </t>
  </si>
  <si>
    <t xml:space="preserve">PISOLA      </t>
  </si>
  <si>
    <t>BLOUSON(縦</t>
  </si>
  <si>
    <t xml:space="preserve">MU2S-GY     </t>
  </si>
  <si>
    <t xml:space="preserve">ｳｲﾝｸﾞｷｬｯｽﾙ  </t>
  </si>
  <si>
    <t xml:space="preserve">ﾚ1609男   </t>
  </si>
  <si>
    <t>ﾚ1610 まる</t>
  </si>
  <si>
    <t>ﾚ1611 まる</t>
  </si>
  <si>
    <t xml:space="preserve">ﾚ1612男   </t>
  </si>
  <si>
    <t>ﾚ1613 まる</t>
  </si>
  <si>
    <t>ﾚ1614 まる</t>
  </si>
  <si>
    <t xml:space="preserve">ﾚ1612女   </t>
  </si>
  <si>
    <t xml:space="preserve">ﾚ1609女   </t>
  </si>
  <si>
    <t>J0754 まる</t>
  </si>
  <si>
    <t>J0755 まる</t>
  </si>
  <si>
    <t>J0756 まる</t>
  </si>
  <si>
    <t>J0757 まる</t>
  </si>
  <si>
    <t>J0758 まる</t>
  </si>
  <si>
    <t>ｼ1181 諫早</t>
  </si>
  <si>
    <t>ｼ1182 諫早</t>
  </si>
  <si>
    <t>ｼ1183 諫早</t>
  </si>
  <si>
    <t>ｼ1184 諫早</t>
  </si>
  <si>
    <t>ｼ1185 諫早</t>
  </si>
  <si>
    <t>ｼ1186 諫早</t>
  </si>
  <si>
    <t>ｳ2165 まる</t>
  </si>
  <si>
    <t>ｳ2166 まる</t>
  </si>
  <si>
    <t>ｳ2167 まる</t>
  </si>
  <si>
    <t>ｳ2168 まる</t>
  </si>
  <si>
    <t>ｳ2169 まる</t>
  </si>
  <si>
    <t>ｳ2170 まる</t>
  </si>
  <si>
    <t>ｳ2171 まる</t>
  </si>
  <si>
    <t>ｳ2172 まる</t>
  </si>
  <si>
    <t>ｳ2173 まる</t>
  </si>
  <si>
    <t>ｳ2174 まる</t>
  </si>
  <si>
    <t>ｳ2175 まる</t>
  </si>
  <si>
    <t>ｳ2176 まる</t>
  </si>
  <si>
    <t>ｳ2177 まる</t>
  </si>
  <si>
    <t>ｳ2178 まる</t>
  </si>
  <si>
    <t>ｳ2179 まる</t>
  </si>
  <si>
    <t>ｳ2180 まる</t>
  </si>
  <si>
    <t>ｳ2181 まる</t>
  </si>
  <si>
    <t>ｳ2182 まる</t>
  </si>
  <si>
    <t>ﾃ1420 まる</t>
  </si>
  <si>
    <t>ﾃ1421 まる</t>
  </si>
  <si>
    <t>ﾃ1422 まる</t>
  </si>
  <si>
    <t>ﾃ1423 まる</t>
  </si>
  <si>
    <t>ﾃ1424 まる</t>
  </si>
  <si>
    <t>ﾃ1425 まる</t>
  </si>
  <si>
    <t>ﾃ1426 まる</t>
  </si>
  <si>
    <t>ﾃ1427 まる</t>
  </si>
  <si>
    <t>ﾘ1687 まる</t>
  </si>
  <si>
    <t>ﾘ1688 まる</t>
  </si>
  <si>
    <t>ﾘ1689 まる</t>
  </si>
  <si>
    <t>ﾘ1690 まる</t>
  </si>
  <si>
    <t>ﾘ1691 まる</t>
  </si>
  <si>
    <t>ﾘ1692 まる</t>
  </si>
  <si>
    <t>ﾘ1693 まる</t>
  </si>
  <si>
    <t>ﾘ1694 まる</t>
  </si>
  <si>
    <t>ﾘ1681 まる</t>
  </si>
  <si>
    <t>ﾘ1682 まる</t>
  </si>
  <si>
    <t>ﾘ1683 まる</t>
  </si>
  <si>
    <t>ﾘ1684 まる</t>
  </si>
  <si>
    <t>ﾘ1685 まる</t>
  </si>
  <si>
    <t>ﾘ1686 まる</t>
  </si>
  <si>
    <t>ﾐ0662 まる</t>
  </si>
  <si>
    <t>ﾐ0663 まる</t>
  </si>
  <si>
    <t>ﾐ0664 まる</t>
  </si>
  <si>
    <t>ﾐ0665 まる</t>
  </si>
  <si>
    <t>ﾐ0666 まる</t>
  </si>
  <si>
    <t>ﾐ0667 まる</t>
  </si>
  <si>
    <t>ﾐ0668 まる</t>
  </si>
  <si>
    <t xml:space="preserve">ﾊﾟﾁﾝｺ楽園 </t>
  </si>
  <si>
    <t>07-2512-0260</t>
  </si>
  <si>
    <t>R4675 ﾊﾛｰｷｯｽ</t>
  </si>
  <si>
    <t xml:space="preserve">あかしあ  </t>
  </si>
  <si>
    <t xml:space="preserve">東邦ﾋﾞﾙ   </t>
  </si>
  <si>
    <t xml:space="preserve">ゆうすい  </t>
  </si>
  <si>
    <t>亀戸ﾘﾘｴﾝﾊｲ</t>
  </si>
  <si>
    <t>駒形茜日伸</t>
  </si>
  <si>
    <t>柏の葉T-SI</t>
  </si>
  <si>
    <t>01-2511-1123</t>
  </si>
  <si>
    <t xml:space="preserve">S251118     </t>
  </si>
  <si>
    <t>01-2511-1119</t>
  </si>
  <si>
    <t>01-2511-1120</t>
  </si>
  <si>
    <t>01-2511-1121</t>
  </si>
  <si>
    <t>01-2511-0845</t>
  </si>
  <si>
    <t>01-2511-0846</t>
  </si>
  <si>
    <t>01-2511-0847</t>
  </si>
  <si>
    <t>01-2511-0894</t>
  </si>
  <si>
    <t>ｱA588 ｻﾊﾞｰﾌﾞ</t>
  </si>
  <si>
    <t>01-2511-1072</t>
  </si>
  <si>
    <t>01-2511-1073</t>
  </si>
  <si>
    <t>01-2511-1074</t>
  </si>
  <si>
    <t xml:space="preserve">GN-S        </t>
  </si>
  <si>
    <t xml:space="preserve">LGY-L       </t>
  </si>
  <si>
    <t>無地(ｺｺｱﾌﾞ</t>
  </si>
  <si>
    <t xml:space="preserve">DINO        </t>
  </si>
  <si>
    <t xml:space="preserve">SBSﾈｸｻｰﾄﾞ   </t>
  </si>
  <si>
    <t xml:space="preserve">YAMATO      </t>
  </si>
  <si>
    <t xml:space="preserve">土足禁止  </t>
  </si>
  <si>
    <t xml:space="preserve">MAXELL 1    </t>
  </si>
  <si>
    <t xml:space="preserve">MAXELL 2    </t>
  </si>
  <si>
    <t>無地(ｺﾝﾌｫｰ</t>
  </si>
  <si>
    <t>ﾏｰｸ･EN HOTEL</t>
  </si>
  <si>
    <t xml:space="preserve">NTM         </t>
  </si>
  <si>
    <t xml:space="preserve">THE BURTLE  </t>
  </si>
  <si>
    <t xml:space="preserve">251007-23   </t>
  </si>
  <si>
    <t xml:space="preserve">251007-27   </t>
  </si>
  <si>
    <t xml:space="preserve">251007-28   </t>
  </si>
  <si>
    <t xml:space="preserve">251007-29   </t>
  </si>
  <si>
    <t xml:space="preserve">251007-30   </t>
  </si>
  <si>
    <t xml:space="preserve">251007-31   </t>
  </si>
  <si>
    <t xml:space="preserve">251007-40   </t>
  </si>
  <si>
    <t>07-2512-0312</t>
  </si>
  <si>
    <t>04-2512-0206</t>
  </si>
  <si>
    <t>03-2512-0120</t>
  </si>
  <si>
    <t xml:space="preserve">ﾗｳﾝｼﾞULU    </t>
  </si>
  <si>
    <t xml:space="preserve">わたなべ2 </t>
  </si>
  <si>
    <t xml:space="preserve">ﾌﾟﾙﾏﾝ       </t>
  </si>
  <si>
    <t xml:space="preserve">ZERO        </t>
  </si>
  <si>
    <t xml:space="preserve">U251130     </t>
  </si>
  <si>
    <t>01-2511-1116</t>
  </si>
  <si>
    <t xml:space="preserve">U251129     </t>
  </si>
  <si>
    <t>ﾌ0543 まつ</t>
  </si>
  <si>
    <t>ﾀ8071 るふ</t>
  </si>
  <si>
    <t>ﾀ8072 大産</t>
  </si>
  <si>
    <t>ﾆ0713 株式</t>
  </si>
  <si>
    <t>ｵ1801 医療</t>
  </si>
  <si>
    <t>ｵ1800 環境</t>
  </si>
  <si>
    <t xml:space="preserve">ｼ1179 ｻﾂﾀ   </t>
  </si>
  <si>
    <t xml:space="preserve">ｼ1180 ｻﾂﾀ   </t>
  </si>
  <si>
    <t>ｱA584 株式</t>
  </si>
  <si>
    <t>ｺ1609 株式</t>
  </si>
  <si>
    <t>R4683 ｼｬﾝﾎﾞｰ</t>
  </si>
  <si>
    <t>ｹ3618 ｴﾆﾀｲﾑﾌ</t>
  </si>
  <si>
    <t>G0796 一食</t>
  </si>
  <si>
    <t>L2705 ｽｰﾊﾟｰｵ</t>
  </si>
  <si>
    <t>ｷ2212 牧野</t>
  </si>
  <si>
    <t>ｷ2211 牧野</t>
  </si>
  <si>
    <t>ﾅ1764 ひと</t>
  </si>
  <si>
    <t>ﾅ1765 ひと</t>
  </si>
  <si>
    <t xml:space="preserve">P0688 ﾏﾝｶﾞ  </t>
  </si>
  <si>
    <t>ｸ0843 栄楽</t>
  </si>
  <si>
    <t>ﾐ0669 ﾊｰﾄﾞｵﾌ</t>
  </si>
  <si>
    <t>ﾐ0670 OFFHOU</t>
  </si>
  <si>
    <t>C0083 高城</t>
  </si>
  <si>
    <t xml:space="preserve">U251131     </t>
  </si>
  <si>
    <t>01-2511-1106</t>
  </si>
  <si>
    <t>01-2511-1048</t>
  </si>
  <si>
    <t>01-2511-1049</t>
  </si>
  <si>
    <t>01-2511-1242</t>
  </si>
  <si>
    <t>20-2512-0028</t>
  </si>
  <si>
    <t xml:space="preserve">BETTY       </t>
  </si>
  <si>
    <t>坂本屋酒店</t>
  </si>
  <si>
    <t>ｼﾙﾊﾞｰ(無地</t>
  </si>
  <si>
    <t>無地(ﾀﾞｰｸｸ</t>
  </si>
  <si>
    <t>くつぬぎｿﾞ</t>
  </si>
  <si>
    <t>11-2512-0074</t>
  </si>
  <si>
    <t xml:space="preserve">J25-Y01-01  </t>
  </si>
  <si>
    <t xml:space="preserve">J25-Y01-02  </t>
  </si>
  <si>
    <t xml:space="preserve">J25-Y01-03  </t>
  </si>
  <si>
    <t xml:space="preserve">J25-Y01-04  </t>
  </si>
  <si>
    <t>1059452861-1</t>
  </si>
  <si>
    <t>1059452886-1</t>
  </si>
  <si>
    <t>1059452916-1</t>
  </si>
  <si>
    <t>1059452986-1</t>
  </si>
  <si>
    <t>1059453049-1</t>
  </si>
  <si>
    <t>11-2512-0080</t>
  </si>
  <si>
    <t>ｽﾃｰｼｮﾝﾌﾟﾗｻﾞﾋ</t>
  </si>
  <si>
    <t>ななくさ薬</t>
  </si>
  <si>
    <t>ﾄﾞﾘｰﾏｰ松山</t>
  </si>
  <si>
    <t xml:space="preserve">KAZUKI AUTO </t>
  </si>
  <si>
    <t>01-2512-0030</t>
  </si>
  <si>
    <t>ﾚ1615 ｽﾓﾓﾍﾞｰ</t>
  </si>
  <si>
    <t>01-2511-1244</t>
  </si>
  <si>
    <t>ﾄ1511 株式</t>
  </si>
  <si>
    <t xml:space="preserve">ﾛ1496 STILL </t>
  </si>
  <si>
    <t>ｵ1802 ㈱NK</t>
  </si>
  <si>
    <t>ｵ1803 CHERIS</t>
  </si>
  <si>
    <t>H1701 勇進</t>
  </si>
  <si>
    <t>ｱA591 平和</t>
  </si>
  <si>
    <t>ﾒ1339 ゆめ</t>
  </si>
  <si>
    <t>ｴ1814 まる</t>
  </si>
  <si>
    <t>ｴ1815 まる</t>
  </si>
  <si>
    <t>ｴ1816 まる</t>
  </si>
  <si>
    <t>ｴ1817 まる</t>
  </si>
  <si>
    <t>ｴ1818 まる</t>
  </si>
  <si>
    <t>ｴ1819 まる</t>
  </si>
  <si>
    <t>ｴ1820 まる</t>
  </si>
  <si>
    <t>ｴ1821 まる</t>
  </si>
  <si>
    <t>ｴ1822 まる</t>
  </si>
  <si>
    <t>ｴ1823 まる</t>
  </si>
  <si>
    <t>ｿ1894 福岡</t>
  </si>
  <si>
    <t>R4687 株式</t>
  </si>
  <si>
    <t>N0895 ｵｰﾄﾊﾞｯ</t>
  </si>
  <si>
    <t>N0896 ｵｰﾄﾊﾞｯ</t>
  </si>
  <si>
    <t>ｳ2183 高橋</t>
  </si>
  <si>
    <t>ｳ2184 高橋</t>
  </si>
  <si>
    <t>ｳ2185 株式</t>
  </si>
  <si>
    <t>ﾊ2199 COCOﾏﾝ</t>
  </si>
  <si>
    <t>P0689 RYUKYU</t>
  </si>
  <si>
    <t>D0778 ｵｰﾄﾊﾞｯ</t>
  </si>
  <si>
    <t>04-2511-0452</t>
  </si>
  <si>
    <t xml:space="preserve">H251201     </t>
  </si>
  <si>
    <t xml:space="preserve">H251202     </t>
  </si>
  <si>
    <t>M0092 ｾｶﾝﾄﾞﾊ</t>
  </si>
  <si>
    <t xml:space="preserve">ASI         </t>
  </si>
  <si>
    <t>ﾈｯﾂﾄﾖﾀ富山</t>
  </si>
  <si>
    <t xml:space="preserve">わさび    </t>
  </si>
  <si>
    <t xml:space="preserve">ふや町    </t>
  </si>
  <si>
    <t xml:space="preserve">ﾈｲﾙｻﾛﾝTN    </t>
  </si>
  <si>
    <t xml:space="preserve">LGY-SW      </t>
  </si>
  <si>
    <t xml:space="preserve">PRIME COURT </t>
  </si>
  <si>
    <t xml:space="preserve">THREE M     </t>
  </si>
  <si>
    <t xml:space="preserve">NISSAN      </t>
  </si>
  <si>
    <t>こいこい 1</t>
  </si>
  <si>
    <t>こいこい 2</t>
  </si>
  <si>
    <t xml:space="preserve">MA3OM-WH    </t>
  </si>
  <si>
    <t xml:space="preserve">MY2S-GY     </t>
  </si>
  <si>
    <t xml:space="preserve">MY2WS-GY    </t>
  </si>
  <si>
    <t>もってきー</t>
  </si>
  <si>
    <t xml:space="preserve">A塾       </t>
  </si>
  <si>
    <t xml:space="preserve">朝日ﾌﾟﾗｻ  </t>
  </si>
  <si>
    <t>大京穴吹不</t>
  </si>
  <si>
    <t>ﾇ2037 ｵｰﾄﾊﾞｯ</t>
  </si>
  <si>
    <t>ﾇ2036 ｴﾆﾀｲﾑﾌ</t>
  </si>
  <si>
    <t>ﾔ0586 ｼﾞｬｰｼﾞ</t>
  </si>
  <si>
    <t>H1702 ㈱美</t>
  </si>
  <si>
    <t xml:space="preserve">ｱA596 VOOM  </t>
  </si>
  <si>
    <t>ｱA595 ｵｰﾄﾊﾞｯ</t>
  </si>
  <si>
    <t>R4686 株式</t>
  </si>
  <si>
    <t>R4684 株式</t>
  </si>
  <si>
    <t>ｶ2202 KALMIA</t>
  </si>
  <si>
    <t xml:space="preserve">ｷ2210 LUCKY </t>
  </si>
  <si>
    <t>ｳ2186 ㈱大</t>
  </si>
  <si>
    <t>P0690 株式</t>
  </si>
  <si>
    <t>P0691 株式</t>
  </si>
  <si>
    <t xml:space="preserve">THE PALACE  </t>
  </si>
  <si>
    <t xml:space="preserve">ｲｰｾﾞ 南長 </t>
  </si>
  <si>
    <t xml:space="preserve">ﾗ･ｾｿﾞﾝ      </t>
  </si>
  <si>
    <t>ﾊﾟｰﾙｽﾀｰﾎﾃﾙEV</t>
  </si>
  <si>
    <t xml:space="preserve">ﾎﾝﾀﾞｶｰｽﾞ    </t>
  </si>
  <si>
    <t xml:space="preserve">ｶﾚﾝﾄBLD     </t>
  </si>
  <si>
    <t xml:space="preserve">FACES       </t>
  </si>
  <si>
    <t>07-2512-0477</t>
  </si>
  <si>
    <t>07-2512-0478</t>
  </si>
  <si>
    <t>07-2512-0495</t>
  </si>
  <si>
    <t>02-2512-0366</t>
  </si>
  <si>
    <t xml:space="preserve">朱月菴    </t>
  </si>
  <si>
    <t xml:space="preserve">ﾒﾓﾘｰﾄﾞ      </t>
  </si>
  <si>
    <t xml:space="preserve">7-397 ﾐｶｻ   </t>
  </si>
  <si>
    <t xml:space="preserve">7-398 ﾐｶｻ   </t>
  </si>
  <si>
    <t>7-399 ﾐｶｻﾎﾞｰ</t>
  </si>
  <si>
    <t>R4679 大名</t>
  </si>
  <si>
    <t>ｶ2203 ﾌﾚﾝｽﾞN</t>
  </si>
  <si>
    <t>ｹ3627 大産</t>
  </si>
  <si>
    <t>L2706 ㈱ﾌｧ</t>
  </si>
  <si>
    <t xml:space="preserve">さわやか  </t>
  </si>
  <si>
    <t xml:space="preserve">炭焼き    </t>
  </si>
  <si>
    <t xml:space="preserve">光華の杜  </t>
  </si>
  <si>
    <t>ISLE PARTNER</t>
  </si>
  <si>
    <t xml:space="preserve">LAP DESIGN  </t>
  </si>
  <si>
    <t xml:space="preserve">WHAT'S      </t>
  </si>
  <si>
    <t>KAMEDA MEDIC</t>
  </si>
  <si>
    <t>浅海歯科医</t>
  </si>
  <si>
    <t xml:space="preserve">ﾊｰﾄ+丸    </t>
  </si>
  <si>
    <t xml:space="preserve">星+丸   </t>
  </si>
  <si>
    <t xml:space="preserve">251007-25   </t>
  </si>
  <si>
    <t xml:space="preserve">251007-43   </t>
  </si>
  <si>
    <t xml:space="preserve">251007-44   </t>
  </si>
  <si>
    <t xml:space="preserve">251007-45   </t>
  </si>
  <si>
    <t xml:space="preserve">251007-47   </t>
  </si>
  <si>
    <t xml:space="preserve">251007-48   </t>
  </si>
  <si>
    <t xml:space="preserve">251007-50   </t>
  </si>
  <si>
    <t xml:space="preserve">251007-53   </t>
  </si>
  <si>
    <t xml:space="preserve">251007-54   </t>
  </si>
  <si>
    <t xml:space="preserve">251007-55   </t>
  </si>
  <si>
    <t xml:space="preserve">251007-56   </t>
  </si>
  <si>
    <t xml:space="preserve">251007-57   </t>
  </si>
  <si>
    <t xml:space="preserve">251007-58   </t>
  </si>
  <si>
    <t xml:space="preserve">251007-59   </t>
  </si>
  <si>
    <t xml:space="preserve">251007-60   </t>
  </si>
  <si>
    <t xml:space="preserve">251007-61   </t>
  </si>
  <si>
    <t xml:space="preserve">251007-62   </t>
  </si>
  <si>
    <t xml:space="preserve">251007-63   </t>
  </si>
  <si>
    <t xml:space="preserve">251007-67   </t>
  </si>
  <si>
    <t xml:space="preserve">251007-68   </t>
  </si>
  <si>
    <t xml:space="preserve">251007-69   </t>
  </si>
  <si>
    <t xml:space="preserve">251007-70   </t>
  </si>
  <si>
    <t xml:space="preserve">251007-71   </t>
  </si>
  <si>
    <t xml:space="preserve">251007-72   </t>
  </si>
  <si>
    <t xml:space="preserve">251007-73   </t>
  </si>
  <si>
    <t xml:space="preserve">251007-74   </t>
  </si>
  <si>
    <t>09-2512-0065</t>
  </si>
  <si>
    <t>04-2512-0293</t>
  </si>
  <si>
    <t xml:space="preserve">K25-L02-01  </t>
  </si>
  <si>
    <t xml:space="preserve">K25-L02-02  </t>
  </si>
  <si>
    <t xml:space="preserve">K25-L02-03  </t>
  </si>
  <si>
    <t xml:space="preserve">K25-L02-04  </t>
  </si>
  <si>
    <t xml:space="preserve">K25-L02-05  </t>
  </si>
  <si>
    <t xml:space="preserve">K25-L02-06  </t>
  </si>
  <si>
    <t xml:space="preserve">K25-L02-07  </t>
  </si>
  <si>
    <t xml:space="preserve">K25-L02-08  </t>
  </si>
  <si>
    <t xml:space="preserve">K25-L02-09  </t>
  </si>
  <si>
    <t xml:space="preserve">K25-L02-10  </t>
  </si>
  <si>
    <t xml:space="preserve">K25-L02-11  </t>
  </si>
  <si>
    <t xml:space="preserve">K25-L02-12  </t>
  </si>
  <si>
    <t xml:space="preserve">K25-L02-13  </t>
  </si>
  <si>
    <t xml:space="preserve">K25-L02-14  </t>
  </si>
  <si>
    <t xml:space="preserve">K25-L02-15  </t>
  </si>
  <si>
    <t xml:space="preserve">K25-L02-16  </t>
  </si>
  <si>
    <t xml:space="preserve">K25-L02-17  </t>
  </si>
  <si>
    <t xml:space="preserve">K25-L02-18  </t>
  </si>
  <si>
    <t xml:space="preserve">K25-L02-19  </t>
  </si>
  <si>
    <t xml:space="preserve">K25-L02-20  </t>
  </si>
  <si>
    <t xml:space="preserve">K25-L02-21  </t>
  </si>
  <si>
    <t xml:space="preserve">K25-L02-22  </t>
  </si>
  <si>
    <t xml:space="preserve">K25-L02-23  </t>
  </si>
  <si>
    <t xml:space="preserve">K25-L02-24  </t>
  </si>
  <si>
    <t xml:space="preserve">明貴ﾏﾝｼｮﾝ </t>
  </si>
  <si>
    <t xml:space="preserve">S251206     </t>
  </si>
  <si>
    <t>ﾄ1512 ﾊﾞﾝﾋﾞｰ</t>
  </si>
  <si>
    <t xml:space="preserve">B0571 ら  </t>
  </si>
  <si>
    <t xml:space="preserve">ﾔ0587 ｸﾘﾀ   </t>
  </si>
  <si>
    <t>ｾ1797 株式</t>
  </si>
  <si>
    <t>H1704 泯江</t>
  </si>
  <si>
    <t>H1705 泯洸</t>
  </si>
  <si>
    <t>ﾖ1329 ﾏｼｭﾏﾛｽ</t>
  </si>
  <si>
    <t>ｱA593 ﾛｲﾔﾙﾌｪ</t>
  </si>
  <si>
    <t>ｱA594 ｵｰﾄﾊﾞｯ</t>
  </si>
  <si>
    <t>R4691 若月</t>
  </si>
  <si>
    <t>ｶ2204 泉屋</t>
  </si>
  <si>
    <t>ｹ3631 ｼｬﾝﾋﾞｱ</t>
  </si>
  <si>
    <t>L2703 ｽｰﾊﾟｰｵ</t>
  </si>
  <si>
    <t>L2704 ｽｰﾊﾟｰｵ</t>
  </si>
  <si>
    <t>L2708 ｻﾞ･ﾘﾝﾄ</t>
  </si>
  <si>
    <t>L2710 ｻﾞ･ﾘﾝﾄ</t>
  </si>
  <si>
    <t>L2711 ﾘﾝｸﾞﾛｰ</t>
  </si>
  <si>
    <t>L2709 ﾘﾝｸﾞﾛｰ</t>
  </si>
  <si>
    <t xml:space="preserve">L2714 BOND  </t>
  </si>
  <si>
    <t xml:space="preserve">ﾅ1766 HOTEL </t>
  </si>
  <si>
    <t xml:space="preserve">ﾅ1767 HOTEL </t>
  </si>
  <si>
    <t>S0499 にな</t>
  </si>
  <si>
    <t>S0500 にな</t>
  </si>
  <si>
    <t>S0501 ㈱ｱｽ</t>
  </si>
  <si>
    <t>S0502 ㈱ｱｽ</t>
  </si>
  <si>
    <t>S0503 ㈱ｱｽ</t>
  </si>
  <si>
    <t xml:space="preserve">はな膳    </t>
  </si>
  <si>
    <t>ACROSS TRANS</t>
  </si>
  <si>
    <t xml:space="preserve">MIKASA 1    </t>
  </si>
  <si>
    <t xml:space="preserve">MIKASA 2    </t>
  </si>
  <si>
    <t xml:space="preserve">NATURE      </t>
  </si>
  <si>
    <t xml:space="preserve">MA3M-WH     </t>
  </si>
  <si>
    <t xml:space="preserve">MA3OL-WH    </t>
  </si>
  <si>
    <t xml:space="preserve">MA4S-GN     </t>
  </si>
  <si>
    <t xml:space="preserve">MA4M-GN     </t>
  </si>
  <si>
    <t xml:space="preserve">MA4W-GN     </t>
  </si>
  <si>
    <t xml:space="preserve">MU3WS       </t>
  </si>
  <si>
    <t xml:space="preserve">MU20M-GY    </t>
  </si>
  <si>
    <t>07-2512-0572</t>
  </si>
  <si>
    <t>01-2512-0812</t>
  </si>
  <si>
    <t>01-2512-0835</t>
  </si>
  <si>
    <t>01-2512-0840</t>
  </si>
  <si>
    <t>02-2512-0462</t>
  </si>
  <si>
    <t xml:space="preserve">ﾘｰﾃﾞﾝｽｽｸｴｱ  </t>
  </si>
  <si>
    <t>ｸｲｯｸｶｯﾄBBｱﾋﾟ</t>
  </si>
  <si>
    <t xml:space="preserve">ｶｰｺﾝﾋﾞﾆ倶 </t>
  </si>
  <si>
    <t>01-2512-0124</t>
  </si>
  <si>
    <t>ﾇ2038 ｸﾞﾛｰｶﾙ</t>
  </si>
  <si>
    <t>ﾇ2039 ｸﾞﾛｰｶﾙ</t>
  </si>
  <si>
    <t>ｲ3216 ｽｲｰﾄﾙｰ</t>
  </si>
  <si>
    <t>ｲ3217 づぼ</t>
  </si>
  <si>
    <t>ﾆ0714 三股</t>
  </si>
  <si>
    <t>ｾ1796 華姫</t>
  </si>
  <si>
    <t>ﾕ1511 ㈱山</t>
  </si>
  <si>
    <t>ﾕ1512 東植</t>
  </si>
  <si>
    <t xml:space="preserve">ﾖ1330 WALTZ </t>
  </si>
  <si>
    <t xml:space="preserve">ｱA592 ﾃｨｱﾓ  </t>
  </si>
  <si>
    <t>ﾒ1340 RAYBEA</t>
  </si>
  <si>
    <t>ｺ1610 みれ</t>
  </si>
  <si>
    <t>R4685 ㈱ﾀｲ</t>
  </si>
  <si>
    <t xml:space="preserve">R4690 ｱｸﾀｽ  </t>
  </si>
  <si>
    <t>R4693 中野</t>
  </si>
  <si>
    <t>ｹ3632 ﾗｲｵﾝｽﾞ</t>
  </si>
  <si>
    <t xml:space="preserve">ﾂ1908 ｱｻｲｰ  </t>
  </si>
  <si>
    <t>L2713 てる</t>
  </si>
  <si>
    <t xml:space="preserve">L2712 KUMO  </t>
  </si>
  <si>
    <t xml:space="preserve">ﾊ2200 BLOW  </t>
  </si>
  <si>
    <t>01-2511-1115</t>
  </si>
  <si>
    <t>01-2512-0208</t>
  </si>
  <si>
    <t xml:space="preserve">S251207     </t>
  </si>
  <si>
    <t xml:space="preserve">S251208     </t>
  </si>
  <si>
    <t>02-2512-0336</t>
  </si>
  <si>
    <t>11-2512-0113</t>
  </si>
  <si>
    <t>09-2512-0063</t>
  </si>
  <si>
    <t xml:space="preserve">BASS ON TOP </t>
  </si>
  <si>
    <t xml:space="preserve">ﾀｺ焼きﾊｳ  </t>
  </si>
  <si>
    <t xml:space="preserve">福岡ﾄﾖﾀ   </t>
  </si>
  <si>
    <t xml:space="preserve">㈱匠建    </t>
  </si>
  <si>
    <t xml:space="preserve">RE HADA     </t>
  </si>
  <si>
    <t xml:space="preserve">ﾆｸﾊﾞﾙﾀﾞｶﾗ   </t>
  </si>
  <si>
    <t>02-2512-0482</t>
  </si>
  <si>
    <t>07-2512-0629</t>
  </si>
  <si>
    <t>MIRIｽｸｴｱ大</t>
  </si>
  <si>
    <t xml:space="preserve">TRINITY     </t>
  </si>
  <si>
    <t>横浜信用金</t>
  </si>
  <si>
    <t xml:space="preserve">U251210     </t>
  </si>
  <si>
    <t xml:space="preserve">U251208     </t>
  </si>
  <si>
    <t>01-2512-0471</t>
  </si>
  <si>
    <t>01-2512-0479</t>
  </si>
  <si>
    <t>01-2512-0202</t>
  </si>
  <si>
    <t>01-2512-0212</t>
  </si>
  <si>
    <t>L2716 医療</t>
  </si>
  <si>
    <t xml:space="preserve">ﾄ1513 PORTO </t>
  </si>
  <si>
    <t>J0759 SUMOMO</t>
  </si>
  <si>
    <t>H1703 ﾌﾟﾗｲｽﾞ</t>
  </si>
  <si>
    <t xml:space="preserve">7-410 ﾐｶｻ   </t>
  </si>
  <si>
    <t>7-411 ﾐｶｻｽﾎﾟ</t>
  </si>
  <si>
    <t>ｴ1825 菓子</t>
  </si>
  <si>
    <t>ｴ1824 中村</t>
  </si>
  <si>
    <t>01-2512-0423</t>
  </si>
  <si>
    <t>ｺ1612 TSUNAG</t>
  </si>
  <si>
    <t>ｺ1611 ｽｨｰﾄｽｨ</t>
  </si>
  <si>
    <t>R4688 株式</t>
  </si>
  <si>
    <t>ｹ3616 ㈱ﾗｯ</t>
  </si>
  <si>
    <t>ｹ3630 ㈱ﾗｯ</t>
  </si>
  <si>
    <t xml:space="preserve">L2707 ﾗﾜｲｱ  </t>
  </si>
  <si>
    <t>ｳ2187 医療</t>
  </si>
  <si>
    <t>ｳ2188 医療</t>
  </si>
  <si>
    <t xml:space="preserve">ﾅ1768 HOTEL </t>
  </si>
  <si>
    <t xml:space="preserve">ﾅ1769 HOTEL </t>
  </si>
  <si>
    <t>ﾙ0980 ｻﾆｰﾊｳｽ</t>
  </si>
  <si>
    <t>09-2512-0107</t>
  </si>
  <si>
    <t>会員制ｾﾚｸﾄ</t>
  </si>
  <si>
    <t xml:space="preserve">結        </t>
  </si>
  <si>
    <t xml:space="preserve">CLUB LEDIN  </t>
  </si>
  <si>
    <t>ﾗﾋﾞｽﾀ函館ﾍ</t>
  </si>
  <si>
    <t xml:space="preserve">YUUM        </t>
  </si>
  <si>
    <t>ABﾎﾃﾙ岐阜E</t>
  </si>
  <si>
    <t xml:space="preserve">BRANCHERA(  </t>
  </si>
  <si>
    <t>HONDACARSKIZ</t>
  </si>
  <si>
    <t xml:space="preserve">無地      </t>
  </si>
  <si>
    <t xml:space="preserve">IT'S DEMO   </t>
  </si>
  <si>
    <t xml:space="preserve">ﾀﾞｰｸｸﾞﾚｰ(   </t>
  </si>
  <si>
    <t xml:space="preserve">NR-75       </t>
  </si>
  <si>
    <t xml:space="preserve">NR-15       </t>
  </si>
  <si>
    <t xml:space="preserve">田子兵衛  </t>
  </si>
  <si>
    <t xml:space="preserve">ﾈｵﾘｱ        </t>
  </si>
  <si>
    <t xml:space="preserve">ﾜｲｽﾞｴｽﾃﾑｺｰ  </t>
  </si>
  <si>
    <t>01-2512-0215</t>
  </si>
  <si>
    <t>ｵ1804 GARRAW</t>
  </si>
  <si>
    <t>ｵ1805 GARRAW</t>
  </si>
  <si>
    <t>ｵ1806 ゆう</t>
  </si>
  <si>
    <t>ｼ1187 ﾀｲﾔｾﾝﾀ</t>
  </si>
  <si>
    <t>R4692 EFFLOR</t>
  </si>
  <si>
    <t>ｹ3619 株式</t>
  </si>
  <si>
    <t>ｹ3620 株式</t>
  </si>
  <si>
    <t>ｹ3621 株式</t>
  </si>
  <si>
    <t>ｹ3624 株式</t>
  </si>
  <si>
    <t>ｹ3625 株式</t>
  </si>
  <si>
    <t>ｹ3626 株式</t>
  </si>
  <si>
    <t>ｹ3622 株式</t>
  </si>
  <si>
    <t>ｹ3623 株式</t>
  </si>
  <si>
    <t xml:space="preserve">ｹ3633 HAIR  </t>
  </si>
  <si>
    <t>ｷ2213 ｺｱｸﾞﾛｰ</t>
  </si>
  <si>
    <t>ｷ2214 ｺｱｸﾞﾛｰ</t>
  </si>
  <si>
    <t>ｷ2215 ｺｱｸﾞﾛｰ</t>
  </si>
  <si>
    <t xml:space="preserve">ｷ2216 ﾄｩﾙｰｽ </t>
  </si>
  <si>
    <t>ﾐ0671 春陽</t>
  </si>
  <si>
    <t>01-2512-0478</t>
  </si>
  <si>
    <t>11-2512-0133</t>
  </si>
  <si>
    <t xml:space="preserve">TOYOPET     </t>
  </si>
  <si>
    <t>PRIME COURT(</t>
  </si>
  <si>
    <t xml:space="preserve">現代楽園  </t>
  </si>
  <si>
    <t xml:space="preserve">ENDLESS     </t>
  </si>
  <si>
    <t xml:space="preserve">L25-702-01  </t>
  </si>
  <si>
    <t xml:space="preserve">L25-702-02  </t>
  </si>
  <si>
    <t xml:space="preserve">L25-702-03  </t>
  </si>
  <si>
    <t xml:space="preserve">L25-702-04  </t>
  </si>
  <si>
    <t xml:space="preserve">L25-702-05  </t>
  </si>
  <si>
    <t xml:space="preserve">L25-702-06  </t>
  </si>
  <si>
    <t xml:space="preserve">L25-702-07  </t>
  </si>
  <si>
    <t xml:space="preserve">L25-702-08  </t>
  </si>
  <si>
    <t xml:space="preserve">L25-702-09  </t>
  </si>
  <si>
    <t xml:space="preserve">L25-702-10  </t>
  </si>
  <si>
    <t xml:space="preserve">L25-702-11  </t>
  </si>
  <si>
    <t xml:space="preserve">L25-702-12  </t>
  </si>
  <si>
    <t xml:space="preserve">L25-702-13  </t>
  </si>
  <si>
    <t xml:space="preserve">L25-702-14  </t>
  </si>
  <si>
    <t xml:space="preserve">L25-702-15  </t>
  </si>
  <si>
    <t xml:space="preserve">L25-702-16  </t>
  </si>
  <si>
    <t xml:space="preserve">L25-702-17  </t>
  </si>
  <si>
    <t xml:space="preserve">L25-702-18  </t>
  </si>
  <si>
    <t xml:space="preserve">L25-702-19  </t>
  </si>
  <si>
    <t xml:space="preserve">L25-702-20  </t>
  </si>
  <si>
    <t xml:space="preserve">L25-702-21  </t>
  </si>
  <si>
    <t xml:space="preserve">L25-702-22  </t>
  </si>
  <si>
    <t xml:space="preserve">L25-702-23  </t>
  </si>
  <si>
    <t xml:space="preserve">L25-702-24  </t>
  </si>
  <si>
    <t xml:space="preserve">L25-702-25  </t>
  </si>
  <si>
    <t xml:space="preserve">L25-702-26  </t>
  </si>
  <si>
    <t>11-2512-0142</t>
  </si>
  <si>
    <t>11-2512-0140</t>
  </si>
  <si>
    <t xml:space="preserve">MY2M-GY     </t>
  </si>
  <si>
    <t xml:space="preserve">FINE        </t>
  </si>
  <si>
    <t xml:space="preserve">BAR ROUX    </t>
  </si>
  <si>
    <t xml:space="preserve">花見ﾋﾞﾙ   </t>
  </si>
  <si>
    <t xml:space="preserve">一の家    </t>
  </si>
  <si>
    <t xml:space="preserve">さんえん  </t>
  </si>
  <si>
    <t xml:space="preserve">新生会    </t>
  </si>
  <si>
    <t>第9小谷ﾋ</t>
  </si>
  <si>
    <t xml:space="preserve">昴ﾋﾞﾙ共 </t>
  </si>
  <si>
    <t>ｲ3219 株式</t>
  </si>
  <si>
    <t>ｲ3218 ㈱ﾄｰ</t>
  </si>
  <si>
    <t>ｾ1798 けや</t>
  </si>
  <si>
    <t>ｾ1799 けや</t>
  </si>
  <si>
    <t>ｵ1807 美味</t>
  </si>
  <si>
    <t>ﾉ0621 こび</t>
  </si>
  <si>
    <t xml:space="preserve">ﾉ0620 ANELA </t>
  </si>
  <si>
    <t>ｷ2218 ESPRES</t>
  </si>
  <si>
    <t>D0779 ｼﾞｪﾙﾓｰ</t>
  </si>
  <si>
    <t>D0780 ｼﾞｪﾙﾓｰ</t>
  </si>
  <si>
    <t>02-2512-0578</t>
  </si>
  <si>
    <t>中田ｽｲﾐﾝｸﾞ</t>
  </si>
  <si>
    <t>ﾋﾟｰﾁ(無地)</t>
  </si>
  <si>
    <t>ｱﾎﾞｶﾄﾞｸﾞﾘｰﾝ(</t>
  </si>
  <si>
    <t xml:space="preserve">ととの湯  </t>
  </si>
  <si>
    <t xml:space="preserve">はなの樹  </t>
  </si>
  <si>
    <t>まるとも接</t>
  </si>
  <si>
    <t xml:space="preserve">KYOUEI      </t>
  </si>
  <si>
    <t xml:space="preserve">TEN GOOD    </t>
  </si>
  <si>
    <t xml:space="preserve">ﾄﾖﾍﾟｯﾄ 一 </t>
  </si>
  <si>
    <t>ｱA601 味彩</t>
  </si>
  <si>
    <t xml:space="preserve">U251212     </t>
  </si>
  <si>
    <t>R4694 ｳﾞｧﾝﾍﾞ</t>
  </si>
  <si>
    <t>R4696 西日</t>
  </si>
  <si>
    <t>ｶ2208 喜多</t>
  </si>
  <si>
    <t>L2715 ｱｰﾊﾞﾝﾊ</t>
  </si>
  <si>
    <t>01-2512-0557</t>
  </si>
  <si>
    <t>01-2512-0598</t>
  </si>
  <si>
    <t xml:space="preserve">S251202     </t>
  </si>
  <si>
    <t xml:space="preserve">CLUB I AM   </t>
  </si>
  <si>
    <t>ぎゅう丸 1</t>
  </si>
  <si>
    <t>SYNTH(縦長</t>
  </si>
  <si>
    <t xml:space="preserve">銀の糸    </t>
  </si>
  <si>
    <t>03-2512-0213</t>
  </si>
  <si>
    <t xml:space="preserve">11F客室B  </t>
  </si>
  <si>
    <t xml:space="preserve">12F客室B  </t>
  </si>
  <si>
    <t>9F客室1ｶｲﾒ</t>
  </si>
  <si>
    <t xml:space="preserve">9F客室    </t>
  </si>
  <si>
    <t xml:space="preserve">B,C ZONE    </t>
  </si>
  <si>
    <t xml:space="preserve">11F客室C  </t>
  </si>
  <si>
    <t xml:space="preserve">251027-01   </t>
  </si>
  <si>
    <t xml:space="preserve">251027-02   </t>
  </si>
  <si>
    <t xml:space="preserve">251027-03   </t>
  </si>
  <si>
    <t xml:space="preserve">251027-04   </t>
  </si>
  <si>
    <t xml:space="preserve">251027-05   </t>
  </si>
  <si>
    <t xml:space="preserve">251027-06   </t>
  </si>
  <si>
    <t xml:space="preserve">251027-07   </t>
  </si>
  <si>
    <t xml:space="preserve">251027-08   </t>
  </si>
  <si>
    <t xml:space="preserve">251027-09   </t>
  </si>
  <si>
    <t xml:space="preserve">251027-10   </t>
  </si>
  <si>
    <t xml:space="preserve">251027-11   </t>
  </si>
  <si>
    <t xml:space="preserve">251027-12   </t>
  </si>
  <si>
    <t xml:space="preserve">251027-13   </t>
  </si>
  <si>
    <t xml:space="preserve">251027-14   </t>
  </si>
  <si>
    <t xml:space="preserve">251027-15   </t>
  </si>
  <si>
    <t xml:space="preserve">251027-16   </t>
  </si>
  <si>
    <t xml:space="preserve">251027-19   </t>
  </si>
  <si>
    <t xml:space="preserve">251027-20   </t>
  </si>
  <si>
    <t xml:space="preserve">251027-21   </t>
  </si>
  <si>
    <t xml:space="preserve">251027-24   </t>
  </si>
  <si>
    <t xml:space="preserve">251027-25   </t>
  </si>
  <si>
    <t xml:space="preserve">251027-26   </t>
  </si>
  <si>
    <t xml:space="preserve">251027-27   </t>
  </si>
  <si>
    <t xml:space="preserve">251027-29   </t>
  </si>
  <si>
    <t xml:space="preserve">251027-31   </t>
  </si>
  <si>
    <t xml:space="preserve">251027-32   </t>
  </si>
  <si>
    <t xml:space="preserve">251027-33   </t>
  </si>
  <si>
    <t xml:space="preserve">251027-34   </t>
  </si>
  <si>
    <t xml:space="preserve">251027-35   </t>
  </si>
  <si>
    <t xml:space="preserve">L25-703-01  </t>
  </si>
  <si>
    <t xml:space="preserve">L25-703-02  </t>
  </si>
  <si>
    <t xml:space="preserve">L25-703-03  </t>
  </si>
  <si>
    <t xml:space="preserve">L25-703-04  </t>
  </si>
  <si>
    <t xml:space="preserve">L25-703-05  </t>
  </si>
  <si>
    <t xml:space="preserve">L25-703-06  </t>
  </si>
  <si>
    <t xml:space="preserve">L25-703-07  </t>
  </si>
  <si>
    <t xml:space="preserve">L25-703-08  </t>
  </si>
  <si>
    <t xml:space="preserve">L25-703-09  </t>
  </si>
  <si>
    <t xml:space="preserve">L25-703-10  </t>
  </si>
  <si>
    <t xml:space="preserve">L25-703-11  </t>
  </si>
  <si>
    <t xml:space="preserve">L25-703-12  </t>
  </si>
  <si>
    <t xml:space="preserve">L25-703-13  </t>
  </si>
  <si>
    <t xml:space="preserve">L25-703-14  </t>
  </si>
  <si>
    <t xml:space="preserve">L25-703-15  </t>
  </si>
  <si>
    <t xml:space="preserve">L25-703-16  </t>
  </si>
  <si>
    <t xml:space="preserve">L25-703-17  </t>
  </si>
  <si>
    <t xml:space="preserve">L25-703-18  </t>
  </si>
  <si>
    <t xml:space="preserve">L25-703-19  </t>
  </si>
  <si>
    <t xml:space="preserve">L25-703-20  </t>
  </si>
  <si>
    <t xml:space="preserve">L25-703-21  </t>
  </si>
  <si>
    <t xml:space="preserve">L25-703-22  </t>
  </si>
  <si>
    <t xml:space="preserve">L25-703-23  </t>
  </si>
  <si>
    <t xml:space="preserve">L25-703-24  </t>
  </si>
  <si>
    <t xml:space="preserve">L25-703-25  </t>
  </si>
  <si>
    <t xml:space="preserve">L25-703-26  </t>
  </si>
  <si>
    <t xml:space="preserve">L25-703-27  </t>
  </si>
  <si>
    <t xml:space="preserve">L25-703-28  </t>
  </si>
  <si>
    <t xml:space="preserve">L25-703-29  </t>
  </si>
  <si>
    <t xml:space="preserve">L25-703-30  </t>
  </si>
  <si>
    <t xml:space="preserve">L25-703-31  </t>
  </si>
  <si>
    <t xml:space="preserve">L25-703-32  </t>
  </si>
  <si>
    <t xml:space="preserve">L25-703-33  </t>
  </si>
  <si>
    <t xml:space="preserve">L25-703-34  </t>
  </si>
  <si>
    <t xml:space="preserve">L25-703-35  </t>
  </si>
  <si>
    <t xml:space="preserve">L25-703-36  </t>
  </si>
  <si>
    <t xml:space="preserve">L25-703-37  </t>
  </si>
  <si>
    <t xml:space="preserve">L25-703-38  </t>
  </si>
  <si>
    <t xml:space="preserve">L25-703-39  </t>
  </si>
  <si>
    <t xml:space="preserve">L25-703-40  </t>
  </si>
  <si>
    <t xml:space="preserve">L25-703-41  </t>
  </si>
  <si>
    <t xml:space="preserve">L25-703-42  </t>
  </si>
  <si>
    <t xml:space="preserve">L25-703-43  </t>
  </si>
  <si>
    <t xml:space="preserve">L25-703-44  </t>
  </si>
  <si>
    <t xml:space="preserve">L25-703-45  </t>
  </si>
  <si>
    <t xml:space="preserve">L25-703-46  </t>
  </si>
  <si>
    <t xml:space="preserve">L25-703-47  </t>
  </si>
  <si>
    <t xml:space="preserve">L25-703-48  </t>
  </si>
  <si>
    <t xml:space="preserve">MU3M        </t>
  </si>
  <si>
    <t>02-2512-0594</t>
  </si>
  <si>
    <t>07-2512-0787</t>
  </si>
  <si>
    <t xml:space="preserve">ｷｬﾝﾃｨｰﾅ所 </t>
  </si>
  <si>
    <t xml:space="preserve">ｷｬﾝﾃｨｰﾅ立 </t>
  </si>
  <si>
    <t xml:space="preserve">U251218     </t>
  </si>
  <si>
    <t>ﾉ0619 ﾍｱｰｻﾛﾝ</t>
  </si>
  <si>
    <t xml:space="preserve">ﾙ0981 ﾚｱﾙ   </t>
  </si>
  <si>
    <t xml:space="preserve">なまら屋  </t>
  </si>
  <si>
    <t xml:space="preserve">BAROSSA     </t>
  </si>
  <si>
    <t xml:space="preserve">ｱｰﾄﾁｬｲﾙﾄﾞｹｱ </t>
  </si>
  <si>
    <t xml:space="preserve">京都工場  </t>
  </si>
  <si>
    <t xml:space="preserve">11F廊下   </t>
  </si>
  <si>
    <t xml:space="preserve">210928-05   </t>
  </si>
  <si>
    <t xml:space="preserve">210928-06   </t>
  </si>
  <si>
    <t xml:space="preserve">210928-10   </t>
  </si>
  <si>
    <t xml:space="preserve">210928-11   </t>
  </si>
  <si>
    <t xml:space="preserve">210928-12   </t>
  </si>
  <si>
    <t xml:space="preserve">210928-51   </t>
  </si>
  <si>
    <t xml:space="preserve">210928-73   </t>
  </si>
  <si>
    <t xml:space="preserve">210928-74   </t>
  </si>
  <si>
    <t xml:space="preserve">210928-97   </t>
  </si>
  <si>
    <t xml:space="preserve">210928-98   </t>
  </si>
  <si>
    <t xml:space="preserve">220804-22   </t>
  </si>
  <si>
    <t xml:space="preserve">220804-23   </t>
  </si>
  <si>
    <t xml:space="preserve">220804-24   </t>
  </si>
  <si>
    <t xml:space="preserve">220804-46   </t>
  </si>
  <si>
    <t xml:space="preserve">220804-47   </t>
  </si>
  <si>
    <t xml:space="preserve">220804-48   </t>
  </si>
  <si>
    <t xml:space="preserve">220804-70   </t>
  </si>
  <si>
    <t xml:space="preserve">220804-71   </t>
  </si>
  <si>
    <t xml:space="preserve">220804-72   </t>
  </si>
  <si>
    <t xml:space="preserve">220804-94   </t>
  </si>
  <si>
    <t xml:space="preserve">220804-95   </t>
  </si>
  <si>
    <t xml:space="preserve">220804-96   </t>
  </si>
  <si>
    <t xml:space="preserve">220804-101  </t>
  </si>
  <si>
    <t xml:space="preserve">220804-102  </t>
  </si>
  <si>
    <t xml:space="preserve">220804-103  </t>
  </si>
  <si>
    <t xml:space="preserve">220804-104  </t>
  </si>
  <si>
    <t xml:space="preserve">220804-105  </t>
  </si>
  <si>
    <t xml:space="preserve">220804-106  </t>
  </si>
  <si>
    <t xml:space="preserve">220804-107  </t>
  </si>
  <si>
    <t xml:space="preserve">220804-108  </t>
  </si>
  <si>
    <t xml:space="preserve">220804-109  </t>
  </si>
  <si>
    <t xml:space="preserve">220804-110  </t>
  </si>
  <si>
    <t xml:space="preserve">220804-111  </t>
  </si>
  <si>
    <t xml:space="preserve">220804-112  </t>
  </si>
  <si>
    <t xml:space="preserve">220804-113  </t>
  </si>
  <si>
    <t xml:space="preserve">220804-114  </t>
  </si>
  <si>
    <t xml:space="preserve">220804-115  </t>
  </si>
  <si>
    <t xml:space="preserve">220804-116  </t>
  </si>
  <si>
    <t xml:space="preserve">桜の間    </t>
  </si>
  <si>
    <t xml:space="preserve">ｸﾞﾚｰ        </t>
  </si>
  <si>
    <t xml:space="preserve">１色      </t>
  </si>
  <si>
    <t xml:space="preserve">ﾎﾜｲﾄ        </t>
  </si>
  <si>
    <t xml:space="preserve">ﾗｲﾄｸﾞﾚｰ     </t>
  </si>
  <si>
    <t xml:space="preserve">２色      </t>
  </si>
  <si>
    <t xml:space="preserve">白/黒   </t>
  </si>
  <si>
    <t xml:space="preserve">緑/黒   </t>
  </si>
  <si>
    <t xml:space="preserve">ｸﾞﾘｰﾝ       </t>
  </si>
  <si>
    <t xml:space="preserve">赤/黒   </t>
  </si>
  <si>
    <t xml:space="preserve">２色転換  </t>
  </si>
  <si>
    <t xml:space="preserve">３色      </t>
  </si>
  <si>
    <t xml:space="preserve">ﾚｯﾄﾞ        </t>
  </si>
  <si>
    <t xml:space="preserve">Sｻｲｽﾞ3枚  </t>
  </si>
  <si>
    <t xml:space="preserve">1.20*950    </t>
  </si>
  <si>
    <t xml:space="preserve">1.30*930    </t>
  </si>
  <si>
    <t xml:space="preserve">0.90*930    </t>
  </si>
  <si>
    <t xml:space="preserve">1.10*930    </t>
  </si>
  <si>
    <t xml:space="preserve">1303(ﾜｲﾝ)   </t>
  </si>
  <si>
    <t xml:space="preserve">1101(WH)    </t>
  </si>
  <si>
    <t xml:space="preserve">IN-10       </t>
  </si>
  <si>
    <t xml:space="preserve">IN-06       </t>
  </si>
  <si>
    <t xml:space="preserve">919ﾊﾞｲｵﾚｯﾄ  </t>
  </si>
  <si>
    <t xml:space="preserve">915 ﾈｲﾋﾞｰ   </t>
  </si>
  <si>
    <t xml:space="preserve">IN-01       </t>
  </si>
  <si>
    <t xml:space="preserve">IN-21       </t>
  </si>
  <si>
    <t xml:space="preserve">IN-15       </t>
  </si>
  <si>
    <t xml:space="preserve">DQ3383      </t>
  </si>
  <si>
    <t xml:space="preserve">NAR1401     </t>
  </si>
  <si>
    <t xml:space="preserve">LX05        </t>
  </si>
  <si>
    <t xml:space="preserve">LX85        </t>
  </si>
  <si>
    <t xml:space="preserve">TK5532      </t>
  </si>
  <si>
    <t xml:space="preserve">GNN65       </t>
  </si>
  <si>
    <t xml:space="preserve">GNN62       </t>
  </si>
  <si>
    <t xml:space="preserve">ﾛｯｸｲﾄ       </t>
  </si>
  <si>
    <t xml:space="preserve">CZ-6059     </t>
  </si>
  <si>
    <t xml:space="preserve">ｵﾚﾝｼﾞ 7F    </t>
  </si>
  <si>
    <t xml:space="preserve">CZ-6060     </t>
  </si>
  <si>
    <t xml:space="preserve">ベージュ  </t>
  </si>
  <si>
    <t xml:space="preserve">NAR1405     </t>
  </si>
  <si>
    <t xml:space="preserve">ﾌﾞﾙｰｸﾞﾚｰ    </t>
  </si>
  <si>
    <t xml:space="preserve">ﾌﾞﾗｳﾝ       </t>
  </si>
  <si>
    <t xml:space="preserve">SN/ｱﾝｸﾞﾚｰﾇ  </t>
  </si>
  <si>
    <t xml:space="preserve">WQ140ｽﾄﾗｲﾌﾟ </t>
  </si>
  <si>
    <t xml:space="preserve">CZ-6060/ﾊｸﾘ </t>
  </si>
  <si>
    <t xml:space="preserve">BER1201     </t>
  </si>
  <si>
    <t xml:space="preserve">BER1202     </t>
  </si>
  <si>
    <t>ﾌﾞﾗｳﾝ/破れ</t>
  </si>
  <si>
    <t xml:space="preserve">VF6144      </t>
  </si>
  <si>
    <t xml:space="preserve">MF4207      </t>
  </si>
  <si>
    <t xml:space="preserve">#113ﾚﾝｶﾞ    </t>
  </si>
  <si>
    <t xml:space="preserve">#016ﾈｽﾞﾐｲﾛ  </t>
  </si>
  <si>
    <t>#121ｾﾞﾆｽﾌﾞﾙｰ</t>
  </si>
  <si>
    <t>#127ｼﾙﾊﾞｰｸﾞﾚ</t>
  </si>
  <si>
    <t xml:space="preserve">白        </t>
  </si>
  <si>
    <t xml:space="preserve">NF5003      </t>
  </si>
  <si>
    <t xml:space="preserve">ライト    </t>
  </si>
  <si>
    <t xml:space="preserve">AG1412      </t>
  </si>
  <si>
    <t xml:space="preserve">SY5301      </t>
  </si>
  <si>
    <t xml:space="preserve">GL7801      </t>
  </si>
  <si>
    <t xml:space="preserve">BT9243      </t>
  </si>
  <si>
    <t xml:space="preserve">ｵﾚﾝｼﾞ 7F8F  </t>
  </si>
  <si>
    <t xml:space="preserve">GY          </t>
  </si>
  <si>
    <t xml:space="preserve">SS5124      </t>
  </si>
  <si>
    <t xml:space="preserve">ﾌﾞﾙｰ        </t>
  </si>
  <si>
    <t xml:space="preserve">MF4201      </t>
  </si>
  <si>
    <t xml:space="preserve">MF4213      </t>
  </si>
  <si>
    <t xml:space="preserve">VTR1451     </t>
  </si>
  <si>
    <t xml:space="preserve">ｼｻｸ110      </t>
  </si>
  <si>
    <t xml:space="preserve">ｼｻｸ300      </t>
  </si>
  <si>
    <t xml:space="preserve">ｼｻｸ400      </t>
  </si>
  <si>
    <t xml:space="preserve">ｼｻｸ500    </t>
  </si>
  <si>
    <t xml:space="preserve"> ﾌﾞﾗｳﾝ      </t>
  </si>
  <si>
    <t xml:space="preserve">DQ3382      </t>
  </si>
  <si>
    <t xml:space="preserve">7-134/SN@   </t>
  </si>
  <si>
    <t xml:space="preserve">7-140/ﾄｳﾘ@  </t>
  </si>
  <si>
    <t xml:space="preserve">7-143/SN@   </t>
  </si>
  <si>
    <t>1133ﾐﾂﾋﾞｼELV</t>
  </si>
  <si>
    <t>1134ﾀﾞｽﾄｷｭｳｽ</t>
  </si>
  <si>
    <t xml:space="preserve">ｻﾞｲｺ/ARﾖｳ   </t>
  </si>
  <si>
    <t xml:space="preserve"> ﾌﾞﾙｰ       </t>
  </si>
  <si>
    <t xml:space="preserve">7-144       </t>
  </si>
  <si>
    <t xml:space="preserve">VTR1454     </t>
  </si>
  <si>
    <t xml:space="preserve">OSA25-140   </t>
  </si>
  <si>
    <t xml:space="preserve">7-138/ﾄｳﾘ@  </t>
  </si>
  <si>
    <t xml:space="preserve">7-146/ﾄｳﾘ@  </t>
  </si>
  <si>
    <t>7K-24/ﾊﾊﾞｶｯﾄ</t>
  </si>
  <si>
    <t xml:space="preserve">ｶｯﾄ加工賃 </t>
  </si>
  <si>
    <t xml:space="preserve">ｸﾞﾚｰ104     </t>
  </si>
  <si>
    <t xml:space="preserve">7-145/SN@   </t>
  </si>
  <si>
    <t xml:space="preserve">CL-1133H    </t>
  </si>
  <si>
    <t xml:space="preserve">BT9252      </t>
  </si>
  <si>
    <t xml:space="preserve">VF6147      </t>
  </si>
  <si>
    <t>7-142ﾄｳﾘﾊﾞﾗ@</t>
  </si>
  <si>
    <t>7-141/AG用</t>
  </si>
  <si>
    <t>1135ﾀﾞｽﾄｷｭｳｽ</t>
  </si>
  <si>
    <t xml:space="preserve">7-147       </t>
  </si>
  <si>
    <t xml:space="preserve">BT9225      </t>
  </si>
  <si>
    <t xml:space="preserve">ｸﾞﾚｰ01      </t>
  </si>
  <si>
    <t xml:space="preserve">ｸﾞﾚｰ02      </t>
  </si>
  <si>
    <t xml:space="preserve">MF4210      </t>
  </si>
  <si>
    <t xml:space="preserve">OSA25-142   </t>
  </si>
  <si>
    <t xml:space="preserve">BT9257      </t>
  </si>
  <si>
    <t>1138ﾀﾞｽﾄｷｭｳｽ</t>
  </si>
  <si>
    <t xml:space="preserve">IN-18       </t>
  </si>
  <si>
    <t xml:space="preserve">ｸﾞﾚｰ03      </t>
  </si>
  <si>
    <t xml:space="preserve">ｸﾞﾚｰ04      </t>
  </si>
  <si>
    <t xml:space="preserve">ﾋﾟﾝｸ        </t>
  </si>
  <si>
    <t>70718ｽﾍﾞﾘﾄﾞﾒ</t>
  </si>
  <si>
    <t xml:space="preserve">BT9256      </t>
  </si>
  <si>
    <t xml:space="preserve">7-148/SN@   </t>
  </si>
  <si>
    <t xml:space="preserve">ﾍﾞｰｼﾞｭ      </t>
  </si>
  <si>
    <t xml:space="preserve">BT9258      </t>
  </si>
  <si>
    <t xml:space="preserve">WH          </t>
  </si>
  <si>
    <t xml:space="preserve">LGY         </t>
  </si>
  <si>
    <t xml:space="preserve">ｷﾅﾘ         </t>
  </si>
  <si>
    <t xml:space="preserve"> ｸﾞﾘｰﾝ      </t>
  </si>
  <si>
    <t xml:space="preserve">カット代  </t>
  </si>
  <si>
    <t xml:space="preserve">GN          </t>
  </si>
  <si>
    <t>1134/ﾀﾞｽﾄｷｭｳ</t>
  </si>
  <si>
    <t xml:space="preserve">7.8X64      </t>
  </si>
  <si>
    <t xml:space="preserve">18X51       </t>
  </si>
  <si>
    <t xml:space="preserve">2.2X51      </t>
  </si>
  <si>
    <t xml:space="preserve">17X64       </t>
  </si>
  <si>
    <t xml:space="preserve">27X51       </t>
  </si>
  <si>
    <t xml:space="preserve">18X102      </t>
  </si>
  <si>
    <t xml:space="preserve">4.4X102     </t>
  </si>
  <si>
    <t xml:space="preserve">12X44       </t>
  </si>
  <si>
    <t xml:space="preserve">3.3X38      </t>
  </si>
  <si>
    <t xml:space="preserve">4.4X32      </t>
  </si>
  <si>
    <t>1.7X51糸用</t>
  </si>
  <si>
    <t xml:space="preserve">ｻﾗｼ(ｼﾛ)     </t>
  </si>
  <si>
    <t xml:space="preserve">ADS60       </t>
  </si>
  <si>
    <t xml:space="preserve">GNN62.65    </t>
  </si>
  <si>
    <t xml:space="preserve">LX05.85     </t>
  </si>
  <si>
    <t xml:space="preserve">SED95       </t>
  </si>
  <si>
    <t xml:space="preserve">ﾌﾞﾗｯｸ       </t>
  </si>
  <si>
    <t xml:space="preserve">1.7X51      </t>
  </si>
  <si>
    <t xml:space="preserve">ｸﾞﾚ-104     </t>
  </si>
  <si>
    <t xml:space="preserve"> ﾌﾞﾙｰｸﾞﾚｰ   </t>
  </si>
  <si>
    <t xml:space="preserve">5.6X51      </t>
  </si>
  <si>
    <t xml:space="preserve">ｽﾉｰｸﾞﾚｰﾈｵ   </t>
  </si>
  <si>
    <t xml:space="preserve">ﾛｯｸｸﾞﾚｰ     </t>
  </si>
  <si>
    <t xml:space="preserve">ﾍﾟｱｸﾞﾘｰﾝ    </t>
  </si>
  <si>
    <t xml:space="preserve">DBK         </t>
  </si>
  <si>
    <t xml:space="preserve">CBK         </t>
  </si>
  <si>
    <t xml:space="preserve">PBK         </t>
  </si>
  <si>
    <t xml:space="preserve">RBK         </t>
  </si>
  <si>
    <t xml:space="preserve">5X38        </t>
  </si>
  <si>
    <t xml:space="preserve">NEWｽﾄﾗｲﾌﾟ   </t>
  </si>
  <si>
    <t xml:space="preserve">3.3X64      </t>
  </si>
  <si>
    <t xml:space="preserve">ｻﾝﾋﾞｰﾄ      </t>
  </si>
  <si>
    <t xml:space="preserve"> ﾌﾞﾗｳﾝ/破 </t>
  </si>
  <si>
    <t xml:space="preserve">11X127      </t>
  </si>
  <si>
    <t xml:space="preserve">ｺｽﾓﾄﾛﾝ(ﾌﾂｳ) </t>
  </si>
  <si>
    <t xml:space="preserve">ｺｽﾓﾐｼﾝ      </t>
  </si>
  <si>
    <t xml:space="preserve">黒        </t>
  </si>
  <si>
    <t xml:space="preserve">2.2X38      </t>
  </si>
  <si>
    <t xml:space="preserve">18X127      </t>
  </si>
  <si>
    <t xml:space="preserve">緑        </t>
  </si>
  <si>
    <t xml:space="preserve">値増      </t>
  </si>
  <si>
    <t xml:space="preserve">C0          </t>
  </si>
  <si>
    <t xml:space="preserve">デバン代  </t>
  </si>
  <si>
    <t xml:space="preserve">4FG+4WY     </t>
  </si>
  <si>
    <t xml:space="preserve">6F          </t>
  </si>
  <si>
    <t xml:space="preserve">6W          </t>
  </si>
  <si>
    <t xml:space="preserve">CH-07 BK    </t>
  </si>
  <si>
    <t xml:space="preserve">4DG+4LG     </t>
  </si>
  <si>
    <t xml:space="preserve">8W          </t>
  </si>
  <si>
    <t xml:space="preserve">DG          </t>
  </si>
  <si>
    <t xml:space="preserve">GD          </t>
  </si>
  <si>
    <t xml:space="preserve">GRBG        </t>
  </si>
  <si>
    <t>再利用紙管</t>
  </si>
  <si>
    <t xml:space="preserve">13F Bﾀｲﾌﾟ   </t>
  </si>
  <si>
    <t>巻き直し代</t>
  </si>
  <si>
    <t xml:space="preserve">0.34%値引 </t>
  </si>
  <si>
    <t xml:space="preserve">ｼｻｸ         </t>
  </si>
  <si>
    <t xml:space="preserve">ﾁｬｺｰﾙ       </t>
  </si>
  <si>
    <t xml:space="preserve">ﾈｲﾋﾞｰﾌﾞﾙｰ   </t>
  </si>
  <si>
    <t xml:space="preserve">ｺｺｱﾌﾞﾗｳﾝ    </t>
  </si>
  <si>
    <t xml:space="preserve">ｴﾒﾗﾙﾄﾞｸﾞﾘｰﾝ </t>
  </si>
  <si>
    <t xml:space="preserve">H21855      </t>
  </si>
  <si>
    <t xml:space="preserve">LB381       </t>
  </si>
  <si>
    <t xml:space="preserve">H21859      </t>
  </si>
  <si>
    <t xml:space="preserve">ﾗX2         </t>
  </si>
  <si>
    <t xml:space="preserve">ﾗX3 H ｼｬ    </t>
  </si>
  <si>
    <t xml:space="preserve">SOJP2529978 </t>
  </si>
  <si>
    <t xml:space="preserve">SOJP2529979 </t>
  </si>
  <si>
    <t xml:space="preserve">E947263     </t>
  </si>
  <si>
    <t xml:space="preserve">E947265     </t>
  </si>
  <si>
    <t xml:space="preserve">SOJP2528633 </t>
  </si>
  <si>
    <t xml:space="preserve">SOJP2527625 </t>
  </si>
  <si>
    <t xml:space="preserve">SOJP2527626 </t>
  </si>
  <si>
    <t xml:space="preserve">SOJP2527627 </t>
  </si>
  <si>
    <t xml:space="preserve">SOJP2527628 </t>
  </si>
  <si>
    <t xml:space="preserve">SOJP2527629 </t>
  </si>
  <si>
    <t xml:space="preserve">SOJP2527630 </t>
  </si>
  <si>
    <t xml:space="preserve">E947193     </t>
  </si>
  <si>
    <t xml:space="preserve">E947194     </t>
  </si>
  <si>
    <t xml:space="preserve">E947190     </t>
  </si>
  <si>
    <t xml:space="preserve">E947205     </t>
  </si>
  <si>
    <t xml:space="preserve">E947206     </t>
  </si>
  <si>
    <t xml:space="preserve">E947213     </t>
  </si>
  <si>
    <t xml:space="preserve">E947214     </t>
  </si>
  <si>
    <t xml:space="preserve">E947221     </t>
  </si>
  <si>
    <t xml:space="preserve">E947264     </t>
  </si>
  <si>
    <t xml:space="preserve">E947180     </t>
  </si>
  <si>
    <t xml:space="preserve">ｼﾙﾊﾞｰ/ﾌﾞﾗｯｸ </t>
  </si>
  <si>
    <t xml:space="preserve">ﾚｯﾄﾞ/ﾌﾞﾗｯｸ  </t>
  </si>
  <si>
    <t xml:space="preserve">ｸﾞﾘｰﾝ/ﾌﾞﾗｯｸ </t>
  </si>
  <si>
    <t xml:space="preserve">251007-12   </t>
  </si>
  <si>
    <t xml:space="preserve">251007-13   </t>
  </si>
  <si>
    <t xml:space="preserve">251007-14   </t>
  </si>
  <si>
    <t xml:space="preserve">TX1         </t>
  </si>
  <si>
    <t xml:space="preserve">MDY02       </t>
  </si>
  <si>
    <t xml:space="preserve">NPT05       </t>
  </si>
  <si>
    <t xml:space="preserve">NPT65       </t>
  </si>
  <si>
    <t xml:space="preserve">NWL03       </t>
  </si>
  <si>
    <t xml:space="preserve">NWL66       </t>
  </si>
  <si>
    <t xml:space="preserve">NWL93       </t>
  </si>
  <si>
    <t xml:space="preserve">BWC-7.5_x000F_    </t>
  </si>
  <si>
    <t xml:space="preserve">グリーン  </t>
  </si>
  <si>
    <t xml:space="preserve">レッド    </t>
  </si>
  <si>
    <t xml:space="preserve">BWC-6       </t>
  </si>
  <si>
    <t xml:space="preserve">BWC-15_x000F_     </t>
  </si>
  <si>
    <t xml:space="preserve">NB-75       </t>
  </si>
  <si>
    <t xml:space="preserve">NB-15       </t>
  </si>
  <si>
    <t xml:space="preserve">ﾛｲﾔﾙﾌﾞﾙｰ    </t>
  </si>
  <si>
    <t xml:space="preserve">H21864      </t>
  </si>
  <si>
    <t xml:space="preserve">H21865      </t>
  </si>
  <si>
    <t xml:space="preserve">H21861      </t>
  </si>
  <si>
    <t xml:space="preserve">H21866      </t>
  </si>
  <si>
    <t xml:space="preserve">H21860      </t>
  </si>
  <si>
    <t>ﾚｯﾄﾞいらせ</t>
  </si>
  <si>
    <t xml:space="preserve">ﾗX1         </t>
  </si>
  <si>
    <t xml:space="preserve">E947285     </t>
  </si>
  <si>
    <t xml:space="preserve">E947284     </t>
  </si>
  <si>
    <t xml:space="preserve">E947176     </t>
  </si>
  <si>
    <t xml:space="preserve">E947232     </t>
  </si>
  <si>
    <t xml:space="preserve">E947233     </t>
  </si>
  <si>
    <t xml:space="preserve">E947234     </t>
  </si>
  <si>
    <t xml:space="preserve">E947235     </t>
  </si>
  <si>
    <t xml:space="preserve">E947236     </t>
  </si>
  <si>
    <t xml:space="preserve">E947237     </t>
  </si>
  <si>
    <t xml:space="preserve">BWC-12_x000F_     </t>
  </si>
  <si>
    <t xml:space="preserve">BWC-18R     </t>
  </si>
  <si>
    <t xml:space="preserve">BWC-24R_x000F_    </t>
  </si>
  <si>
    <t xml:space="preserve">BWC-30R     </t>
  </si>
  <si>
    <t xml:space="preserve">H21868      </t>
  </si>
  <si>
    <t xml:space="preserve">H21850      </t>
  </si>
  <si>
    <t xml:space="preserve">H21862      </t>
  </si>
  <si>
    <t xml:space="preserve">H21863      </t>
  </si>
  <si>
    <t xml:space="preserve">ﾗX5 H TX1   </t>
  </si>
  <si>
    <t xml:space="preserve">E947309     </t>
  </si>
  <si>
    <t xml:space="preserve">E947318     </t>
  </si>
  <si>
    <t xml:space="preserve">251007-15   </t>
  </si>
  <si>
    <t xml:space="preserve">251007-16   </t>
  </si>
  <si>
    <t xml:space="preserve">251007-17   </t>
  </si>
  <si>
    <t xml:space="preserve">BWC-30_x000F_     </t>
  </si>
  <si>
    <t xml:space="preserve">BWC-40_x000F_     </t>
  </si>
  <si>
    <t xml:space="preserve">.           </t>
  </si>
  <si>
    <t xml:space="preserve">H21867      </t>
  </si>
  <si>
    <t xml:space="preserve">150 X 240   </t>
  </si>
  <si>
    <t xml:space="preserve">E947311     </t>
  </si>
  <si>
    <t xml:space="preserve">E947312     </t>
  </si>
  <si>
    <t xml:space="preserve">E947313     </t>
  </si>
  <si>
    <t xml:space="preserve">SOJP2530283 </t>
  </si>
  <si>
    <t xml:space="preserve">ｼﾙﾊﾞｰ       </t>
  </si>
  <si>
    <t xml:space="preserve">H21903      </t>
  </si>
  <si>
    <t xml:space="preserve">H21916      </t>
  </si>
  <si>
    <t xml:space="preserve">SOJP2530639 </t>
  </si>
  <si>
    <t xml:space="preserve">SOJP2530640 </t>
  </si>
  <si>
    <t xml:space="preserve">SOJP2530666 </t>
  </si>
  <si>
    <t xml:space="preserve">E947389     </t>
  </si>
  <si>
    <t xml:space="preserve">E947390     </t>
  </si>
  <si>
    <t xml:space="preserve">E947394     </t>
  </si>
  <si>
    <t xml:space="preserve">E947363     </t>
  </si>
  <si>
    <t xml:space="preserve">TEC1471     </t>
  </si>
  <si>
    <t xml:space="preserve">ダーク    </t>
  </si>
  <si>
    <t xml:space="preserve">NAR1402     </t>
  </si>
  <si>
    <t xml:space="preserve">NAR1404     </t>
  </si>
  <si>
    <t xml:space="preserve">251007-18   </t>
  </si>
  <si>
    <t xml:space="preserve">250715-13   </t>
  </si>
  <si>
    <t xml:space="preserve">250715-14   </t>
  </si>
  <si>
    <t xml:space="preserve">250715-15   </t>
  </si>
  <si>
    <t xml:space="preserve">NAB60       </t>
  </si>
  <si>
    <t xml:space="preserve">NAB83       </t>
  </si>
  <si>
    <t xml:space="preserve">251007-19   </t>
  </si>
  <si>
    <t xml:space="preserve">ｻﾝﾋﾞｸﾄﾘｱ    </t>
  </si>
  <si>
    <t xml:space="preserve">GNいらせ  </t>
  </si>
  <si>
    <t>ﾚｯﾄﾞ WELCOME</t>
  </si>
  <si>
    <t xml:space="preserve">GN WELCOME  </t>
  </si>
  <si>
    <t xml:space="preserve">SOJP2530687 </t>
  </si>
  <si>
    <t xml:space="preserve">E947391     </t>
  </si>
  <si>
    <t xml:space="preserve">E947392     </t>
  </si>
  <si>
    <t xml:space="preserve">E947420     </t>
  </si>
  <si>
    <t xml:space="preserve">SOJP2530683 </t>
  </si>
  <si>
    <t xml:space="preserve">SOJP2530684 </t>
  </si>
  <si>
    <t xml:space="preserve">SOJP2530823 </t>
  </si>
  <si>
    <t xml:space="preserve">SOJP2530812 </t>
  </si>
  <si>
    <t xml:space="preserve">SOJP2530813 </t>
  </si>
  <si>
    <t xml:space="preserve">E947410     </t>
  </si>
  <si>
    <t xml:space="preserve">J250090     </t>
  </si>
  <si>
    <t xml:space="preserve">J250091     </t>
  </si>
  <si>
    <t xml:space="preserve">J250092     </t>
  </si>
  <si>
    <t xml:space="preserve">H21895      </t>
  </si>
  <si>
    <t xml:space="preserve">H21896      </t>
  </si>
  <si>
    <t xml:space="preserve">H21897      </t>
  </si>
  <si>
    <t xml:space="preserve">H21898      </t>
  </si>
  <si>
    <t xml:space="preserve">H21899      </t>
  </si>
  <si>
    <t xml:space="preserve">H21900      </t>
  </si>
  <si>
    <t xml:space="preserve">H21902      </t>
  </si>
  <si>
    <t xml:space="preserve">H21901      </t>
  </si>
  <si>
    <t xml:space="preserve">H21882      </t>
  </si>
  <si>
    <t xml:space="preserve">H21883      </t>
  </si>
  <si>
    <t xml:space="preserve">H21884      </t>
  </si>
  <si>
    <t xml:space="preserve">H21885      </t>
  </si>
  <si>
    <t xml:space="preserve">H21886      </t>
  </si>
  <si>
    <t xml:space="preserve">H21869      </t>
  </si>
  <si>
    <t xml:space="preserve">H21870      </t>
  </si>
  <si>
    <t xml:space="preserve">H21871      </t>
  </si>
  <si>
    <t xml:space="preserve">H21872      </t>
  </si>
  <si>
    <t xml:space="preserve">H21873      </t>
  </si>
  <si>
    <t xml:space="preserve">H21874      </t>
  </si>
  <si>
    <t xml:space="preserve">H21904      </t>
  </si>
  <si>
    <t xml:space="preserve">H21905      </t>
  </si>
  <si>
    <t xml:space="preserve">H21906      </t>
  </si>
  <si>
    <t xml:space="preserve">H21907      </t>
  </si>
  <si>
    <t xml:space="preserve">H21908      </t>
  </si>
  <si>
    <t xml:space="preserve">H21909      </t>
  </si>
  <si>
    <t xml:space="preserve">H21910      </t>
  </si>
  <si>
    <t xml:space="preserve">H21911      </t>
  </si>
  <si>
    <t xml:space="preserve">H21912      </t>
  </si>
  <si>
    <t xml:space="preserve">H21913      </t>
  </si>
  <si>
    <t xml:space="preserve">H21914      </t>
  </si>
  <si>
    <t xml:space="preserve">H21915      </t>
  </si>
  <si>
    <t xml:space="preserve">H21925      </t>
  </si>
  <si>
    <t xml:space="preserve">H21926      </t>
  </si>
  <si>
    <t xml:space="preserve">H21927      </t>
  </si>
  <si>
    <t xml:space="preserve">H21928      </t>
  </si>
  <si>
    <t xml:space="preserve">H21929      </t>
  </si>
  <si>
    <t xml:space="preserve">H21930      </t>
  </si>
  <si>
    <t xml:space="preserve">H21887      </t>
  </si>
  <si>
    <t xml:space="preserve">H21888      </t>
  </si>
  <si>
    <t xml:space="preserve">H21889      </t>
  </si>
  <si>
    <t xml:space="preserve">H21890      </t>
  </si>
  <si>
    <t xml:space="preserve">H21891      </t>
  </si>
  <si>
    <t xml:space="preserve">H21892      </t>
  </si>
  <si>
    <t xml:space="preserve">H21893      </t>
  </si>
  <si>
    <t xml:space="preserve">H21894      </t>
  </si>
  <si>
    <t xml:space="preserve">H21917      </t>
  </si>
  <si>
    <t xml:space="preserve">H21918      </t>
  </si>
  <si>
    <t xml:space="preserve">H21919      </t>
  </si>
  <si>
    <t xml:space="preserve">H21920      </t>
  </si>
  <si>
    <t xml:space="preserve">H21921      </t>
  </si>
  <si>
    <t xml:space="preserve">H21922      </t>
  </si>
  <si>
    <t xml:space="preserve">H21923      </t>
  </si>
  <si>
    <t xml:space="preserve">H21924      </t>
  </si>
  <si>
    <t xml:space="preserve">H21931      </t>
  </si>
  <si>
    <t xml:space="preserve">H21932      </t>
  </si>
  <si>
    <t xml:space="preserve">H21933      </t>
  </si>
  <si>
    <t xml:space="preserve">H21934      </t>
  </si>
  <si>
    <t xml:space="preserve">H21935      </t>
  </si>
  <si>
    <t xml:space="preserve">H21936      </t>
  </si>
  <si>
    <t xml:space="preserve">H21875      </t>
  </si>
  <si>
    <t xml:space="preserve">H21876      </t>
  </si>
  <si>
    <t xml:space="preserve">H21877      </t>
  </si>
  <si>
    <t xml:space="preserve">H21878      </t>
  </si>
  <si>
    <t xml:space="preserve">H21879      </t>
  </si>
  <si>
    <t xml:space="preserve">H21880      </t>
  </si>
  <si>
    <t xml:space="preserve">H21881      </t>
  </si>
  <si>
    <t xml:space="preserve">SOJP2530834 </t>
  </si>
  <si>
    <t xml:space="preserve">251007-20   </t>
  </si>
  <si>
    <t xml:space="preserve">小森分    </t>
  </si>
  <si>
    <t xml:space="preserve">NF5001      </t>
  </si>
  <si>
    <t xml:space="preserve">MF4216      </t>
  </si>
  <si>
    <t xml:space="preserve">UC1621      </t>
  </si>
  <si>
    <t xml:space="preserve">FD5545      </t>
  </si>
  <si>
    <t xml:space="preserve">DE5241      </t>
  </si>
  <si>
    <t>ｱﾎﾞｶﾞﾄﾞｸﾞﾘｰﾝ</t>
  </si>
  <si>
    <t xml:space="preserve">H21956      </t>
  </si>
  <si>
    <t xml:space="preserve">H21947      </t>
  </si>
  <si>
    <t xml:space="preserve">H21948      </t>
  </si>
  <si>
    <t xml:space="preserve">H21949      </t>
  </si>
  <si>
    <t xml:space="preserve">H21950      </t>
  </si>
  <si>
    <t xml:space="preserve">75 X 90     </t>
  </si>
  <si>
    <t xml:space="preserve">90 X 150    </t>
  </si>
  <si>
    <t xml:space="preserve">E947438     </t>
  </si>
  <si>
    <t xml:space="preserve">E947439     </t>
  </si>
  <si>
    <t xml:space="preserve">E947440     </t>
  </si>
  <si>
    <t xml:space="preserve">E947441     </t>
  </si>
  <si>
    <t xml:space="preserve">E947442     </t>
  </si>
  <si>
    <t xml:space="preserve">E947429     </t>
  </si>
  <si>
    <t xml:space="preserve">E947430     </t>
  </si>
  <si>
    <t xml:space="preserve">E947431     </t>
  </si>
  <si>
    <t xml:space="preserve">E947484     </t>
  </si>
  <si>
    <t xml:space="preserve">SOJP2531065 </t>
  </si>
  <si>
    <t xml:space="preserve">E947447     </t>
  </si>
  <si>
    <t xml:space="preserve">E947475     </t>
  </si>
  <si>
    <t xml:space="preserve">E947476     </t>
  </si>
  <si>
    <t xml:space="preserve">E947444     </t>
  </si>
  <si>
    <t xml:space="preserve">E947445     </t>
  </si>
  <si>
    <t xml:space="preserve">E947446     </t>
  </si>
  <si>
    <t xml:space="preserve">E947474     </t>
  </si>
  <si>
    <t xml:space="preserve">E947482     </t>
  </si>
  <si>
    <t xml:space="preserve">E947483     </t>
  </si>
  <si>
    <t xml:space="preserve">E947448     </t>
  </si>
  <si>
    <t xml:space="preserve">E947449     </t>
  </si>
  <si>
    <t xml:space="preserve">BER1203     </t>
  </si>
  <si>
    <t xml:space="preserve">251007-22   </t>
  </si>
  <si>
    <t xml:space="preserve">ｼｬﾝﾍﾟｰﾝ     </t>
  </si>
  <si>
    <t xml:space="preserve">ｱｸｱﾏﾘｰﾝ     </t>
  </si>
  <si>
    <t xml:space="preserve">H21955      </t>
  </si>
  <si>
    <t xml:space="preserve">H21958      </t>
  </si>
  <si>
    <t xml:space="preserve">H21954      </t>
  </si>
  <si>
    <t xml:space="preserve">H21957      </t>
  </si>
  <si>
    <t xml:space="preserve">H21952      </t>
  </si>
  <si>
    <t xml:space="preserve">H21953      </t>
  </si>
  <si>
    <t xml:space="preserve">SOJP2531067 </t>
  </si>
  <si>
    <t xml:space="preserve">E947479     </t>
  </si>
  <si>
    <t xml:space="preserve">SOJP2531240 </t>
  </si>
  <si>
    <t xml:space="preserve">CZ-6062     </t>
  </si>
  <si>
    <t xml:space="preserve">VTR1453     </t>
  </si>
  <si>
    <t xml:space="preserve">NAR1403     </t>
  </si>
  <si>
    <t xml:space="preserve">J250094     </t>
  </si>
  <si>
    <t xml:space="preserve">H21963      </t>
  </si>
  <si>
    <t xml:space="preserve">H21964      </t>
  </si>
  <si>
    <t xml:space="preserve">H21966      </t>
  </si>
  <si>
    <t xml:space="preserve">H21937      </t>
  </si>
  <si>
    <t xml:space="preserve">H21938      </t>
  </si>
  <si>
    <t xml:space="preserve">H21939      </t>
  </si>
  <si>
    <t xml:space="preserve">H21940      </t>
  </si>
  <si>
    <t xml:space="preserve">H21941      </t>
  </si>
  <si>
    <t xml:space="preserve">H21942      </t>
  </si>
  <si>
    <t xml:space="preserve">H21943      </t>
  </si>
  <si>
    <t xml:space="preserve">H21944      </t>
  </si>
  <si>
    <t xml:space="preserve">H21945      </t>
  </si>
  <si>
    <t xml:space="preserve">H21946      </t>
  </si>
  <si>
    <t xml:space="preserve">H21962      </t>
  </si>
  <si>
    <t xml:space="preserve">H21959      </t>
  </si>
  <si>
    <t xml:space="preserve">H21960      </t>
  </si>
  <si>
    <t xml:space="preserve">H21965      </t>
  </si>
  <si>
    <t xml:space="preserve">H21969      </t>
  </si>
  <si>
    <t xml:space="preserve">H21961      </t>
  </si>
  <si>
    <t xml:space="preserve">120 X 180   </t>
  </si>
  <si>
    <t xml:space="preserve">SOJP2531510 </t>
  </si>
  <si>
    <t xml:space="preserve">SOJP2531511 </t>
  </si>
  <si>
    <t xml:space="preserve">SOJP2531403 </t>
  </si>
  <si>
    <t xml:space="preserve">SOJP2531533 </t>
  </si>
  <si>
    <t xml:space="preserve">SOJP2531562 </t>
  </si>
  <si>
    <t xml:space="preserve">ADS16       </t>
  </si>
  <si>
    <t xml:space="preserve">ADS83       </t>
  </si>
  <si>
    <t xml:space="preserve">J250093     </t>
  </si>
  <si>
    <t xml:space="preserve">H21967      </t>
  </si>
  <si>
    <t xml:space="preserve">H21974      </t>
  </si>
  <si>
    <t xml:space="preserve">H21977      </t>
  </si>
  <si>
    <t xml:space="preserve">H21976      </t>
  </si>
  <si>
    <t xml:space="preserve">H21978      </t>
  </si>
  <si>
    <t xml:space="preserve">H21970      </t>
  </si>
  <si>
    <t xml:space="preserve">H21971      </t>
  </si>
  <si>
    <t xml:space="preserve">ﾗX5 H       </t>
  </si>
  <si>
    <t xml:space="preserve">ﾗX1 H       </t>
  </si>
  <si>
    <t xml:space="preserve">SOJP2531509 </t>
  </si>
  <si>
    <t xml:space="preserve">E947561     </t>
  </si>
  <si>
    <t xml:space="preserve">ﾊﾞｰｶﾞﾝﾃﾞｨ   </t>
  </si>
  <si>
    <t xml:space="preserve">H21968      </t>
  </si>
  <si>
    <t xml:space="preserve">LB382       </t>
  </si>
  <si>
    <t xml:space="preserve">LB383       </t>
  </si>
  <si>
    <t xml:space="preserve">LB384       </t>
  </si>
  <si>
    <t xml:space="preserve">H21990      </t>
  </si>
  <si>
    <t xml:space="preserve">H21979      </t>
  </si>
  <si>
    <t xml:space="preserve">H21993      </t>
  </si>
  <si>
    <t xml:space="preserve">H21989      </t>
  </si>
  <si>
    <t xml:space="preserve">E947573     </t>
  </si>
  <si>
    <t xml:space="preserve">E947576     </t>
  </si>
  <si>
    <t xml:space="preserve">E947581     </t>
  </si>
  <si>
    <t xml:space="preserve">E947577     </t>
  </si>
  <si>
    <t xml:space="preserve">E947580     </t>
  </si>
  <si>
    <t xml:space="preserve">E947582     </t>
  </si>
  <si>
    <t xml:space="preserve">E947578     </t>
  </si>
  <si>
    <t xml:space="preserve">SOJP2531817 </t>
  </si>
  <si>
    <t xml:space="preserve">SOJP2531818 </t>
  </si>
  <si>
    <t xml:space="preserve">E947575     </t>
  </si>
  <si>
    <t xml:space="preserve">E947572     </t>
  </si>
  <si>
    <t xml:space="preserve">SOJP2531819 </t>
  </si>
  <si>
    <t xml:space="preserve">E947574     </t>
  </si>
  <si>
    <t xml:space="preserve">E947579     </t>
  </si>
  <si>
    <t xml:space="preserve">SOJP2531926 </t>
  </si>
  <si>
    <t xml:space="preserve">SOJP2531948 </t>
  </si>
  <si>
    <t xml:space="preserve">E947583     </t>
  </si>
  <si>
    <t xml:space="preserve">E947586     </t>
  </si>
  <si>
    <t xml:space="preserve">E947587     </t>
  </si>
  <si>
    <t xml:space="preserve">E947588     </t>
  </si>
  <si>
    <t xml:space="preserve">E947589     </t>
  </si>
  <si>
    <t xml:space="preserve">B/GRY       </t>
  </si>
  <si>
    <t xml:space="preserve">H21992      </t>
  </si>
  <si>
    <t xml:space="preserve">H22003      </t>
  </si>
  <si>
    <t xml:space="preserve">H22004      </t>
  </si>
  <si>
    <t xml:space="preserve">H22000      </t>
  </si>
  <si>
    <t xml:space="preserve">H22002      </t>
  </si>
  <si>
    <t xml:space="preserve">H21996      </t>
  </si>
  <si>
    <t xml:space="preserve">H21997      </t>
  </si>
  <si>
    <t xml:space="preserve">H21998      </t>
  </si>
  <si>
    <t xml:space="preserve">H22005      </t>
  </si>
  <si>
    <t xml:space="preserve">H21999      </t>
  </si>
  <si>
    <t xml:space="preserve">H21973      </t>
  </si>
  <si>
    <t xml:space="preserve">H22008      </t>
  </si>
  <si>
    <t xml:space="preserve">H21975      </t>
  </si>
  <si>
    <t xml:space="preserve">H22006      </t>
  </si>
  <si>
    <t xml:space="preserve">H22007      </t>
  </si>
  <si>
    <t xml:space="preserve">E947660     </t>
  </si>
  <si>
    <t xml:space="preserve">SOJP2532031 </t>
  </si>
  <si>
    <t xml:space="preserve">SOJP2532032 </t>
  </si>
  <si>
    <t xml:space="preserve">E947627     </t>
  </si>
  <si>
    <t xml:space="preserve">H22015      </t>
  </si>
  <si>
    <t xml:space="preserve">H22001      </t>
  </si>
  <si>
    <t xml:space="preserve">H22016      </t>
  </si>
  <si>
    <t xml:space="preserve">H21986      </t>
  </si>
  <si>
    <t xml:space="preserve">H22012      </t>
  </si>
  <si>
    <t xml:space="preserve">H22013      </t>
  </si>
  <si>
    <t xml:space="preserve">H22014      </t>
  </si>
  <si>
    <t xml:space="preserve">H22011      </t>
  </si>
  <si>
    <t xml:space="preserve">H22009      </t>
  </si>
  <si>
    <t xml:space="preserve">H22010      </t>
  </si>
  <si>
    <t xml:space="preserve">E947677     </t>
  </si>
  <si>
    <t xml:space="preserve">E947699     </t>
  </si>
  <si>
    <t xml:space="preserve">E947700     </t>
  </si>
  <si>
    <t xml:space="preserve">J250096     </t>
  </si>
  <si>
    <t xml:space="preserve">J250095     </t>
  </si>
  <si>
    <t xml:space="preserve">H22017      </t>
  </si>
  <si>
    <t xml:space="preserve">H21972      </t>
  </si>
  <si>
    <t xml:space="preserve">LB385       </t>
  </si>
  <si>
    <t xml:space="preserve">LB386       </t>
  </si>
  <si>
    <t xml:space="preserve">LB387       </t>
  </si>
  <si>
    <t xml:space="preserve">H21991      </t>
  </si>
  <si>
    <t xml:space="preserve">H22018      </t>
  </si>
  <si>
    <t xml:space="preserve">H22019      </t>
  </si>
  <si>
    <t xml:space="preserve">H21995      </t>
  </si>
  <si>
    <t xml:space="preserve">ﾗX2 H       </t>
  </si>
  <si>
    <t xml:space="preserve">ﾗX3 H       </t>
  </si>
  <si>
    <t xml:space="preserve">E947696     </t>
  </si>
  <si>
    <t xml:space="preserve">E947737     </t>
  </si>
  <si>
    <t xml:space="preserve">E947701     </t>
  </si>
  <si>
    <t xml:space="preserve">E947683     </t>
  </si>
  <si>
    <t xml:space="preserve">E947684     </t>
  </si>
  <si>
    <t xml:space="preserve">E947724     </t>
  </si>
  <si>
    <t xml:space="preserve">E947725     </t>
  </si>
  <si>
    <t xml:space="preserve">NR          </t>
  </si>
  <si>
    <t xml:space="preserve">H22022      </t>
  </si>
  <si>
    <t xml:space="preserve">H21980      </t>
  </si>
  <si>
    <t xml:space="preserve">H21981      </t>
  </si>
  <si>
    <t xml:space="preserve">H21982      </t>
  </si>
  <si>
    <t xml:space="preserve">H21983      </t>
  </si>
  <si>
    <t xml:space="preserve">H21984      </t>
  </si>
  <si>
    <t xml:space="preserve">H21985      </t>
  </si>
  <si>
    <t xml:space="preserve">H21987      </t>
  </si>
  <si>
    <t xml:space="preserve">H21988      </t>
  </si>
  <si>
    <t xml:space="preserve">H22021      </t>
  </si>
  <si>
    <t xml:space="preserve">SOJP2532855 </t>
  </si>
  <si>
    <t xml:space="preserve">SOJP2532584 </t>
  </si>
  <si>
    <t xml:space="preserve">SOJP2532578 </t>
  </si>
  <si>
    <t xml:space="preserve">E947781     </t>
  </si>
  <si>
    <t xml:space="preserve">E947782     </t>
  </si>
  <si>
    <t xml:space="preserve">SOJP2532686 </t>
  </si>
  <si>
    <t xml:space="preserve">E947760     </t>
  </si>
  <si>
    <t xml:space="preserve">H22023      </t>
  </si>
  <si>
    <t xml:space="preserve">H22020      </t>
  </si>
  <si>
    <t xml:space="preserve">E947741     </t>
  </si>
  <si>
    <t xml:space="preserve">E947742     </t>
  </si>
  <si>
    <t xml:space="preserve">SOJP2532905 </t>
  </si>
  <si>
    <t xml:space="preserve">SOJP2532906 </t>
  </si>
  <si>
    <t xml:space="preserve">SOJP2532867 </t>
  </si>
  <si>
    <t xml:space="preserve">SOJP2532868 </t>
  </si>
  <si>
    <t xml:space="preserve">E947801     </t>
  </si>
  <si>
    <t xml:space="preserve">H22024      </t>
  </si>
  <si>
    <t xml:space="preserve">H22025      </t>
  </si>
  <si>
    <t xml:space="preserve">H22029      </t>
  </si>
  <si>
    <t xml:space="preserve">ﾗX3         </t>
  </si>
  <si>
    <t xml:space="preserve">E947845     </t>
  </si>
  <si>
    <t xml:space="preserve">E947786     </t>
  </si>
  <si>
    <t xml:space="preserve">E947805     </t>
  </si>
  <si>
    <t xml:space="preserve">E947806     </t>
  </si>
  <si>
    <t xml:space="preserve">E947866     </t>
  </si>
  <si>
    <t xml:space="preserve">E947788     </t>
  </si>
  <si>
    <t xml:space="preserve"> ｸﾞﾚｰ       </t>
  </si>
  <si>
    <t xml:space="preserve">ｸﾞﾚｰｼﾞｭ     </t>
  </si>
  <si>
    <t xml:space="preserve">H22028      </t>
  </si>
  <si>
    <t xml:space="preserve">H22026      </t>
  </si>
  <si>
    <t xml:space="preserve">SOJP2533134 </t>
  </si>
  <si>
    <t xml:space="preserve">SOJP2533479 </t>
  </si>
  <si>
    <t xml:space="preserve">E947867     </t>
  </si>
  <si>
    <t>オーノ</t>
    <phoneticPr fontId="1"/>
  </si>
  <si>
    <t>サンミック</t>
    <phoneticPr fontId="1"/>
  </si>
  <si>
    <t>製品売上高</t>
    <rPh sb="0" eb="2">
      <t>セイヒン</t>
    </rPh>
    <rPh sb="2" eb="4">
      <t>ウリアゲ</t>
    </rPh>
    <rPh sb="4" eb="5">
      <t>ダカ</t>
    </rPh>
    <phoneticPr fontId="1"/>
  </si>
  <si>
    <t>(#110~500)</t>
    <phoneticPr fontId="1"/>
  </si>
  <si>
    <t>(#900,950)</t>
  </si>
  <si>
    <t>(#800)</t>
    <phoneticPr fontId="1"/>
  </si>
  <si>
    <t>原料売上高</t>
    <rPh sb="0" eb="2">
      <t>ゲンリョウ</t>
    </rPh>
    <rPh sb="2" eb="4">
      <t>ウリアゲ</t>
    </rPh>
    <rPh sb="4" eb="5">
      <t>ダカ</t>
    </rPh>
    <phoneticPr fontId="1"/>
  </si>
  <si>
    <t>(#110~500)</t>
  </si>
  <si>
    <t>製品仕入高</t>
    <rPh sb="0" eb="2">
      <t>セイヒン</t>
    </rPh>
    <rPh sb="2" eb="5">
      <t>シイレダカ</t>
    </rPh>
    <phoneticPr fontId="1"/>
  </si>
  <si>
    <t>(#800)</t>
  </si>
  <si>
    <t>原料仕入高</t>
    <rPh sb="0" eb="2">
      <t>ゲンリョウ</t>
    </rPh>
    <rPh sb="2" eb="4">
      <t>シイ</t>
    </rPh>
    <rPh sb="4" eb="5">
      <t>ダカ</t>
    </rPh>
    <phoneticPr fontId="1"/>
  </si>
  <si>
    <t>(#110~800)</t>
  </si>
  <si>
    <t>期末製品在庫</t>
    <rPh sb="0" eb="2">
      <t>キマツ</t>
    </rPh>
    <rPh sb="2" eb="6">
      <t>セイヒンザイコ</t>
    </rPh>
    <phoneticPr fontId="1"/>
  </si>
  <si>
    <t>期末原料在庫</t>
    <rPh sb="0" eb="2">
      <t>キマツ</t>
    </rPh>
    <rPh sb="2" eb="4">
      <t>ゲンリョウ</t>
    </rPh>
    <rPh sb="4" eb="6">
      <t>ザイコ</t>
    </rPh>
    <phoneticPr fontId="1"/>
  </si>
  <si>
    <t>期末仕掛品在庫</t>
    <rPh sb="0" eb="2">
      <t>キマツ</t>
    </rPh>
    <rPh sb="2" eb="5">
      <t>シカケヒン</t>
    </rPh>
    <rPh sb="5" eb="7">
      <t>ザイコ</t>
    </rPh>
    <phoneticPr fontId="1"/>
  </si>
  <si>
    <t>部門</t>
    <rPh sb="0" eb="2">
      <t>ブモン</t>
    </rPh>
    <phoneticPr fontId="1"/>
  </si>
  <si>
    <t>サンミックカーペット</t>
    <phoneticPr fontId="1"/>
  </si>
  <si>
    <t>サンミックダスコン</t>
    <phoneticPr fontId="1"/>
  </si>
  <si>
    <t>製品売上高</t>
    <phoneticPr fontId="1"/>
  </si>
  <si>
    <t>ー</t>
    <phoneticPr fontId="1"/>
  </si>
  <si>
    <t>製品売上高</t>
  </si>
  <si>
    <t>製品</t>
    <rPh sb="0" eb="2">
      <t>セイヒン</t>
    </rPh>
    <phoneticPr fontId="1"/>
  </si>
  <si>
    <t>半製品</t>
    <rPh sb="0" eb="3">
      <t>ハンセイヒン</t>
    </rPh>
    <phoneticPr fontId="1"/>
  </si>
  <si>
    <t>原料売上高</t>
  </si>
  <si>
    <t>製品仕入高</t>
  </si>
  <si>
    <t>ー</t>
  </si>
  <si>
    <t>原料仕入高</t>
  </si>
  <si>
    <t>原材料</t>
    <rPh sb="0" eb="3">
      <t>ゲンザイリョウ</t>
    </rPh>
    <phoneticPr fontId="1"/>
  </si>
  <si>
    <t>原料仕入高</t>
    <phoneticPr fontId="1"/>
  </si>
  <si>
    <t>期末製品在庫</t>
  </si>
  <si>
    <t>加工</t>
    <rPh sb="0" eb="2">
      <t>カコウ</t>
    </rPh>
    <phoneticPr fontId="1"/>
  </si>
  <si>
    <t>期末原料在庫</t>
  </si>
  <si>
    <t>タフト</t>
    <phoneticPr fontId="1"/>
  </si>
  <si>
    <t>期末仕掛品在庫</t>
    <phoneticPr fontId="1"/>
  </si>
  <si>
    <t>コーティング</t>
    <phoneticPr fontId="1"/>
  </si>
  <si>
    <t>期末仕掛品在庫</t>
  </si>
  <si>
    <t>年月</t>
  </si>
  <si>
    <t>クラス名</t>
  </si>
  <si>
    <t>品種</t>
  </si>
  <si>
    <t>当月残数量</t>
  </si>
  <si>
    <t>当月残金額</t>
  </si>
  <si>
    <t>202512</t>
  </si>
  <si>
    <t>在庫</t>
  </si>
  <si>
    <t>0145-71</t>
  </si>
  <si>
    <t>0653-80</t>
  </si>
  <si>
    <t>Ｔ１Ｍ２２Ｓ（原反）</t>
  </si>
  <si>
    <t>3044-72</t>
  </si>
  <si>
    <t>ｱｸｼｮﾝﾊﾞｯｸ(PP SECONDARY</t>
  </si>
  <si>
    <t>7439-80</t>
  </si>
  <si>
    <t>7448-89</t>
  </si>
  <si>
    <t>7452-80</t>
  </si>
  <si>
    <t>7454-80</t>
  </si>
  <si>
    <t>7459-80</t>
  </si>
  <si>
    <t>7484-80</t>
  </si>
  <si>
    <t>7486-80</t>
  </si>
  <si>
    <t>7491-80</t>
  </si>
  <si>
    <t>0522-49</t>
  </si>
  <si>
    <t>0532-49</t>
  </si>
  <si>
    <t>0653-19</t>
  </si>
  <si>
    <t>6074-03</t>
  </si>
  <si>
    <t>6075-03</t>
  </si>
  <si>
    <t>6078-03</t>
  </si>
  <si>
    <t>6079-03</t>
  </si>
  <si>
    <t>6080-03</t>
  </si>
  <si>
    <t>6081-03</t>
  </si>
  <si>
    <t>6084-03</t>
  </si>
  <si>
    <t>6084-04</t>
  </si>
  <si>
    <t>6085-03</t>
  </si>
  <si>
    <t>6087-03</t>
  </si>
  <si>
    <t xml:space="preserve">アスボニー          </t>
  </si>
  <si>
    <t>6087-04</t>
  </si>
  <si>
    <t>6088-03</t>
  </si>
  <si>
    <t xml:space="preserve">アスマルーン        </t>
  </si>
  <si>
    <t>6999-99</t>
  </si>
  <si>
    <t>7067-03</t>
  </si>
  <si>
    <t>7379-03</t>
  </si>
  <si>
    <t>7439-03</t>
  </si>
  <si>
    <t>7439-04</t>
  </si>
  <si>
    <t>7448-03</t>
  </si>
  <si>
    <t>7452-03</t>
  </si>
  <si>
    <t>7454-03</t>
  </si>
  <si>
    <t>7459-03</t>
  </si>
  <si>
    <t>7477-03</t>
  </si>
  <si>
    <t>7479-03</t>
  </si>
  <si>
    <t>7480-03</t>
  </si>
  <si>
    <t>7484-03</t>
  </si>
  <si>
    <t>7486-03</t>
  </si>
  <si>
    <t>7488-03</t>
  </si>
  <si>
    <t>7491-03</t>
  </si>
  <si>
    <t>8004-03</t>
  </si>
  <si>
    <t>8006-03</t>
  </si>
  <si>
    <t>8017-03</t>
  </si>
  <si>
    <t>8039-03</t>
  </si>
  <si>
    <t>8046-03</t>
  </si>
  <si>
    <t>8999-99</t>
  </si>
  <si>
    <t>9991-99</t>
  </si>
  <si>
    <t>8038-03</t>
  </si>
  <si>
    <t>0561-19</t>
  </si>
  <si>
    <t>0626-24</t>
  </si>
  <si>
    <t>0630-24</t>
  </si>
  <si>
    <t>0632-24</t>
  </si>
  <si>
    <t>0633-24</t>
  </si>
  <si>
    <t>0634-24</t>
  </si>
  <si>
    <t>0635-24</t>
  </si>
  <si>
    <t>0637-24</t>
  </si>
  <si>
    <t>0640-24</t>
  </si>
  <si>
    <t>0641-24</t>
  </si>
  <si>
    <t>0642-24</t>
  </si>
  <si>
    <t>0645-24</t>
  </si>
  <si>
    <t>0646-24</t>
  </si>
  <si>
    <t>0647-24</t>
  </si>
  <si>
    <t>0648-24</t>
  </si>
  <si>
    <t>0901-19</t>
  </si>
  <si>
    <t>2004-24</t>
  </si>
  <si>
    <t>2006-24</t>
  </si>
  <si>
    <t>7007-19</t>
  </si>
  <si>
    <t>7008-19</t>
  </si>
  <si>
    <t>7013-19</t>
  </si>
  <si>
    <t>7018-19</t>
  </si>
  <si>
    <t>8102-19</t>
  </si>
  <si>
    <t>0001-80</t>
  </si>
  <si>
    <t>0005-80</t>
  </si>
  <si>
    <t>0036-80</t>
  </si>
  <si>
    <t>0046-89</t>
  </si>
  <si>
    <t xml:space="preserve">片面TC用ｽﾍﾞﾘ止  </t>
  </si>
  <si>
    <t>0049-80</t>
  </si>
  <si>
    <t>0061-80</t>
  </si>
  <si>
    <t>0063-71</t>
  </si>
  <si>
    <t>0146-71</t>
  </si>
  <si>
    <t>0184-71</t>
  </si>
  <si>
    <t xml:space="preserve">LDT5612DB             </t>
  </si>
  <si>
    <t>0196-72</t>
  </si>
  <si>
    <t>0211-72</t>
  </si>
  <si>
    <t>1048-73</t>
  </si>
  <si>
    <t>1999-80</t>
  </si>
  <si>
    <t>7086-80</t>
  </si>
  <si>
    <t>7099-89</t>
  </si>
  <si>
    <t xml:space="preserve">ｶｰﾍﾟｯﾄ用両面ﾃｰﾌﾟ    </t>
  </si>
  <si>
    <t>8005-80</t>
  </si>
  <si>
    <t>0028-07</t>
  </si>
  <si>
    <t>0035-07</t>
  </si>
  <si>
    <t>0042-07</t>
  </si>
  <si>
    <t>0044-07</t>
  </si>
  <si>
    <t>0046-07</t>
  </si>
  <si>
    <t>0049-07</t>
  </si>
  <si>
    <t>0053-07</t>
  </si>
  <si>
    <t>0054-07</t>
  </si>
  <si>
    <t>0061-07</t>
  </si>
  <si>
    <t>7021-07</t>
  </si>
  <si>
    <t>7023-07</t>
  </si>
  <si>
    <t>7024-07</t>
  </si>
  <si>
    <t xml:space="preserve">トリニティマットⅡ  </t>
  </si>
  <si>
    <t>7050-07</t>
  </si>
  <si>
    <t>7051-07</t>
  </si>
  <si>
    <t>7084-07</t>
  </si>
  <si>
    <t>7085-07</t>
  </si>
  <si>
    <t>7089-07</t>
  </si>
  <si>
    <t>7091-07</t>
  </si>
  <si>
    <t>7111-07</t>
  </si>
  <si>
    <t>7113-07</t>
  </si>
  <si>
    <t>7122-07</t>
  </si>
  <si>
    <t>7129-07</t>
  </si>
  <si>
    <t>7140-07</t>
  </si>
  <si>
    <t>7143-07</t>
  </si>
  <si>
    <t>7144-07</t>
  </si>
  <si>
    <t>7153-07</t>
  </si>
  <si>
    <t>7165-07</t>
  </si>
  <si>
    <t>7177-07</t>
  </si>
  <si>
    <t xml:space="preserve">抗菌トイレマット    </t>
  </si>
  <si>
    <t>7210-07</t>
  </si>
  <si>
    <t>7216-07</t>
  </si>
  <si>
    <t>7217-07</t>
  </si>
  <si>
    <t>7254-07</t>
  </si>
  <si>
    <t>7261-07</t>
  </si>
  <si>
    <t xml:space="preserve">JSR両面滑り止めシー </t>
  </si>
  <si>
    <t>7270-07</t>
  </si>
  <si>
    <t>7390-07</t>
  </si>
  <si>
    <t>7397-99</t>
  </si>
  <si>
    <t xml:space="preserve">ﾘｰｽｷﾝ運賃           </t>
  </si>
  <si>
    <t>7399-07</t>
  </si>
  <si>
    <t>7652-07</t>
  </si>
  <si>
    <t>4010-80</t>
  </si>
  <si>
    <t>4011-80</t>
  </si>
  <si>
    <t>4012-80</t>
  </si>
  <si>
    <t>4013-80</t>
  </si>
  <si>
    <t>9002-80</t>
  </si>
  <si>
    <t>一般タフト機用原糸2P</t>
  </si>
  <si>
    <t>9003-80</t>
  </si>
  <si>
    <t xml:space="preserve">一般糸497A/2PLY IV  </t>
  </si>
  <si>
    <t>2968-05</t>
  </si>
  <si>
    <t>新宿ﾜｼﾝﾄﾝﾛｳｶELV9F13F</t>
  </si>
  <si>
    <t>2970-05</t>
  </si>
  <si>
    <t xml:space="preserve">新宿ﾜｼﾝﾄﾝｷｬｸｼﾂ9F13F </t>
  </si>
  <si>
    <t>3144-05</t>
  </si>
  <si>
    <t>4002-05</t>
  </si>
  <si>
    <t>4003-05</t>
  </si>
  <si>
    <t>4006-05</t>
  </si>
  <si>
    <t>京王ﾌﾟﾗｻﾞ新宿11Fｷｬ</t>
  </si>
  <si>
    <t>4007-05</t>
  </si>
  <si>
    <t>4008-05</t>
  </si>
  <si>
    <t>4009-05</t>
  </si>
  <si>
    <t>4010-05</t>
  </si>
  <si>
    <t>4011-05</t>
  </si>
  <si>
    <t>4012-05</t>
  </si>
  <si>
    <t>4013-05</t>
  </si>
  <si>
    <t>9997-99</t>
  </si>
  <si>
    <t>4005-05</t>
  </si>
  <si>
    <t>エクシブ有馬EC客室</t>
  </si>
  <si>
    <t>2986-05</t>
  </si>
  <si>
    <t>長野NCﾋﾞﾙﾎﾃﾙ客室8F</t>
  </si>
  <si>
    <t>2987-05</t>
  </si>
  <si>
    <t>長野NCﾋﾞﾙﾎﾃﾙ廊下8F</t>
  </si>
  <si>
    <t>3143-05</t>
  </si>
  <si>
    <t>寒川神社「１Ｆ控室」</t>
  </si>
  <si>
    <t>2997-05</t>
  </si>
  <si>
    <t>ｱﾝﾀﾞｰｽﾞ東京47F客室</t>
  </si>
  <si>
    <t>2995-05</t>
  </si>
  <si>
    <t>ｱﾝﾀﾞｰｽﾞ東京48F客室</t>
  </si>
  <si>
    <t>2993-05</t>
  </si>
  <si>
    <t>ｼﾌﾞﾔｴｸｾﾙ14-17Fｷｬｸｼﾂ1&amp;2</t>
  </si>
  <si>
    <t>2989-05</t>
  </si>
  <si>
    <t xml:space="preserve">ﾌﾟﾘﾝｽｻｸﾗ客室4F5F9F  </t>
  </si>
  <si>
    <t>2988-05</t>
  </si>
  <si>
    <t xml:space="preserve">ﾌﾟﾘﾝｽｻｸﾗ廊下4F5F9F  </t>
  </si>
  <si>
    <t>2960-05</t>
  </si>
  <si>
    <t>ﾌﾟﾘﾝｽｻｸﾗｷｬｸｼﾂ10F-12F14</t>
  </si>
  <si>
    <t>2971-05</t>
  </si>
  <si>
    <t>ANA新潟ﾛｳｶ ﾉｰﾌﾞﾌﾛｰｲﾛ</t>
  </si>
  <si>
    <t>2926-05</t>
  </si>
  <si>
    <t>EBS HOTEL客室ｸﾞﾚｰｼﾞｭ</t>
  </si>
  <si>
    <t>2925-05</t>
  </si>
  <si>
    <t xml:space="preserve">EBS HOTEL客室ﾌﾞﾙｰ   </t>
  </si>
  <si>
    <t>2927-05</t>
  </si>
  <si>
    <t xml:space="preserve">EBS HOTEL廊下ﾌﾞﾙｰ   </t>
  </si>
  <si>
    <t>7090-80</t>
  </si>
  <si>
    <t>0001-50</t>
  </si>
  <si>
    <t>0003-50</t>
  </si>
  <si>
    <t>0005-50</t>
  </si>
  <si>
    <t>0008-50</t>
  </si>
  <si>
    <t>0008-60</t>
  </si>
  <si>
    <t>0009-50</t>
  </si>
  <si>
    <t>0011-50</t>
  </si>
  <si>
    <t>0011-60</t>
  </si>
  <si>
    <t>0012-50</t>
  </si>
  <si>
    <t>0014-50</t>
  </si>
  <si>
    <t xml:space="preserve">ＫＣＤ１０          </t>
  </si>
  <si>
    <t>0016-50</t>
  </si>
  <si>
    <t xml:space="preserve">ＫＣＤ３５３        </t>
  </si>
  <si>
    <t>0017-50</t>
  </si>
  <si>
    <t>0018-50</t>
  </si>
  <si>
    <t>0019-50</t>
  </si>
  <si>
    <t>0024-50</t>
  </si>
  <si>
    <t>0029-50</t>
  </si>
  <si>
    <t>0034-50</t>
  </si>
  <si>
    <t>0047-50</t>
  </si>
  <si>
    <t>0048-50</t>
  </si>
  <si>
    <t>0064-60</t>
  </si>
  <si>
    <t xml:space="preserve">ＰＲＯＴＥＸーＦ    </t>
  </si>
  <si>
    <t>0065-60</t>
  </si>
  <si>
    <t>0067-50</t>
  </si>
  <si>
    <t>0067-60</t>
  </si>
  <si>
    <t>0070-60</t>
  </si>
  <si>
    <t xml:space="preserve">ＳＩ空紡糸          </t>
  </si>
  <si>
    <t>0074-60</t>
  </si>
  <si>
    <t>0102-19</t>
  </si>
  <si>
    <t xml:space="preserve">ＳＢＰ１            </t>
  </si>
  <si>
    <t>0450-19</t>
  </si>
  <si>
    <t>1001-16</t>
  </si>
  <si>
    <t>1002-16</t>
  </si>
  <si>
    <t>2000-24</t>
  </si>
  <si>
    <t>6806-23</t>
  </si>
  <si>
    <t>0047-60</t>
  </si>
  <si>
    <t>0104-60</t>
  </si>
  <si>
    <t>0003-66</t>
  </si>
  <si>
    <t>ﾅｲﾛﾝﾗﾊﾞｰ原着２(ﾄｰｶｲ)</t>
  </si>
  <si>
    <t>0064-71</t>
  </si>
  <si>
    <t xml:space="preserve">ｺﾙﾊﾞｯｸTM-120(ｻﾝﾐｯｸ)   </t>
  </si>
  <si>
    <t>7021-66</t>
  </si>
  <si>
    <t>7023-66</t>
  </si>
  <si>
    <t>7024-66</t>
  </si>
  <si>
    <t>7086-66</t>
  </si>
  <si>
    <t>7087-66</t>
  </si>
  <si>
    <t>ＡＲ（原反）ｶﾗｰ･ｱｸﾃｽ</t>
  </si>
  <si>
    <t>7129-66</t>
  </si>
  <si>
    <t>7143-66</t>
  </si>
  <si>
    <t>7144-66</t>
  </si>
  <si>
    <t>7165-66</t>
  </si>
  <si>
    <t>7217-66</t>
  </si>
  <si>
    <t>9999-89</t>
  </si>
  <si>
    <t>8046-84</t>
  </si>
  <si>
    <t>8046-80</t>
  </si>
  <si>
    <t>8046-51</t>
  </si>
  <si>
    <t>8006-80</t>
  </si>
  <si>
    <t>8006-51</t>
  </si>
  <si>
    <t>8004-80</t>
  </si>
  <si>
    <t>8004-51</t>
  </si>
  <si>
    <t>7652-80</t>
  </si>
  <si>
    <t>7652-51</t>
  </si>
  <si>
    <t>7488-80</t>
  </si>
  <si>
    <t>7488-51</t>
  </si>
  <si>
    <t>7459-51</t>
  </si>
  <si>
    <t>7454-51</t>
  </si>
  <si>
    <t>7261-52</t>
  </si>
  <si>
    <t>7261-03</t>
  </si>
  <si>
    <t>7086-51</t>
  </si>
  <si>
    <t>7067-80</t>
  </si>
  <si>
    <t>7067-51</t>
  </si>
  <si>
    <t>6081-80</t>
  </si>
  <si>
    <t>6081-51</t>
  </si>
  <si>
    <t>4013-51</t>
  </si>
  <si>
    <t>4012-51</t>
  </si>
  <si>
    <t>4010-51</t>
  </si>
  <si>
    <t>4007-80</t>
  </si>
  <si>
    <t>4007-51</t>
  </si>
  <si>
    <t>3009-72</t>
  </si>
  <si>
    <t xml:space="preserve">PEｼｰﾄ ﾏｯﾄ滑り止め用 </t>
  </si>
  <si>
    <t>3008-72</t>
  </si>
  <si>
    <t xml:space="preserve">70150/WTO             </t>
  </si>
  <si>
    <t>3006-72</t>
  </si>
  <si>
    <t xml:space="preserve">XR-2121               </t>
  </si>
  <si>
    <t>1632-73</t>
  </si>
  <si>
    <t xml:space="preserve">DC-3001               </t>
  </si>
  <si>
    <t>1631-73</t>
  </si>
  <si>
    <t xml:space="preserve">EX-7335黒           </t>
  </si>
  <si>
    <t>1618-73</t>
  </si>
  <si>
    <t xml:space="preserve">24*18 MSGﾀﾞﾆ抗菌ｵｲﾙ </t>
  </si>
  <si>
    <t>1070-71</t>
  </si>
  <si>
    <t xml:space="preserve">24*16 MSGﾀﾞﾆ抗菌ｵｲﾙ </t>
  </si>
  <si>
    <t>1063-71</t>
  </si>
  <si>
    <t xml:space="preserve">LDT-5612              </t>
  </si>
  <si>
    <t>1032-71</t>
  </si>
  <si>
    <t>1003-72</t>
  </si>
  <si>
    <t xml:space="preserve">412RPB(400)           </t>
  </si>
  <si>
    <t>0922-71</t>
  </si>
  <si>
    <t xml:space="preserve">4124PD(BK)            </t>
  </si>
  <si>
    <t>0912-71</t>
  </si>
  <si>
    <t xml:space="preserve">4124PB                </t>
  </si>
  <si>
    <t>0911-71</t>
  </si>
  <si>
    <t xml:space="preserve">ｱﾋﾟｰﾙ 21202/ENZ       </t>
  </si>
  <si>
    <t>0816-71</t>
  </si>
  <si>
    <t xml:space="preserve">ｱﾋﾟｰﾙ 21202/KNZ (JPM) </t>
  </si>
  <si>
    <t>0815-71</t>
  </si>
  <si>
    <t>0813-71</t>
  </si>
  <si>
    <t xml:space="preserve">ﾏﾘｯｸｽ61009            </t>
  </si>
  <si>
    <t>0811-71</t>
  </si>
  <si>
    <t xml:space="preserve">ｽﾊﾟﾝﾎﾞﾝﾄﾞ21002/BXZ    </t>
  </si>
  <si>
    <t>0608-71</t>
  </si>
  <si>
    <t>0512-71</t>
  </si>
  <si>
    <t xml:space="preserve">TR1420-100W           </t>
  </si>
  <si>
    <t>0303-71</t>
  </si>
  <si>
    <t xml:space="preserve">SP超低22*16防虫   </t>
  </si>
  <si>
    <t>0249-71</t>
  </si>
  <si>
    <t xml:space="preserve">超低22*16防虫     </t>
  </si>
  <si>
    <t>0248-71</t>
  </si>
  <si>
    <t>0244-71</t>
  </si>
  <si>
    <t xml:space="preserve">PP24×13防抗菌ｵｲﾙ </t>
  </si>
  <si>
    <t>0194-71</t>
  </si>
  <si>
    <t xml:space="preserve">PP22×18防虫ｵｲﾙ   </t>
  </si>
  <si>
    <t>0134-71</t>
  </si>
  <si>
    <t>0133-71</t>
  </si>
  <si>
    <t>0124-71</t>
  </si>
  <si>
    <t xml:space="preserve">PP22×16防虫      </t>
  </si>
  <si>
    <t>0123-71</t>
  </si>
  <si>
    <t xml:space="preserve">PP22×16ｵｲﾙ         </t>
  </si>
  <si>
    <t>0122-71</t>
  </si>
  <si>
    <t xml:space="preserve">PP18×18防虫      </t>
  </si>
  <si>
    <t>0083-71</t>
  </si>
  <si>
    <t>0074-71</t>
  </si>
  <si>
    <t>0073-71</t>
  </si>
  <si>
    <t>0072-71</t>
  </si>
  <si>
    <t xml:space="preserve">PP18×13防虫ｵｲﾙ   </t>
  </si>
  <si>
    <t>0054-71</t>
  </si>
  <si>
    <t>0035-80</t>
  </si>
  <si>
    <t>0035-52</t>
  </si>
  <si>
    <t>0035-51</t>
  </si>
  <si>
    <t>0035-03</t>
  </si>
  <si>
    <t xml:space="preserve">PP18×11防虫      </t>
  </si>
  <si>
    <t>0033-71</t>
  </si>
  <si>
    <t>0028-52</t>
  </si>
  <si>
    <t>0028-03</t>
  </si>
  <si>
    <t>0005-52</t>
  </si>
  <si>
    <t>0005-51</t>
  </si>
  <si>
    <t>0001-52</t>
  </si>
  <si>
    <t>0001-51</t>
  </si>
  <si>
    <t>9999-99</t>
  </si>
  <si>
    <t>7652-03</t>
  </si>
  <si>
    <t>6806-24</t>
  </si>
  <si>
    <t>0049-03</t>
  </si>
  <si>
    <t xml:space="preserve">ODR-M35               </t>
  </si>
  <si>
    <t>9019-73</t>
  </si>
  <si>
    <t xml:space="preserve">ODR-K8                </t>
  </si>
  <si>
    <t>9018-73</t>
  </si>
  <si>
    <t xml:space="preserve">ｱﾓﾙﾃﾞﾝ TCM-4000       </t>
  </si>
  <si>
    <t>9016-73</t>
  </si>
  <si>
    <t xml:space="preserve">ﾌｱｲｺｰﾄ 70K            </t>
  </si>
  <si>
    <t>9015-73</t>
  </si>
  <si>
    <t xml:space="preserve">ｱﾓﾙﾃﾞﾝ NAZ-30         </t>
  </si>
  <si>
    <t>9014-73</t>
  </si>
  <si>
    <t xml:space="preserve">MS-1-05ｴｺﾏｯｸｽ       </t>
  </si>
  <si>
    <t>9011-73</t>
  </si>
  <si>
    <t xml:space="preserve">ｷｬﾀﾘｽﾄ                </t>
  </si>
  <si>
    <t>9009-73</t>
  </si>
  <si>
    <t xml:space="preserve">ﾌﾗﾝ                   </t>
  </si>
  <si>
    <t>9008-73</t>
  </si>
  <si>
    <t xml:space="preserve">ﾀﾝｶﾙ LW3000, BF-300   </t>
  </si>
  <si>
    <t>9006-73</t>
  </si>
  <si>
    <t>8039-80</t>
  </si>
  <si>
    <t>6806-80</t>
  </si>
  <si>
    <t>6085-80</t>
  </si>
  <si>
    <t>6080-80</t>
  </si>
  <si>
    <t>6074-80</t>
  </si>
  <si>
    <t>4016-80</t>
  </si>
  <si>
    <t>4003-80</t>
  </si>
  <si>
    <t>4002-80</t>
  </si>
  <si>
    <t xml:space="preserve">ONN-120               </t>
  </si>
  <si>
    <t>3004-72</t>
  </si>
  <si>
    <t>1633-73</t>
  </si>
  <si>
    <t>1614-73</t>
  </si>
  <si>
    <t xml:space="preserve">TF-D42                </t>
  </si>
  <si>
    <t>1605-73</t>
  </si>
  <si>
    <t xml:space="preserve">YA-1353               </t>
  </si>
  <si>
    <t>1511-73</t>
  </si>
  <si>
    <t>AG-E81(AG-7105代替品</t>
  </si>
  <si>
    <t>1508-73</t>
  </si>
  <si>
    <t xml:space="preserve">CL-1013J              </t>
  </si>
  <si>
    <t>1102-73</t>
  </si>
  <si>
    <t xml:space="preserve">ﾌﾞﾘｱﾝUK-200           </t>
  </si>
  <si>
    <t>1097-73</t>
  </si>
  <si>
    <t xml:space="preserve">CL-28(ﾋｶﾞｼ)           </t>
  </si>
  <si>
    <t>1013-73</t>
  </si>
  <si>
    <t>1013-71</t>
  </si>
  <si>
    <t xml:space="preserve">ｼﾞｭｰﾄﾊﾟﾝﾁ 7OZ         </t>
  </si>
  <si>
    <t>1013-72</t>
  </si>
  <si>
    <t xml:space="preserve">XR-3815               </t>
  </si>
  <si>
    <t>1012-73</t>
  </si>
  <si>
    <t>1006-73</t>
  </si>
  <si>
    <t xml:space="preserve">6 OZｼﾞｭｰﾄ             </t>
  </si>
  <si>
    <t>1002-72</t>
  </si>
  <si>
    <t xml:space="preserve">アル/ヴェル       </t>
  </si>
  <si>
    <t>0820-80</t>
  </si>
  <si>
    <t>0814-71</t>
  </si>
  <si>
    <t xml:space="preserve">ﾏﾘｯｸｽ61209            </t>
  </si>
  <si>
    <t>0812-71</t>
  </si>
  <si>
    <t xml:space="preserve">F350ZBE               </t>
  </si>
  <si>
    <t>0350-72</t>
  </si>
  <si>
    <t>超低18*18防虫抗菌ｵ</t>
  </si>
  <si>
    <t>0256-71</t>
  </si>
  <si>
    <t xml:space="preserve">SP22×23ｵｲﾙ         </t>
  </si>
  <si>
    <t>0222-71</t>
  </si>
  <si>
    <t xml:space="preserve">SP22×18防虫ｵｲﾙ   </t>
  </si>
  <si>
    <t>0214-71</t>
  </si>
  <si>
    <t xml:space="preserve">PP22×18ｵｲﾙ         </t>
  </si>
  <si>
    <t>0132-71</t>
  </si>
  <si>
    <t xml:space="preserve">F110細ｄ            </t>
  </si>
  <si>
    <t>0110-72</t>
  </si>
  <si>
    <t xml:space="preserve">ﾌｪﾙﾄ80G黒50%ﾒﾙﾄ15%  </t>
  </si>
  <si>
    <t>0085-72</t>
  </si>
  <si>
    <t xml:space="preserve">PP18×18ｵｲﾙ         </t>
  </si>
  <si>
    <t>0082-71</t>
  </si>
  <si>
    <t xml:space="preserve">F70                   </t>
  </si>
  <si>
    <t>0070-72</t>
  </si>
  <si>
    <t xml:space="preserve">PP18×13防虫      </t>
  </si>
  <si>
    <t>0053-71</t>
  </si>
  <si>
    <t xml:space="preserve">PP18×13ｵｲﾙ         </t>
  </si>
  <si>
    <t>0052-71</t>
  </si>
  <si>
    <t xml:space="preserve">PP18×13抗菌ｵｲﾙ   </t>
  </si>
  <si>
    <t>0049-71</t>
  </si>
  <si>
    <t>8046-52</t>
  </si>
  <si>
    <t>8039-52</t>
  </si>
  <si>
    <t>8039-51</t>
  </si>
  <si>
    <t>8006-52</t>
  </si>
  <si>
    <t>8004-52</t>
  </si>
  <si>
    <t>7652-52</t>
  </si>
  <si>
    <t>7491-52</t>
  </si>
  <si>
    <t>7491-51</t>
  </si>
  <si>
    <t>7488-52</t>
  </si>
  <si>
    <t>7486-52</t>
  </si>
  <si>
    <t>7486-51</t>
  </si>
  <si>
    <t>7484-52</t>
  </si>
  <si>
    <t>7484-51</t>
  </si>
  <si>
    <t>7459-52</t>
  </si>
  <si>
    <t>7448-52</t>
  </si>
  <si>
    <t>7448-51</t>
  </si>
  <si>
    <t>7439-52</t>
  </si>
  <si>
    <t>7439-51</t>
  </si>
  <si>
    <t>7067-52</t>
  </si>
  <si>
    <t>6806-52</t>
  </si>
  <si>
    <t>6806-51</t>
  </si>
  <si>
    <t>6081-52</t>
  </si>
  <si>
    <t>6080-52</t>
  </si>
  <si>
    <t>6080-51</t>
  </si>
  <si>
    <t>4013-52</t>
  </si>
  <si>
    <t>4012-52</t>
  </si>
  <si>
    <t>4011-52</t>
  </si>
  <si>
    <t>4011-51</t>
  </si>
  <si>
    <t>4010-52</t>
  </si>
  <si>
    <t>4008-52</t>
  </si>
  <si>
    <t>4008-51</t>
  </si>
  <si>
    <t>4007-52</t>
  </si>
  <si>
    <t>4003-52</t>
  </si>
  <si>
    <t>4003-51</t>
  </si>
  <si>
    <t>4002-52</t>
  </si>
  <si>
    <t>4002-51</t>
  </si>
  <si>
    <t>0049-52</t>
  </si>
  <si>
    <t>0049-51</t>
  </si>
  <si>
    <t xml:space="preserve">ﾊﾞｯｷﾝｸﾞ加工         </t>
  </si>
  <si>
    <t>7413-51</t>
  </si>
  <si>
    <t>0036-51</t>
  </si>
  <si>
    <t>7086-52</t>
  </si>
  <si>
    <t>7399-69</t>
  </si>
  <si>
    <t>7390-69</t>
  </si>
  <si>
    <t>7254-69</t>
  </si>
  <si>
    <t>7217-69</t>
  </si>
  <si>
    <t>7216-69</t>
  </si>
  <si>
    <t>7210-69</t>
  </si>
  <si>
    <t>7165-69</t>
  </si>
  <si>
    <t>7153-69</t>
  </si>
  <si>
    <t>7144-69</t>
  </si>
  <si>
    <t>7143-69</t>
  </si>
  <si>
    <t>7129-69</t>
  </si>
  <si>
    <t>7122-69</t>
  </si>
  <si>
    <t>7113-69</t>
  </si>
  <si>
    <t>7111-69</t>
  </si>
  <si>
    <t>7091-69</t>
  </si>
  <si>
    <t>7089-69</t>
  </si>
  <si>
    <t>7085-69</t>
  </si>
  <si>
    <t>7084-69</t>
  </si>
  <si>
    <t>7051-69</t>
  </si>
  <si>
    <t>7050-69</t>
  </si>
  <si>
    <t>7024-69</t>
  </si>
  <si>
    <t>7023-69</t>
  </si>
  <si>
    <t>7021-69</t>
  </si>
  <si>
    <t>0061-69</t>
  </si>
  <si>
    <t>0054-69</t>
  </si>
  <si>
    <t>0053-69</t>
  </si>
  <si>
    <t>0042-69</t>
  </si>
  <si>
    <t xml:space="preserve">レイシステム原反    </t>
  </si>
  <si>
    <t>9011-66</t>
  </si>
  <si>
    <t>7140-66</t>
  </si>
  <si>
    <t xml:space="preserve">コンフォートマット  </t>
  </si>
  <si>
    <t>7022-66</t>
  </si>
  <si>
    <t>0005-66</t>
  </si>
  <si>
    <t>0001-66</t>
  </si>
  <si>
    <t>110</t>
    <phoneticPr fontId="1"/>
  </si>
  <si>
    <t>製品</t>
  </si>
  <si>
    <t>コーティング半製品</t>
  </si>
  <si>
    <t>タフト半製品</t>
  </si>
  <si>
    <t>加工在庫</t>
  </si>
  <si>
    <t>原材料</t>
  </si>
  <si>
    <t>預け在庫</t>
  </si>
  <si>
    <t>コーティング半製品</t>
    <phoneticPr fontId="1"/>
  </si>
  <si>
    <t>原材料</t>
    <phoneticPr fontId="1"/>
  </si>
  <si>
    <t>預り在庫</t>
  </si>
  <si>
    <t>タフト半製品</t>
    <phoneticPr fontId="1"/>
  </si>
  <si>
    <t>SbSys区分</t>
    <phoneticPr fontId="1"/>
  </si>
  <si>
    <t>部門CD</t>
    <phoneticPr fontId="1"/>
  </si>
  <si>
    <t>クラス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</si>
</sst>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2"/>
      <color rgb="FFFF000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66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176" fontId="4" fillId="3" borderId="6" xfId="0" applyNumberFormat="1" applyFont="1" applyFill="1" applyBorder="1" applyAlignment="1">
      <alignment horizontal="right" vertical="center"/>
    </xf>
    <xf numFmtId="176" fontId="4" fillId="3" borderId="7" xfId="0" applyNumberFormat="1" applyFont="1" applyFill="1" applyBorder="1" applyAlignment="1">
      <alignment horizontal="right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49" fontId="4" fillId="3" borderId="9" xfId="0" applyNumberFormat="1" applyFont="1" applyFill="1" applyBorder="1" applyAlignment="1">
      <alignment horizontal="center" vertical="center"/>
    </xf>
    <xf numFmtId="176" fontId="4" fillId="3" borderId="9" xfId="0" applyNumberFormat="1" applyFont="1" applyFill="1" applyBorder="1" applyAlignment="1">
      <alignment horizontal="right" vertical="center"/>
    </xf>
    <xf numFmtId="176" fontId="4" fillId="3" borderId="10" xfId="0" applyNumberFormat="1" applyFont="1" applyFill="1" applyBorder="1" applyAlignment="1">
      <alignment horizontal="right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49" fontId="4" fillId="4" borderId="9" xfId="0" applyNumberFormat="1" applyFont="1" applyFill="1" applyBorder="1" applyAlignment="1">
      <alignment horizontal="center" vertical="center"/>
    </xf>
    <xf numFmtId="176" fontId="4" fillId="4" borderId="9" xfId="0" applyNumberFormat="1" applyFont="1" applyFill="1" applyBorder="1" applyAlignment="1">
      <alignment horizontal="right" vertical="center"/>
    </xf>
    <xf numFmtId="176" fontId="4" fillId="4" borderId="10" xfId="0" applyNumberFormat="1" applyFont="1" applyFill="1" applyBorder="1" applyAlignment="1">
      <alignment horizontal="right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49" fontId="4" fillId="5" borderId="9" xfId="0" applyNumberFormat="1" applyFont="1" applyFill="1" applyBorder="1" applyAlignment="1">
      <alignment horizontal="center" vertical="center"/>
    </xf>
    <xf numFmtId="176" fontId="4" fillId="5" borderId="9" xfId="0" applyNumberFormat="1" applyFont="1" applyFill="1" applyBorder="1" applyAlignment="1">
      <alignment horizontal="right" vertical="center"/>
    </xf>
    <xf numFmtId="176" fontId="4" fillId="5" borderId="10" xfId="0" applyNumberFormat="1" applyFont="1" applyFill="1" applyBorder="1" applyAlignment="1">
      <alignment horizontal="right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49" fontId="4" fillId="6" borderId="9" xfId="0" applyNumberFormat="1" applyFont="1" applyFill="1" applyBorder="1" applyAlignment="1">
      <alignment horizontal="center" vertical="center"/>
    </xf>
    <xf numFmtId="176" fontId="4" fillId="6" borderId="9" xfId="0" applyNumberFormat="1" applyFont="1" applyFill="1" applyBorder="1" applyAlignment="1">
      <alignment horizontal="right" vertical="center"/>
    </xf>
    <xf numFmtId="176" fontId="4" fillId="6" borderId="10" xfId="0" applyNumberFormat="1" applyFont="1" applyFill="1" applyBorder="1" applyAlignment="1">
      <alignment horizontal="right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49" fontId="4" fillId="7" borderId="9" xfId="0" applyNumberFormat="1" applyFont="1" applyFill="1" applyBorder="1" applyAlignment="1">
      <alignment horizontal="center" vertical="center"/>
    </xf>
    <xf numFmtId="176" fontId="4" fillId="7" borderId="9" xfId="0" applyNumberFormat="1" applyFont="1" applyFill="1" applyBorder="1" applyAlignment="1">
      <alignment horizontal="right" vertical="center"/>
    </xf>
    <xf numFmtId="176" fontId="4" fillId="7" borderId="10" xfId="0" applyNumberFormat="1" applyFont="1" applyFill="1" applyBorder="1" applyAlignment="1">
      <alignment horizontal="right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49" fontId="4" fillId="8" borderId="9" xfId="0" applyNumberFormat="1" applyFont="1" applyFill="1" applyBorder="1" applyAlignment="1">
      <alignment horizontal="center" vertical="center"/>
    </xf>
    <xf numFmtId="176" fontId="4" fillId="8" borderId="9" xfId="0" applyNumberFormat="1" applyFont="1" applyFill="1" applyBorder="1" applyAlignment="1">
      <alignment horizontal="right" vertical="center"/>
    </xf>
    <xf numFmtId="176" fontId="4" fillId="8" borderId="10" xfId="0" applyNumberFormat="1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49" fontId="4" fillId="9" borderId="9" xfId="0" applyNumberFormat="1" applyFont="1" applyFill="1" applyBorder="1" applyAlignment="1">
      <alignment horizontal="center" vertical="center"/>
    </xf>
    <xf numFmtId="176" fontId="4" fillId="9" borderId="9" xfId="0" applyNumberFormat="1" applyFont="1" applyFill="1" applyBorder="1" applyAlignment="1">
      <alignment horizontal="right" vertical="center"/>
    </xf>
    <xf numFmtId="176" fontId="4" fillId="9" borderId="10" xfId="0" applyNumberFormat="1" applyFont="1" applyFill="1" applyBorder="1" applyAlignment="1">
      <alignment horizontal="right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49" fontId="4" fillId="10" borderId="9" xfId="0" applyNumberFormat="1" applyFont="1" applyFill="1" applyBorder="1" applyAlignment="1">
      <alignment horizontal="center" vertical="center"/>
    </xf>
    <xf numFmtId="176" fontId="4" fillId="10" borderId="9" xfId="0" applyNumberFormat="1" applyFont="1" applyFill="1" applyBorder="1" applyAlignment="1">
      <alignment horizontal="right" vertical="center"/>
    </xf>
    <xf numFmtId="176" fontId="4" fillId="10" borderId="10" xfId="0" applyNumberFormat="1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49" fontId="4" fillId="11" borderId="9" xfId="0" applyNumberFormat="1" applyFont="1" applyFill="1" applyBorder="1" applyAlignment="1">
      <alignment horizontal="center" vertical="center"/>
    </xf>
    <xf numFmtId="176" fontId="4" fillId="11" borderId="9" xfId="0" applyNumberFormat="1" applyFont="1" applyFill="1" applyBorder="1" applyAlignment="1">
      <alignment horizontal="right" vertical="center"/>
    </xf>
    <xf numFmtId="176" fontId="4" fillId="11" borderId="10" xfId="0" applyNumberFormat="1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49" fontId="4" fillId="12" borderId="9" xfId="0" applyNumberFormat="1" applyFont="1" applyFill="1" applyBorder="1" applyAlignment="1">
      <alignment horizontal="center" vertical="center"/>
    </xf>
    <xf numFmtId="176" fontId="4" fillId="12" borderId="9" xfId="0" applyNumberFormat="1" applyFont="1" applyFill="1" applyBorder="1" applyAlignment="1">
      <alignment horizontal="right" vertical="center"/>
    </xf>
    <xf numFmtId="176" fontId="4" fillId="12" borderId="10" xfId="0" applyNumberFormat="1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49" fontId="4" fillId="13" borderId="9" xfId="0" applyNumberFormat="1" applyFont="1" applyFill="1" applyBorder="1" applyAlignment="1">
      <alignment horizontal="center" vertical="center"/>
    </xf>
    <xf numFmtId="176" fontId="4" fillId="13" borderId="9" xfId="0" applyNumberFormat="1" applyFont="1" applyFill="1" applyBorder="1" applyAlignment="1">
      <alignment horizontal="right" vertical="center"/>
    </xf>
    <xf numFmtId="176" fontId="4" fillId="13" borderId="10" xfId="0" applyNumberFormat="1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49" fontId="4" fillId="14" borderId="9" xfId="0" applyNumberFormat="1" applyFont="1" applyFill="1" applyBorder="1" applyAlignment="1">
      <alignment horizontal="center" vertical="center"/>
    </xf>
    <xf numFmtId="176" fontId="4" fillId="14" borderId="9" xfId="0" applyNumberFormat="1" applyFont="1" applyFill="1" applyBorder="1" applyAlignment="1">
      <alignment horizontal="right" vertical="center"/>
    </xf>
    <xf numFmtId="176" fontId="4" fillId="14" borderId="10" xfId="0" applyNumberFormat="1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center" vertical="center"/>
    </xf>
    <xf numFmtId="49" fontId="4" fillId="15" borderId="9" xfId="0" applyNumberFormat="1" applyFont="1" applyFill="1" applyBorder="1" applyAlignment="1">
      <alignment horizontal="center" vertical="center"/>
    </xf>
    <xf numFmtId="176" fontId="4" fillId="15" borderId="9" xfId="0" applyNumberFormat="1" applyFont="1" applyFill="1" applyBorder="1" applyAlignment="1">
      <alignment horizontal="right" vertical="center"/>
    </xf>
    <xf numFmtId="176" fontId="4" fillId="15" borderId="10" xfId="0" applyNumberFormat="1" applyFont="1" applyFill="1" applyBorder="1" applyAlignment="1">
      <alignment horizontal="right" vertical="center"/>
    </xf>
    <xf numFmtId="0" fontId="4" fillId="16" borderId="8" xfId="0" applyFont="1" applyFill="1" applyBorder="1" applyAlignment="1">
      <alignment horizontal="center" vertical="center"/>
    </xf>
    <xf numFmtId="0" fontId="4" fillId="16" borderId="9" xfId="0" applyFont="1" applyFill="1" applyBorder="1" applyAlignment="1">
      <alignment horizontal="center" vertical="center"/>
    </xf>
    <xf numFmtId="49" fontId="4" fillId="16" borderId="9" xfId="0" applyNumberFormat="1" applyFont="1" applyFill="1" applyBorder="1" applyAlignment="1">
      <alignment horizontal="center" vertical="center"/>
    </xf>
    <xf numFmtId="176" fontId="4" fillId="16" borderId="9" xfId="0" applyNumberFormat="1" applyFont="1" applyFill="1" applyBorder="1" applyAlignment="1">
      <alignment horizontal="right" vertical="center"/>
    </xf>
    <xf numFmtId="176" fontId="4" fillId="16" borderId="10" xfId="0" applyNumberFormat="1" applyFont="1" applyFill="1" applyBorder="1" applyAlignment="1">
      <alignment horizontal="right" vertical="center"/>
    </xf>
    <xf numFmtId="0" fontId="4" fillId="17" borderId="8" xfId="0" applyFont="1" applyFill="1" applyBorder="1" applyAlignment="1">
      <alignment horizontal="center" vertical="center"/>
    </xf>
    <xf numFmtId="0" fontId="4" fillId="17" borderId="9" xfId="0" applyFont="1" applyFill="1" applyBorder="1" applyAlignment="1">
      <alignment horizontal="center" vertical="center"/>
    </xf>
    <xf numFmtId="49" fontId="4" fillId="17" borderId="9" xfId="0" applyNumberFormat="1" applyFont="1" applyFill="1" applyBorder="1" applyAlignment="1">
      <alignment horizontal="center" vertical="center"/>
    </xf>
    <xf numFmtId="176" fontId="4" fillId="17" borderId="9" xfId="0" applyNumberFormat="1" applyFont="1" applyFill="1" applyBorder="1" applyAlignment="1">
      <alignment horizontal="right" vertical="center"/>
    </xf>
    <xf numFmtId="176" fontId="4" fillId="17" borderId="10" xfId="0" applyNumberFormat="1" applyFont="1" applyFill="1" applyBorder="1" applyAlignment="1">
      <alignment horizontal="right" vertical="center"/>
    </xf>
    <xf numFmtId="0" fontId="4" fillId="17" borderId="11" xfId="0" applyFont="1" applyFill="1" applyBorder="1" applyAlignment="1">
      <alignment horizontal="center" vertical="center"/>
    </xf>
    <xf numFmtId="0" fontId="4" fillId="17" borderId="12" xfId="0" applyFont="1" applyFill="1" applyBorder="1" applyAlignment="1">
      <alignment horizontal="center" vertical="center"/>
    </xf>
    <xf numFmtId="49" fontId="4" fillId="17" borderId="12" xfId="0" applyNumberFormat="1" applyFont="1" applyFill="1" applyBorder="1" applyAlignment="1">
      <alignment horizontal="center" vertical="center"/>
    </xf>
    <xf numFmtId="176" fontId="4" fillId="17" borderId="12" xfId="0" applyNumberFormat="1" applyFont="1" applyFill="1" applyBorder="1" applyAlignment="1">
      <alignment horizontal="right" vertical="center"/>
    </xf>
    <xf numFmtId="3" fontId="4" fillId="0" borderId="0" xfId="0" applyNumberFormat="1" applyFont="1">
      <alignment vertical="center"/>
    </xf>
    <xf numFmtId="49" fontId="0" fillId="0" borderId="0" xfId="0" quotePrefix="1" applyNumberFormat="1">
      <alignment vertical="center"/>
    </xf>
    <xf numFmtId="176" fontId="5" fillId="15" borderId="9" xfId="0" applyNumberFormat="1" applyFont="1" applyFill="1" applyBorder="1">
      <alignment vertical="center"/>
    </xf>
    <xf numFmtId="176" fontId="5" fillId="15" borderId="9" xfId="0" applyNumberFormat="1" applyFont="1" applyFill="1" applyBorder="1" applyAlignment="1">
      <alignment horizontal="right" vertical="center"/>
    </xf>
    <xf numFmtId="176" fontId="5" fillId="13" borderId="9" xfId="0" applyNumberFormat="1" applyFont="1" applyFill="1" applyBorder="1">
      <alignment vertical="center"/>
    </xf>
    <xf numFmtId="176" fontId="5" fillId="3" borderId="6" xfId="0" applyNumberFormat="1" applyFont="1" applyFill="1" applyBorder="1">
      <alignment vertical="center"/>
    </xf>
    <xf numFmtId="176" fontId="5" fillId="6" borderId="9" xfId="0" applyNumberFormat="1" applyFont="1" applyFill="1" applyBorder="1">
      <alignment vertical="center"/>
    </xf>
    <xf numFmtId="176" fontId="5" fillId="3" borderId="9" xfId="0" applyNumberFormat="1" applyFont="1" applyFill="1" applyBorder="1">
      <alignment vertical="center"/>
    </xf>
    <xf numFmtId="176" fontId="5" fillId="4" borderId="9" xfId="0" applyNumberFormat="1" applyFont="1" applyFill="1" applyBorder="1">
      <alignment vertical="center"/>
    </xf>
    <xf numFmtId="176" fontId="5" fillId="9" borderId="9" xfId="0" applyNumberFormat="1" applyFont="1" applyFill="1" applyBorder="1">
      <alignment vertical="center"/>
    </xf>
    <xf numFmtId="176" fontId="5" fillId="11" borderId="9" xfId="0" applyNumberFormat="1" applyFont="1" applyFill="1" applyBorder="1">
      <alignment vertical="center"/>
    </xf>
    <xf numFmtId="176" fontId="5" fillId="16" borderId="9" xfId="0" applyNumberFormat="1" applyFont="1" applyFill="1" applyBorder="1">
      <alignment vertical="center"/>
    </xf>
    <xf numFmtId="176" fontId="5" fillId="17" borderId="9" xfId="0" applyNumberFormat="1" applyFont="1" applyFill="1" applyBorder="1">
      <alignment vertical="center"/>
    </xf>
    <xf numFmtId="176" fontId="5" fillId="14" borderId="9" xfId="0" applyNumberFormat="1" applyFont="1" applyFill="1" applyBorder="1">
      <alignment vertical="center"/>
    </xf>
    <xf numFmtId="176" fontId="5" fillId="5" borderId="9" xfId="0" applyNumberFormat="1" applyFont="1" applyFill="1" applyBorder="1">
      <alignment vertical="center"/>
    </xf>
    <xf numFmtId="176" fontId="5" fillId="8" borderId="9" xfId="0" applyNumberFormat="1" applyFont="1" applyFill="1" applyBorder="1">
      <alignment vertical="center"/>
    </xf>
    <xf numFmtId="176" fontId="5" fillId="12" borderId="9" xfId="0" applyNumberFormat="1" applyFont="1" applyFill="1" applyBorder="1">
      <alignment vertical="center"/>
    </xf>
    <xf numFmtId="176" fontId="5" fillId="10" borderId="9" xfId="0" applyNumberFormat="1" applyFont="1" applyFill="1" applyBorder="1">
      <alignment vertical="center"/>
    </xf>
    <xf numFmtId="176" fontId="5" fillId="16" borderId="10" xfId="0" applyNumberFormat="1" applyFont="1" applyFill="1" applyBorder="1">
      <alignment vertical="center"/>
    </xf>
    <xf numFmtId="176" fontId="5" fillId="17" borderId="13" xfId="0" applyNumberFormat="1" applyFont="1" applyFill="1" applyBorder="1">
      <alignment vertical="center"/>
    </xf>
    <xf numFmtId="176" fontId="5" fillId="17" borderId="10" xfId="0" applyNumberFormat="1" applyFont="1" applyFill="1" applyBorder="1" applyAlignment="1">
      <alignment horizontal="right" vertical="center"/>
    </xf>
    <xf numFmtId="176" fontId="5" fillId="14" borderId="10" xfId="0" applyNumberFormat="1" applyFont="1" applyFill="1" applyBorder="1">
      <alignment vertical="center"/>
    </xf>
    <xf numFmtId="176" fontId="5" fillId="5" borderId="10" xfId="0" applyNumberFormat="1" applyFont="1" applyFill="1" applyBorder="1">
      <alignment vertical="center"/>
    </xf>
    <xf numFmtId="176" fontId="5" fillId="10" borderId="10" xfId="0" applyNumberFormat="1" applyFont="1" applyFill="1" applyBorder="1">
      <alignment vertical="center"/>
    </xf>
    <xf numFmtId="176" fontId="5" fillId="7" borderId="9" xfId="0" applyNumberFormat="1" applyFont="1" applyFill="1" applyBorder="1">
      <alignment vertical="center"/>
    </xf>
    <xf numFmtId="176" fontId="5" fillId="12" borderId="10" xfId="0" applyNumberFormat="1" applyFont="1" applyFill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6" fontId="4" fillId="0" borderId="4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Ohnosys\003_&#12524;&#12452;&#12450;&#12454;&#12488;\AS400\&#65316;&#65314;&#12524;&#12452;&#12450;&#12454;&#12488;.xls" TargetMode="External"/><Relationship Id="rId1" Type="http://schemas.openxmlformats.org/officeDocument/2006/relationships/externalLinkPath" Target="/Ohnosys/003_&#12524;&#12452;&#12450;&#12454;&#12488;/AS400/&#65316;&#65314;&#12524;&#12452;&#12450;&#12454;&#1248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ＤＢ一欄"/>
      <sheetName val="項目一覧"/>
      <sheetName val="原紙"/>
      <sheetName val="担当者マスタ"/>
      <sheetName val="部門マスタ"/>
      <sheetName val="取引先マスタ"/>
      <sheetName val="品名マスタ"/>
      <sheetName val="品種マスタ"/>
      <sheetName val="色マスタ"/>
      <sheetName val="サイズマスタ"/>
      <sheetName val="品目マスタ"/>
      <sheetName val="単位マスタ"/>
      <sheetName val="販売単価マスタ"/>
      <sheetName val="仕入単価マスタ"/>
      <sheetName val="工程マスタ"/>
      <sheetName val="構成マスタ"/>
      <sheetName val="取引区分マスタ"/>
      <sheetName val="備考マスタ"/>
      <sheetName val="カレンダーマスタ"/>
      <sheetName val="コントロールマスタ"/>
      <sheetName val="検索マスタ"/>
      <sheetName val="工程グループマスタ"/>
      <sheetName val="受注ファイル"/>
      <sheetName val="受注反番ファイル"/>
      <sheetName val="引当ファイル"/>
      <sheetName val="売上ファイル"/>
      <sheetName val="請求ファイル（鑑）"/>
      <sheetName val="請求ファイル（明細）"/>
      <sheetName val="入金ファイル"/>
      <sheetName val="仕入ファイル"/>
      <sheetName val="仕入反番ファイル"/>
      <sheetName val="支払ファイル"/>
      <sheetName val="加工ファイル"/>
      <sheetName val="加工工程ファイル"/>
      <sheetName val="加工原材料ファイル"/>
      <sheetName val="加工入庫ファイル"/>
      <sheetName val="加工反番ファイル"/>
      <sheetName val="加工原材料使用ファイル"/>
      <sheetName val="加工原材料使用ファイル（反番）"/>
      <sheetName val="反番ファイル"/>
      <sheetName val="在庫ファイル"/>
      <sheetName val="棚卸ファイル"/>
      <sheetName val="摘要ファイル"/>
      <sheetName val="入出力履歴ファイル"/>
      <sheetName val="出荷報告書ファイル"/>
      <sheetName val="仕入一覧表ファイル"/>
      <sheetName val="加工指示一覧表ファイル"/>
      <sheetName val="加工指示残一覧表ファイル"/>
      <sheetName val="加工入庫一覧表ファイル"/>
      <sheetName val="棚卸差異表ファイル"/>
      <sheetName val="製品在庫一覧表ファイル"/>
      <sheetName val="売掛月次マスタ"/>
      <sheetName val="買掛月次マスタ"/>
      <sheetName val="在庫月次マスタ"/>
      <sheetName val="反番月次マスタ"/>
      <sheetName val="品目月次マスタ"/>
      <sheetName val="販売実績表ファイル"/>
      <sheetName val="仕入実績表ファイル"/>
      <sheetName val="在庫台帳ファイル"/>
      <sheetName val="売掛台帳ワークファイル"/>
      <sheetName val="買掛台帳ワークファイル"/>
      <sheetName val="所要量展開ワークファイル"/>
      <sheetName val="出荷指示書ワークファイル"/>
      <sheetName val="締日マスタ"/>
      <sheetName val="集計区分マスタ"/>
      <sheetName val="オンラインヘルプマスタ"/>
      <sheetName val="引受引渡一覧表ワークファイル"/>
      <sheetName val="品目原価確定ファイル"/>
      <sheetName val="品目原価変更ファイル"/>
      <sheetName val="会社マスタ"/>
      <sheetName val="経理転送部門変換ファイル"/>
      <sheetName val="摘要ファイル(伝送)"/>
      <sheetName val="仕入ファイル(伝送)"/>
      <sheetName val="仕入反番ファイル(伝送)"/>
      <sheetName val="預書ワークファイル(反番)"/>
      <sheetName val="預書ワークファイル"/>
      <sheetName val="自動仕訳 引受引渡ワークファイル"/>
      <sheetName val="買掛金自動仕訳ワークファイル"/>
      <sheetName val="売掛金自動仕訳ワークファイル"/>
      <sheetName val="在庫表ファイル"/>
      <sheetName val="在庫表ファイル(倉庫別)"/>
      <sheetName val="三井用サイズ"/>
      <sheetName val="三井用商品分類"/>
      <sheetName val="三井用種別"/>
      <sheetName val="三井用単位"/>
      <sheetName val="三井用販社"/>
      <sheetName val="三井用品名"/>
      <sheetName val="オンライン取引先マスタ"/>
      <sheetName val="有効在庫数量調整入力履歴ファイル"/>
      <sheetName val="品目コード自動変換マスタ"/>
      <sheetName val="品名部門コード自動変換マスタ"/>
      <sheetName val="ＰＣＡ会計用科目コードマスタ"/>
      <sheetName val="ＰＣＡ会計用仕訳データ"/>
      <sheetName val="ＰＣＡ会計用仕訳データ（連結）"/>
      <sheetName val="ＰＣＡ会計用在庫期末残高WF"/>
      <sheetName val="引受引渡可能部門マスタ"/>
      <sheetName val="品名品種自動変換マスタ"/>
    </sheetNames>
    <sheetDataSet>
      <sheetData sheetId="0">
        <row r="4">
          <cell r="B4" t="str">
            <v>担当者マスタ</v>
          </cell>
          <cell r="C4" t="str">
            <v>マスタ業務</v>
          </cell>
          <cell r="D4" t="str">
            <v>MM</v>
          </cell>
          <cell r="E4" t="str">
            <v>TANT</v>
          </cell>
          <cell r="F4" t="str">
            <v>MMTANTP</v>
          </cell>
          <cell r="G4" t="str">
            <v>MMTANTPR</v>
          </cell>
        </row>
        <row r="5">
          <cell r="B5" t="str">
            <v>部門マスタ</v>
          </cell>
          <cell r="C5" t="str">
            <v>マスタ業務</v>
          </cell>
          <cell r="D5" t="str">
            <v>MM</v>
          </cell>
          <cell r="E5" t="str">
            <v>BUMO</v>
          </cell>
          <cell r="F5" t="str">
            <v>MMBUMOP</v>
          </cell>
          <cell r="G5" t="str">
            <v>MMBUMOPR</v>
          </cell>
        </row>
        <row r="6">
          <cell r="B6" t="str">
            <v>取引先マスタ</v>
          </cell>
          <cell r="C6" t="str">
            <v>マスタ業務</v>
          </cell>
          <cell r="D6" t="str">
            <v>MM</v>
          </cell>
          <cell r="E6" t="str">
            <v>TORI</v>
          </cell>
          <cell r="F6" t="str">
            <v>MMTORIP</v>
          </cell>
          <cell r="G6" t="str">
            <v>MMTORIPR</v>
          </cell>
        </row>
        <row r="7">
          <cell r="B7" t="str">
            <v>品名マスタ</v>
          </cell>
          <cell r="C7" t="str">
            <v>マスタ業務</v>
          </cell>
          <cell r="D7" t="str">
            <v>MM</v>
          </cell>
          <cell r="E7" t="str">
            <v>HNAM</v>
          </cell>
          <cell r="F7" t="str">
            <v>MMHNAMP</v>
          </cell>
          <cell r="G7" t="str">
            <v>MMHNAMPR</v>
          </cell>
        </row>
        <row r="8">
          <cell r="B8" t="str">
            <v>品種マスタ</v>
          </cell>
          <cell r="C8" t="str">
            <v>マスタ業務</v>
          </cell>
          <cell r="D8" t="str">
            <v>MM</v>
          </cell>
          <cell r="E8" t="str">
            <v>SHU</v>
          </cell>
          <cell r="F8" t="str">
            <v>MMSHUP</v>
          </cell>
          <cell r="G8" t="str">
            <v>MMSHUPR</v>
          </cell>
        </row>
        <row r="9">
          <cell r="B9" t="str">
            <v>色マスタ</v>
          </cell>
          <cell r="C9" t="str">
            <v>マスタ業務</v>
          </cell>
          <cell r="D9" t="str">
            <v>MM</v>
          </cell>
          <cell r="E9" t="str">
            <v>IRO</v>
          </cell>
          <cell r="F9" t="str">
            <v>MMIROP</v>
          </cell>
          <cell r="G9" t="str">
            <v>MMIROPR</v>
          </cell>
        </row>
        <row r="10">
          <cell r="B10" t="str">
            <v>サイズマスタ</v>
          </cell>
          <cell r="C10" t="str">
            <v>マスタ業務</v>
          </cell>
          <cell r="D10" t="str">
            <v>MM</v>
          </cell>
          <cell r="E10" t="str">
            <v>SIZE</v>
          </cell>
          <cell r="F10" t="str">
            <v>MMSIZEP</v>
          </cell>
          <cell r="G10" t="str">
            <v>MMSIZEPR</v>
          </cell>
        </row>
        <row r="11">
          <cell r="B11" t="str">
            <v>品目マスタ</v>
          </cell>
          <cell r="C11" t="str">
            <v>マスタ業務</v>
          </cell>
          <cell r="D11" t="str">
            <v>MM</v>
          </cell>
          <cell r="E11" t="str">
            <v>HMOK</v>
          </cell>
          <cell r="F11" t="str">
            <v>MMHMOKP</v>
          </cell>
          <cell r="G11" t="str">
            <v>MMHMOKPR</v>
          </cell>
        </row>
        <row r="12">
          <cell r="B12" t="str">
            <v>単位マスタ</v>
          </cell>
          <cell r="C12" t="str">
            <v>マスタ業務</v>
          </cell>
          <cell r="D12" t="str">
            <v>MM</v>
          </cell>
          <cell r="E12" t="str">
            <v>UOM</v>
          </cell>
          <cell r="F12" t="str">
            <v>MMUOMP</v>
          </cell>
          <cell r="G12" t="str">
            <v>MMUOMPR</v>
          </cell>
        </row>
        <row r="13">
          <cell r="B13" t="str">
            <v>販売単価マスタ</v>
          </cell>
          <cell r="C13" t="str">
            <v>マスタ業務</v>
          </cell>
          <cell r="D13" t="str">
            <v>MM</v>
          </cell>
          <cell r="E13" t="str">
            <v>PRIC</v>
          </cell>
          <cell r="F13" t="str">
            <v>MMPRICP</v>
          </cell>
          <cell r="G13" t="str">
            <v>MMPRICPR</v>
          </cell>
        </row>
        <row r="14">
          <cell r="B14" t="str">
            <v>仕入単価マスタ</v>
          </cell>
          <cell r="C14" t="str">
            <v>マスタ業務</v>
          </cell>
          <cell r="D14" t="str">
            <v>MM</v>
          </cell>
          <cell r="E14" t="str">
            <v>COST</v>
          </cell>
          <cell r="F14" t="str">
            <v>MMCOSTP</v>
          </cell>
          <cell r="G14" t="str">
            <v>MMCOSTPR</v>
          </cell>
        </row>
        <row r="15">
          <cell r="B15" t="str">
            <v>工程マスタ</v>
          </cell>
          <cell r="C15" t="str">
            <v>マスタ業務</v>
          </cell>
          <cell r="D15" t="str">
            <v>MM</v>
          </cell>
          <cell r="E15" t="str">
            <v>ROUT</v>
          </cell>
          <cell r="F15" t="str">
            <v>MMROUTP</v>
          </cell>
          <cell r="G15" t="str">
            <v>MMROUTPR</v>
          </cell>
        </row>
        <row r="16">
          <cell r="B16" t="str">
            <v>構成マスタ</v>
          </cell>
          <cell r="C16" t="str">
            <v>マスタ業務</v>
          </cell>
          <cell r="D16" t="str">
            <v>MM</v>
          </cell>
          <cell r="E16" t="str">
            <v>BOM</v>
          </cell>
          <cell r="F16" t="str">
            <v>MMBOMP</v>
          </cell>
          <cell r="G16" t="str">
            <v>MMBOMPR</v>
          </cell>
        </row>
        <row r="17">
          <cell r="B17" t="str">
            <v>取引区分マスタ</v>
          </cell>
          <cell r="C17" t="str">
            <v>マスタ業務</v>
          </cell>
          <cell r="D17" t="str">
            <v>MM</v>
          </cell>
          <cell r="E17" t="str">
            <v>TRNS</v>
          </cell>
          <cell r="F17" t="str">
            <v>MMTRNSP</v>
          </cell>
          <cell r="G17" t="str">
            <v>MMTRNSPR</v>
          </cell>
        </row>
        <row r="18">
          <cell r="B18" t="str">
            <v>備考マスタ</v>
          </cell>
          <cell r="C18" t="str">
            <v>マスタ業務</v>
          </cell>
          <cell r="D18" t="str">
            <v>MM</v>
          </cell>
          <cell r="E18" t="str">
            <v>BIKO</v>
          </cell>
          <cell r="F18" t="str">
            <v>MMBIKOP</v>
          </cell>
          <cell r="G18" t="str">
            <v>MMBIKOPR</v>
          </cell>
        </row>
        <row r="19">
          <cell r="B19" t="str">
            <v>カレンダーマスタ</v>
          </cell>
          <cell r="C19" t="str">
            <v>マスタ業務</v>
          </cell>
          <cell r="D19" t="str">
            <v>MM</v>
          </cell>
          <cell r="E19" t="str">
            <v>CALN</v>
          </cell>
          <cell r="F19" t="str">
            <v>MMCALNP</v>
          </cell>
          <cell r="G19" t="str">
            <v>MMCALNPR</v>
          </cell>
        </row>
        <row r="20">
          <cell r="B20" t="str">
            <v>コントロールマスタ</v>
          </cell>
          <cell r="C20" t="str">
            <v>マスタ業務</v>
          </cell>
          <cell r="D20" t="str">
            <v>MM</v>
          </cell>
          <cell r="E20" t="str">
            <v>CNTL</v>
          </cell>
          <cell r="F20" t="str">
            <v>MMCNTLP</v>
          </cell>
          <cell r="G20" t="str">
            <v>MMCNTLPR</v>
          </cell>
        </row>
        <row r="21">
          <cell r="B21" t="str">
            <v>検索マスタ</v>
          </cell>
          <cell r="C21" t="str">
            <v>マスタ業務</v>
          </cell>
          <cell r="D21" t="str">
            <v>MM</v>
          </cell>
          <cell r="E21" t="str">
            <v>KESK</v>
          </cell>
          <cell r="F21" t="str">
            <v>MMKESKP</v>
          </cell>
          <cell r="G21" t="str">
            <v>MMKESKPR</v>
          </cell>
        </row>
        <row r="22">
          <cell r="B22" t="str">
            <v>工程グループマスタ</v>
          </cell>
          <cell r="C22" t="str">
            <v>マスタ業務</v>
          </cell>
          <cell r="D22" t="str">
            <v>MM</v>
          </cell>
          <cell r="E22" t="str">
            <v>KOGR</v>
          </cell>
          <cell r="F22" t="str">
            <v>MMKOGRP</v>
          </cell>
          <cell r="G22" t="str">
            <v>MMKOGRPR</v>
          </cell>
        </row>
        <row r="23">
          <cell r="B23" t="str">
            <v>オンライン取引先マスタ</v>
          </cell>
          <cell r="C23" t="str">
            <v>マスタ業務</v>
          </cell>
          <cell r="D23" t="str">
            <v>MM</v>
          </cell>
          <cell r="E23" t="str">
            <v>ONTO</v>
          </cell>
          <cell r="F23" t="str">
            <v>MMONTOP</v>
          </cell>
          <cell r="G23" t="str">
            <v>MMONTOPR</v>
          </cell>
        </row>
        <row r="24">
          <cell r="B24" t="str">
            <v>受注ファイル</v>
          </cell>
          <cell r="C24" t="str">
            <v>受注業務</v>
          </cell>
          <cell r="D24" t="str">
            <v>OR</v>
          </cell>
          <cell r="E24" t="str">
            <v>JCHM</v>
          </cell>
          <cell r="F24" t="str">
            <v>ORJCHMP</v>
          </cell>
          <cell r="G24" t="str">
            <v>ORJCHMPR</v>
          </cell>
        </row>
        <row r="25">
          <cell r="B25" t="str">
            <v>受注反番ファイル</v>
          </cell>
          <cell r="C25" t="str">
            <v>受注業務</v>
          </cell>
          <cell r="D25" t="str">
            <v>OR</v>
          </cell>
          <cell r="E25" t="str">
            <v>JTAN</v>
          </cell>
          <cell r="F25" t="str">
            <v>ORJTANP</v>
          </cell>
          <cell r="G25" t="str">
            <v>ORJTANPR</v>
          </cell>
        </row>
        <row r="26">
          <cell r="B26" t="str">
            <v>引当ファイル</v>
          </cell>
          <cell r="C26" t="str">
            <v>出荷業務</v>
          </cell>
          <cell r="D26" t="str">
            <v>SH</v>
          </cell>
          <cell r="E26" t="str">
            <v>HIKI</v>
          </cell>
          <cell r="F26" t="str">
            <v>SHHIKIP</v>
          </cell>
          <cell r="G26" t="str">
            <v>SHHIKIPR</v>
          </cell>
        </row>
        <row r="27">
          <cell r="B27" t="str">
            <v>売上ファイル</v>
          </cell>
          <cell r="C27" t="str">
            <v>売上業務</v>
          </cell>
          <cell r="D27" t="str">
            <v>SL</v>
          </cell>
          <cell r="E27" t="str">
            <v>URIM</v>
          </cell>
          <cell r="F27" t="str">
            <v>SLURIMP</v>
          </cell>
          <cell r="G27" t="str">
            <v>SLURIMPR</v>
          </cell>
        </row>
        <row r="28">
          <cell r="B28" t="str">
            <v>請求ファイル（鑑）</v>
          </cell>
          <cell r="C28" t="str">
            <v>請求業務</v>
          </cell>
          <cell r="D28" t="str">
            <v>BL</v>
          </cell>
          <cell r="E28" t="str">
            <v>SKAG</v>
          </cell>
          <cell r="F28" t="str">
            <v>BLSKAGP</v>
          </cell>
          <cell r="G28" t="str">
            <v>BLSKAGPR</v>
          </cell>
        </row>
        <row r="29">
          <cell r="B29" t="str">
            <v>請求ファイル（明細）</v>
          </cell>
          <cell r="C29" t="str">
            <v>請求業務</v>
          </cell>
          <cell r="D29" t="str">
            <v>BL</v>
          </cell>
          <cell r="E29" t="str">
            <v>SMEI</v>
          </cell>
          <cell r="F29" t="str">
            <v>BLSMEIP</v>
          </cell>
          <cell r="G29" t="str">
            <v>BLSMEIPR</v>
          </cell>
        </row>
        <row r="30">
          <cell r="B30" t="str">
            <v>入金ファイル</v>
          </cell>
          <cell r="C30" t="str">
            <v>入金業務</v>
          </cell>
          <cell r="D30" t="str">
            <v>RC</v>
          </cell>
          <cell r="E30" t="str">
            <v>NYUK</v>
          </cell>
          <cell r="F30" t="str">
            <v>RCNYUKP</v>
          </cell>
          <cell r="G30" t="str">
            <v>RCNYUKPR</v>
          </cell>
        </row>
        <row r="31">
          <cell r="B31" t="str">
            <v>仕入ファイル</v>
          </cell>
          <cell r="C31" t="str">
            <v>仕入業務</v>
          </cell>
          <cell r="D31" t="str">
            <v>PR</v>
          </cell>
          <cell r="E31" t="str">
            <v>SREM</v>
          </cell>
          <cell r="F31" t="str">
            <v>PRSREMP</v>
          </cell>
          <cell r="G31" t="str">
            <v>PRSREMPR</v>
          </cell>
        </row>
        <row r="32">
          <cell r="B32" t="str">
            <v>仕入反番ファイル</v>
          </cell>
          <cell r="C32" t="str">
            <v>仕入業務</v>
          </cell>
          <cell r="D32" t="str">
            <v>PR</v>
          </cell>
          <cell r="E32" t="str">
            <v>STAN</v>
          </cell>
          <cell r="F32" t="str">
            <v>PRSTANP</v>
          </cell>
          <cell r="G32" t="str">
            <v>PRSTANPR</v>
          </cell>
        </row>
        <row r="33">
          <cell r="B33" t="str">
            <v>支払ファイル</v>
          </cell>
          <cell r="C33" t="str">
            <v>支払業務</v>
          </cell>
          <cell r="D33" t="str">
            <v>PA</v>
          </cell>
          <cell r="E33" t="str">
            <v>HARA</v>
          </cell>
          <cell r="F33" t="str">
            <v>PAHARAP</v>
          </cell>
          <cell r="G33" t="str">
            <v>PAHARAPR</v>
          </cell>
        </row>
        <row r="34">
          <cell r="B34" t="str">
            <v>加工ファイル</v>
          </cell>
          <cell r="C34" t="str">
            <v>加工業務</v>
          </cell>
          <cell r="D34" t="str">
            <v>MA</v>
          </cell>
          <cell r="E34" t="str">
            <v>KAKO</v>
          </cell>
          <cell r="F34" t="str">
            <v>MAKAKOP</v>
          </cell>
          <cell r="G34" t="str">
            <v>MAKAKOPR</v>
          </cell>
        </row>
        <row r="35">
          <cell r="B35" t="str">
            <v>加工工程ファイル</v>
          </cell>
          <cell r="C35" t="str">
            <v>加工業務</v>
          </cell>
          <cell r="D35" t="str">
            <v>MA</v>
          </cell>
          <cell r="E35" t="str">
            <v>KKTE</v>
          </cell>
          <cell r="F35" t="str">
            <v>MAKKTEP</v>
          </cell>
          <cell r="G35" t="str">
            <v>MAKKTEPR</v>
          </cell>
        </row>
        <row r="36">
          <cell r="B36" t="str">
            <v>加工原材料ファイル</v>
          </cell>
          <cell r="C36" t="str">
            <v>加工業務</v>
          </cell>
          <cell r="D36" t="str">
            <v>MA</v>
          </cell>
          <cell r="E36" t="str">
            <v>KMGE</v>
          </cell>
          <cell r="F36" t="str">
            <v>MAKMGEP</v>
          </cell>
          <cell r="G36" t="str">
            <v>MAKMGEPR</v>
          </cell>
        </row>
        <row r="37">
          <cell r="B37" t="str">
            <v>加工入庫ファイル</v>
          </cell>
          <cell r="C37" t="str">
            <v>加工業務</v>
          </cell>
          <cell r="D37" t="str">
            <v>MA</v>
          </cell>
          <cell r="E37" t="str">
            <v>KINU</v>
          </cell>
          <cell r="F37" t="str">
            <v>MAKINUP</v>
          </cell>
          <cell r="G37" t="str">
            <v>MAKINUPR</v>
          </cell>
        </row>
        <row r="38">
          <cell r="B38" t="str">
            <v>加工反番ファイル</v>
          </cell>
          <cell r="C38" t="str">
            <v>加工業務</v>
          </cell>
          <cell r="D38" t="str">
            <v>MA</v>
          </cell>
          <cell r="E38" t="str">
            <v>KTAN</v>
          </cell>
          <cell r="F38" t="str">
            <v>MAKTANP</v>
          </cell>
          <cell r="G38" t="str">
            <v>MAKTANPR</v>
          </cell>
        </row>
        <row r="39">
          <cell r="B39" t="str">
            <v>加工原材料使用ファイル</v>
          </cell>
          <cell r="C39" t="str">
            <v>加工業務</v>
          </cell>
          <cell r="D39" t="str">
            <v>MA</v>
          </cell>
          <cell r="E39" t="str">
            <v>MUSU</v>
          </cell>
          <cell r="F39" t="str">
            <v>MAMUSUP</v>
          </cell>
          <cell r="G39" t="str">
            <v>MAMUSUPR</v>
          </cell>
        </row>
        <row r="40">
          <cell r="B40" t="str">
            <v>加工原材料使用ファイル（反番）</v>
          </cell>
          <cell r="C40" t="str">
            <v>加工業務</v>
          </cell>
          <cell r="D40" t="str">
            <v>MA</v>
          </cell>
          <cell r="E40" t="str">
            <v>MTUS</v>
          </cell>
          <cell r="F40" t="str">
            <v>MAMTUSP</v>
          </cell>
          <cell r="G40" t="str">
            <v>MAMTUSPR</v>
          </cell>
        </row>
        <row r="41">
          <cell r="B41" t="str">
            <v>反番ファイル</v>
          </cell>
          <cell r="C41" t="str">
            <v>在庫業務</v>
          </cell>
          <cell r="D41" t="str">
            <v>IV</v>
          </cell>
          <cell r="E41" t="str">
            <v>TBAN</v>
          </cell>
          <cell r="F41" t="str">
            <v>IVTBANP</v>
          </cell>
          <cell r="G41" t="str">
            <v>IVTBANPR</v>
          </cell>
        </row>
        <row r="42">
          <cell r="B42" t="str">
            <v>在庫ファイル</v>
          </cell>
          <cell r="C42" t="str">
            <v>在庫業務</v>
          </cell>
          <cell r="D42" t="str">
            <v>IV</v>
          </cell>
          <cell r="E42" t="str">
            <v>ZAIK</v>
          </cell>
          <cell r="F42" t="str">
            <v>IVZAIKP</v>
          </cell>
          <cell r="G42" t="str">
            <v>IVZAIKPR</v>
          </cell>
        </row>
        <row r="43">
          <cell r="B43" t="str">
            <v>棚卸ファイル</v>
          </cell>
          <cell r="C43" t="str">
            <v>在庫業務</v>
          </cell>
          <cell r="D43" t="str">
            <v>IV</v>
          </cell>
          <cell r="E43" t="str">
            <v>TNOR</v>
          </cell>
          <cell r="F43" t="str">
            <v>IVTNORP</v>
          </cell>
          <cell r="G43" t="str">
            <v>IVTNORPR</v>
          </cell>
        </row>
        <row r="44">
          <cell r="B44" t="str">
            <v>摘要ファイル</v>
          </cell>
          <cell r="C44" t="str">
            <v>共通業務</v>
          </cell>
          <cell r="D44" t="str">
            <v>CM</v>
          </cell>
          <cell r="E44" t="str">
            <v>TEKI</v>
          </cell>
          <cell r="F44" t="str">
            <v>CMTEKIP</v>
          </cell>
          <cell r="G44" t="str">
            <v>CMTEKIPR</v>
          </cell>
        </row>
        <row r="45">
          <cell r="B45" t="str">
            <v>入出力履歴ファイル</v>
          </cell>
          <cell r="C45" t="str">
            <v>在庫業務</v>
          </cell>
          <cell r="D45" t="str">
            <v>IV</v>
          </cell>
          <cell r="E45" t="str">
            <v>HSTR</v>
          </cell>
          <cell r="F45" t="str">
            <v>IVHSTRP</v>
          </cell>
          <cell r="G45" t="str">
            <v>IVHSTRPR</v>
          </cell>
        </row>
        <row r="46">
          <cell r="B46" t="str">
            <v>出荷報告書ファイル</v>
          </cell>
          <cell r="C46" t="str">
            <v>出荷業務</v>
          </cell>
          <cell r="D46" t="str">
            <v>SH</v>
          </cell>
          <cell r="E46" t="str">
            <v>NHPC</v>
          </cell>
          <cell r="F46" t="str">
            <v>SHNHPCP</v>
          </cell>
          <cell r="G46" t="str">
            <v>SHNHPCPR</v>
          </cell>
        </row>
        <row r="47">
          <cell r="B47" t="str">
            <v>仕入一覧表ファイル</v>
          </cell>
          <cell r="C47" t="str">
            <v>仕入業務</v>
          </cell>
          <cell r="D47" t="str">
            <v>PR</v>
          </cell>
          <cell r="E47" t="str">
            <v>SPPC</v>
          </cell>
          <cell r="F47" t="str">
            <v>PRSPPCP</v>
          </cell>
          <cell r="G47" t="str">
            <v>PRSPPCPR</v>
          </cell>
        </row>
        <row r="48">
          <cell r="B48" t="str">
            <v>加工指示一覧表ファイル</v>
          </cell>
          <cell r="C48" t="str">
            <v>加工業務</v>
          </cell>
          <cell r="D48" t="str">
            <v>MA</v>
          </cell>
          <cell r="E48" t="str">
            <v>KSPC</v>
          </cell>
          <cell r="F48" t="str">
            <v>MAKSPCP</v>
          </cell>
          <cell r="G48" t="str">
            <v>MAKSPCPR</v>
          </cell>
        </row>
        <row r="49">
          <cell r="B49" t="str">
            <v>加工指示残一覧表ファイル</v>
          </cell>
          <cell r="C49" t="str">
            <v>加工業務</v>
          </cell>
          <cell r="D49" t="str">
            <v>MA</v>
          </cell>
          <cell r="E49" t="str">
            <v>KZPC</v>
          </cell>
          <cell r="F49" t="str">
            <v>MAKZPCP</v>
          </cell>
          <cell r="G49" t="str">
            <v>MAKZPCPR</v>
          </cell>
        </row>
        <row r="50">
          <cell r="B50" t="str">
            <v>加工入庫一覧表ファイル</v>
          </cell>
          <cell r="C50" t="str">
            <v>加工業務</v>
          </cell>
          <cell r="D50" t="str">
            <v>MA</v>
          </cell>
          <cell r="E50" t="str">
            <v>KNPC</v>
          </cell>
          <cell r="F50" t="str">
            <v>MAKNPCP</v>
          </cell>
          <cell r="G50" t="str">
            <v>MAKNPCPR</v>
          </cell>
        </row>
        <row r="51">
          <cell r="B51" t="str">
            <v>棚卸差異表ファイル</v>
          </cell>
          <cell r="C51" t="str">
            <v>在庫業務</v>
          </cell>
          <cell r="D51" t="str">
            <v>IV</v>
          </cell>
          <cell r="E51" t="str">
            <v>TSAI</v>
          </cell>
          <cell r="F51" t="str">
            <v>IVTSAIP</v>
          </cell>
          <cell r="G51" t="str">
            <v>IVTSAIPR</v>
          </cell>
        </row>
        <row r="52">
          <cell r="B52" t="str">
            <v>製品在庫一覧表ファイル</v>
          </cell>
          <cell r="C52" t="str">
            <v>在庫業務</v>
          </cell>
          <cell r="D52" t="str">
            <v>IV</v>
          </cell>
          <cell r="E52" t="str">
            <v>SHYO</v>
          </cell>
          <cell r="F52" t="str">
            <v>IVSHYOP</v>
          </cell>
          <cell r="G52" t="str">
            <v>IVSHYOPR</v>
          </cell>
        </row>
        <row r="53">
          <cell r="B53" t="str">
            <v>売掛月次マスタ</v>
          </cell>
          <cell r="C53" t="str">
            <v>月次処理業務</v>
          </cell>
          <cell r="D53" t="str">
            <v>MO</v>
          </cell>
          <cell r="E53" t="str">
            <v>UGET</v>
          </cell>
          <cell r="F53" t="str">
            <v>MOUGETP</v>
          </cell>
          <cell r="G53" t="str">
            <v>MOUGETPR</v>
          </cell>
        </row>
        <row r="54">
          <cell r="B54" t="str">
            <v>買掛月次マスタ</v>
          </cell>
          <cell r="C54" t="str">
            <v>月次処理業務</v>
          </cell>
          <cell r="D54" t="str">
            <v>MO</v>
          </cell>
          <cell r="E54" t="str">
            <v>KGET</v>
          </cell>
          <cell r="F54" t="str">
            <v>MOKGETP</v>
          </cell>
          <cell r="G54" t="str">
            <v>MOKGETPR</v>
          </cell>
        </row>
        <row r="55">
          <cell r="B55" t="str">
            <v>在庫月次マスタ</v>
          </cell>
          <cell r="C55" t="str">
            <v>月次処理業務</v>
          </cell>
          <cell r="D55" t="str">
            <v>MO</v>
          </cell>
          <cell r="E55" t="str">
            <v>ZGET</v>
          </cell>
          <cell r="F55" t="str">
            <v>MOZGETP</v>
          </cell>
          <cell r="G55" t="str">
            <v>MOZGETPR</v>
          </cell>
        </row>
        <row r="56">
          <cell r="B56" t="str">
            <v>反番月次マスタ</v>
          </cell>
          <cell r="C56" t="str">
            <v>月次処理業務</v>
          </cell>
          <cell r="D56" t="str">
            <v>MO</v>
          </cell>
          <cell r="E56" t="str">
            <v>TGET</v>
          </cell>
          <cell r="F56" t="str">
            <v>MOTGETP</v>
          </cell>
          <cell r="G56" t="str">
            <v>MOTGETPR</v>
          </cell>
        </row>
        <row r="57">
          <cell r="B57" t="str">
            <v>品目月次マスタ</v>
          </cell>
          <cell r="C57" t="str">
            <v>月次処理業務</v>
          </cell>
          <cell r="D57" t="str">
            <v>MO</v>
          </cell>
          <cell r="E57" t="str">
            <v>HGET</v>
          </cell>
          <cell r="F57" t="str">
            <v>MOHGETP</v>
          </cell>
          <cell r="G57" t="str">
            <v>MOHGETPR</v>
          </cell>
        </row>
        <row r="58">
          <cell r="B58" t="str">
            <v>販売実績表ファイル</v>
          </cell>
          <cell r="C58" t="str">
            <v>月次処理業務</v>
          </cell>
          <cell r="D58" t="str">
            <v>MO</v>
          </cell>
          <cell r="E58" t="str">
            <v>HJPC</v>
          </cell>
          <cell r="F58" t="str">
            <v>MOHJPCP</v>
          </cell>
          <cell r="G58" t="str">
            <v>MOHJPCPR</v>
          </cell>
        </row>
        <row r="59">
          <cell r="B59" t="str">
            <v>仕入実績表ファイル</v>
          </cell>
          <cell r="C59" t="str">
            <v>月次処理業務</v>
          </cell>
          <cell r="D59" t="str">
            <v>MO</v>
          </cell>
          <cell r="E59" t="str">
            <v>SJPC</v>
          </cell>
          <cell r="F59" t="str">
            <v>MOSJPCP</v>
          </cell>
          <cell r="G59" t="str">
            <v>MOSJPCPR</v>
          </cell>
        </row>
        <row r="60">
          <cell r="B60" t="str">
            <v>在庫台帳ファイル</v>
          </cell>
          <cell r="C60" t="str">
            <v>在庫業務</v>
          </cell>
          <cell r="D60" t="str">
            <v>IV</v>
          </cell>
          <cell r="E60" t="str">
            <v>IODA</v>
          </cell>
          <cell r="F60" t="str">
            <v>IVIODAP</v>
          </cell>
          <cell r="G60" t="str">
            <v>IVIODAPR</v>
          </cell>
        </row>
        <row r="61">
          <cell r="B61" t="str">
            <v>売掛台帳ワークファイル</v>
          </cell>
          <cell r="C61" t="str">
            <v>ワークファイル</v>
          </cell>
          <cell r="D61" t="str">
            <v>WK</v>
          </cell>
          <cell r="E61" t="str">
            <v>UKDT</v>
          </cell>
          <cell r="F61" t="str">
            <v>WKUKDTP</v>
          </cell>
          <cell r="G61" t="str">
            <v>WKUKDTPR</v>
          </cell>
        </row>
        <row r="62">
          <cell r="B62" t="str">
            <v>買掛台帳ワークファイル</v>
          </cell>
          <cell r="C62" t="str">
            <v>ワークファイル</v>
          </cell>
          <cell r="D62" t="str">
            <v>WK</v>
          </cell>
          <cell r="E62" t="str">
            <v>BYDT</v>
          </cell>
          <cell r="F62" t="str">
            <v>WKBYDTP</v>
          </cell>
          <cell r="G62" t="str">
            <v>WKBYDTPR</v>
          </cell>
        </row>
        <row r="63">
          <cell r="B63" t="str">
            <v>所要量展開ワークファイル</v>
          </cell>
          <cell r="C63" t="str">
            <v>ワークファイル</v>
          </cell>
          <cell r="D63" t="str">
            <v>WK</v>
          </cell>
          <cell r="E63" t="str">
            <v>BTEN</v>
          </cell>
          <cell r="F63" t="str">
            <v>WKBTENP</v>
          </cell>
          <cell r="G63" t="str">
            <v>WKBTENPR</v>
          </cell>
        </row>
        <row r="64">
          <cell r="B64" t="str">
            <v>出荷指示書ワークファイル</v>
          </cell>
          <cell r="C64" t="str">
            <v>ワークファイル</v>
          </cell>
          <cell r="D64" t="str">
            <v>WK</v>
          </cell>
          <cell r="E64" t="str">
            <v>SSIJ</v>
          </cell>
          <cell r="F64" t="str">
            <v>WKSSIJP</v>
          </cell>
          <cell r="G64" t="str">
            <v>WKSSIJPR</v>
          </cell>
        </row>
        <row r="65">
          <cell r="B65" t="str">
            <v>締日マスタ</v>
          </cell>
          <cell r="C65" t="str">
            <v>マスタ業務</v>
          </cell>
          <cell r="D65" t="str">
            <v>MM</v>
          </cell>
          <cell r="E65" t="str">
            <v>PERI</v>
          </cell>
          <cell r="F65" t="str">
            <v>MMPERIP</v>
          </cell>
          <cell r="G65" t="str">
            <v>MMPERIPR</v>
          </cell>
        </row>
        <row r="66">
          <cell r="B66" t="str">
            <v>集計区分マスタ</v>
          </cell>
          <cell r="C66" t="str">
            <v>マスタ業務</v>
          </cell>
          <cell r="D66" t="str">
            <v>MM</v>
          </cell>
          <cell r="E66" t="str">
            <v>SYKB</v>
          </cell>
          <cell r="F66" t="str">
            <v>MMSYKBP</v>
          </cell>
          <cell r="G66" t="str">
            <v>MMSYKBPR</v>
          </cell>
        </row>
        <row r="67">
          <cell r="B67" t="str">
            <v>オンラインヘルプマスタ</v>
          </cell>
          <cell r="C67" t="str">
            <v>マスタ業務</v>
          </cell>
          <cell r="D67" t="str">
            <v>MM</v>
          </cell>
          <cell r="E67" t="str">
            <v>OHLP</v>
          </cell>
          <cell r="F67" t="str">
            <v>MMOHLPP</v>
          </cell>
          <cell r="G67" t="str">
            <v>MMOHLPPR</v>
          </cell>
        </row>
        <row r="68">
          <cell r="B68" t="str">
            <v>引受引渡一覧表ワークファイル</v>
          </cell>
          <cell r="C68" t="str">
            <v>ワークファイル</v>
          </cell>
          <cell r="D68" t="str">
            <v>WK</v>
          </cell>
          <cell r="E68" t="str">
            <v>HHIC</v>
          </cell>
          <cell r="F68" t="str">
            <v>WKHHICP</v>
          </cell>
          <cell r="G68" t="str">
            <v>WKHHICPR</v>
          </cell>
        </row>
        <row r="69">
          <cell r="B69" t="str">
            <v>品目原価確定ファイル</v>
          </cell>
          <cell r="D69" t="str">
            <v>GK</v>
          </cell>
          <cell r="E69" t="str">
            <v>COHM</v>
          </cell>
          <cell r="F69" t="str">
            <v>GKCOHMP</v>
          </cell>
          <cell r="G69" t="str">
            <v>GKCOHMPR</v>
          </cell>
        </row>
        <row r="70">
          <cell r="B70" t="str">
            <v>品目原価変更ファイル</v>
          </cell>
          <cell r="D70" t="str">
            <v>GK</v>
          </cell>
          <cell r="E70" t="str">
            <v>UPHM</v>
          </cell>
          <cell r="F70" t="str">
            <v>GKUPHMP</v>
          </cell>
          <cell r="G70" t="str">
            <v>GKUPHMPR</v>
          </cell>
        </row>
        <row r="71">
          <cell r="B71" t="str">
            <v>会社マスタ</v>
          </cell>
          <cell r="C71" t="str">
            <v>マスタ業務</v>
          </cell>
          <cell r="D71" t="str">
            <v>MM</v>
          </cell>
          <cell r="E71" t="str">
            <v>KAI</v>
          </cell>
          <cell r="F71" t="str">
            <v>MMKAIP</v>
          </cell>
          <cell r="G71" t="str">
            <v>MMKAIPR</v>
          </cell>
        </row>
        <row r="72">
          <cell r="B72" t="str">
            <v>経理転送部門変換ファイル</v>
          </cell>
          <cell r="C72" t="str">
            <v>マスタ業務</v>
          </cell>
          <cell r="D72" t="str">
            <v>MM</v>
          </cell>
          <cell r="E72" t="str">
            <v>XPKTP</v>
          </cell>
          <cell r="F72" t="str">
            <v>MMXPKTPP</v>
          </cell>
          <cell r="G72" t="str">
            <v>MMXPKTPPR</v>
          </cell>
        </row>
        <row r="73">
          <cell r="B73" t="str">
            <v>摘要ファイル(伝送)</v>
          </cell>
          <cell r="C73" t="str">
            <v>共通業務</v>
          </cell>
          <cell r="D73" t="str">
            <v>CM</v>
          </cell>
          <cell r="E73" t="str">
            <v>TEDN</v>
          </cell>
          <cell r="F73" t="str">
            <v>CMTEDNP</v>
          </cell>
          <cell r="G73" t="str">
            <v>CMTEDNPR</v>
          </cell>
        </row>
        <row r="74">
          <cell r="B74" t="str">
            <v>仕入ファイル(伝送)</v>
          </cell>
          <cell r="C74" t="str">
            <v>仕入業務</v>
          </cell>
          <cell r="D74" t="str">
            <v>PR</v>
          </cell>
          <cell r="E74" t="str">
            <v>SRDN</v>
          </cell>
          <cell r="F74" t="str">
            <v>PRSRDNP</v>
          </cell>
          <cell r="G74" t="str">
            <v>PRSRDNPR</v>
          </cell>
        </row>
        <row r="75">
          <cell r="B75" t="str">
            <v>仕入反番ファイル(伝送)</v>
          </cell>
          <cell r="C75" t="str">
            <v>仕入業務</v>
          </cell>
          <cell r="D75" t="str">
            <v>PR</v>
          </cell>
          <cell r="E75" t="str">
            <v>STDN</v>
          </cell>
          <cell r="F75" t="str">
            <v>PRSTDNP</v>
          </cell>
          <cell r="G75" t="str">
            <v>PRSTDNPR</v>
          </cell>
        </row>
        <row r="76">
          <cell r="B76" t="str">
            <v>預書ワークファイル(反番)</v>
          </cell>
          <cell r="C76" t="str">
            <v>ワークファイル</v>
          </cell>
          <cell r="D76" t="str">
            <v>WK</v>
          </cell>
          <cell r="E76" t="str">
            <v>ATLT</v>
          </cell>
          <cell r="F76" t="str">
            <v>WKATLTP</v>
          </cell>
          <cell r="G76" t="str">
            <v>WKATLTPR</v>
          </cell>
        </row>
        <row r="77">
          <cell r="B77" t="str">
            <v>預書ワークファイル</v>
          </cell>
          <cell r="C77" t="str">
            <v>ワークファイル</v>
          </cell>
          <cell r="D77" t="str">
            <v>WK</v>
          </cell>
          <cell r="E77" t="str">
            <v>AZLT</v>
          </cell>
          <cell r="F77" t="str">
            <v>WKAZLTP</v>
          </cell>
          <cell r="G77" t="str">
            <v>WKAZLTPR</v>
          </cell>
        </row>
        <row r="78">
          <cell r="B78" t="str">
            <v>自動仕訳 引受引渡ワークファイル</v>
          </cell>
          <cell r="C78" t="str">
            <v>ワークファイル</v>
          </cell>
          <cell r="D78" t="str">
            <v>KK</v>
          </cell>
          <cell r="E78">
            <v>3034</v>
          </cell>
          <cell r="F78" t="str">
            <v>KK3034P</v>
          </cell>
          <cell r="G78" t="str">
            <v>KK3034PR</v>
          </cell>
        </row>
        <row r="79">
          <cell r="B79" t="str">
            <v>買掛金自動仕訳ワークファイル</v>
          </cell>
          <cell r="C79" t="str">
            <v>ワークファイル</v>
          </cell>
          <cell r="D79" t="str">
            <v>KK</v>
          </cell>
          <cell r="E79">
            <v>3030</v>
          </cell>
          <cell r="F79" t="str">
            <v>KK3030P</v>
          </cell>
          <cell r="G79" t="str">
            <v>KK3030PR</v>
          </cell>
        </row>
        <row r="80">
          <cell r="B80" t="str">
            <v>売掛金自動仕訳ワークファイル</v>
          </cell>
          <cell r="C80" t="str">
            <v>ワークファイル</v>
          </cell>
          <cell r="D80" t="str">
            <v>UK</v>
          </cell>
          <cell r="E80">
            <v>3030</v>
          </cell>
          <cell r="F80" t="str">
            <v>UK3030P</v>
          </cell>
          <cell r="G80" t="str">
            <v>UK3030PR</v>
          </cell>
        </row>
        <row r="81">
          <cell r="B81" t="str">
            <v>在庫表ファイル</v>
          </cell>
          <cell r="C81" t="str">
            <v>在庫業務</v>
          </cell>
          <cell r="D81" t="str">
            <v>IV</v>
          </cell>
          <cell r="E81" t="str">
            <v>ZHYO</v>
          </cell>
          <cell r="F81" t="str">
            <v>IVZHYOP</v>
          </cell>
          <cell r="G81" t="str">
            <v>IVZHYOPR</v>
          </cell>
        </row>
        <row r="82">
          <cell r="B82" t="str">
            <v>在庫表ファイル(倉庫別)</v>
          </cell>
          <cell r="C82" t="str">
            <v>在庫業務</v>
          </cell>
          <cell r="D82" t="str">
            <v>IV</v>
          </cell>
          <cell r="E82" t="str">
            <v>ZHY2</v>
          </cell>
          <cell r="F82" t="str">
            <v>IVZHY2P</v>
          </cell>
          <cell r="G82" t="str">
            <v>IVZHY2PR</v>
          </cell>
        </row>
        <row r="83">
          <cell r="B83" t="str">
            <v>売掛金データファイル</v>
          </cell>
          <cell r="C83" t="str">
            <v>経理伝送業務</v>
          </cell>
        </row>
        <row r="84">
          <cell r="B84" t="str">
            <v>買掛金データファイル</v>
          </cell>
          <cell r="C84" t="str">
            <v>経理伝送業務</v>
          </cell>
        </row>
        <row r="85">
          <cell r="B85" t="str">
            <v>三井用サイズ</v>
          </cell>
          <cell r="C85" t="str">
            <v>マスタ業務</v>
          </cell>
        </row>
        <row r="86">
          <cell r="B86" t="str">
            <v>三井用商品分類</v>
          </cell>
          <cell r="C86" t="str">
            <v>マスタ業務</v>
          </cell>
        </row>
        <row r="87">
          <cell r="B87" t="str">
            <v>三井用種別</v>
          </cell>
          <cell r="C87" t="str">
            <v>マスタ業務</v>
          </cell>
        </row>
        <row r="88">
          <cell r="B88" t="str">
            <v>三井用単位</v>
          </cell>
          <cell r="C88" t="str">
            <v>マスタ業務</v>
          </cell>
        </row>
        <row r="89">
          <cell r="B89" t="str">
            <v>三井用販社</v>
          </cell>
          <cell r="C89" t="str">
            <v>マスタ業務</v>
          </cell>
        </row>
        <row r="90">
          <cell r="B90" t="str">
            <v>三井用品名</v>
          </cell>
          <cell r="C90" t="str">
            <v>マスタ業務</v>
          </cell>
        </row>
        <row r="91">
          <cell r="B91" t="str">
            <v>有効在庫数量調整入力履歴ファイル</v>
          </cell>
          <cell r="C91" t="str">
            <v>在庫業務</v>
          </cell>
          <cell r="D91" t="str">
            <v>IV</v>
          </cell>
          <cell r="E91" t="str">
            <v>YUKC</v>
          </cell>
          <cell r="F91" t="str">
            <v>IVYUKCP</v>
          </cell>
          <cell r="G91" t="str">
            <v>IVYUKCPR</v>
          </cell>
        </row>
        <row r="92">
          <cell r="B92" t="str">
            <v>品目コード自動変換マスタ</v>
          </cell>
          <cell r="C92" t="str">
            <v>マスタ業務</v>
          </cell>
          <cell r="D92" t="str">
            <v>MM</v>
          </cell>
          <cell r="E92" t="str">
            <v>HJCH</v>
          </cell>
          <cell r="F92" t="str">
            <v>MMHJCHP</v>
          </cell>
          <cell r="G92" t="str">
            <v>MMHJCHPR</v>
          </cell>
        </row>
        <row r="93">
          <cell r="B93" t="str">
            <v>品名部門コード自動変換マスタ</v>
          </cell>
          <cell r="C93" t="str">
            <v>マスタ業務</v>
          </cell>
          <cell r="D93" t="str">
            <v>MM</v>
          </cell>
          <cell r="E93" t="str">
            <v>HBCH</v>
          </cell>
          <cell r="F93" t="str">
            <v>MMHBCHP</v>
          </cell>
          <cell r="G93" t="str">
            <v>MMHBCHPR</v>
          </cell>
        </row>
        <row r="94">
          <cell r="B94" t="str">
            <v>ＰＣＡ会計用科目コードマスタ</v>
          </cell>
          <cell r="C94" t="str">
            <v>マスタ業務</v>
          </cell>
          <cell r="D94" t="str">
            <v>MM</v>
          </cell>
          <cell r="E94" t="str">
            <v>PKMK</v>
          </cell>
          <cell r="F94" t="str">
            <v>MMPKMKP</v>
          </cell>
          <cell r="G94" t="str">
            <v>MMPKMKPR</v>
          </cell>
        </row>
        <row r="95">
          <cell r="B95" t="str">
            <v>ＰＣＡ会計用仕訳データ</v>
          </cell>
          <cell r="C95" t="str">
            <v>経理伝送業務</v>
          </cell>
          <cell r="D95" t="str">
            <v>TR</v>
          </cell>
          <cell r="E95" t="str">
            <v>PSWK</v>
          </cell>
          <cell r="F95" t="str">
            <v>TRPSWKP</v>
          </cell>
          <cell r="G95" t="str">
            <v>TRPSWKPR</v>
          </cell>
        </row>
        <row r="96">
          <cell r="B96" t="str">
            <v>ＰＣＡ会計用仕訳データ（連結）</v>
          </cell>
          <cell r="C96" t="str">
            <v>経理伝送業務</v>
          </cell>
          <cell r="D96" t="str">
            <v>TR</v>
          </cell>
          <cell r="E96" t="str">
            <v>PDCK</v>
          </cell>
          <cell r="F96" t="str">
            <v>TRPDCKP</v>
          </cell>
          <cell r="G96" t="str">
            <v>TRPDCKPR</v>
          </cell>
        </row>
        <row r="97">
          <cell r="B97" t="str">
            <v>ＰＣＡ会計用在庫期末残高WF</v>
          </cell>
          <cell r="C97" t="str">
            <v>経理伝送業務</v>
          </cell>
          <cell r="D97" t="str">
            <v>TR</v>
          </cell>
          <cell r="E97" t="str">
            <v>PZAI</v>
          </cell>
          <cell r="F97" t="str">
            <v>TRPZAIP</v>
          </cell>
          <cell r="G97" t="str">
            <v>TRPZAIPR</v>
          </cell>
        </row>
        <row r="98">
          <cell r="B98" t="str">
            <v>引受引渡可能取引先マスタ</v>
          </cell>
          <cell r="C98" t="str">
            <v>マスタ業務</v>
          </cell>
          <cell r="D98" t="str">
            <v>MM</v>
          </cell>
          <cell r="E98" t="str">
            <v>HUHW</v>
          </cell>
          <cell r="F98" t="str">
            <v>MMHUHWP</v>
          </cell>
          <cell r="G98" t="str">
            <v>MMHUHWPR</v>
          </cell>
        </row>
        <row r="99">
          <cell r="B99" t="str">
            <v>品名品種自動変換マスタ</v>
          </cell>
          <cell r="C99" t="str">
            <v>マスタ業務</v>
          </cell>
          <cell r="D99" t="str">
            <v>MM</v>
          </cell>
          <cell r="E99" t="str">
            <v>JSCH</v>
          </cell>
          <cell r="F99" t="str">
            <v>MMJSCHP</v>
          </cell>
          <cell r="G99" t="str">
            <v>MMJSCHPR</v>
          </cell>
        </row>
      </sheetData>
      <sheetData sheetId="1">
        <row r="2">
          <cell r="A2" t="str">
            <v>ＦＡＸ番号</v>
          </cell>
          <cell r="B2" t="str">
            <v>FAX</v>
          </cell>
          <cell r="C2" t="str">
            <v>14</v>
          </cell>
          <cell r="D2" t="str">
            <v/>
          </cell>
          <cell r="E2" t="str">
            <v>A</v>
          </cell>
          <cell r="F2" t="str">
            <v/>
          </cell>
        </row>
        <row r="3">
          <cell r="A3" t="str">
            <v>ＭＫ１</v>
          </cell>
          <cell r="B3" t="str">
            <v>MK01</v>
          </cell>
          <cell r="C3">
            <v>1</v>
          </cell>
          <cell r="D3" t="str">
            <v/>
          </cell>
          <cell r="E3" t="str">
            <v>A</v>
          </cell>
          <cell r="F3" t="str">
            <v/>
          </cell>
        </row>
        <row r="4">
          <cell r="A4" t="str">
            <v>ＭＫ２</v>
          </cell>
          <cell r="B4" t="str">
            <v>MK02</v>
          </cell>
          <cell r="C4">
            <v>1</v>
          </cell>
          <cell r="D4" t="str">
            <v/>
          </cell>
          <cell r="E4" t="str">
            <v>A</v>
          </cell>
          <cell r="F4" t="str">
            <v/>
          </cell>
        </row>
        <row r="5">
          <cell r="A5" t="str">
            <v>ＭＫ３</v>
          </cell>
          <cell r="B5" t="str">
            <v>MK03</v>
          </cell>
          <cell r="C5">
            <v>1</v>
          </cell>
          <cell r="D5" t="str">
            <v/>
          </cell>
          <cell r="E5" t="str">
            <v>A</v>
          </cell>
          <cell r="F5" t="str">
            <v/>
          </cell>
        </row>
        <row r="6">
          <cell r="A6" t="str">
            <v>ＳＥＱ</v>
          </cell>
          <cell r="B6" t="str">
            <v>SEQN</v>
          </cell>
          <cell r="C6" t="str">
            <v>2</v>
          </cell>
          <cell r="D6" t="str">
            <v>0</v>
          </cell>
          <cell r="E6" t="str">
            <v>S</v>
          </cell>
          <cell r="F6" t="str">
            <v/>
          </cell>
        </row>
        <row r="7">
          <cell r="A7" t="str">
            <v>色コード（子）</v>
          </cell>
          <cell r="B7" t="str">
            <v>CHC4</v>
          </cell>
          <cell r="C7" t="str">
            <v>3</v>
          </cell>
          <cell r="D7" t="str">
            <v/>
          </cell>
          <cell r="E7" t="str">
            <v>A</v>
          </cell>
          <cell r="F7" t="str">
            <v/>
          </cell>
        </row>
        <row r="8">
          <cell r="A8" t="str">
            <v>色コード（親）</v>
          </cell>
          <cell r="B8" t="str">
            <v>PHC4</v>
          </cell>
          <cell r="C8" t="str">
            <v>3</v>
          </cell>
          <cell r="D8" t="str">
            <v/>
          </cell>
          <cell r="E8" t="str">
            <v>A</v>
          </cell>
          <cell r="F8" t="str">
            <v/>
          </cell>
        </row>
        <row r="9">
          <cell r="A9" t="str">
            <v>運送便名</v>
          </cell>
          <cell r="B9" t="str">
            <v>USNM</v>
          </cell>
          <cell r="C9">
            <v>22</v>
          </cell>
          <cell r="D9" t="str">
            <v/>
          </cell>
          <cell r="E9" t="str">
            <v>O</v>
          </cell>
          <cell r="F9" t="str">
            <v/>
          </cell>
        </row>
        <row r="11">
          <cell r="A11" t="str">
            <v>エフ発行済ＭＫ</v>
          </cell>
          <cell r="B11" t="str">
            <v>FHMK</v>
          </cell>
          <cell r="C11">
            <v>1</v>
          </cell>
          <cell r="D11" t="str">
            <v/>
          </cell>
          <cell r="E11" t="str">
            <v>A</v>
          </cell>
          <cell r="F11" t="str">
            <v/>
          </cell>
        </row>
        <row r="12">
          <cell r="A12" t="str">
            <v>オーダー№１</v>
          </cell>
          <cell r="B12" t="str">
            <v>ODN1</v>
          </cell>
          <cell r="C12" t="str">
            <v>10</v>
          </cell>
          <cell r="D12" t="str">
            <v/>
          </cell>
          <cell r="E12" t="str">
            <v>O</v>
          </cell>
          <cell r="F12" t="str">
            <v/>
          </cell>
        </row>
        <row r="13">
          <cell r="A13" t="str">
            <v>オーダー№２</v>
          </cell>
          <cell r="B13" t="str">
            <v>ODN2</v>
          </cell>
          <cell r="C13" t="str">
            <v>10</v>
          </cell>
          <cell r="D13" t="str">
            <v/>
          </cell>
          <cell r="E13" t="str">
            <v>O</v>
          </cell>
          <cell r="F13" t="str">
            <v/>
          </cell>
        </row>
        <row r="15">
          <cell r="A15" t="str">
            <v>加工先名</v>
          </cell>
          <cell r="B15" t="str">
            <v>KSNM</v>
          </cell>
          <cell r="C15">
            <v>22</v>
          </cell>
          <cell r="D15" t="str">
            <v/>
          </cell>
          <cell r="E15" t="str">
            <v>O</v>
          </cell>
          <cell r="F15" t="str">
            <v/>
          </cell>
        </row>
        <row r="16">
          <cell r="A16" t="str">
            <v>加工順序</v>
          </cell>
          <cell r="B16" t="str">
            <v>KKJJ</v>
          </cell>
          <cell r="C16">
            <v>2</v>
          </cell>
          <cell r="D16">
            <v>0</v>
          </cell>
          <cell r="E16" t="str">
            <v>S</v>
          </cell>
          <cell r="F16" t="str">
            <v/>
          </cell>
        </row>
        <row r="17">
          <cell r="A17" t="str">
            <v>加工賃</v>
          </cell>
          <cell r="B17" t="str">
            <v>KKAM</v>
          </cell>
          <cell r="C17">
            <v>11</v>
          </cell>
          <cell r="D17">
            <v>0</v>
          </cell>
          <cell r="E17" t="str">
            <v>P</v>
          </cell>
          <cell r="F17" t="str">
            <v/>
          </cell>
        </row>
        <row r="18">
          <cell r="A18" t="str">
            <v>完了ＭＫ</v>
          </cell>
          <cell r="B18" t="str">
            <v>KRMK</v>
          </cell>
          <cell r="C18" t="str">
            <v>1</v>
          </cell>
          <cell r="D18" t="str">
            <v/>
          </cell>
          <cell r="E18" t="str">
            <v>A</v>
          </cell>
          <cell r="F18" t="str">
            <v/>
          </cell>
        </row>
        <row r="19">
          <cell r="A19" t="str">
            <v>買掛残高</v>
          </cell>
          <cell r="B19" t="str">
            <v>KKZD</v>
          </cell>
          <cell r="C19" t="str">
            <v>11</v>
          </cell>
          <cell r="D19" t="str">
            <v>0</v>
          </cell>
          <cell r="E19" t="str">
            <v>P</v>
          </cell>
          <cell r="F19" t="str">
            <v/>
          </cell>
        </row>
        <row r="20">
          <cell r="A20" t="str">
            <v>キー</v>
          </cell>
          <cell r="B20" t="str">
            <v>KEY</v>
          </cell>
          <cell r="C20">
            <v>15</v>
          </cell>
          <cell r="D20" t="str">
            <v/>
          </cell>
          <cell r="E20" t="str">
            <v>A</v>
          </cell>
          <cell r="F20" t="str">
            <v/>
          </cell>
        </row>
        <row r="21">
          <cell r="A21" t="str">
            <v>金額計算区分</v>
          </cell>
          <cell r="B21" t="str">
            <v>AMCK</v>
          </cell>
          <cell r="C21">
            <v>1</v>
          </cell>
          <cell r="D21" t="str">
            <v/>
          </cell>
          <cell r="E21" t="str">
            <v>A</v>
          </cell>
          <cell r="F21" t="str">
            <v>"D"=少数切捨て　"R"=少数四捨五入　"U"=少数切上げ</v>
          </cell>
        </row>
        <row r="22">
          <cell r="A22" t="str">
            <v>クラス</v>
          </cell>
          <cell r="B22" t="str">
            <v>CLAS</v>
          </cell>
          <cell r="C22" t="str">
            <v>1</v>
          </cell>
          <cell r="D22" t="str">
            <v/>
          </cell>
          <cell r="E22" t="str">
            <v>A</v>
          </cell>
          <cell r="F22" t="str">
            <v/>
          </cell>
        </row>
        <row r="23">
          <cell r="A23" t="str">
            <v>クラス名</v>
          </cell>
          <cell r="B23" t="str">
            <v>CSNM</v>
          </cell>
          <cell r="C23">
            <v>22</v>
          </cell>
          <cell r="D23" t="str">
            <v/>
          </cell>
          <cell r="E23" t="str">
            <v>O</v>
          </cell>
          <cell r="F23" t="str">
            <v/>
          </cell>
        </row>
        <row r="24">
          <cell r="A24" t="str">
            <v>工程グループコード</v>
          </cell>
          <cell r="B24" t="str">
            <v>KGCD</v>
          </cell>
          <cell r="C24">
            <v>3</v>
          </cell>
          <cell r="D24" t="str">
            <v/>
          </cell>
          <cell r="E24" t="str">
            <v>A</v>
          </cell>
          <cell r="F24" t="str">
            <v/>
          </cell>
        </row>
        <row r="25">
          <cell r="A25" t="str">
            <v>工程グループ名</v>
          </cell>
          <cell r="B25" t="str">
            <v>KGNM</v>
          </cell>
          <cell r="C25">
            <v>22</v>
          </cell>
          <cell r="D25" t="str">
            <v/>
          </cell>
          <cell r="E25" t="str">
            <v>O</v>
          </cell>
          <cell r="F25" t="str">
            <v/>
          </cell>
        </row>
        <row r="26">
          <cell r="A26" t="str">
            <v>項目区分</v>
          </cell>
          <cell r="B26" t="str">
            <v>KMKB</v>
          </cell>
          <cell r="C26">
            <v>1</v>
          </cell>
          <cell r="D26" t="str">
            <v/>
          </cell>
          <cell r="E26" t="str">
            <v>A</v>
          </cell>
          <cell r="F26" t="str">
            <v/>
          </cell>
        </row>
        <row r="27">
          <cell r="A27" t="str">
            <v>在庫種別名</v>
          </cell>
          <cell r="B27" t="str">
            <v>ZSNM</v>
          </cell>
          <cell r="C27">
            <v>22</v>
          </cell>
          <cell r="D27" t="str">
            <v/>
          </cell>
          <cell r="E27" t="str">
            <v>O</v>
          </cell>
          <cell r="F27" t="str">
            <v/>
          </cell>
        </row>
        <row r="28">
          <cell r="A28" t="str">
            <v>差異サイン</v>
          </cell>
          <cell r="B28" t="str">
            <v>SIGN</v>
          </cell>
          <cell r="C28" t="str">
            <v>1</v>
          </cell>
          <cell r="D28" t="str">
            <v/>
          </cell>
          <cell r="E28" t="str">
            <v>A</v>
          </cell>
          <cell r="F28" t="str">
            <v/>
          </cell>
        </row>
        <row r="29">
          <cell r="A29" t="str">
            <v>差異数量</v>
          </cell>
          <cell r="B29" t="str">
            <v>SIQT</v>
          </cell>
          <cell r="C29" t="str">
            <v>9</v>
          </cell>
          <cell r="D29" t="str">
            <v>2</v>
          </cell>
          <cell r="E29" t="str">
            <v>P</v>
          </cell>
          <cell r="F29" t="str">
            <v/>
          </cell>
        </row>
        <row r="30">
          <cell r="A30" t="str">
            <v>サイズコード</v>
          </cell>
          <cell r="B30" t="str">
            <v>SZCD</v>
          </cell>
          <cell r="C30">
            <v>4</v>
          </cell>
          <cell r="D30" t="str">
            <v/>
          </cell>
          <cell r="E30" t="str">
            <v>A</v>
          </cell>
          <cell r="F30" t="str">
            <v/>
          </cell>
        </row>
        <row r="31">
          <cell r="A31" t="str">
            <v>サイズコード（子）</v>
          </cell>
          <cell r="B31" t="str">
            <v>CHC5</v>
          </cell>
          <cell r="C31">
            <v>4</v>
          </cell>
          <cell r="D31" t="str">
            <v/>
          </cell>
          <cell r="E31" t="str">
            <v>A</v>
          </cell>
          <cell r="F31" t="str">
            <v/>
          </cell>
        </row>
        <row r="32">
          <cell r="A32" t="str">
            <v>サイズコード（親）</v>
          </cell>
          <cell r="B32" t="str">
            <v>PHC5</v>
          </cell>
          <cell r="C32">
            <v>4</v>
          </cell>
          <cell r="D32" t="str">
            <v/>
          </cell>
          <cell r="E32" t="str">
            <v>A</v>
          </cell>
          <cell r="F32" t="str">
            <v/>
          </cell>
        </row>
        <row r="33">
          <cell r="A33" t="str">
            <v>サイズ名</v>
          </cell>
          <cell r="B33" t="str">
            <v>SZNM</v>
          </cell>
          <cell r="C33" t="str">
            <v>10</v>
          </cell>
          <cell r="D33" t="str">
            <v/>
          </cell>
          <cell r="E33" t="str">
            <v>O</v>
          </cell>
          <cell r="F33" t="str">
            <v/>
          </cell>
        </row>
        <row r="34">
          <cell r="A34" t="str">
            <v>サイズ名（子）</v>
          </cell>
          <cell r="B34" t="str">
            <v>CZN5</v>
          </cell>
          <cell r="C34">
            <v>10</v>
          </cell>
          <cell r="D34" t="str">
            <v/>
          </cell>
          <cell r="E34" t="str">
            <v>O</v>
          </cell>
          <cell r="F34" t="str">
            <v/>
          </cell>
        </row>
        <row r="35">
          <cell r="A35" t="str">
            <v>サイズ名（親）</v>
          </cell>
          <cell r="B35" t="str">
            <v>PZN5</v>
          </cell>
          <cell r="C35">
            <v>10</v>
          </cell>
          <cell r="D35" t="str">
            <v/>
          </cell>
          <cell r="E35" t="str">
            <v>O</v>
          </cell>
          <cell r="F35" t="str">
            <v/>
          </cell>
        </row>
        <row r="36">
          <cell r="A36" t="str">
            <v>サブシステム区分</v>
          </cell>
          <cell r="B36" t="str">
            <v>SBKB</v>
          </cell>
          <cell r="C36">
            <v>2</v>
          </cell>
          <cell r="D36" t="str">
            <v/>
          </cell>
          <cell r="E36" t="str">
            <v>A</v>
          </cell>
          <cell r="F36" t="str">
            <v>OR:受注業務　IV:在庫業務　SH:出荷業務　DA:日次処理業務　SL.売上業務　MO.月次処理業務　BL.請求業務　TR.経理伝送業務　RC.入金業務　MM.マスタ業務　PR.仕入業務　AC.アーカイブ業務　PA.支払業務　CV.移行業務　MA.加工業務　CM.共通業務</v>
          </cell>
        </row>
        <row r="37">
          <cell r="A37" t="str">
            <v>残数量</v>
          </cell>
          <cell r="B37" t="str">
            <v>ZNQT</v>
          </cell>
          <cell r="C37">
            <v>9</v>
          </cell>
          <cell r="D37">
            <v>2</v>
          </cell>
          <cell r="E37" t="str">
            <v>P</v>
          </cell>
          <cell r="F37" t="str">
            <v/>
          </cell>
        </row>
        <row r="38">
          <cell r="A38" t="str">
            <v>仕入金額</v>
          </cell>
          <cell r="B38" t="str">
            <v>SRAM</v>
          </cell>
          <cell r="C38">
            <v>9</v>
          </cell>
          <cell r="D38" t="str">
            <v>0</v>
          </cell>
          <cell r="E38" t="str">
            <v>P</v>
          </cell>
          <cell r="F38" t="str">
            <v/>
          </cell>
        </row>
        <row r="39">
          <cell r="A39" t="str">
            <v>仕入先名</v>
          </cell>
          <cell r="B39" t="str">
            <v>SRNM</v>
          </cell>
          <cell r="C39">
            <v>22</v>
          </cell>
          <cell r="D39" t="str">
            <v/>
          </cell>
          <cell r="E39" t="str">
            <v>O</v>
          </cell>
          <cell r="F39" t="str">
            <v/>
          </cell>
        </row>
        <row r="40">
          <cell r="A40" t="str">
            <v>仕入数量</v>
          </cell>
          <cell r="B40" t="str">
            <v>SRQT</v>
          </cell>
          <cell r="C40">
            <v>9</v>
          </cell>
          <cell r="D40">
            <v>2</v>
          </cell>
          <cell r="E40" t="str">
            <v>P</v>
          </cell>
          <cell r="F40" t="str">
            <v/>
          </cell>
        </row>
        <row r="41">
          <cell r="A41" t="str">
            <v>仕入担当者名</v>
          </cell>
          <cell r="B41" t="str">
            <v>STNM</v>
          </cell>
          <cell r="C41" t="str">
            <v>18</v>
          </cell>
          <cell r="D41" t="str">
            <v/>
          </cell>
          <cell r="E41" t="str">
            <v>O</v>
          </cell>
          <cell r="F41" t="str">
            <v/>
          </cell>
        </row>
        <row r="42">
          <cell r="A42" t="str">
            <v>仕入原価</v>
          </cell>
          <cell r="B42" t="str">
            <v>SRGK</v>
          </cell>
          <cell r="C42" t="str">
            <v>9</v>
          </cell>
          <cell r="D42" t="str">
            <v>2</v>
          </cell>
          <cell r="E42" t="str">
            <v>P</v>
          </cell>
          <cell r="F42" t="str">
            <v/>
          </cell>
        </row>
        <row r="43">
          <cell r="A43" t="str">
            <v>指示書発行倉庫区分</v>
          </cell>
          <cell r="B43" t="str">
            <v>SJKB</v>
          </cell>
          <cell r="C43">
            <v>1</v>
          </cell>
          <cell r="D43" t="str">
            <v/>
          </cell>
          <cell r="E43" t="str">
            <v>A</v>
          </cell>
          <cell r="F43" t="str">
            <v>" "=発行しない　"1"=発行する</v>
          </cell>
        </row>
        <row r="44">
          <cell r="A44" t="str">
            <v>支払№</v>
          </cell>
          <cell r="B44" t="str">
            <v>SHNO</v>
          </cell>
          <cell r="C44" t="str">
            <v>8</v>
          </cell>
          <cell r="D44" t="str">
            <v>0</v>
          </cell>
          <cell r="E44" t="str">
            <v>S</v>
          </cell>
          <cell r="F44" t="str">
            <v/>
          </cell>
        </row>
        <row r="45">
          <cell r="A45" t="str">
            <v>支払合計</v>
          </cell>
          <cell r="B45" t="str">
            <v>SHTO</v>
          </cell>
          <cell r="C45">
            <v>11</v>
          </cell>
          <cell r="D45">
            <v>0</v>
          </cell>
          <cell r="E45" t="str">
            <v>P</v>
          </cell>
          <cell r="F45" t="str">
            <v/>
          </cell>
        </row>
        <row r="46">
          <cell r="A46" t="str">
            <v>支払枝番</v>
          </cell>
          <cell r="B46" t="str">
            <v>SHEB</v>
          </cell>
          <cell r="C46" t="str">
            <v>2</v>
          </cell>
          <cell r="D46" t="str">
            <v>0</v>
          </cell>
          <cell r="E46" t="str">
            <v>S</v>
          </cell>
          <cell r="F46" t="str">
            <v/>
          </cell>
        </row>
        <row r="47">
          <cell r="A47" t="str">
            <v>支払種別</v>
          </cell>
          <cell r="B47" t="str">
            <v>SHSB</v>
          </cell>
          <cell r="C47" t="str">
            <v>1</v>
          </cell>
          <cell r="D47" t="str">
            <v/>
          </cell>
          <cell r="E47" t="str">
            <v>A</v>
          </cell>
          <cell r="F47" t="str">
            <v/>
          </cell>
        </row>
        <row r="48">
          <cell r="A48" t="str">
            <v>出荷案内書発行区分</v>
          </cell>
          <cell r="B48" t="str">
            <v>AHKB</v>
          </cell>
          <cell r="C48" t="str">
            <v>1</v>
          </cell>
          <cell r="D48" t="str">
            <v/>
          </cell>
          <cell r="E48" t="str">
            <v>A</v>
          </cell>
          <cell r="F48" t="str">
            <v>" "=発行する　"1"=発行しない</v>
          </cell>
        </row>
        <row r="49">
          <cell r="A49" t="str">
            <v>出庫金額</v>
          </cell>
          <cell r="B49" t="str">
            <v>SKAM</v>
          </cell>
          <cell r="C49">
            <v>9</v>
          </cell>
          <cell r="D49">
            <v>0</v>
          </cell>
          <cell r="E49" t="str">
            <v>P</v>
          </cell>
        </row>
        <row r="50">
          <cell r="A50" t="str">
            <v>出庫数量</v>
          </cell>
          <cell r="B50" t="str">
            <v>SKQT</v>
          </cell>
          <cell r="C50">
            <v>9</v>
          </cell>
          <cell r="D50">
            <v>2</v>
          </cell>
          <cell r="E50" t="str">
            <v>P</v>
          </cell>
        </row>
        <row r="51">
          <cell r="A51" t="str">
            <v>商社名</v>
          </cell>
          <cell r="B51" t="str">
            <v>CMNM</v>
          </cell>
          <cell r="C51">
            <v>22</v>
          </cell>
          <cell r="D51" t="str">
            <v/>
          </cell>
          <cell r="E51" t="str">
            <v>O</v>
          </cell>
          <cell r="F51" t="str">
            <v/>
          </cell>
        </row>
        <row r="52">
          <cell r="A52" t="str">
            <v>使用数量</v>
          </cell>
          <cell r="B52" t="str">
            <v>SYQT</v>
          </cell>
          <cell r="C52">
            <v>9</v>
          </cell>
          <cell r="D52">
            <v>2</v>
          </cell>
          <cell r="E52" t="str">
            <v>P</v>
          </cell>
          <cell r="F52" t="str">
            <v/>
          </cell>
        </row>
        <row r="53">
          <cell r="A53" t="str">
            <v>使用済数量</v>
          </cell>
          <cell r="B53" t="str">
            <v>SZQT</v>
          </cell>
          <cell r="C53">
            <v>9</v>
          </cell>
          <cell r="D53">
            <v>2</v>
          </cell>
          <cell r="E53" t="str">
            <v>P</v>
          </cell>
          <cell r="F53" t="str">
            <v/>
          </cell>
        </row>
        <row r="54">
          <cell r="A54" t="str">
            <v>消費税</v>
          </cell>
          <cell r="B54" t="str">
            <v>SHZI</v>
          </cell>
          <cell r="C54">
            <v>11</v>
          </cell>
          <cell r="D54">
            <v>0</v>
          </cell>
          <cell r="E54" t="str">
            <v>P</v>
          </cell>
          <cell r="F54" t="str">
            <v/>
          </cell>
        </row>
        <row r="55">
          <cell r="A55" t="str">
            <v>請求締切日</v>
          </cell>
          <cell r="B55" t="str">
            <v>BYMD</v>
          </cell>
          <cell r="C55">
            <v>8</v>
          </cell>
          <cell r="D55">
            <v>0</v>
          </cell>
          <cell r="E55" t="str">
            <v>S</v>
          </cell>
          <cell r="F55" t="str">
            <v/>
          </cell>
        </row>
        <row r="56">
          <cell r="A56" t="str">
            <v>前月残金額</v>
          </cell>
          <cell r="B56" t="str">
            <v>ZGZA</v>
          </cell>
          <cell r="C56">
            <v>11</v>
          </cell>
          <cell r="D56">
            <v>0</v>
          </cell>
          <cell r="E56" t="str">
            <v>P</v>
          </cell>
          <cell r="F56" t="str">
            <v/>
          </cell>
        </row>
        <row r="57">
          <cell r="A57" t="str">
            <v>その他仕入</v>
          </cell>
          <cell r="B57" t="str">
            <v>OTSR</v>
          </cell>
          <cell r="C57" t="str">
            <v>11</v>
          </cell>
          <cell r="D57" t="str">
            <v>0</v>
          </cell>
          <cell r="E57" t="str">
            <v>P</v>
          </cell>
          <cell r="F57" t="str">
            <v/>
          </cell>
        </row>
        <row r="58">
          <cell r="A58" t="str">
            <v>その他支払</v>
          </cell>
          <cell r="B58" t="str">
            <v>OTSH</v>
          </cell>
          <cell r="C58" t="str">
            <v>11</v>
          </cell>
          <cell r="D58" t="str">
            <v>0</v>
          </cell>
          <cell r="E58" t="str">
            <v>P</v>
          </cell>
          <cell r="F58" t="str">
            <v/>
          </cell>
        </row>
        <row r="59">
          <cell r="A59" t="str">
            <v>その他入金</v>
          </cell>
          <cell r="B59" t="str">
            <v>OTNK</v>
          </cell>
          <cell r="C59" t="str">
            <v>11</v>
          </cell>
          <cell r="D59" t="str">
            <v>0</v>
          </cell>
          <cell r="E59" t="str">
            <v>P</v>
          </cell>
          <cell r="F59" t="str">
            <v/>
          </cell>
        </row>
        <row r="60">
          <cell r="A60" t="str">
            <v>その他売上</v>
          </cell>
          <cell r="B60" t="str">
            <v>OTUR</v>
          </cell>
          <cell r="C60" t="str">
            <v>11</v>
          </cell>
          <cell r="D60" t="str">
            <v>0</v>
          </cell>
          <cell r="E60" t="str">
            <v>P</v>
          </cell>
          <cell r="F60" t="str">
            <v/>
          </cell>
        </row>
        <row r="61">
          <cell r="A61" t="str">
            <v>棚卸場所名</v>
          </cell>
          <cell r="B61" t="str">
            <v>TONM</v>
          </cell>
          <cell r="C61">
            <v>22</v>
          </cell>
          <cell r="D61" t="str">
            <v/>
          </cell>
          <cell r="E61" t="str">
            <v>O</v>
          </cell>
          <cell r="F61" t="str">
            <v/>
          </cell>
        </row>
        <row r="62">
          <cell r="A62" t="str">
            <v>超過金額</v>
          </cell>
          <cell r="B62" t="str">
            <v>OVAM</v>
          </cell>
          <cell r="C62">
            <v>11</v>
          </cell>
          <cell r="D62">
            <v>0</v>
          </cell>
          <cell r="E62" t="str">
            <v>P</v>
          </cell>
          <cell r="F62" t="str">
            <v/>
          </cell>
        </row>
        <row r="63">
          <cell r="A63" t="str">
            <v>月</v>
          </cell>
          <cell r="B63" t="str">
            <v>MOTH</v>
          </cell>
          <cell r="C63">
            <v>2</v>
          </cell>
          <cell r="D63">
            <v>0</v>
          </cell>
          <cell r="E63" t="str">
            <v>S</v>
          </cell>
          <cell r="F63" t="str">
            <v/>
          </cell>
        </row>
        <row r="64">
          <cell r="A64" t="str">
            <v>当月残数量</v>
          </cell>
          <cell r="B64" t="str">
            <v>TZQT</v>
          </cell>
          <cell r="C64">
            <v>9</v>
          </cell>
          <cell r="D64">
            <v>2</v>
          </cell>
          <cell r="E64" t="str">
            <v>P</v>
          </cell>
          <cell r="F64" t="str">
            <v/>
          </cell>
        </row>
        <row r="65">
          <cell r="A65" t="str">
            <v>当月残金額</v>
          </cell>
          <cell r="B65" t="str">
            <v>TGZA</v>
          </cell>
          <cell r="C65">
            <v>11</v>
          </cell>
          <cell r="D65">
            <v>0</v>
          </cell>
          <cell r="E65" t="str">
            <v>P</v>
          </cell>
          <cell r="F65" t="str">
            <v/>
          </cell>
        </row>
        <row r="66">
          <cell r="A66" t="str">
            <v>投入数量</v>
          </cell>
          <cell r="B66" t="str">
            <v>TNQT</v>
          </cell>
          <cell r="C66">
            <v>9</v>
          </cell>
          <cell r="D66">
            <v>2</v>
          </cell>
          <cell r="E66" t="str">
            <v>P</v>
          </cell>
          <cell r="F66" t="str">
            <v/>
          </cell>
        </row>
        <row r="67">
          <cell r="A67" t="str">
            <v>当月請求額</v>
          </cell>
          <cell r="B67" t="str">
            <v>TBLA</v>
          </cell>
          <cell r="C67">
            <v>11</v>
          </cell>
          <cell r="D67">
            <v>0</v>
          </cell>
          <cell r="E67" t="str">
            <v>P</v>
          </cell>
          <cell r="F67" t="str">
            <v/>
          </cell>
        </row>
        <row r="68">
          <cell r="A68" t="str">
            <v>得意先金額</v>
          </cell>
          <cell r="B68" t="str">
            <v>TKAM</v>
          </cell>
          <cell r="C68">
            <v>9</v>
          </cell>
          <cell r="D68">
            <v>0</v>
          </cell>
          <cell r="E68" t="str">
            <v>P</v>
          </cell>
          <cell r="F68" t="str">
            <v/>
          </cell>
        </row>
        <row r="69">
          <cell r="A69" t="str">
            <v>得意先個数</v>
          </cell>
          <cell r="B69" t="str">
            <v>TKKS</v>
          </cell>
          <cell r="C69">
            <v>7</v>
          </cell>
          <cell r="D69">
            <v>0</v>
          </cell>
          <cell r="E69" t="str">
            <v>P</v>
          </cell>
          <cell r="F69" t="str">
            <v/>
          </cell>
        </row>
        <row r="70">
          <cell r="A70" t="str">
            <v>得意先単位コード</v>
          </cell>
          <cell r="B70" t="str">
            <v>TUCD</v>
          </cell>
          <cell r="C70">
            <v>2</v>
          </cell>
          <cell r="D70" t="str">
            <v/>
          </cell>
          <cell r="E70" t="str">
            <v>A</v>
          </cell>
          <cell r="F70" t="str">
            <v/>
          </cell>
        </row>
        <row r="71">
          <cell r="A71" t="str">
            <v>得意先名</v>
          </cell>
          <cell r="B71" t="str">
            <v>TKNM</v>
          </cell>
          <cell r="C71">
            <v>22</v>
          </cell>
          <cell r="D71" t="str">
            <v/>
          </cell>
          <cell r="E71" t="str">
            <v>O</v>
          </cell>
          <cell r="F71" t="str">
            <v/>
          </cell>
        </row>
        <row r="72">
          <cell r="A72" t="str">
            <v>得意先数量</v>
          </cell>
          <cell r="B72" t="str">
            <v>TKQT</v>
          </cell>
          <cell r="C72" t="str">
            <v>9</v>
          </cell>
          <cell r="D72" t="str">
            <v>2</v>
          </cell>
          <cell r="E72" t="str">
            <v>P</v>
          </cell>
          <cell r="F72" t="str">
            <v/>
          </cell>
        </row>
        <row r="73">
          <cell r="A73" t="str">
            <v>取引区分名</v>
          </cell>
          <cell r="B73" t="str">
            <v>TRNM</v>
          </cell>
          <cell r="C73">
            <v>12</v>
          </cell>
          <cell r="D73" t="str">
            <v/>
          </cell>
          <cell r="E73" t="str">
            <v>O</v>
          </cell>
          <cell r="F73" t="str">
            <v/>
          </cell>
        </row>
        <row r="74">
          <cell r="A74" t="str">
            <v>入金枝番</v>
          </cell>
          <cell r="B74" t="str">
            <v>NKEB</v>
          </cell>
          <cell r="C74" t="str">
            <v>2</v>
          </cell>
          <cell r="D74" t="str">
            <v>0</v>
          </cell>
          <cell r="E74" t="str">
            <v>S</v>
          </cell>
          <cell r="F74" t="str">
            <v/>
          </cell>
        </row>
        <row r="75">
          <cell r="A75" t="str">
            <v>入庫金額</v>
          </cell>
          <cell r="B75" t="str">
            <v>NKAM</v>
          </cell>
          <cell r="C75">
            <v>9</v>
          </cell>
          <cell r="D75">
            <v>0</v>
          </cell>
          <cell r="E75" t="str">
            <v>P</v>
          </cell>
        </row>
        <row r="76">
          <cell r="A76" t="str">
            <v>入庫場所名</v>
          </cell>
          <cell r="B76" t="str">
            <v>NBNM</v>
          </cell>
          <cell r="C76">
            <v>22</v>
          </cell>
          <cell r="D76" t="str">
            <v/>
          </cell>
          <cell r="E76" t="str">
            <v>O</v>
          </cell>
          <cell r="F76" t="str">
            <v/>
          </cell>
        </row>
        <row r="77">
          <cell r="A77" t="str">
            <v>入力担当名</v>
          </cell>
          <cell r="B77" t="str">
            <v>NRNM</v>
          </cell>
          <cell r="C77" t="str">
            <v>18</v>
          </cell>
          <cell r="D77" t="str">
            <v/>
          </cell>
          <cell r="E77" t="str">
            <v>O</v>
          </cell>
          <cell r="F77" t="str">
            <v/>
          </cell>
        </row>
        <row r="78">
          <cell r="A78" t="str">
            <v>年月度</v>
          </cell>
          <cell r="B78" t="str">
            <v>NGDO</v>
          </cell>
          <cell r="C78">
            <v>6</v>
          </cell>
          <cell r="D78">
            <v>0</v>
          </cell>
          <cell r="E78" t="str">
            <v>S</v>
          </cell>
          <cell r="F78" t="str">
            <v/>
          </cell>
        </row>
        <row r="79">
          <cell r="A79" t="str">
            <v>年度</v>
          </cell>
          <cell r="B79" t="str">
            <v>NEND</v>
          </cell>
          <cell r="C79">
            <v>4</v>
          </cell>
          <cell r="D79">
            <v>0</v>
          </cell>
          <cell r="E79" t="str">
            <v>S</v>
          </cell>
          <cell r="F79" t="str">
            <v/>
          </cell>
        </row>
        <row r="80">
          <cell r="A80" t="str">
            <v>納入場所コード</v>
          </cell>
          <cell r="B80" t="str">
            <v>NNCD</v>
          </cell>
          <cell r="C80">
            <v>7</v>
          </cell>
          <cell r="D80" t="str">
            <v/>
          </cell>
          <cell r="E80" t="str">
            <v>A</v>
          </cell>
          <cell r="F80" t="str">
            <v/>
          </cell>
        </row>
        <row r="81">
          <cell r="A81" t="str">
            <v>納品書出力行数</v>
          </cell>
          <cell r="B81" t="str">
            <v>NHSG</v>
          </cell>
          <cell r="C81">
            <v>2</v>
          </cell>
          <cell r="D81">
            <v>0</v>
          </cell>
          <cell r="E81" t="str">
            <v>P</v>
          </cell>
          <cell r="F81" t="str">
            <v/>
          </cell>
        </row>
        <row r="82">
          <cell r="A82" t="str">
            <v>納品書出力区分</v>
          </cell>
          <cell r="B82" t="str">
            <v>NHSK</v>
          </cell>
          <cell r="C82">
            <v>1</v>
          </cell>
          <cell r="D82" t="str">
            <v/>
          </cell>
          <cell r="E82" t="str">
            <v>A</v>
          </cell>
          <cell r="F82" t="str">
            <v>" "=受注№別　"1"=オーダー№別　"2"=品名コード別　"3"=品名種別コード別　"4"=品名種別色コード別　"5"=品名種別サイズコード別　"6"=品目コード別</v>
          </cell>
        </row>
        <row r="83">
          <cell r="A83" t="str">
            <v>引当区分</v>
          </cell>
          <cell r="B83" t="str">
            <v>HAKB</v>
          </cell>
          <cell r="C83">
            <v>1</v>
          </cell>
          <cell r="D83" t="str">
            <v/>
          </cell>
          <cell r="E83" t="str">
            <v>A</v>
          </cell>
          <cell r="F83" t="str">
            <v/>
          </cell>
        </row>
        <row r="84">
          <cell r="A84" t="str">
            <v>引当個数</v>
          </cell>
          <cell r="B84" t="str">
            <v>HAKS</v>
          </cell>
          <cell r="C84">
            <v>11</v>
          </cell>
          <cell r="D84">
            <v>0</v>
          </cell>
          <cell r="E84" t="str">
            <v>P</v>
          </cell>
          <cell r="F84" t="str">
            <v/>
          </cell>
        </row>
        <row r="85">
          <cell r="A85" t="str">
            <v>引当数量</v>
          </cell>
          <cell r="B85" t="str">
            <v>HAQT</v>
          </cell>
          <cell r="C85" t="str">
            <v>9</v>
          </cell>
          <cell r="D85" t="str">
            <v>2</v>
          </cell>
          <cell r="E85" t="str">
            <v>P</v>
          </cell>
          <cell r="F85" t="str">
            <v/>
          </cell>
        </row>
        <row r="86">
          <cell r="A86" t="str">
            <v>必要数量</v>
          </cell>
          <cell r="B86" t="str">
            <v>HYQT</v>
          </cell>
          <cell r="C86">
            <v>11</v>
          </cell>
          <cell r="D86">
            <v>5</v>
          </cell>
          <cell r="E86" t="str">
            <v>P</v>
          </cell>
          <cell r="F86" t="str">
            <v/>
          </cell>
        </row>
        <row r="87">
          <cell r="A87" t="str">
            <v>品種コード</v>
          </cell>
          <cell r="B87" t="str">
            <v>HSCD</v>
          </cell>
          <cell r="C87" t="str">
            <v>2</v>
          </cell>
          <cell r="D87" t="str">
            <v/>
          </cell>
          <cell r="E87" t="str">
            <v>A</v>
          </cell>
          <cell r="F87" t="str">
            <v/>
          </cell>
        </row>
        <row r="88">
          <cell r="A88" t="str">
            <v>品種名</v>
          </cell>
          <cell r="B88" t="str">
            <v>HSNM</v>
          </cell>
          <cell r="C88" t="str">
            <v>12</v>
          </cell>
          <cell r="D88" t="str">
            <v/>
          </cell>
          <cell r="E88" t="str">
            <v>O</v>
          </cell>
          <cell r="F88" t="str">
            <v/>
          </cell>
        </row>
        <row r="89">
          <cell r="A89" t="str">
            <v>品名部門コード（子）</v>
          </cell>
          <cell r="B89" t="str">
            <v>CHC1</v>
          </cell>
          <cell r="C89" t="str">
            <v>1</v>
          </cell>
          <cell r="D89" t="str">
            <v/>
          </cell>
          <cell r="E89" t="str">
            <v>A</v>
          </cell>
          <cell r="F89" t="str">
            <v/>
          </cell>
        </row>
        <row r="90">
          <cell r="A90" t="str">
            <v>品名部門コード（親）</v>
          </cell>
          <cell r="B90" t="str">
            <v>PHC1</v>
          </cell>
          <cell r="C90" t="str">
            <v>1</v>
          </cell>
          <cell r="D90" t="str">
            <v/>
          </cell>
          <cell r="E90" t="str">
            <v>A</v>
          </cell>
          <cell r="F90" t="str">
            <v/>
          </cell>
        </row>
        <row r="91">
          <cell r="A91" t="str">
            <v>メーター数</v>
          </cell>
          <cell r="B91" t="str">
            <v>MTSU</v>
          </cell>
          <cell r="C91" t="str">
            <v>9</v>
          </cell>
          <cell r="D91" t="str">
            <v>2</v>
          </cell>
          <cell r="E91" t="str">
            <v>P</v>
          </cell>
          <cell r="F91" t="str">
            <v/>
          </cell>
        </row>
        <row r="92">
          <cell r="A92" t="str">
            <v>有効ｍ数</v>
          </cell>
          <cell r="B92" t="str">
            <v>YKMS</v>
          </cell>
          <cell r="C92">
            <v>7</v>
          </cell>
          <cell r="D92">
            <v>2</v>
          </cell>
          <cell r="E92" t="str">
            <v>P</v>
          </cell>
          <cell r="F92" t="str">
            <v/>
          </cell>
        </row>
        <row r="93">
          <cell r="A93" t="str">
            <v>ユーザーＩＤ</v>
          </cell>
          <cell r="B93" t="str">
            <v>USID</v>
          </cell>
          <cell r="C93">
            <v>10</v>
          </cell>
          <cell r="D93" t="str">
            <v/>
          </cell>
          <cell r="E93" t="str">
            <v>A</v>
          </cell>
          <cell r="F93" t="str">
            <v/>
          </cell>
        </row>
        <row r="94">
          <cell r="A94" t="str">
            <v>与信限度額</v>
          </cell>
          <cell r="B94" t="str">
            <v>YSGM</v>
          </cell>
          <cell r="C94">
            <v>11</v>
          </cell>
          <cell r="D94">
            <v>0</v>
          </cell>
          <cell r="E94" t="str">
            <v>P</v>
          </cell>
          <cell r="F94" t="str">
            <v/>
          </cell>
        </row>
        <row r="95">
          <cell r="A95" t="str">
            <v>累計金額</v>
          </cell>
          <cell r="B95" t="str">
            <v>RKAM</v>
          </cell>
          <cell r="C95">
            <v>11</v>
          </cell>
          <cell r="D95">
            <v>0</v>
          </cell>
          <cell r="E95" t="str">
            <v>P</v>
          </cell>
          <cell r="F95" t="str">
            <v/>
          </cell>
        </row>
        <row r="96">
          <cell r="A96" t="str">
            <v>ロス金額</v>
          </cell>
          <cell r="B96" t="str">
            <v>LSAM</v>
          </cell>
          <cell r="C96" t="str">
            <v>9</v>
          </cell>
          <cell r="D96" t="str">
            <v>0</v>
          </cell>
          <cell r="E96" t="str">
            <v>P</v>
          </cell>
          <cell r="F96" t="str">
            <v/>
          </cell>
        </row>
        <row r="97">
          <cell r="A97" t="str">
            <v>ロス数量</v>
          </cell>
          <cell r="B97" t="str">
            <v>LSQT</v>
          </cell>
          <cell r="C97" t="str">
            <v>9</v>
          </cell>
          <cell r="D97" t="str">
            <v>2</v>
          </cell>
          <cell r="E97" t="str">
            <v>P</v>
          </cell>
          <cell r="F97" t="str">
            <v/>
          </cell>
        </row>
        <row r="98">
          <cell r="A98" t="str">
            <v>ロット№</v>
          </cell>
          <cell r="B98" t="str">
            <v>LOTN</v>
          </cell>
          <cell r="C98" t="str">
            <v>6</v>
          </cell>
          <cell r="D98" t="str">
            <v>0</v>
          </cell>
          <cell r="E98" t="str">
            <v>S</v>
          </cell>
          <cell r="F98" t="str">
            <v/>
          </cell>
        </row>
        <row r="99">
          <cell r="A99" t="str">
            <v>引渡粗利</v>
          </cell>
          <cell r="B99" t="str">
            <v>HWAR</v>
          </cell>
          <cell r="C99">
            <v>11</v>
          </cell>
          <cell r="D99">
            <v>0</v>
          </cell>
          <cell r="E99" t="str">
            <v>P</v>
          </cell>
          <cell r="F99" t="str">
            <v/>
          </cell>
        </row>
        <row r="100">
          <cell r="A100" t="str">
            <v>引当済長さ＜ｍ＞</v>
          </cell>
          <cell r="B100" t="str">
            <v>HALM</v>
          </cell>
          <cell r="C100" t="str">
            <v>7</v>
          </cell>
          <cell r="D100" t="str">
            <v>2</v>
          </cell>
          <cell r="E100" t="str">
            <v>P</v>
          </cell>
          <cell r="F100" t="str">
            <v/>
          </cell>
        </row>
        <row r="101">
          <cell r="A101" t="str">
            <v>引当処理区分</v>
          </cell>
          <cell r="B101" t="str">
            <v>HTKB</v>
          </cell>
          <cell r="C101">
            <v>1</v>
          </cell>
          <cell r="D101" t="str">
            <v/>
          </cell>
          <cell r="E101" t="str">
            <v>A</v>
          </cell>
          <cell r="F101" t="str">
            <v>" "=処理する　"1"=処理しない</v>
          </cell>
        </row>
        <row r="102">
          <cell r="A102" t="str">
            <v>運送便コード</v>
          </cell>
          <cell r="B102" t="str">
            <v>USCD</v>
          </cell>
          <cell r="C102" t="str">
            <v>7</v>
          </cell>
          <cell r="D102" t="str">
            <v/>
          </cell>
          <cell r="E102" t="str">
            <v>A</v>
          </cell>
          <cell r="F102" t="str">
            <v/>
          </cell>
        </row>
        <row r="103">
          <cell r="A103" t="str">
            <v>運送便コード１</v>
          </cell>
          <cell r="B103" t="str">
            <v>USC1</v>
          </cell>
          <cell r="C103" t="str">
            <v>7</v>
          </cell>
          <cell r="D103" t="str">
            <v/>
          </cell>
          <cell r="E103" t="str">
            <v>A</v>
          </cell>
          <cell r="F103" t="str">
            <v/>
          </cell>
        </row>
        <row r="104">
          <cell r="A104" t="str">
            <v>運送便コード２</v>
          </cell>
          <cell r="B104" t="str">
            <v>USC2</v>
          </cell>
          <cell r="C104" t="str">
            <v>7</v>
          </cell>
          <cell r="D104" t="str">
            <v/>
          </cell>
          <cell r="E104" t="str">
            <v>A</v>
          </cell>
          <cell r="F104" t="str">
            <v/>
          </cell>
        </row>
        <row r="105">
          <cell r="A105" t="str">
            <v>運送便コード３</v>
          </cell>
          <cell r="B105" t="str">
            <v>USC3</v>
          </cell>
          <cell r="C105" t="str">
            <v>7</v>
          </cell>
          <cell r="D105" t="str">
            <v/>
          </cell>
          <cell r="E105" t="str">
            <v>A</v>
          </cell>
          <cell r="F105" t="str">
            <v/>
          </cell>
        </row>
        <row r="106">
          <cell r="A106" t="str">
            <v>運送便区分</v>
          </cell>
          <cell r="B106" t="str">
            <v>USKB</v>
          </cell>
          <cell r="C106" t="str">
            <v>1</v>
          </cell>
          <cell r="D106" t="str">
            <v/>
          </cell>
          <cell r="E106" t="str">
            <v>A</v>
          </cell>
          <cell r="F106" t="str">
            <v>"1"=運送便</v>
          </cell>
        </row>
        <row r="107">
          <cell r="A107" t="str">
            <v>営業担当</v>
          </cell>
          <cell r="B107" t="str">
            <v>PIC</v>
          </cell>
          <cell r="C107" t="str">
            <v>5</v>
          </cell>
          <cell r="D107" t="str">
            <v/>
          </cell>
          <cell r="E107" t="str">
            <v>A</v>
          </cell>
          <cell r="F107" t="str">
            <v/>
          </cell>
        </row>
        <row r="108">
          <cell r="A108" t="str">
            <v>横サイズ</v>
          </cell>
          <cell r="B108" t="str">
            <v>YKSZ</v>
          </cell>
          <cell r="C108" t="str">
            <v>9</v>
          </cell>
          <cell r="D108" t="str">
            <v>3</v>
          </cell>
          <cell r="E108" t="str">
            <v>P</v>
          </cell>
          <cell r="F108" t="str">
            <v/>
          </cell>
        </row>
        <row r="109">
          <cell r="A109" t="str">
            <v>加工№</v>
          </cell>
          <cell r="B109" t="str">
            <v>KKNO</v>
          </cell>
          <cell r="C109" t="str">
            <v>8</v>
          </cell>
          <cell r="D109" t="str">
            <v>0</v>
          </cell>
          <cell r="E109" t="str">
            <v>S</v>
          </cell>
          <cell r="F109" t="str">
            <v/>
          </cell>
        </row>
        <row r="110">
          <cell r="A110" t="str">
            <v>加工枝番</v>
          </cell>
          <cell r="B110" t="str">
            <v>KKNE</v>
          </cell>
          <cell r="C110" t="str">
            <v>2</v>
          </cell>
          <cell r="D110" t="str">
            <v>0</v>
          </cell>
          <cell r="E110" t="str">
            <v>S</v>
          </cell>
          <cell r="F110" t="str">
            <v/>
          </cell>
        </row>
        <row r="111">
          <cell r="A111" t="str">
            <v>加工先コード</v>
          </cell>
          <cell r="B111" t="str">
            <v>KSCD</v>
          </cell>
          <cell r="C111" t="str">
            <v>7</v>
          </cell>
          <cell r="D111" t="str">
            <v/>
          </cell>
          <cell r="E111" t="str">
            <v>A</v>
          </cell>
          <cell r="F111" t="str">
            <v/>
          </cell>
        </row>
        <row r="112">
          <cell r="A112" t="str">
            <v>加工日</v>
          </cell>
          <cell r="B112" t="str">
            <v>KKDT</v>
          </cell>
          <cell r="C112" t="str">
            <v>8</v>
          </cell>
          <cell r="D112" t="str">
            <v>0</v>
          </cell>
          <cell r="E112" t="str">
            <v>S</v>
          </cell>
          <cell r="F112" t="str">
            <v/>
          </cell>
        </row>
        <row r="113">
          <cell r="A113" t="str">
            <v>稼働MK</v>
          </cell>
          <cell r="B113" t="str">
            <v>KDMK</v>
          </cell>
          <cell r="C113">
            <v>1</v>
          </cell>
          <cell r="D113" t="str">
            <v/>
          </cell>
          <cell r="E113" t="str">
            <v>A</v>
          </cell>
          <cell r="F113" t="str">
            <v/>
          </cell>
        </row>
        <row r="114">
          <cell r="A114" t="str">
            <v>稼働連番</v>
          </cell>
          <cell r="B114" t="str">
            <v>KDRB</v>
          </cell>
          <cell r="C114">
            <v>7</v>
          </cell>
          <cell r="D114">
            <v>0</v>
          </cell>
          <cell r="E114" t="str">
            <v>P</v>
          </cell>
          <cell r="F114" t="str">
            <v/>
          </cell>
        </row>
        <row r="115">
          <cell r="A115" t="str">
            <v>開始日</v>
          </cell>
          <cell r="B115" t="str">
            <v>STDT</v>
          </cell>
          <cell r="C115" t="str">
            <v>8</v>
          </cell>
          <cell r="D115" t="str">
            <v>0</v>
          </cell>
          <cell r="E115" t="str">
            <v>S</v>
          </cell>
          <cell r="F115" t="str">
            <v/>
          </cell>
        </row>
        <row r="116">
          <cell r="A116" t="str">
            <v>管理部門</v>
          </cell>
          <cell r="B116" t="str">
            <v>KRBM</v>
          </cell>
          <cell r="C116" t="str">
            <v>3</v>
          </cell>
          <cell r="D116" t="str">
            <v/>
          </cell>
          <cell r="E116" t="str">
            <v>A</v>
          </cell>
          <cell r="F116" t="str">
            <v/>
          </cell>
        </row>
        <row r="117">
          <cell r="A117" t="str">
            <v>金額</v>
          </cell>
          <cell r="B117" t="str">
            <v>AMNT</v>
          </cell>
          <cell r="C117" t="str">
            <v>9</v>
          </cell>
          <cell r="D117" t="str">
            <v>0</v>
          </cell>
          <cell r="E117" t="str">
            <v>P</v>
          </cell>
          <cell r="F117" t="str">
            <v/>
          </cell>
        </row>
        <row r="118">
          <cell r="A118" t="str">
            <v>金額処理区分</v>
          </cell>
          <cell r="B118" t="str">
            <v>ASKB</v>
          </cell>
          <cell r="C118">
            <v>1</v>
          </cell>
          <cell r="D118" t="str">
            <v/>
          </cell>
          <cell r="E118" t="str">
            <v>A</v>
          </cell>
          <cell r="F118" t="str">
            <v>" "=処理する　"1"=処理しない</v>
          </cell>
        </row>
        <row r="119">
          <cell r="A119" t="str">
            <v>銀行コード</v>
          </cell>
          <cell r="B119" t="str">
            <v>BNCD</v>
          </cell>
          <cell r="C119" t="str">
            <v>4</v>
          </cell>
          <cell r="D119" t="str">
            <v/>
          </cell>
          <cell r="E119" t="str">
            <v>A</v>
          </cell>
          <cell r="F119" t="str">
            <v/>
          </cell>
        </row>
        <row r="120">
          <cell r="A120" t="str">
            <v>銀行支店コード</v>
          </cell>
          <cell r="B120" t="str">
            <v>BRCD</v>
          </cell>
          <cell r="C120" t="str">
            <v>3</v>
          </cell>
          <cell r="D120" t="str">
            <v/>
          </cell>
          <cell r="E120" t="str">
            <v>A</v>
          </cell>
          <cell r="F120" t="str">
            <v/>
          </cell>
        </row>
        <row r="121">
          <cell r="A121" t="str">
            <v>繰越額</v>
          </cell>
          <cell r="B121" t="str">
            <v>KRAM</v>
          </cell>
          <cell r="C121">
            <v>11</v>
          </cell>
          <cell r="D121">
            <v>0</v>
          </cell>
          <cell r="E121" t="str">
            <v>P</v>
          </cell>
          <cell r="F121" t="str">
            <v/>
          </cell>
        </row>
        <row r="122">
          <cell r="A122" t="str">
            <v>計算区分</v>
          </cell>
          <cell r="B122" t="str">
            <v>KSKB</v>
          </cell>
          <cell r="C122" t="str">
            <v>1</v>
          </cell>
          <cell r="D122" t="str">
            <v/>
          </cell>
          <cell r="E122" t="str">
            <v>A</v>
          </cell>
          <cell r="F122" t="str">
            <v>"1"=個数　＊　品目マスタの入数　（枚、セット）　
"2"=個数　＊　サイズマスタの数量　（帖）　
"3"=総ｍ数　＊　サイズマスタの数量　（ｍ２）　
"4"=個数　＊　別注サイズ　（ｍ２）　
"5"=ｍ管理（基布等）　（ｍ）</v>
          </cell>
        </row>
        <row r="123">
          <cell r="A123" t="str">
            <v>検索レコード</v>
          </cell>
          <cell r="B123" t="str">
            <v>KNRC</v>
          </cell>
          <cell r="C123">
            <v>8</v>
          </cell>
          <cell r="D123" t="str">
            <v/>
          </cell>
          <cell r="E123" t="str">
            <v>A</v>
          </cell>
          <cell r="F123" t="str">
            <v/>
          </cell>
        </row>
        <row r="124">
          <cell r="A124" t="str">
            <v>検索レコードキ一１</v>
          </cell>
          <cell r="B124" t="str">
            <v>KNR1</v>
          </cell>
          <cell r="C124">
            <v>7</v>
          </cell>
          <cell r="D124" t="str">
            <v/>
          </cell>
          <cell r="E124" t="str">
            <v>A</v>
          </cell>
          <cell r="F124" t="str">
            <v/>
          </cell>
        </row>
        <row r="125">
          <cell r="A125" t="str">
            <v>検索レコードキ一２</v>
          </cell>
          <cell r="B125" t="str">
            <v>KNR2</v>
          </cell>
          <cell r="C125">
            <v>4</v>
          </cell>
          <cell r="D125" t="str">
            <v/>
          </cell>
          <cell r="E125" t="str">
            <v>A</v>
          </cell>
          <cell r="F125" t="str">
            <v/>
          </cell>
        </row>
        <row r="126">
          <cell r="A126" t="str">
            <v>検索レコードキ一３</v>
          </cell>
          <cell r="B126" t="str">
            <v>KNR3</v>
          </cell>
          <cell r="C126">
            <v>2</v>
          </cell>
          <cell r="D126" t="str">
            <v/>
          </cell>
          <cell r="E126" t="str">
            <v>A</v>
          </cell>
          <cell r="F126" t="str">
            <v/>
          </cell>
        </row>
        <row r="127">
          <cell r="A127" t="str">
            <v>検索レコードキ一４</v>
          </cell>
          <cell r="B127" t="str">
            <v>KNR4</v>
          </cell>
          <cell r="C127">
            <v>3</v>
          </cell>
          <cell r="D127" t="str">
            <v/>
          </cell>
          <cell r="E127" t="str">
            <v>A</v>
          </cell>
          <cell r="F127" t="str">
            <v/>
          </cell>
        </row>
        <row r="128">
          <cell r="A128" t="str">
            <v>検索レコードキ一５</v>
          </cell>
          <cell r="B128" t="str">
            <v>KNR5</v>
          </cell>
          <cell r="C128">
            <v>4</v>
          </cell>
          <cell r="D128" t="str">
            <v/>
          </cell>
          <cell r="E128" t="str">
            <v>A</v>
          </cell>
          <cell r="F128" t="str">
            <v/>
          </cell>
        </row>
        <row r="129">
          <cell r="A129" t="str">
            <v>検索名称</v>
          </cell>
          <cell r="B129" t="str">
            <v>KNNM</v>
          </cell>
          <cell r="C129">
            <v>32</v>
          </cell>
          <cell r="D129" t="str">
            <v/>
          </cell>
          <cell r="E129" t="str">
            <v>O</v>
          </cell>
          <cell r="F129" t="str">
            <v/>
          </cell>
        </row>
        <row r="130">
          <cell r="A130" t="str">
            <v>元仕入№</v>
          </cell>
          <cell r="B130" t="str">
            <v>MSNO</v>
          </cell>
          <cell r="C130" t="str">
            <v>8</v>
          </cell>
          <cell r="D130" t="str">
            <v>0</v>
          </cell>
          <cell r="E130" t="str">
            <v>S</v>
          </cell>
          <cell r="F130" t="str">
            <v/>
          </cell>
        </row>
        <row r="131">
          <cell r="A131" t="str">
            <v>元仕入№枝番</v>
          </cell>
          <cell r="B131" t="str">
            <v>MSNE</v>
          </cell>
          <cell r="C131" t="str">
            <v>2</v>
          </cell>
          <cell r="D131" t="str">
            <v>0</v>
          </cell>
          <cell r="E131" t="str">
            <v>S</v>
          </cell>
          <cell r="F131" t="str">
            <v/>
          </cell>
        </row>
        <row r="132">
          <cell r="A132" t="str">
            <v>原価</v>
          </cell>
          <cell r="B132" t="str">
            <v>GNKA</v>
          </cell>
          <cell r="C132" t="str">
            <v>9</v>
          </cell>
          <cell r="D132">
            <v>2</v>
          </cell>
          <cell r="E132" t="str">
            <v>P</v>
          </cell>
          <cell r="F132" t="str">
            <v/>
          </cell>
        </row>
        <row r="133">
          <cell r="A133" t="str">
            <v>原材料仕入</v>
          </cell>
          <cell r="B133" t="str">
            <v>GZSR</v>
          </cell>
          <cell r="C133">
            <v>11</v>
          </cell>
          <cell r="D133">
            <v>0</v>
          </cell>
          <cell r="E133" t="str">
            <v>P</v>
          </cell>
          <cell r="F133" t="str">
            <v/>
          </cell>
        </row>
        <row r="134">
          <cell r="A134" t="str">
            <v>原材料売上</v>
          </cell>
          <cell r="B134" t="str">
            <v>GZUR</v>
          </cell>
          <cell r="C134">
            <v>11</v>
          </cell>
          <cell r="D134">
            <v>0</v>
          </cell>
          <cell r="E134" t="str">
            <v>P</v>
          </cell>
          <cell r="F134" t="str">
            <v/>
          </cell>
        </row>
        <row r="135">
          <cell r="A135" t="str">
            <v>現金</v>
          </cell>
          <cell r="B135" t="str">
            <v>GNKN</v>
          </cell>
          <cell r="C135">
            <v>11</v>
          </cell>
          <cell r="D135">
            <v>0</v>
          </cell>
          <cell r="E135" t="str">
            <v>P</v>
          </cell>
          <cell r="F135" t="str">
            <v/>
          </cell>
        </row>
        <row r="136">
          <cell r="A136" t="str">
            <v>現金支払</v>
          </cell>
          <cell r="B136" t="str">
            <v>GKSH</v>
          </cell>
          <cell r="C136" t="str">
            <v>11</v>
          </cell>
          <cell r="D136" t="str">
            <v>0</v>
          </cell>
          <cell r="E136" t="str">
            <v>P</v>
          </cell>
          <cell r="F136" t="str">
            <v/>
          </cell>
        </row>
        <row r="137">
          <cell r="A137" t="str">
            <v>現金入金</v>
          </cell>
          <cell r="B137" t="str">
            <v>GKNK</v>
          </cell>
          <cell r="C137" t="str">
            <v>11</v>
          </cell>
          <cell r="D137" t="str">
            <v>0</v>
          </cell>
          <cell r="E137" t="str">
            <v>P</v>
          </cell>
          <cell r="F137" t="str">
            <v/>
          </cell>
        </row>
        <row r="138">
          <cell r="A138" t="str">
            <v>現在原価</v>
          </cell>
          <cell r="B138" t="str">
            <v>GZGK</v>
          </cell>
          <cell r="C138" t="str">
            <v>11</v>
          </cell>
          <cell r="D138" t="str">
            <v>2</v>
          </cell>
          <cell r="E138" t="str">
            <v>P</v>
          </cell>
          <cell r="F138" t="str">
            <v/>
          </cell>
        </row>
        <row r="139">
          <cell r="A139" t="str">
            <v>現在在庫数量</v>
          </cell>
          <cell r="B139" t="str">
            <v>GZQT</v>
          </cell>
          <cell r="C139">
            <v>9</v>
          </cell>
          <cell r="D139">
            <v>2</v>
          </cell>
          <cell r="E139" t="str">
            <v>P</v>
          </cell>
          <cell r="F139" t="str">
            <v>前月残＋当月入－当月出</v>
          </cell>
        </row>
        <row r="140">
          <cell r="A140" t="str">
            <v>個数</v>
          </cell>
          <cell r="B140" t="str">
            <v>KOSU</v>
          </cell>
          <cell r="C140">
            <v>7</v>
          </cell>
          <cell r="D140">
            <v>0</v>
          </cell>
          <cell r="E140" t="str">
            <v>P</v>
          </cell>
          <cell r="F140" t="str">
            <v/>
          </cell>
        </row>
        <row r="141">
          <cell r="A141" t="str">
            <v>口座区分</v>
          </cell>
          <cell r="B141" t="str">
            <v>KZKB</v>
          </cell>
          <cell r="C141" t="str">
            <v>1</v>
          </cell>
          <cell r="D141" t="str">
            <v/>
          </cell>
          <cell r="E141" t="str">
            <v>A</v>
          </cell>
          <cell r="F141" t="str">
            <v>１：普通　２：当座</v>
          </cell>
        </row>
        <row r="142">
          <cell r="A142" t="str">
            <v>口座番号</v>
          </cell>
          <cell r="B142" t="str">
            <v>KZNO</v>
          </cell>
          <cell r="C142" t="str">
            <v>10</v>
          </cell>
          <cell r="D142" t="str">
            <v/>
          </cell>
          <cell r="E142" t="str">
            <v>A</v>
          </cell>
          <cell r="F142" t="str">
            <v/>
          </cell>
        </row>
        <row r="143">
          <cell r="A143" t="str">
            <v>口座名義</v>
          </cell>
          <cell r="B143" t="str">
            <v>KZNM</v>
          </cell>
          <cell r="C143" t="str">
            <v>20</v>
          </cell>
          <cell r="D143" t="str">
            <v/>
          </cell>
          <cell r="E143" t="str">
            <v>O</v>
          </cell>
          <cell r="F143" t="str">
            <v/>
          </cell>
        </row>
        <row r="144">
          <cell r="A144" t="str">
            <v>工程コード</v>
          </cell>
          <cell r="B144" t="str">
            <v>PRCD</v>
          </cell>
          <cell r="C144" t="str">
            <v>3</v>
          </cell>
          <cell r="D144" t="str">
            <v/>
          </cell>
          <cell r="E144" t="str">
            <v>A</v>
          </cell>
          <cell r="F144" t="str">
            <v/>
          </cell>
        </row>
        <row r="145">
          <cell r="A145" t="str">
            <v>工程名</v>
          </cell>
          <cell r="B145" t="str">
            <v>PRNM</v>
          </cell>
          <cell r="C145" t="str">
            <v>12</v>
          </cell>
          <cell r="D145" t="str">
            <v/>
          </cell>
          <cell r="E145" t="str">
            <v>O</v>
          </cell>
          <cell r="F145" t="str">
            <v/>
          </cell>
        </row>
        <row r="146">
          <cell r="A146" t="str">
            <v>更新ＰＧＭ</v>
          </cell>
          <cell r="B146" t="str">
            <v>UPGM</v>
          </cell>
          <cell r="C146">
            <v>10</v>
          </cell>
          <cell r="D146" t="str">
            <v/>
          </cell>
          <cell r="E146" t="str">
            <v>A</v>
          </cell>
          <cell r="F146" t="str">
            <v>オンラインＰＧＭ</v>
          </cell>
        </row>
        <row r="147">
          <cell r="A147" t="str">
            <v>更新ユーザー</v>
          </cell>
          <cell r="B147" t="str">
            <v>UUSE</v>
          </cell>
          <cell r="C147" t="str">
            <v>10</v>
          </cell>
          <cell r="D147" t="str">
            <v/>
          </cell>
          <cell r="E147" t="str">
            <v>A</v>
          </cell>
          <cell r="F147" t="str">
            <v>オンライン更新者</v>
          </cell>
        </row>
        <row r="148">
          <cell r="A148" t="str">
            <v>更新時刻</v>
          </cell>
          <cell r="B148" t="str">
            <v>UTIM</v>
          </cell>
          <cell r="C148" t="str">
            <v>6</v>
          </cell>
          <cell r="D148" t="str">
            <v>0</v>
          </cell>
          <cell r="E148" t="str">
            <v>S</v>
          </cell>
          <cell r="F148" t="str">
            <v>オンライン更新時刻</v>
          </cell>
        </row>
        <row r="149">
          <cell r="A149" t="str">
            <v>更新日</v>
          </cell>
          <cell r="B149" t="str">
            <v>UDAT</v>
          </cell>
          <cell r="C149" t="str">
            <v>8</v>
          </cell>
          <cell r="D149" t="str">
            <v>0</v>
          </cell>
          <cell r="E149" t="str">
            <v>S</v>
          </cell>
          <cell r="F149" t="str">
            <v>オンライン更新日</v>
          </cell>
        </row>
        <row r="150">
          <cell r="A150" t="str">
            <v>項目名</v>
          </cell>
          <cell r="B150" t="str">
            <v>KMNM</v>
          </cell>
          <cell r="C150" t="str">
            <v>10</v>
          </cell>
          <cell r="E150" t="str">
            <v>O</v>
          </cell>
          <cell r="F150" t="str">
            <v/>
          </cell>
        </row>
        <row r="151">
          <cell r="A151" t="str">
            <v>項目名（ＣＴＬ）</v>
          </cell>
          <cell r="B151" t="str">
            <v>CKNM</v>
          </cell>
          <cell r="C151">
            <v>22</v>
          </cell>
          <cell r="D151" t="str">
            <v/>
          </cell>
          <cell r="E151" t="str">
            <v>O</v>
          </cell>
          <cell r="F151" t="str">
            <v/>
          </cell>
        </row>
        <row r="152">
          <cell r="A152" t="str">
            <v>最新出庫日</v>
          </cell>
          <cell r="B152" t="str">
            <v>NSDT</v>
          </cell>
          <cell r="C152" t="str">
            <v>8</v>
          </cell>
          <cell r="D152" t="str">
            <v>0</v>
          </cell>
          <cell r="E152" t="str">
            <v>S</v>
          </cell>
          <cell r="F152" t="str">
            <v/>
          </cell>
        </row>
        <row r="153">
          <cell r="A153" t="str">
            <v>在庫種別</v>
          </cell>
          <cell r="B153" t="str">
            <v>ZKSB</v>
          </cell>
          <cell r="C153" t="str">
            <v>1</v>
          </cell>
          <cell r="D153" t="str">
            <v/>
          </cell>
          <cell r="E153" t="str">
            <v>A</v>
          </cell>
          <cell r="F153" t="str">
            <v>"0"=自社、"1"=預け、"2"=預り、"9"=投入</v>
          </cell>
        </row>
        <row r="154">
          <cell r="A154" t="str">
            <v>在庫管理区分</v>
          </cell>
          <cell r="B154" t="str">
            <v>ZMKB</v>
          </cell>
          <cell r="C154" t="str">
            <v>1</v>
          </cell>
          <cell r="D154" t="str">
            <v/>
          </cell>
          <cell r="E154" t="str">
            <v>A</v>
          </cell>
          <cell r="F154" t="str">
            <v>" "=管理する　"1"=管理しない</v>
          </cell>
        </row>
        <row r="155">
          <cell r="A155" t="str">
            <v>在庫処理区分</v>
          </cell>
          <cell r="B155" t="str">
            <v>ZSKB</v>
          </cell>
          <cell r="C155">
            <v>1</v>
          </cell>
          <cell r="D155" t="str">
            <v/>
          </cell>
          <cell r="E155" t="str">
            <v>A</v>
          </cell>
          <cell r="F155" t="str">
            <v>" "=処理する　"1"=処理しない</v>
          </cell>
        </row>
        <row r="156">
          <cell r="A156" t="str">
            <v>在庫場所コード</v>
          </cell>
          <cell r="B156" t="str">
            <v>ZKCD</v>
          </cell>
          <cell r="C156" t="str">
            <v>7</v>
          </cell>
          <cell r="D156" t="str">
            <v/>
          </cell>
          <cell r="E156" t="str">
            <v>A</v>
          </cell>
          <cell r="F156" t="str">
            <v/>
          </cell>
        </row>
        <row r="157">
          <cell r="A157" t="str">
            <v>作成時刻</v>
          </cell>
          <cell r="B157" t="str">
            <v>ATIM</v>
          </cell>
          <cell r="C157">
            <v>6</v>
          </cell>
          <cell r="D157">
            <v>0</v>
          </cell>
          <cell r="E157" t="str">
            <v>S</v>
          </cell>
          <cell r="F157" t="str">
            <v>オンライン入力時刻</v>
          </cell>
        </row>
        <row r="158">
          <cell r="A158" t="str">
            <v>作成日</v>
          </cell>
          <cell r="B158" t="str">
            <v>ADAT</v>
          </cell>
          <cell r="C158">
            <v>8</v>
          </cell>
          <cell r="D158">
            <v>0</v>
          </cell>
          <cell r="E158" t="str">
            <v>S</v>
          </cell>
          <cell r="F158" t="str">
            <v>オンライン入力日</v>
          </cell>
        </row>
        <row r="159">
          <cell r="A159" t="str">
            <v>仕入</v>
          </cell>
          <cell r="B159" t="str">
            <v>SIRE</v>
          </cell>
          <cell r="C159" t="str">
            <v>11</v>
          </cell>
          <cell r="D159" t="str">
            <v>0</v>
          </cell>
          <cell r="E159" t="str">
            <v>P</v>
          </cell>
          <cell r="F159" t="str">
            <v/>
          </cell>
        </row>
        <row r="160">
          <cell r="A160" t="str">
            <v>仕入№</v>
          </cell>
          <cell r="B160" t="str">
            <v>SRNO</v>
          </cell>
          <cell r="C160" t="str">
            <v>8</v>
          </cell>
          <cell r="D160" t="str">
            <v>0</v>
          </cell>
          <cell r="E160" t="str">
            <v>S</v>
          </cell>
          <cell r="F160" t="str">
            <v/>
          </cell>
        </row>
        <row r="161">
          <cell r="A161" t="str">
            <v>仕入枝番</v>
          </cell>
          <cell r="B161" t="str">
            <v>SREB</v>
          </cell>
          <cell r="C161" t="str">
            <v>2</v>
          </cell>
          <cell r="D161" t="str">
            <v>0</v>
          </cell>
          <cell r="E161" t="str">
            <v>S</v>
          </cell>
          <cell r="F161" t="str">
            <v/>
          </cell>
        </row>
        <row r="162">
          <cell r="A162" t="str">
            <v>仕入消費税</v>
          </cell>
          <cell r="B162" t="str">
            <v>SRSZ</v>
          </cell>
          <cell r="C162" t="str">
            <v>11</v>
          </cell>
          <cell r="D162" t="str">
            <v>0</v>
          </cell>
          <cell r="E162" t="str">
            <v>P</v>
          </cell>
          <cell r="F162" t="str">
            <v/>
          </cell>
        </row>
        <row r="163">
          <cell r="A163" t="str">
            <v>仕入先コード</v>
          </cell>
          <cell r="B163" t="str">
            <v>SRCD</v>
          </cell>
          <cell r="C163" t="str">
            <v>7</v>
          </cell>
          <cell r="D163" t="str">
            <v/>
          </cell>
          <cell r="E163" t="str">
            <v>A</v>
          </cell>
          <cell r="F163" t="str">
            <v/>
          </cell>
        </row>
        <row r="164">
          <cell r="A164" t="str">
            <v>仕入先区分</v>
          </cell>
          <cell r="B164" t="str">
            <v>SRKB</v>
          </cell>
          <cell r="C164" t="str">
            <v>1</v>
          </cell>
          <cell r="D164" t="str">
            <v/>
          </cell>
          <cell r="E164" t="str">
            <v>A</v>
          </cell>
          <cell r="F164" t="str">
            <v xml:space="preserve">"1"=仕入先 </v>
          </cell>
        </row>
        <row r="165">
          <cell r="A165" t="str">
            <v>仕入担当者</v>
          </cell>
          <cell r="B165" t="str">
            <v>SRTT</v>
          </cell>
          <cell r="C165" t="str">
            <v>5</v>
          </cell>
          <cell r="D165" t="str">
            <v/>
          </cell>
          <cell r="E165" t="str">
            <v>A</v>
          </cell>
          <cell r="F165" t="str">
            <v/>
          </cell>
        </row>
        <row r="166">
          <cell r="A166" t="str">
            <v>仕入値引</v>
          </cell>
          <cell r="B166" t="str">
            <v>SRDC</v>
          </cell>
          <cell r="C166" t="str">
            <v>11</v>
          </cell>
          <cell r="D166" t="str">
            <v>0</v>
          </cell>
          <cell r="E166" t="str">
            <v>P</v>
          </cell>
          <cell r="F166" t="str">
            <v/>
          </cell>
        </row>
        <row r="167">
          <cell r="A167" t="str">
            <v>仕入日</v>
          </cell>
          <cell r="B167" t="str">
            <v>SRDT</v>
          </cell>
          <cell r="C167" t="str">
            <v>8</v>
          </cell>
          <cell r="D167" t="str">
            <v>0</v>
          </cell>
          <cell r="E167" t="str">
            <v>S</v>
          </cell>
          <cell r="F167" t="str">
            <v/>
          </cell>
        </row>
        <row r="168">
          <cell r="A168" t="str">
            <v>仕入年累計</v>
          </cell>
          <cell r="B168" t="str">
            <v>SRNR</v>
          </cell>
          <cell r="C168" t="str">
            <v>11</v>
          </cell>
          <cell r="D168" t="str">
            <v>0</v>
          </cell>
          <cell r="E168" t="str">
            <v>P</v>
          </cell>
          <cell r="F168" t="str">
            <v/>
          </cell>
        </row>
        <row r="169">
          <cell r="A169" t="str">
            <v>仕入返品</v>
          </cell>
          <cell r="B169" t="str">
            <v>SRHP</v>
          </cell>
          <cell r="C169" t="str">
            <v>11</v>
          </cell>
          <cell r="D169" t="str">
            <v>0</v>
          </cell>
          <cell r="E169" t="str">
            <v>P</v>
          </cell>
          <cell r="F169" t="str">
            <v/>
          </cell>
        </row>
        <row r="170">
          <cell r="A170" t="str">
            <v>使用ｍ数</v>
          </cell>
          <cell r="B170" t="str">
            <v>USMS</v>
          </cell>
          <cell r="C170" t="str">
            <v>7</v>
          </cell>
          <cell r="D170" t="str">
            <v>2</v>
          </cell>
          <cell r="E170" t="str">
            <v>P</v>
          </cell>
          <cell r="F170" t="str">
            <v/>
          </cell>
        </row>
        <row r="171">
          <cell r="A171" t="str">
            <v>使用済長さ＜ｍ＞</v>
          </cell>
          <cell r="B171" t="str">
            <v>UZMS</v>
          </cell>
          <cell r="C171" t="str">
            <v>7</v>
          </cell>
          <cell r="D171" t="str">
            <v>2</v>
          </cell>
          <cell r="E171" t="str">
            <v>P</v>
          </cell>
          <cell r="F171" t="str">
            <v/>
          </cell>
        </row>
        <row r="172">
          <cell r="A172" t="str">
            <v>指示回数</v>
          </cell>
          <cell r="B172" t="str">
            <v>SJCT</v>
          </cell>
          <cell r="C172" t="str">
            <v>2</v>
          </cell>
          <cell r="D172" t="str">
            <v>0</v>
          </cell>
          <cell r="E172" t="str">
            <v>S</v>
          </cell>
          <cell r="F172" t="str">
            <v/>
          </cell>
        </row>
        <row r="173">
          <cell r="A173" t="str">
            <v>指示場所コード</v>
          </cell>
          <cell r="B173" t="str">
            <v>SBCD</v>
          </cell>
          <cell r="C173" t="str">
            <v>7</v>
          </cell>
          <cell r="D173" t="str">
            <v/>
          </cell>
          <cell r="E173" t="str">
            <v>A</v>
          </cell>
          <cell r="F173" t="str">
            <v/>
          </cell>
        </row>
        <row r="174">
          <cell r="A174" t="str">
            <v>指示日</v>
          </cell>
          <cell r="B174" t="str">
            <v>SJDT</v>
          </cell>
          <cell r="C174" t="str">
            <v>8</v>
          </cell>
          <cell r="D174" t="str">
            <v>0</v>
          </cell>
          <cell r="E174" t="str">
            <v>S</v>
          </cell>
          <cell r="F174" t="str">
            <v/>
          </cell>
        </row>
        <row r="175">
          <cell r="A175" t="str">
            <v>資本金</v>
          </cell>
          <cell r="B175" t="str">
            <v>CPTL</v>
          </cell>
          <cell r="C175" t="str">
            <v>9</v>
          </cell>
          <cell r="D175" t="str">
            <v>0</v>
          </cell>
          <cell r="E175" t="str">
            <v>P</v>
          </cell>
          <cell r="F175" t="str">
            <v/>
          </cell>
        </row>
        <row r="176">
          <cell r="A176" t="str">
            <v>実寸横</v>
          </cell>
          <cell r="B176" t="str">
            <v>JSYK</v>
          </cell>
          <cell r="C176" t="str">
            <v>9</v>
          </cell>
          <cell r="D176" t="str">
            <v>3</v>
          </cell>
          <cell r="E176" t="str">
            <v>P</v>
          </cell>
          <cell r="F176" t="str">
            <v/>
          </cell>
        </row>
        <row r="177">
          <cell r="A177" t="str">
            <v>実寸縦</v>
          </cell>
          <cell r="B177" t="str">
            <v>JSTT</v>
          </cell>
          <cell r="C177" t="str">
            <v>9</v>
          </cell>
          <cell r="D177" t="str">
            <v>3</v>
          </cell>
          <cell r="E177" t="str">
            <v>P</v>
          </cell>
          <cell r="F177" t="str">
            <v/>
          </cell>
        </row>
        <row r="178">
          <cell r="A178" t="str">
            <v>実績個数</v>
          </cell>
          <cell r="B178" t="str">
            <v>JSCT</v>
          </cell>
          <cell r="C178" t="str">
            <v>9</v>
          </cell>
          <cell r="D178" t="str">
            <v>2</v>
          </cell>
          <cell r="E178" t="str">
            <v>P</v>
          </cell>
          <cell r="F178" t="str">
            <v/>
          </cell>
        </row>
        <row r="179">
          <cell r="A179" t="str">
            <v>実棚卸数量</v>
          </cell>
          <cell r="B179" t="str">
            <v>JTQT</v>
          </cell>
          <cell r="C179" t="str">
            <v>9</v>
          </cell>
          <cell r="D179" t="str">
            <v>2</v>
          </cell>
          <cell r="E179" t="str">
            <v>P</v>
          </cell>
          <cell r="F179" t="str">
            <v/>
          </cell>
        </row>
        <row r="180">
          <cell r="A180" t="str">
            <v>取引開始日</v>
          </cell>
          <cell r="B180" t="str">
            <v>TSDT</v>
          </cell>
          <cell r="C180" t="str">
            <v>8</v>
          </cell>
          <cell r="D180" t="str">
            <v>0</v>
          </cell>
          <cell r="E180" t="str">
            <v>S</v>
          </cell>
          <cell r="F180" t="str">
            <v/>
          </cell>
        </row>
        <row r="181">
          <cell r="A181" t="str">
            <v>取引区分</v>
          </cell>
          <cell r="B181" t="str">
            <v>TRKB</v>
          </cell>
          <cell r="C181" t="str">
            <v>2</v>
          </cell>
          <cell r="D181" t="str">
            <v/>
          </cell>
          <cell r="E181" t="str">
            <v>A</v>
          </cell>
          <cell r="F181" t="str">
            <v>各種取引を表す</v>
          </cell>
        </row>
        <row r="182">
          <cell r="A182" t="str">
            <v>取引先コード</v>
          </cell>
          <cell r="B182" t="str">
            <v>THCD</v>
          </cell>
          <cell r="C182" t="str">
            <v>7</v>
          </cell>
          <cell r="D182" t="str">
            <v/>
          </cell>
          <cell r="E182" t="str">
            <v>A</v>
          </cell>
          <cell r="F182" t="str">
            <v/>
          </cell>
        </row>
        <row r="183">
          <cell r="A183" t="str">
            <v>取引先正式名</v>
          </cell>
          <cell r="B183" t="str">
            <v>THSM</v>
          </cell>
          <cell r="C183">
            <v>42</v>
          </cell>
          <cell r="D183" t="str">
            <v/>
          </cell>
          <cell r="E183" t="str">
            <v>O</v>
          </cell>
          <cell r="F183" t="str">
            <v/>
          </cell>
        </row>
        <row r="184">
          <cell r="A184" t="str">
            <v>取引先担当者</v>
          </cell>
          <cell r="B184" t="str">
            <v>THTT</v>
          </cell>
          <cell r="C184">
            <v>18</v>
          </cell>
          <cell r="D184" t="str">
            <v/>
          </cell>
          <cell r="E184" t="str">
            <v>O</v>
          </cell>
          <cell r="F184" t="str">
            <v/>
          </cell>
        </row>
        <row r="185">
          <cell r="A185" t="str">
            <v>取引先部門</v>
          </cell>
          <cell r="B185" t="str">
            <v>THBM</v>
          </cell>
          <cell r="C185" t="str">
            <v>32</v>
          </cell>
          <cell r="D185" t="str">
            <v/>
          </cell>
          <cell r="E185" t="str">
            <v>O</v>
          </cell>
          <cell r="F185" t="str">
            <v/>
          </cell>
        </row>
        <row r="186">
          <cell r="A186" t="str">
            <v>取引先名</v>
          </cell>
          <cell r="B186" t="str">
            <v>THNM</v>
          </cell>
          <cell r="C186">
            <v>22</v>
          </cell>
          <cell r="D186" t="str">
            <v/>
          </cell>
          <cell r="E186" t="str">
            <v>O</v>
          </cell>
          <cell r="F186" t="str">
            <v/>
          </cell>
        </row>
        <row r="187">
          <cell r="A187" t="str">
            <v>取引日</v>
          </cell>
          <cell r="B187" t="str">
            <v>THDT</v>
          </cell>
          <cell r="C187" t="str">
            <v>8</v>
          </cell>
          <cell r="D187" t="str">
            <v>0</v>
          </cell>
          <cell r="E187" t="str">
            <v>S</v>
          </cell>
          <cell r="F187" t="str">
            <v/>
          </cell>
        </row>
        <row r="188">
          <cell r="A188" t="str">
            <v>手形支払</v>
          </cell>
          <cell r="B188" t="str">
            <v>TGSH</v>
          </cell>
          <cell r="C188" t="str">
            <v>11</v>
          </cell>
          <cell r="D188" t="str">
            <v>0</v>
          </cell>
          <cell r="E188" t="str">
            <v>P</v>
          </cell>
          <cell r="F188" t="str">
            <v/>
          </cell>
        </row>
        <row r="189">
          <cell r="A189" t="str">
            <v>手形入金</v>
          </cell>
          <cell r="B189" t="str">
            <v>TGNK</v>
          </cell>
          <cell r="C189" t="str">
            <v>11</v>
          </cell>
          <cell r="D189" t="str">
            <v>0</v>
          </cell>
          <cell r="E189" t="str">
            <v>P</v>
          </cell>
          <cell r="F189" t="str">
            <v/>
          </cell>
        </row>
        <row r="190">
          <cell r="A190" t="str">
            <v>受注№</v>
          </cell>
          <cell r="B190" t="str">
            <v>JUNO</v>
          </cell>
          <cell r="C190" t="str">
            <v>8</v>
          </cell>
          <cell r="D190" t="str">
            <v>0</v>
          </cell>
          <cell r="E190" t="str">
            <v>S</v>
          </cell>
          <cell r="F190" t="str">
            <v/>
          </cell>
        </row>
        <row r="191">
          <cell r="A191" t="str">
            <v>受注枝番</v>
          </cell>
          <cell r="B191" t="str">
            <v>JUEB</v>
          </cell>
          <cell r="C191" t="str">
            <v>2</v>
          </cell>
          <cell r="D191" t="str">
            <v>0</v>
          </cell>
          <cell r="E191" t="str">
            <v>S</v>
          </cell>
          <cell r="F191" t="str">
            <v/>
          </cell>
        </row>
        <row r="192">
          <cell r="A192" t="str">
            <v>受注日</v>
          </cell>
          <cell r="B192" t="str">
            <v>JUDT</v>
          </cell>
          <cell r="C192" t="str">
            <v>8</v>
          </cell>
          <cell r="D192" t="str">
            <v>0</v>
          </cell>
          <cell r="E192" t="str">
            <v>S</v>
          </cell>
          <cell r="F192" t="str">
            <v/>
          </cell>
        </row>
        <row r="193">
          <cell r="A193" t="str">
            <v>終了日</v>
          </cell>
          <cell r="B193" t="str">
            <v>ENDT</v>
          </cell>
          <cell r="C193" t="str">
            <v>8</v>
          </cell>
          <cell r="D193" t="str">
            <v>0</v>
          </cell>
          <cell r="E193" t="str">
            <v>S</v>
          </cell>
          <cell r="F193" t="str">
            <v/>
          </cell>
        </row>
        <row r="194">
          <cell r="A194" t="str">
            <v>住所１</v>
          </cell>
          <cell r="B194" t="str">
            <v>ADR1</v>
          </cell>
          <cell r="C194" t="str">
            <v>32</v>
          </cell>
          <cell r="D194" t="str">
            <v/>
          </cell>
          <cell r="E194" t="str">
            <v>O</v>
          </cell>
          <cell r="F194" t="str">
            <v/>
          </cell>
        </row>
        <row r="195">
          <cell r="A195" t="str">
            <v>住所２</v>
          </cell>
          <cell r="B195" t="str">
            <v>ADR2</v>
          </cell>
          <cell r="C195" t="str">
            <v>32</v>
          </cell>
          <cell r="D195" t="str">
            <v/>
          </cell>
          <cell r="E195" t="str">
            <v>O</v>
          </cell>
          <cell r="F195" t="str">
            <v/>
          </cell>
        </row>
        <row r="196">
          <cell r="A196" t="str">
            <v>縦サイズ</v>
          </cell>
          <cell r="B196" t="str">
            <v>TTSZ</v>
          </cell>
          <cell r="C196" t="str">
            <v>9</v>
          </cell>
          <cell r="D196" t="str">
            <v>3</v>
          </cell>
          <cell r="E196" t="str">
            <v>P</v>
          </cell>
          <cell r="F196" t="str">
            <v/>
          </cell>
        </row>
        <row r="197">
          <cell r="A197" t="str">
            <v>出荷倉庫コード</v>
          </cell>
          <cell r="B197" t="str">
            <v>SWCD</v>
          </cell>
          <cell r="C197" t="str">
            <v>7</v>
          </cell>
          <cell r="D197" t="str">
            <v/>
          </cell>
          <cell r="E197" t="str">
            <v>A</v>
          </cell>
          <cell r="F197" t="str">
            <v/>
          </cell>
        </row>
        <row r="198">
          <cell r="A198" t="str">
            <v>出荷指示№</v>
          </cell>
          <cell r="B198" t="str">
            <v>SKNO</v>
          </cell>
          <cell r="C198" t="str">
            <v>8</v>
          </cell>
          <cell r="D198" t="str">
            <v>0</v>
          </cell>
          <cell r="E198" t="str">
            <v>S</v>
          </cell>
          <cell r="F198" t="str">
            <v/>
          </cell>
        </row>
        <row r="199">
          <cell r="A199" t="str">
            <v>出荷指示枝番</v>
          </cell>
          <cell r="B199" t="str">
            <v>SKSE</v>
          </cell>
          <cell r="C199" t="str">
            <v>2</v>
          </cell>
          <cell r="D199" t="str">
            <v>0</v>
          </cell>
          <cell r="E199" t="str">
            <v>S</v>
          </cell>
          <cell r="F199" t="str">
            <v/>
          </cell>
        </row>
        <row r="200">
          <cell r="A200" t="str">
            <v>出荷指示書発行済ＭＫ</v>
          </cell>
          <cell r="B200" t="str">
            <v>SHMK</v>
          </cell>
          <cell r="C200">
            <v>1</v>
          </cell>
          <cell r="D200" t="str">
            <v/>
          </cell>
          <cell r="E200" t="str">
            <v>A</v>
          </cell>
          <cell r="F200" t="str">
            <v/>
          </cell>
        </row>
        <row r="201">
          <cell r="A201" t="str">
            <v>出荷数量</v>
          </cell>
          <cell r="B201" t="str">
            <v>SKQT</v>
          </cell>
          <cell r="C201" t="str">
            <v>9</v>
          </cell>
          <cell r="D201" t="str">
            <v>2</v>
          </cell>
          <cell r="E201" t="str">
            <v>P</v>
          </cell>
          <cell r="F201" t="str">
            <v/>
          </cell>
        </row>
        <row r="202">
          <cell r="A202" t="str">
            <v>出荷先コード</v>
          </cell>
          <cell r="B202" t="str">
            <v>SKCD</v>
          </cell>
          <cell r="C202" t="str">
            <v>7</v>
          </cell>
          <cell r="D202" t="str">
            <v/>
          </cell>
          <cell r="E202" t="str">
            <v>A</v>
          </cell>
          <cell r="F202" t="str">
            <v/>
          </cell>
        </row>
        <row r="203">
          <cell r="A203" t="str">
            <v>出荷先区分</v>
          </cell>
          <cell r="B203" t="str">
            <v>SKKB</v>
          </cell>
          <cell r="C203" t="str">
            <v>1</v>
          </cell>
          <cell r="D203" t="str">
            <v/>
          </cell>
          <cell r="E203" t="str">
            <v>A</v>
          </cell>
          <cell r="F203" t="str">
            <v xml:space="preserve">"1"=出荷先 </v>
          </cell>
        </row>
        <row r="204">
          <cell r="A204" t="str">
            <v>出荷先名</v>
          </cell>
          <cell r="B204" t="str">
            <v>SKNM</v>
          </cell>
          <cell r="C204" t="str">
            <v>22</v>
          </cell>
          <cell r="D204" t="str">
            <v/>
          </cell>
          <cell r="E204" t="str">
            <v>O</v>
          </cell>
          <cell r="F204" t="str">
            <v/>
          </cell>
        </row>
        <row r="205">
          <cell r="A205" t="str">
            <v>出荷日</v>
          </cell>
          <cell r="B205" t="str">
            <v>SKDT</v>
          </cell>
          <cell r="C205" t="str">
            <v>8</v>
          </cell>
          <cell r="D205" t="str">
            <v>0</v>
          </cell>
          <cell r="E205" t="str">
            <v>S</v>
          </cell>
          <cell r="F205" t="str">
            <v/>
          </cell>
        </row>
        <row r="206">
          <cell r="A206" t="str">
            <v>出庫金額　加工</v>
          </cell>
          <cell r="B206" t="str">
            <v>SKAK</v>
          </cell>
          <cell r="C206">
            <v>9</v>
          </cell>
          <cell r="D206" t="str">
            <v>0</v>
          </cell>
          <cell r="E206" t="str">
            <v>P</v>
          </cell>
          <cell r="F206" t="str">
            <v/>
          </cell>
        </row>
        <row r="207">
          <cell r="A207" t="str">
            <v>出庫金額　引渡</v>
          </cell>
          <cell r="B207" t="str">
            <v>SKAH</v>
          </cell>
          <cell r="C207">
            <v>9</v>
          </cell>
          <cell r="D207" t="str">
            <v>0</v>
          </cell>
          <cell r="E207" t="str">
            <v>P</v>
          </cell>
          <cell r="F207" t="str">
            <v/>
          </cell>
        </row>
        <row r="208">
          <cell r="A208" t="str">
            <v>出庫金額　振替</v>
          </cell>
          <cell r="B208" t="str">
            <v>SKAF</v>
          </cell>
          <cell r="C208">
            <v>9</v>
          </cell>
          <cell r="D208" t="str">
            <v>0</v>
          </cell>
          <cell r="E208" t="str">
            <v>P</v>
          </cell>
          <cell r="F208" t="str">
            <v/>
          </cell>
        </row>
        <row r="209">
          <cell r="A209" t="str">
            <v>出庫金額　ロス</v>
          </cell>
          <cell r="B209" t="str">
            <v>SKAL</v>
          </cell>
          <cell r="C209">
            <v>9</v>
          </cell>
          <cell r="D209" t="str">
            <v>0</v>
          </cell>
          <cell r="E209" t="str">
            <v>P</v>
          </cell>
          <cell r="F209" t="str">
            <v/>
          </cell>
        </row>
        <row r="210">
          <cell r="A210" t="str">
            <v>出庫金額　売上</v>
          </cell>
          <cell r="B210" t="str">
            <v>SKAU</v>
          </cell>
          <cell r="C210">
            <v>9</v>
          </cell>
          <cell r="D210" t="str">
            <v>0</v>
          </cell>
          <cell r="E210" t="str">
            <v>P</v>
          </cell>
          <cell r="F210" t="str">
            <v/>
          </cell>
        </row>
        <row r="211">
          <cell r="A211" t="str">
            <v>出庫金額　売上原価</v>
          </cell>
          <cell r="B211" t="str">
            <v>SKAG</v>
          </cell>
          <cell r="C211">
            <v>9</v>
          </cell>
          <cell r="D211" t="str">
            <v>0</v>
          </cell>
          <cell r="E211" t="str">
            <v>P</v>
          </cell>
          <cell r="F211" t="str">
            <v/>
          </cell>
        </row>
        <row r="212">
          <cell r="A212" t="str">
            <v>出庫数量　加工</v>
          </cell>
          <cell r="B212" t="str">
            <v>SKQK</v>
          </cell>
          <cell r="C212">
            <v>9</v>
          </cell>
          <cell r="D212">
            <v>2</v>
          </cell>
          <cell r="E212" t="str">
            <v>P</v>
          </cell>
          <cell r="F212" t="str">
            <v/>
          </cell>
        </row>
        <row r="213">
          <cell r="A213" t="str">
            <v>出庫数量　引渡</v>
          </cell>
          <cell r="B213" t="str">
            <v>SKQH</v>
          </cell>
          <cell r="C213">
            <v>9</v>
          </cell>
          <cell r="D213">
            <v>2</v>
          </cell>
          <cell r="E213" t="str">
            <v>P</v>
          </cell>
          <cell r="F213" t="str">
            <v/>
          </cell>
        </row>
        <row r="214">
          <cell r="A214" t="str">
            <v>出庫数量　振替</v>
          </cell>
          <cell r="B214" t="str">
            <v>SKQF</v>
          </cell>
          <cell r="C214">
            <v>9</v>
          </cell>
          <cell r="D214">
            <v>2</v>
          </cell>
          <cell r="E214" t="str">
            <v>P</v>
          </cell>
          <cell r="F214" t="str">
            <v/>
          </cell>
        </row>
        <row r="215">
          <cell r="A215" t="str">
            <v>出庫数量　ロス</v>
          </cell>
          <cell r="B215" t="str">
            <v>SKQL</v>
          </cell>
          <cell r="C215">
            <v>9</v>
          </cell>
          <cell r="D215">
            <v>2</v>
          </cell>
          <cell r="E215" t="str">
            <v>P</v>
          </cell>
          <cell r="F215" t="str">
            <v/>
          </cell>
        </row>
        <row r="216">
          <cell r="A216" t="str">
            <v>出庫数量　売上</v>
          </cell>
          <cell r="B216" t="str">
            <v>SKQU</v>
          </cell>
          <cell r="C216">
            <v>9</v>
          </cell>
          <cell r="D216">
            <v>2</v>
          </cell>
          <cell r="E216" t="str">
            <v>P</v>
          </cell>
          <cell r="F216" t="str">
            <v/>
          </cell>
        </row>
        <row r="217">
          <cell r="A217" t="str">
            <v>出庫予定数量</v>
          </cell>
          <cell r="B217" t="str">
            <v>SPQT</v>
          </cell>
          <cell r="C217">
            <v>9</v>
          </cell>
          <cell r="D217">
            <v>2</v>
          </cell>
          <cell r="E217" t="str">
            <v>P</v>
          </cell>
          <cell r="F217" t="str">
            <v/>
          </cell>
        </row>
        <row r="218">
          <cell r="A218" t="str">
            <v>商社コード</v>
          </cell>
          <cell r="B218" t="str">
            <v>CMCD</v>
          </cell>
          <cell r="C218" t="str">
            <v>7</v>
          </cell>
          <cell r="D218" t="str">
            <v/>
          </cell>
          <cell r="E218" t="str">
            <v>A</v>
          </cell>
          <cell r="F218" t="str">
            <v/>
          </cell>
        </row>
        <row r="219">
          <cell r="A219" t="str">
            <v>商社単価</v>
          </cell>
          <cell r="B219" t="str">
            <v>CMUN</v>
          </cell>
          <cell r="C219" t="str">
            <v>9</v>
          </cell>
          <cell r="D219" t="str">
            <v>2</v>
          </cell>
          <cell r="E219" t="str">
            <v>P</v>
          </cell>
          <cell r="F219" t="str">
            <v/>
          </cell>
        </row>
        <row r="220">
          <cell r="A220" t="str">
            <v>商社単価１</v>
          </cell>
          <cell r="B220" t="str">
            <v>CMU1</v>
          </cell>
          <cell r="C220" t="str">
            <v>9</v>
          </cell>
          <cell r="D220" t="str">
            <v>2</v>
          </cell>
          <cell r="E220" t="str">
            <v>P</v>
          </cell>
          <cell r="F220" t="str">
            <v/>
          </cell>
        </row>
        <row r="221">
          <cell r="A221" t="str">
            <v>商社単価２</v>
          </cell>
          <cell r="B221" t="str">
            <v>CMU2</v>
          </cell>
          <cell r="C221" t="str">
            <v>9</v>
          </cell>
          <cell r="D221" t="str">
            <v>2</v>
          </cell>
          <cell r="E221" t="str">
            <v>P</v>
          </cell>
          <cell r="F221" t="str">
            <v/>
          </cell>
        </row>
        <row r="222">
          <cell r="A222" t="str">
            <v>商社単価３</v>
          </cell>
          <cell r="B222" t="str">
            <v>CMU3</v>
          </cell>
          <cell r="C222" t="str">
            <v>9</v>
          </cell>
          <cell r="D222" t="str">
            <v>2</v>
          </cell>
          <cell r="E222" t="str">
            <v>P</v>
          </cell>
          <cell r="F222" t="str">
            <v/>
          </cell>
        </row>
        <row r="223">
          <cell r="A223" t="str">
            <v>商社日付１</v>
          </cell>
          <cell r="B223" t="str">
            <v>CMD1</v>
          </cell>
          <cell r="C223" t="str">
            <v>8</v>
          </cell>
          <cell r="D223" t="str">
            <v>0</v>
          </cell>
          <cell r="E223" t="str">
            <v>S</v>
          </cell>
          <cell r="F223" t="str">
            <v/>
          </cell>
        </row>
        <row r="224">
          <cell r="A224" t="str">
            <v>商社日付２</v>
          </cell>
          <cell r="B224" t="str">
            <v>CMD2</v>
          </cell>
          <cell r="C224" t="str">
            <v>8</v>
          </cell>
          <cell r="D224" t="str">
            <v>0</v>
          </cell>
          <cell r="E224" t="str">
            <v>S</v>
          </cell>
          <cell r="F224" t="str">
            <v/>
          </cell>
        </row>
        <row r="225">
          <cell r="A225" t="str">
            <v>商社日付３</v>
          </cell>
          <cell r="B225" t="str">
            <v>CMD3</v>
          </cell>
          <cell r="C225" t="str">
            <v>8</v>
          </cell>
          <cell r="D225" t="str">
            <v>0</v>
          </cell>
          <cell r="E225" t="str">
            <v>S</v>
          </cell>
          <cell r="F225" t="str">
            <v/>
          </cell>
        </row>
        <row r="226">
          <cell r="A226" t="str">
            <v>消費税計算区分</v>
          </cell>
          <cell r="B226" t="str">
            <v>SCKB</v>
          </cell>
          <cell r="C226">
            <v>2</v>
          </cell>
          <cell r="D226" t="str">
            <v/>
          </cell>
          <cell r="E226" t="str">
            <v>A</v>
          </cell>
          <cell r="F226" t="str">
            <v>左１桁部分は請求書合計＝"ブランク"、伝票毎＝"１"、明細毎＝"２"／右１桁部分は切捨て＝"D"、切上げ＝"U"、四捨五入＝"R"</v>
          </cell>
        </row>
        <row r="227">
          <cell r="A227" t="str">
            <v>消費税有無区分</v>
          </cell>
          <cell r="B227" t="str">
            <v>SUKB</v>
          </cell>
          <cell r="C227" t="str">
            <v>1</v>
          </cell>
          <cell r="D227" t="str">
            <v/>
          </cell>
          <cell r="E227" t="str">
            <v>A</v>
          </cell>
          <cell r="F227" t="str">
            <v>" "=有　"1"=無</v>
          </cell>
        </row>
        <row r="228">
          <cell r="A228" t="str">
            <v>色コード</v>
          </cell>
          <cell r="B228" t="str">
            <v>CLCD</v>
          </cell>
          <cell r="C228" t="str">
            <v>3</v>
          </cell>
          <cell r="D228" t="str">
            <v/>
          </cell>
          <cell r="E228" t="str">
            <v>A</v>
          </cell>
          <cell r="F228" t="str">
            <v/>
          </cell>
        </row>
        <row r="229">
          <cell r="A229" t="str">
            <v>色正式名</v>
          </cell>
          <cell r="B229" t="str">
            <v>CLSM</v>
          </cell>
          <cell r="C229">
            <v>22</v>
          </cell>
          <cell r="D229" t="str">
            <v/>
          </cell>
          <cell r="E229" t="str">
            <v>O</v>
          </cell>
          <cell r="F229" t="str">
            <v/>
          </cell>
        </row>
        <row r="230">
          <cell r="A230" t="str">
            <v>色名</v>
          </cell>
          <cell r="B230" t="str">
            <v>CLNM</v>
          </cell>
          <cell r="C230">
            <v>12</v>
          </cell>
          <cell r="D230" t="str">
            <v/>
          </cell>
          <cell r="E230" t="str">
            <v>O</v>
          </cell>
          <cell r="F230" t="str">
            <v/>
          </cell>
        </row>
        <row r="231">
          <cell r="A231" t="str">
            <v>色名（子）</v>
          </cell>
          <cell r="B231" t="str">
            <v>CLN4</v>
          </cell>
          <cell r="C231">
            <v>12</v>
          </cell>
          <cell r="D231" t="str">
            <v/>
          </cell>
          <cell r="E231" t="str">
            <v>O</v>
          </cell>
          <cell r="F231" t="str">
            <v/>
          </cell>
        </row>
        <row r="232">
          <cell r="A232" t="str">
            <v>色名（親）</v>
          </cell>
          <cell r="B232" t="str">
            <v>PLN4</v>
          </cell>
          <cell r="C232">
            <v>12</v>
          </cell>
          <cell r="D232" t="str">
            <v/>
          </cell>
          <cell r="E232" t="str">
            <v>O</v>
          </cell>
          <cell r="F232" t="str">
            <v/>
          </cell>
        </row>
        <row r="233">
          <cell r="A233" t="str">
            <v>数量</v>
          </cell>
          <cell r="B233" t="str">
            <v>QNTY</v>
          </cell>
          <cell r="C233">
            <v>9</v>
          </cell>
          <cell r="D233" t="str">
            <v>2</v>
          </cell>
          <cell r="E233" t="str">
            <v>P</v>
          </cell>
          <cell r="F233" t="str">
            <v/>
          </cell>
        </row>
        <row r="234">
          <cell r="A234" t="str">
            <v>数量計算区分</v>
          </cell>
          <cell r="B234" t="str">
            <v>QCKB</v>
          </cell>
          <cell r="C234">
            <v>2</v>
          </cell>
          <cell r="D234" t="str">
            <v/>
          </cell>
          <cell r="E234" t="str">
            <v>A</v>
          </cell>
          <cell r="F234" t="str">
            <v>小数第何位　　　切捨て＝"D"　切上げ＝"U"　四捨五入＝"R"　例＞小数第３位切捨て＝"３Ｄ"</v>
          </cell>
        </row>
        <row r="235">
          <cell r="A235" t="str">
            <v>製造原価</v>
          </cell>
          <cell r="B235" t="str">
            <v>MNGK</v>
          </cell>
          <cell r="C235" t="str">
            <v>9</v>
          </cell>
          <cell r="D235" t="str">
            <v>2</v>
          </cell>
          <cell r="E235" t="str">
            <v>P</v>
          </cell>
          <cell r="F235" t="str">
            <v/>
          </cell>
        </row>
        <row r="236">
          <cell r="A236" t="str">
            <v>製品仕入</v>
          </cell>
          <cell r="B236" t="str">
            <v>SHSR</v>
          </cell>
          <cell r="C236">
            <v>11</v>
          </cell>
          <cell r="D236">
            <v>0</v>
          </cell>
          <cell r="E236" t="str">
            <v>P</v>
          </cell>
          <cell r="F236" t="str">
            <v/>
          </cell>
        </row>
        <row r="237">
          <cell r="A237" t="str">
            <v>製品売上</v>
          </cell>
          <cell r="B237" t="str">
            <v>SHUR</v>
          </cell>
          <cell r="C237">
            <v>11</v>
          </cell>
          <cell r="D237">
            <v>0</v>
          </cell>
          <cell r="E237" t="str">
            <v>P</v>
          </cell>
          <cell r="F237" t="str">
            <v/>
          </cell>
        </row>
        <row r="238">
          <cell r="A238" t="str">
            <v>請求書発行区分</v>
          </cell>
          <cell r="B238" t="str">
            <v>BLKB</v>
          </cell>
          <cell r="C238" t="str">
            <v>1</v>
          </cell>
          <cell r="D238" t="str">
            <v/>
          </cell>
          <cell r="E238" t="str">
            <v>A</v>
          </cell>
          <cell r="F238" t="str">
            <v>" "=発行する　"1"=発行しない</v>
          </cell>
        </row>
        <row r="239">
          <cell r="A239" t="str">
            <v>前月売掛残高</v>
          </cell>
          <cell r="B239" t="str">
            <v>ZGUZ</v>
          </cell>
          <cell r="C239" t="str">
            <v>11</v>
          </cell>
          <cell r="D239">
            <v>0</v>
          </cell>
          <cell r="E239" t="str">
            <v>P</v>
          </cell>
          <cell r="F239" t="str">
            <v/>
          </cell>
        </row>
        <row r="240">
          <cell r="A240" t="str">
            <v>前月買掛残高</v>
          </cell>
          <cell r="B240" t="str">
            <v>ZGKZ</v>
          </cell>
          <cell r="C240" t="str">
            <v>11</v>
          </cell>
          <cell r="D240" t="str">
            <v>0</v>
          </cell>
          <cell r="E240" t="str">
            <v>P</v>
          </cell>
          <cell r="F240" t="str">
            <v/>
          </cell>
        </row>
        <row r="241">
          <cell r="A241" t="str">
            <v>前月残数量</v>
          </cell>
          <cell r="B241" t="str">
            <v>ZZQT</v>
          </cell>
          <cell r="C241" t="str">
            <v>9</v>
          </cell>
          <cell r="D241">
            <v>2</v>
          </cell>
          <cell r="E241" t="str">
            <v>P</v>
          </cell>
          <cell r="F241" t="str">
            <v/>
          </cell>
        </row>
        <row r="242">
          <cell r="A242" t="str">
            <v>前月請求額</v>
          </cell>
          <cell r="B242" t="str">
            <v>ZBLA</v>
          </cell>
          <cell r="C242">
            <v>11</v>
          </cell>
          <cell r="D242">
            <v>0</v>
          </cell>
          <cell r="E242" t="str">
            <v>P</v>
          </cell>
          <cell r="F242" t="str">
            <v/>
          </cell>
        </row>
        <row r="243">
          <cell r="A243" t="str">
            <v>倉庫コード</v>
          </cell>
          <cell r="B243" t="str">
            <v>WHCD</v>
          </cell>
          <cell r="C243" t="str">
            <v>7</v>
          </cell>
          <cell r="D243" t="str">
            <v/>
          </cell>
          <cell r="E243" t="str">
            <v>A</v>
          </cell>
          <cell r="F243" t="str">
            <v/>
          </cell>
        </row>
        <row r="244">
          <cell r="A244" t="str">
            <v>倉庫区分</v>
          </cell>
          <cell r="B244" t="str">
            <v>WHKB</v>
          </cell>
          <cell r="C244" t="str">
            <v>1</v>
          </cell>
          <cell r="D244" t="str">
            <v/>
          </cell>
          <cell r="E244" t="str">
            <v>A</v>
          </cell>
          <cell r="F244" t="str">
            <v xml:space="preserve">"1"=倉庫 </v>
          </cell>
        </row>
        <row r="245">
          <cell r="A245" t="str">
            <v>相殺</v>
          </cell>
          <cell r="B245" t="str">
            <v>OFST</v>
          </cell>
          <cell r="C245" t="str">
            <v>11</v>
          </cell>
          <cell r="D245" t="str">
            <v>0</v>
          </cell>
          <cell r="E245" t="str">
            <v>P</v>
          </cell>
          <cell r="F245" t="str">
            <v/>
          </cell>
        </row>
        <row r="246">
          <cell r="A246" t="str">
            <v>相手先サイズ名</v>
          </cell>
          <cell r="B246" t="str">
            <v>ATSZ</v>
          </cell>
          <cell r="C246" t="str">
            <v>10</v>
          </cell>
          <cell r="D246" t="str">
            <v/>
          </cell>
          <cell r="E246" t="str">
            <v>O</v>
          </cell>
          <cell r="F246" t="str">
            <v/>
          </cell>
        </row>
        <row r="247">
          <cell r="A247" t="str">
            <v>相手先品種名</v>
          </cell>
          <cell r="B247" t="str">
            <v>ASNM</v>
          </cell>
          <cell r="C247" t="str">
            <v>12</v>
          </cell>
          <cell r="D247" t="str">
            <v/>
          </cell>
          <cell r="E247" t="str">
            <v>O</v>
          </cell>
          <cell r="F247" t="str">
            <v/>
          </cell>
        </row>
        <row r="248">
          <cell r="A248" t="str">
            <v>相手先取引先コード</v>
          </cell>
          <cell r="B248" t="str">
            <v>ATCD</v>
          </cell>
          <cell r="C248" t="str">
            <v>13</v>
          </cell>
          <cell r="D248" t="str">
            <v/>
          </cell>
          <cell r="E248" t="str">
            <v>A</v>
          </cell>
          <cell r="F248" t="str">
            <v/>
          </cell>
        </row>
        <row r="249">
          <cell r="A249" t="str">
            <v>相手先色名</v>
          </cell>
          <cell r="B249" t="str">
            <v>ACNM</v>
          </cell>
          <cell r="C249" t="str">
            <v>22</v>
          </cell>
          <cell r="D249" t="str">
            <v/>
          </cell>
          <cell r="E249" t="str">
            <v>O</v>
          </cell>
          <cell r="F249" t="str">
            <v/>
          </cell>
        </row>
        <row r="250">
          <cell r="A250" t="str">
            <v>相手先品番</v>
          </cell>
          <cell r="B250" t="str">
            <v>ATHB</v>
          </cell>
          <cell r="C250" t="str">
            <v>15</v>
          </cell>
          <cell r="D250" t="str">
            <v/>
          </cell>
          <cell r="E250" t="str">
            <v>A</v>
          </cell>
          <cell r="F250" t="str">
            <v/>
          </cell>
        </row>
        <row r="251">
          <cell r="A251" t="str">
            <v>相手先品名</v>
          </cell>
          <cell r="B251" t="str">
            <v>AHNM</v>
          </cell>
          <cell r="C251" t="str">
            <v>42</v>
          </cell>
          <cell r="D251" t="str">
            <v/>
          </cell>
          <cell r="E251" t="str">
            <v>O</v>
          </cell>
          <cell r="F251" t="str">
            <v/>
          </cell>
        </row>
        <row r="252">
          <cell r="A252" t="str">
            <v>総債権残高</v>
          </cell>
          <cell r="B252" t="str">
            <v>CDBL</v>
          </cell>
          <cell r="C252" t="str">
            <v>11</v>
          </cell>
          <cell r="D252" t="str">
            <v>0</v>
          </cell>
          <cell r="E252" t="str">
            <v>P</v>
          </cell>
          <cell r="F252" t="str">
            <v/>
          </cell>
        </row>
        <row r="253">
          <cell r="A253" t="str">
            <v>送状№</v>
          </cell>
          <cell r="B253" t="str">
            <v>OJNO</v>
          </cell>
          <cell r="C253" t="str">
            <v>8</v>
          </cell>
          <cell r="D253" t="str">
            <v>0</v>
          </cell>
          <cell r="E253" t="str">
            <v>S</v>
          </cell>
          <cell r="F253" t="str">
            <v/>
          </cell>
        </row>
        <row r="254">
          <cell r="A254" t="str">
            <v>送状枝番</v>
          </cell>
          <cell r="B254" t="str">
            <v>OJEB</v>
          </cell>
          <cell r="C254" t="str">
            <v>2</v>
          </cell>
          <cell r="D254" t="str">
            <v>0</v>
          </cell>
          <cell r="E254" t="str">
            <v>S</v>
          </cell>
          <cell r="F254" t="str">
            <v/>
          </cell>
        </row>
        <row r="255">
          <cell r="A255" t="str">
            <v>代表者</v>
          </cell>
          <cell r="B255" t="str">
            <v>KPSN</v>
          </cell>
          <cell r="C255" t="str">
            <v>14</v>
          </cell>
          <cell r="D255" t="str">
            <v/>
          </cell>
          <cell r="E255" t="str">
            <v>O</v>
          </cell>
          <cell r="F255" t="str">
            <v/>
          </cell>
        </row>
        <row r="256">
          <cell r="A256" t="str">
            <v>棚卸№</v>
          </cell>
          <cell r="B256" t="str">
            <v>TONO</v>
          </cell>
          <cell r="C256" t="str">
            <v>8</v>
          </cell>
          <cell r="D256" t="str">
            <v>0</v>
          </cell>
          <cell r="E256" t="str">
            <v>S</v>
          </cell>
          <cell r="F256" t="str">
            <v/>
          </cell>
        </row>
        <row r="257">
          <cell r="A257" t="str">
            <v>棚卸№枝番</v>
          </cell>
          <cell r="B257" t="str">
            <v>TONE</v>
          </cell>
          <cell r="C257" t="str">
            <v>2</v>
          </cell>
          <cell r="D257" t="str">
            <v>0</v>
          </cell>
          <cell r="E257" t="str">
            <v>S</v>
          </cell>
          <cell r="F257" t="str">
            <v/>
          </cell>
        </row>
        <row r="258">
          <cell r="A258" t="str">
            <v>棚卸原価</v>
          </cell>
          <cell r="B258" t="str">
            <v>TOGK</v>
          </cell>
          <cell r="C258" t="str">
            <v>9</v>
          </cell>
          <cell r="D258" t="str">
            <v>2</v>
          </cell>
          <cell r="E258" t="str">
            <v>P</v>
          </cell>
          <cell r="F258" t="str">
            <v/>
          </cell>
        </row>
        <row r="259">
          <cell r="A259" t="str">
            <v>棚卸場所コード</v>
          </cell>
          <cell r="B259" t="str">
            <v>TPCD</v>
          </cell>
          <cell r="C259" t="str">
            <v>7</v>
          </cell>
          <cell r="D259" t="str">
            <v/>
          </cell>
          <cell r="E259" t="str">
            <v>A</v>
          </cell>
          <cell r="F259" t="str">
            <v/>
          </cell>
        </row>
        <row r="260">
          <cell r="A260" t="str">
            <v>棚卸日</v>
          </cell>
          <cell r="B260" t="str">
            <v>TODT</v>
          </cell>
          <cell r="C260" t="str">
            <v>8</v>
          </cell>
          <cell r="D260" t="str">
            <v>0</v>
          </cell>
          <cell r="E260" t="str">
            <v>S</v>
          </cell>
          <cell r="F260" t="str">
            <v/>
          </cell>
        </row>
        <row r="261">
          <cell r="A261" t="str">
            <v>棚番</v>
          </cell>
          <cell r="B261" t="str">
            <v>TNNO</v>
          </cell>
          <cell r="C261" t="str">
            <v>7</v>
          </cell>
          <cell r="D261" t="str">
            <v/>
          </cell>
          <cell r="E261" t="str">
            <v>A</v>
          </cell>
          <cell r="F261" t="str">
            <v/>
          </cell>
        </row>
        <row r="262">
          <cell r="A262" t="str">
            <v>単位（子）</v>
          </cell>
          <cell r="B262" t="str">
            <v>CHUN</v>
          </cell>
          <cell r="C262" t="str">
            <v>2</v>
          </cell>
          <cell r="D262" t="str">
            <v/>
          </cell>
          <cell r="E262" t="str">
            <v>A</v>
          </cell>
          <cell r="F262" t="str">
            <v/>
          </cell>
        </row>
        <row r="263">
          <cell r="A263" t="str">
            <v>単位（親）</v>
          </cell>
          <cell r="B263" t="str">
            <v>PAUN</v>
          </cell>
          <cell r="C263" t="str">
            <v>2</v>
          </cell>
          <cell r="D263" t="str">
            <v/>
          </cell>
          <cell r="E263" t="str">
            <v>A</v>
          </cell>
          <cell r="F263" t="str">
            <v/>
          </cell>
        </row>
        <row r="264">
          <cell r="A264" t="str">
            <v>単位コード</v>
          </cell>
          <cell r="B264" t="str">
            <v>UNCD</v>
          </cell>
          <cell r="C264" t="str">
            <v>2</v>
          </cell>
          <cell r="D264" t="str">
            <v/>
          </cell>
          <cell r="E264" t="str">
            <v>A</v>
          </cell>
          <cell r="F264" t="str">
            <v/>
          </cell>
        </row>
        <row r="265">
          <cell r="A265" t="str">
            <v>単位コード（子）</v>
          </cell>
          <cell r="B265" t="str">
            <v>CNCD</v>
          </cell>
          <cell r="C265">
            <v>2</v>
          </cell>
          <cell r="D265" t="str">
            <v/>
          </cell>
          <cell r="E265" t="str">
            <v>A</v>
          </cell>
          <cell r="F265" t="str">
            <v/>
          </cell>
        </row>
        <row r="266">
          <cell r="A266" t="str">
            <v>単位コード（親）</v>
          </cell>
          <cell r="B266" t="str">
            <v>PNCD</v>
          </cell>
          <cell r="C266">
            <v>2</v>
          </cell>
          <cell r="D266" t="str">
            <v/>
          </cell>
          <cell r="E266" t="str">
            <v>A</v>
          </cell>
          <cell r="F266" t="str">
            <v/>
          </cell>
        </row>
        <row r="267">
          <cell r="A267" t="str">
            <v>変換後単位</v>
          </cell>
          <cell r="B267" t="str">
            <v>CUNM</v>
          </cell>
          <cell r="C267">
            <v>2</v>
          </cell>
          <cell r="D267" t="str">
            <v/>
          </cell>
          <cell r="E267" t="str">
            <v>A</v>
          </cell>
          <cell r="F267" t="str">
            <v/>
          </cell>
        </row>
        <row r="268">
          <cell r="A268" t="str">
            <v>単位名</v>
          </cell>
          <cell r="B268" t="str">
            <v>UNNM</v>
          </cell>
          <cell r="C268" t="str">
            <v>4</v>
          </cell>
          <cell r="D268" t="str">
            <v/>
          </cell>
          <cell r="E268" t="str">
            <v>O</v>
          </cell>
          <cell r="F268" t="str">
            <v/>
          </cell>
        </row>
        <row r="269">
          <cell r="A269" t="str">
            <v>単位名（子）</v>
          </cell>
          <cell r="B269" t="str">
            <v>CNNM</v>
          </cell>
          <cell r="C269">
            <v>4</v>
          </cell>
          <cell r="D269" t="str">
            <v/>
          </cell>
          <cell r="E269" t="str">
            <v>O</v>
          </cell>
          <cell r="F269" t="str">
            <v/>
          </cell>
        </row>
        <row r="270">
          <cell r="A270" t="str">
            <v>単位名（親）</v>
          </cell>
          <cell r="B270" t="str">
            <v>PNNM</v>
          </cell>
          <cell r="C270">
            <v>4</v>
          </cell>
          <cell r="D270" t="str">
            <v/>
          </cell>
          <cell r="E270" t="str">
            <v>O</v>
          </cell>
          <cell r="F270" t="str">
            <v/>
          </cell>
        </row>
        <row r="271">
          <cell r="A271" t="str">
            <v>単価</v>
          </cell>
          <cell r="B271" t="str">
            <v>UNPR</v>
          </cell>
          <cell r="C271" t="str">
            <v>9</v>
          </cell>
          <cell r="D271" t="str">
            <v>2</v>
          </cell>
          <cell r="E271" t="str">
            <v>P</v>
          </cell>
          <cell r="F271" t="str">
            <v/>
          </cell>
        </row>
        <row r="272">
          <cell r="A272" t="str">
            <v>単価１</v>
          </cell>
          <cell r="B272" t="str">
            <v>UNP1</v>
          </cell>
          <cell r="C272" t="str">
            <v>9</v>
          </cell>
          <cell r="D272" t="str">
            <v>2</v>
          </cell>
          <cell r="E272" t="str">
            <v>P</v>
          </cell>
          <cell r="F272" t="str">
            <v/>
          </cell>
        </row>
        <row r="273">
          <cell r="A273" t="str">
            <v>単価２</v>
          </cell>
          <cell r="B273" t="str">
            <v>UNP2</v>
          </cell>
          <cell r="C273" t="str">
            <v>9</v>
          </cell>
          <cell r="D273" t="str">
            <v>2</v>
          </cell>
          <cell r="E273" t="str">
            <v>P</v>
          </cell>
          <cell r="F273" t="str">
            <v/>
          </cell>
        </row>
        <row r="274">
          <cell r="A274" t="str">
            <v>単価３</v>
          </cell>
          <cell r="B274" t="str">
            <v>UNP3</v>
          </cell>
          <cell r="C274" t="str">
            <v>9</v>
          </cell>
          <cell r="D274" t="str">
            <v>2</v>
          </cell>
          <cell r="E274" t="str">
            <v>P</v>
          </cell>
          <cell r="F274" t="str">
            <v/>
          </cell>
        </row>
        <row r="275">
          <cell r="A275" t="str">
            <v>単価４</v>
          </cell>
          <cell r="B275" t="str">
            <v>UNP4</v>
          </cell>
          <cell r="C275" t="str">
            <v>9</v>
          </cell>
          <cell r="D275" t="str">
            <v>2</v>
          </cell>
          <cell r="E275" t="str">
            <v>P</v>
          </cell>
          <cell r="F275" t="str">
            <v/>
          </cell>
        </row>
        <row r="276">
          <cell r="A276" t="str">
            <v>単価５</v>
          </cell>
          <cell r="B276" t="str">
            <v>UNP5</v>
          </cell>
          <cell r="C276" t="str">
            <v>9</v>
          </cell>
          <cell r="D276" t="str">
            <v>2</v>
          </cell>
          <cell r="E276" t="str">
            <v>P</v>
          </cell>
          <cell r="F276" t="str">
            <v/>
          </cell>
        </row>
        <row r="277">
          <cell r="A277" t="str">
            <v>担当者</v>
          </cell>
          <cell r="B277" t="str">
            <v>TTPS</v>
          </cell>
          <cell r="C277" t="str">
            <v>10</v>
          </cell>
          <cell r="D277" t="str">
            <v/>
          </cell>
          <cell r="E277" t="str">
            <v>A</v>
          </cell>
          <cell r="F277" t="str">
            <v/>
          </cell>
        </row>
        <row r="278">
          <cell r="A278" t="str">
            <v>担当者コード</v>
          </cell>
          <cell r="B278" t="str">
            <v>TTCD</v>
          </cell>
          <cell r="C278" t="str">
            <v>5</v>
          </cell>
          <cell r="D278" t="str">
            <v/>
          </cell>
          <cell r="E278" t="str">
            <v>A</v>
          </cell>
          <cell r="F278" t="str">
            <v/>
          </cell>
        </row>
        <row r="279">
          <cell r="A279" t="str">
            <v>担当者コード１</v>
          </cell>
          <cell r="B279" t="str">
            <v>TTC1</v>
          </cell>
          <cell r="C279" t="str">
            <v>5</v>
          </cell>
          <cell r="D279" t="str">
            <v/>
          </cell>
          <cell r="E279" t="str">
            <v>A</v>
          </cell>
          <cell r="F279" t="str">
            <v/>
          </cell>
        </row>
        <row r="280">
          <cell r="A280" t="str">
            <v>担当者コード２</v>
          </cell>
          <cell r="B280" t="str">
            <v>TTC2</v>
          </cell>
          <cell r="C280" t="str">
            <v>5</v>
          </cell>
          <cell r="D280" t="str">
            <v/>
          </cell>
          <cell r="E280" t="str">
            <v>A</v>
          </cell>
          <cell r="F280" t="str">
            <v/>
          </cell>
        </row>
        <row r="281">
          <cell r="A281" t="str">
            <v>担当者コード３</v>
          </cell>
          <cell r="B281" t="str">
            <v>TTC3</v>
          </cell>
          <cell r="C281" t="str">
            <v>5</v>
          </cell>
          <cell r="D281" t="str">
            <v/>
          </cell>
          <cell r="E281" t="str">
            <v>A</v>
          </cell>
          <cell r="F281" t="str">
            <v/>
          </cell>
        </row>
        <row r="282">
          <cell r="A282" t="str">
            <v>担当者名</v>
          </cell>
          <cell r="B282" t="str">
            <v>TTNM</v>
          </cell>
          <cell r="C282" t="str">
            <v>18</v>
          </cell>
          <cell r="D282" t="str">
            <v/>
          </cell>
          <cell r="E282" t="str">
            <v>O</v>
          </cell>
          <cell r="F282" t="str">
            <v/>
          </cell>
        </row>
        <row r="283">
          <cell r="A283" t="str">
            <v>着指定</v>
          </cell>
          <cell r="B283" t="str">
            <v>TSTM</v>
          </cell>
          <cell r="C283">
            <v>10</v>
          </cell>
          <cell r="D283" t="str">
            <v/>
          </cell>
          <cell r="E283" t="str">
            <v>O</v>
          </cell>
          <cell r="F283" t="str">
            <v/>
          </cell>
        </row>
        <row r="284">
          <cell r="A284" t="str">
            <v>調正額</v>
          </cell>
          <cell r="B284" t="str">
            <v>TSAM</v>
          </cell>
          <cell r="C284">
            <v>11</v>
          </cell>
          <cell r="D284">
            <v>0</v>
          </cell>
          <cell r="E284" t="str">
            <v>P</v>
          </cell>
          <cell r="F284" t="str">
            <v/>
          </cell>
        </row>
        <row r="285">
          <cell r="A285" t="str">
            <v>長さ＜ｍ＞</v>
          </cell>
          <cell r="B285" t="str">
            <v>LNGM</v>
          </cell>
          <cell r="C285" t="str">
            <v>7</v>
          </cell>
          <cell r="D285" t="str">
            <v>2</v>
          </cell>
          <cell r="E285" t="str">
            <v>P</v>
          </cell>
          <cell r="F285" t="str">
            <v/>
          </cell>
        </row>
        <row r="286">
          <cell r="A286" t="str">
            <v>摘要</v>
          </cell>
          <cell r="B286" t="str">
            <v>TEKI</v>
          </cell>
          <cell r="C286" t="str">
            <v>32</v>
          </cell>
          <cell r="D286" t="str">
            <v/>
          </cell>
          <cell r="E286" t="str">
            <v>O</v>
          </cell>
          <cell r="F286" t="str">
            <v/>
          </cell>
        </row>
        <row r="287">
          <cell r="A287" t="str">
            <v>摘要コード</v>
          </cell>
          <cell r="B287" t="str">
            <v>TECD</v>
          </cell>
          <cell r="C287" t="str">
            <v>5</v>
          </cell>
          <cell r="D287" t="str">
            <v/>
          </cell>
          <cell r="E287" t="str">
            <v>A</v>
          </cell>
          <cell r="F287" t="str">
            <v/>
          </cell>
        </row>
        <row r="288">
          <cell r="A288" t="str">
            <v>伝票№</v>
          </cell>
          <cell r="B288" t="str">
            <v>DNNO</v>
          </cell>
          <cell r="C288" t="str">
            <v>8</v>
          </cell>
          <cell r="D288" t="str">
            <v>0</v>
          </cell>
          <cell r="E288" t="str">
            <v>S</v>
          </cell>
          <cell r="F288" t="str">
            <v/>
          </cell>
        </row>
        <row r="289">
          <cell r="A289" t="str">
            <v>伝票枝番</v>
          </cell>
          <cell r="B289" t="str">
            <v>DNEB</v>
          </cell>
          <cell r="C289" t="str">
            <v>2</v>
          </cell>
          <cell r="D289" t="str">
            <v>0</v>
          </cell>
          <cell r="E289" t="str">
            <v>S</v>
          </cell>
          <cell r="F289" t="str">
            <v/>
          </cell>
        </row>
        <row r="290">
          <cell r="A290" t="str">
            <v>伝票日付</v>
          </cell>
          <cell r="B290" t="str">
            <v>DNDT</v>
          </cell>
          <cell r="C290" t="str">
            <v>8</v>
          </cell>
          <cell r="D290" t="str">
            <v>0</v>
          </cell>
          <cell r="E290" t="str">
            <v>S</v>
          </cell>
          <cell r="F290" t="str">
            <v/>
          </cell>
        </row>
        <row r="291">
          <cell r="A291" t="str">
            <v>電話番号</v>
          </cell>
          <cell r="B291" t="str">
            <v>PHNO</v>
          </cell>
          <cell r="C291" t="str">
            <v>14</v>
          </cell>
          <cell r="D291" t="str">
            <v/>
          </cell>
          <cell r="E291" t="str">
            <v>A</v>
          </cell>
          <cell r="F291" t="str">
            <v/>
          </cell>
        </row>
        <row r="292">
          <cell r="A292" t="str">
            <v>当月買掛金</v>
          </cell>
          <cell r="B292" t="str">
            <v>TGKA</v>
          </cell>
          <cell r="C292">
            <v>11</v>
          </cell>
          <cell r="D292">
            <v>0</v>
          </cell>
          <cell r="E292" t="str">
            <v>P</v>
          </cell>
          <cell r="F292" t="str">
            <v/>
          </cell>
        </row>
        <row r="293">
          <cell r="A293" t="str">
            <v>当月相殺</v>
          </cell>
          <cell r="B293" t="str">
            <v>TGOS</v>
          </cell>
          <cell r="C293">
            <v>11</v>
          </cell>
          <cell r="D293">
            <v>0</v>
          </cell>
          <cell r="E293" t="str">
            <v>P</v>
          </cell>
          <cell r="F293" t="str">
            <v/>
          </cell>
        </row>
        <row r="294">
          <cell r="A294" t="str">
            <v>当月入金</v>
          </cell>
          <cell r="B294" t="str">
            <v>TONK</v>
          </cell>
          <cell r="C294">
            <v>11</v>
          </cell>
          <cell r="D294">
            <v>0</v>
          </cell>
          <cell r="E294" t="str">
            <v>P</v>
          </cell>
          <cell r="F294" t="str">
            <v/>
          </cell>
        </row>
        <row r="295">
          <cell r="A295" t="str">
            <v>当月売掛金</v>
          </cell>
          <cell r="B295" t="str">
            <v>TGUA</v>
          </cell>
          <cell r="C295">
            <v>11</v>
          </cell>
          <cell r="D295">
            <v>0</v>
          </cell>
          <cell r="E295" t="str">
            <v>P</v>
          </cell>
          <cell r="F295" t="str">
            <v/>
          </cell>
        </row>
        <row r="296">
          <cell r="A296" t="str">
            <v>当月売上</v>
          </cell>
          <cell r="B296" t="str">
            <v>TGUR</v>
          </cell>
          <cell r="C296">
            <v>11</v>
          </cell>
          <cell r="D296">
            <v>0</v>
          </cell>
          <cell r="E296" t="str">
            <v>P</v>
          </cell>
          <cell r="F296" t="str">
            <v/>
          </cell>
        </row>
        <row r="297">
          <cell r="A297" t="str">
            <v>得意先コード</v>
          </cell>
          <cell r="B297" t="str">
            <v>TKCD</v>
          </cell>
          <cell r="C297" t="str">
            <v>7</v>
          </cell>
          <cell r="D297" t="str">
            <v/>
          </cell>
          <cell r="E297" t="str">
            <v>A</v>
          </cell>
          <cell r="F297" t="str">
            <v/>
          </cell>
        </row>
        <row r="298">
          <cell r="A298" t="str">
            <v>特値ＭＫ</v>
          </cell>
          <cell r="B298" t="str">
            <v>TNMK</v>
          </cell>
          <cell r="C298" t="str">
            <v>1</v>
          </cell>
          <cell r="D298" t="str">
            <v/>
          </cell>
          <cell r="E298" t="str">
            <v>A</v>
          </cell>
          <cell r="F298" t="str">
            <v/>
          </cell>
        </row>
        <row r="299">
          <cell r="A299" t="str">
            <v>日付１</v>
          </cell>
          <cell r="B299" t="str">
            <v>DAT1</v>
          </cell>
          <cell r="C299" t="str">
            <v>8</v>
          </cell>
          <cell r="D299" t="str">
            <v>0</v>
          </cell>
          <cell r="E299" t="str">
            <v>S</v>
          </cell>
          <cell r="F299" t="str">
            <v/>
          </cell>
        </row>
        <row r="300">
          <cell r="A300" t="str">
            <v>日付２</v>
          </cell>
          <cell r="B300" t="str">
            <v>DAT2</v>
          </cell>
          <cell r="C300" t="str">
            <v>8</v>
          </cell>
          <cell r="D300" t="str">
            <v>0</v>
          </cell>
          <cell r="E300" t="str">
            <v>S</v>
          </cell>
          <cell r="F300" t="str">
            <v/>
          </cell>
        </row>
        <row r="301">
          <cell r="A301" t="str">
            <v>日付３</v>
          </cell>
          <cell r="B301" t="str">
            <v>DAT3</v>
          </cell>
          <cell r="C301" t="str">
            <v>8</v>
          </cell>
          <cell r="D301" t="str">
            <v>0</v>
          </cell>
          <cell r="E301" t="str">
            <v>S</v>
          </cell>
          <cell r="F301" t="str">
            <v/>
          </cell>
        </row>
        <row r="302">
          <cell r="A302" t="str">
            <v>日付４</v>
          </cell>
          <cell r="B302" t="str">
            <v>DAT4</v>
          </cell>
          <cell r="C302" t="str">
            <v>8</v>
          </cell>
          <cell r="D302" t="str">
            <v>0</v>
          </cell>
          <cell r="E302" t="str">
            <v>S</v>
          </cell>
          <cell r="F302" t="str">
            <v/>
          </cell>
        </row>
        <row r="303">
          <cell r="A303" t="str">
            <v>日付５</v>
          </cell>
          <cell r="B303" t="str">
            <v>DAT5</v>
          </cell>
          <cell r="C303" t="str">
            <v>8</v>
          </cell>
          <cell r="D303" t="str">
            <v>0</v>
          </cell>
          <cell r="E303" t="str">
            <v>S</v>
          </cell>
          <cell r="F303" t="str">
            <v/>
          </cell>
        </row>
        <row r="304">
          <cell r="A304" t="str">
            <v>入金№</v>
          </cell>
          <cell r="B304" t="str">
            <v>NKNO</v>
          </cell>
          <cell r="C304" t="str">
            <v>8</v>
          </cell>
          <cell r="D304" t="str">
            <v>0</v>
          </cell>
          <cell r="E304" t="str">
            <v>S</v>
          </cell>
          <cell r="F304" t="str">
            <v/>
          </cell>
        </row>
        <row r="305">
          <cell r="A305" t="str">
            <v>入金合計</v>
          </cell>
          <cell r="B305" t="str">
            <v>NKTO</v>
          </cell>
          <cell r="C305">
            <v>11</v>
          </cell>
          <cell r="D305">
            <v>0</v>
          </cell>
          <cell r="E305" t="str">
            <v>P</v>
          </cell>
          <cell r="F305" t="str">
            <v/>
          </cell>
        </row>
        <row r="306">
          <cell r="A306" t="str">
            <v>入金種別</v>
          </cell>
          <cell r="B306" t="str">
            <v>NKSB</v>
          </cell>
          <cell r="C306" t="str">
            <v>1</v>
          </cell>
          <cell r="D306" t="str">
            <v/>
          </cell>
          <cell r="E306" t="str">
            <v>A</v>
          </cell>
          <cell r="F306" t="str">
            <v/>
          </cell>
        </row>
        <row r="307">
          <cell r="A307" t="str">
            <v>入庫金額　仕入</v>
          </cell>
          <cell r="B307" t="str">
            <v>NKAS</v>
          </cell>
          <cell r="C307">
            <v>9</v>
          </cell>
          <cell r="D307" t="str">
            <v>0</v>
          </cell>
          <cell r="E307" t="str">
            <v>P</v>
          </cell>
          <cell r="F307" t="str">
            <v/>
          </cell>
        </row>
        <row r="308">
          <cell r="A308" t="str">
            <v>入庫金額　仕入原価</v>
          </cell>
          <cell r="B308" t="str">
            <v>NKAG</v>
          </cell>
          <cell r="C308">
            <v>9</v>
          </cell>
          <cell r="D308" t="str">
            <v>0</v>
          </cell>
          <cell r="E308" t="str">
            <v>P</v>
          </cell>
          <cell r="F308" t="str">
            <v/>
          </cell>
        </row>
        <row r="309">
          <cell r="A309" t="str">
            <v>入庫数量</v>
          </cell>
          <cell r="B309" t="str">
            <v>NKQT</v>
          </cell>
          <cell r="C309">
            <v>9</v>
          </cell>
          <cell r="D309">
            <v>2</v>
          </cell>
          <cell r="E309" t="str">
            <v>P</v>
          </cell>
          <cell r="F309" t="str">
            <v/>
          </cell>
        </row>
        <row r="310">
          <cell r="A310" t="str">
            <v>入庫数量　仕入</v>
          </cell>
          <cell r="B310" t="str">
            <v>NKQS</v>
          </cell>
          <cell r="C310">
            <v>9</v>
          </cell>
          <cell r="D310">
            <v>2</v>
          </cell>
          <cell r="E310" t="str">
            <v>P</v>
          </cell>
          <cell r="F310" t="str">
            <v/>
          </cell>
        </row>
        <row r="311">
          <cell r="A311" t="str">
            <v>入庫金額　加工</v>
          </cell>
          <cell r="B311" t="str">
            <v>NKAK</v>
          </cell>
          <cell r="C311">
            <v>9</v>
          </cell>
          <cell r="D311" t="str">
            <v>0</v>
          </cell>
          <cell r="E311" t="str">
            <v>P</v>
          </cell>
          <cell r="F311" t="str">
            <v/>
          </cell>
        </row>
        <row r="312">
          <cell r="A312" t="str">
            <v>入庫金額　引受</v>
          </cell>
          <cell r="B312" t="str">
            <v>NKAH</v>
          </cell>
          <cell r="C312">
            <v>9</v>
          </cell>
          <cell r="D312" t="str">
            <v>0</v>
          </cell>
          <cell r="E312" t="str">
            <v>P</v>
          </cell>
          <cell r="F312" t="str">
            <v/>
          </cell>
        </row>
        <row r="313">
          <cell r="A313" t="str">
            <v>入庫金額　振替</v>
          </cell>
          <cell r="B313" t="str">
            <v>NKAF</v>
          </cell>
          <cell r="C313">
            <v>9</v>
          </cell>
          <cell r="D313" t="str">
            <v>0</v>
          </cell>
          <cell r="E313" t="str">
            <v>P</v>
          </cell>
          <cell r="F313" t="str">
            <v/>
          </cell>
        </row>
        <row r="314">
          <cell r="A314" t="str">
            <v>入庫場所コード</v>
          </cell>
          <cell r="B314" t="str">
            <v>NPCD</v>
          </cell>
          <cell r="C314" t="str">
            <v>7</v>
          </cell>
          <cell r="D314" t="str">
            <v/>
          </cell>
          <cell r="E314" t="str">
            <v>A</v>
          </cell>
          <cell r="F314" t="str">
            <v/>
          </cell>
        </row>
        <row r="315">
          <cell r="A315" t="str">
            <v>入庫数量　加工</v>
          </cell>
          <cell r="B315" t="str">
            <v>NKQK</v>
          </cell>
          <cell r="C315">
            <v>9</v>
          </cell>
          <cell r="D315">
            <v>2</v>
          </cell>
          <cell r="E315" t="str">
            <v>P</v>
          </cell>
          <cell r="F315" t="str">
            <v/>
          </cell>
        </row>
        <row r="316">
          <cell r="A316" t="str">
            <v>入庫数量　引受</v>
          </cell>
          <cell r="B316" t="str">
            <v>NKQH</v>
          </cell>
          <cell r="C316">
            <v>9</v>
          </cell>
          <cell r="D316">
            <v>2</v>
          </cell>
          <cell r="E316" t="str">
            <v>P</v>
          </cell>
          <cell r="F316" t="str">
            <v/>
          </cell>
        </row>
        <row r="317">
          <cell r="A317" t="str">
            <v>入庫数量　振替</v>
          </cell>
          <cell r="B317" t="str">
            <v>NKQF</v>
          </cell>
          <cell r="C317">
            <v>9</v>
          </cell>
          <cell r="D317">
            <v>2</v>
          </cell>
          <cell r="E317" t="str">
            <v>P</v>
          </cell>
          <cell r="F317" t="str">
            <v/>
          </cell>
        </row>
        <row r="318">
          <cell r="A318" t="str">
            <v>入庫棚番</v>
          </cell>
          <cell r="B318" t="str">
            <v>NKTB</v>
          </cell>
          <cell r="C318" t="str">
            <v>7</v>
          </cell>
          <cell r="D318" t="str">
            <v/>
          </cell>
          <cell r="E318" t="str">
            <v>A</v>
          </cell>
          <cell r="F318" t="str">
            <v/>
          </cell>
        </row>
        <row r="319">
          <cell r="A319" t="str">
            <v>入庫日</v>
          </cell>
          <cell r="B319" t="str">
            <v>NKDT</v>
          </cell>
          <cell r="C319" t="str">
            <v>8</v>
          </cell>
          <cell r="D319" t="str">
            <v>0</v>
          </cell>
          <cell r="E319" t="str">
            <v>S</v>
          </cell>
          <cell r="F319" t="str">
            <v/>
          </cell>
        </row>
        <row r="320">
          <cell r="A320" t="str">
            <v>入庫予定数量</v>
          </cell>
          <cell r="B320" t="str">
            <v>NYQT</v>
          </cell>
          <cell r="C320">
            <v>9</v>
          </cell>
          <cell r="D320">
            <v>2</v>
          </cell>
          <cell r="E320" t="str">
            <v>P</v>
          </cell>
          <cell r="F320" t="str">
            <v/>
          </cell>
        </row>
        <row r="321">
          <cell r="A321" t="str">
            <v>入庫予定日</v>
          </cell>
          <cell r="B321" t="str">
            <v>NPDT</v>
          </cell>
          <cell r="C321" t="str">
            <v>8</v>
          </cell>
          <cell r="D321" t="str">
            <v>0</v>
          </cell>
          <cell r="E321" t="str">
            <v>S</v>
          </cell>
          <cell r="F321" t="str">
            <v/>
          </cell>
        </row>
        <row r="322">
          <cell r="A322" t="str">
            <v>入出庫場所コード</v>
          </cell>
          <cell r="B322" t="str">
            <v>NBCD</v>
          </cell>
          <cell r="C322" t="str">
            <v>7</v>
          </cell>
          <cell r="D322" t="str">
            <v/>
          </cell>
          <cell r="E322" t="str">
            <v>A</v>
          </cell>
          <cell r="F322" t="str">
            <v/>
          </cell>
        </row>
        <row r="323">
          <cell r="A323" t="str">
            <v>入出庫日</v>
          </cell>
          <cell r="B323" t="str">
            <v>IODT</v>
          </cell>
          <cell r="C323" t="str">
            <v>8</v>
          </cell>
          <cell r="D323" t="str">
            <v>0</v>
          </cell>
          <cell r="E323" t="str">
            <v>S</v>
          </cell>
          <cell r="F323" t="str">
            <v/>
          </cell>
        </row>
        <row r="324">
          <cell r="A324" t="str">
            <v>入数</v>
          </cell>
          <cell r="B324" t="str">
            <v>IRSU</v>
          </cell>
          <cell r="C324" t="str">
            <v>5</v>
          </cell>
          <cell r="D324" t="str">
            <v>0</v>
          </cell>
          <cell r="E324" t="str">
            <v>P</v>
          </cell>
          <cell r="F324" t="str">
            <v/>
          </cell>
        </row>
        <row r="325">
          <cell r="A325" t="str">
            <v>入力担当コード</v>
          </cell>
          <cell r="B325" t="str">
            <v>NTCD</v>
          </cell>
          <cell r="C325" t="str">
            <v>5</v>
          </cell>
          <cell r="D325" t="str">
            <v/>
          </cell>
          <cell r="E325" t="str">
            <v>A</v>
          </cell>
          <cell r="F325" t="str">
            <v>オンライン入力者</v>
          </cell>
        </row>
        <row r="326">
          <cell r="A326" t="str">
            <v>年月日</v>
          </cell>
          <cell r="B326" t="str">
            <v>YMD</v>
          </cell>
          <cell r="C326">
            <v>8</v>
          </cell>
          <cell r="D326">
            <v>0</v>
          </cell>
          <cell r="E326" t="str">
            <v>S</v>
          </cell>
          <cell r="F326" t="str">
            <v/>
          </cell>
        </row>
        <row r="327">
          <cell r="A327" t="str">
            <v>納期</v>
          </cell>
          <cell r="B327" t="str">
            <v>NOKI</v>
          </cell>
          <cell r="C327" t="str">
            <v>8</v>
          </cell>
          <cell r="D327" t="str">
            <v>0</v>
          </cell>
          <cell r="E327" t="str">
            <v>S</v>
          </cell>
          <cell r="F327" t="str">
            <v/>
          </cell>
        </row>
        <row r="328">
          <cell r="A328" t="str">
            <v>納品書№</v>
          </cell>
          <cell r="B328" t="str">
            <v>NHNO</v>
          </cell>
          <cell r="C328" t="str">
            <v>8</v>
          </cell>
          <cell r="D328" t="str">
            <v>0</v>
          </cell>
          <cell r="E328" t="str">
            <v>S</v>
          </cell>
          <cell r="F328" t="str">
            <v/>
          </cell>
        </row>
        <row r="329">
          <cell r="A329" t="str">
            <v>納品書枝番</v>
          </cell>
          <cell r="B329" t="str">
            <v>NHEB</v>
          </cell>
          <cell r="C329" t="str">
            <v>2</v>
          </cell>
          <cell r="D329" t="str">
            <v>0</v>
          </cell>
          <cell r="E329" t="str">
            <v>S</v>
          </cell>
          <cell r="F329" t="str">
            <v/>
          </cell>
        </row>
        <row r="330">
          <cell r="A330" t="str">
            <v>加工区分</v>
          </cell>
          <cell r="B330" t="str">
            <v>KKKB</v>
          </cell>
          <cell r="C330">
            <v>1</v>
          </cell>
          <cell r="D330" t="str">
            <v/>
          </cell>
          <cell r="E330" t="str">
            <v>A</v>
          </cell>
          <cell r="F330" t="str">
            <v>" "=加工する　"1"=加工しない</v>
          </cell>
        </row>
        <row r="331">
          <cell r="A331" t="str">
            <v>廃番日</v>
          </cell>
          <cell r="B331" t="str">
            <v>HBDT</v>
          </cell>
          <cell r="C331" t="str">
            <v>8</v>
          </cell>
          <cell r="D331" t="str">
            <v>0</v>
          </cell>
          <cell r="E331" t="str">
            <v>S</v>
          </cell>
          <cell r="F331" t="str">
            <v/>
          </cell>
        </row>
        <row r="332">
          <cell r="A332" t="str">
            <v>買掛用支払日</v>
          </cell>
          <cell r="B332" t="str">
            <v>KSDT</v>
          </cell>
          <cell r="C332" t="str">
            <v>2</v>
          </cell>
          <cell r="D332" t="str">
            <v>0</v>
          </cell>
          <cell r="E332" t="str">
            <v>S</v>
          </cell>
          <cell r="F332" t="str">
            <v/>
          </cell>
        </row>
        <row r="333">
          <cell r="A333" t="str">
            <v>買掛用手形サイト</v>
          </cell>
          <cell r="B333" t="str">
            <v>KTGS</v>
          </cell>
          <cell r="C333" t="str">
            <v>3</v>
          </cell>
          <cell r="D333" t="str">
            <v>0</v>
          </cell>
          <cell r="E333" t="str">
            <v>P</v>
          </cell>
          <cell r="F333" t="str">
            <v/>
          </cell>
        </row>
        <row r="334">
          <cell r="A334" t="str">
            <v>買掛用締日</v>
          </cell>
          <cell r="B334" t="str">
            <v>KMDT</v>
          </cell>
          <cell r="C334" t="str">
            <v>2</v>
          </cell>
          <cell r="D334" t="str">
            <v>0</v>
          </cell>
          <cell r="E334" t="str">
            <v>S</v>
          </cell>
          <cell r="F334" t="str">
            <v/>
          </cell>
        </row>
        <row r="335">
          <cell r="A335" t="str">
            <v>売り止め終了日</v>
          </cell>
          <cell r="B335" t="str">
            <v>UDEN</v>
          </cell>
          <cell r="C335">
            <v>8</v>
          </cell>
          <cell r="D335">
            <v>0</v>
          </cell>
          <cell r="E335" t="str">
            <v>S</v>
          </cell>
          <cell r="F335" t="str">
            <v/>
          </cell>
        </row>
        <row r="336">
          <cell r="A336" t="str">
            <v>売掛残高</v>
          </cell>
          <cell r="B336" t="str">
            <v>URZD</v>
          </cell>
          <cell r="C336" t="str">
            <v>11</v>
          </cell>
          <cell r="D336" t="str">
            <v>0</v>
          </cell>
          <cell r="E336" t="str">
            <v>P</v>
          </cell>
          <cell r="F336" t="str">
            <v/>
          </cell>
        </row>
        <row r="337">
          <cell r="A337" t="str">
            <v>売上</v>
          </cell>
          <cell r="B337" t="str">
            <v>URAG</v>
          </cell>
          <cell r="C337" t="str">
            <v>11</v>
          </cell>
          <cell r="D337" t="str">
            <v>0</v>
          </cell>
          <cell r="E337" t="str">
            <v>P</v>
          </cell>
          <cell r="F337" t="str">
            <v/>
          </cell>
        </row>
        <row r="338">
          <cell r="A338" t="str">
            <v>売上粗利</v>
          </cell>
          <cell r="B338" t="str">
            <v>URAR</v>
          </cell>
          <cell r="C338">
            <v>11</v>
          </cell>
          <cell r="D338">
            <v>0</v>
          </cell>
          <cell r="E338" t="str">
            <v>P</v>
          </cell>
          <cell r="F338" t="str">
            <v/>
          </cell>
        </row>
        <row r="339">
          <cell r="A339" t="str">
            <v>売上金額</v>
          </cell>
          <cell r="B339" t="str">
            <v>URAM</v>
          </cell>
          <cell r="C339">
            <v>9</v>
          </cell>
          <cell r="D339" t="str">
            <v>0</v>
          </cell>
          <cell r="E339" t="str">
            <v>P</v>
          </cell>
          <cell r="F339" t="str">
            <v/>
          </cell>
        </row>
        <row r="340">
          <cell r="A340" t="str">
            <v>売上数量</v>
          </cell>
          <cell r="B340" t="str">
            <v>URQT</v>
          </cell>
          <cell r="C340">
            <v>9</v>
          </cell>
          <cell r="D340">
            <v>2</v>
          </cell>
          <cell r="E340" t="str">
            <v>P</v>
          </cell>
          <cell r="F340" t="str">
            <v/>
          </cell>
        </row>
        <row r="341">
          <cell r="A341" t="str">
            <v>売上消費税</v>
          </cell>
          <cell r="B341" t="str">
            <v>URSZ</v>
          </cell>
          <cell r="C341" t="str">
            <v>11</v>
          </cell>
          <cell r="D341" t="str">
            <v>0</v>
          </cell>
          <cell r="E341" t="str">
            <v>P</v>
          </cell>
          <cell r="F341" t="str">
            <v/>
          </cell>
        </row>
        <row r="342">
          <cell r="A342" t="str">
            <v>売上値引</v>
          </cell>
          <cell r="B342" t="str">
            <v>URNB</v>
          </cell>
          <cell r="C342" t="str">
            <v>11</v>
          </cell>
          <cell r="D342" t="str">
            <v>0</v>
          </cell>
          <cell r="E342" t="str">
            <v>P</v>
          </cell>
          <cell r="F342" t="str">
            <v/>
          </cell>
        </row>
        <row r="343">
          <cell r="A343" t="str">
            <v>売上年累計</v>
          </cell>
          <cell r="B343" t="str">
            <v>URNR</v>
          </cell>
          <cell r="C343" t="str">
            <v>11</v>
          </cell>
          <cell r="D343" t="str">
            <v>0</v>
          </cell>
          <cell r="E343" t="str">
            <v>P</v>
          </cell>
          <cell r="F343" t="str">
            <v/>
          </cell>
        </row>
        <row r="344">
          <cell r="A344" t="str">
            <v>売上返品</v>
          </cell>
          <cell r="B344" t="str">
            <v>URHP</v>
          </cell>
          <cell r="C344" t="str">
            <v>11</v>
          </cell>
          <cell r="D344" t="str">
            <v>0</v>
          </cell>
          <cell r="E344" t="str">
            <v>P</v>
          </cell>
          <cell r="F344" t="str">
            <v/>
          </cell>
        </row>
        <row r="345">
          <cell r="A345" t="str">
            <v>半製品仕入</v>
          </cell>
          <cell r="B345" t="str">
            <v>HSSR</v>
          </cell>
          <cell r="C345">
            <v>11</v>
          </cell>
          <cell r="D345">
            <v>0</v>
          </cell>
          <cell r="E345" t="str">
            <v>P</v>
          </cell>
          <cell r="F345" t="str">
            <v/>
          </cell>
        </row>
        <row r="346">
          <cell r="A346" t="str">
            <v>半製品売上</v>
          </cell>
          <cell r="B346" t="str">
            <v>HSUR</v>
          </cell>
          <cell r="C346">
            <v>11</v>
          </cell>
          <cell r="D346">
            <v>0</v>
          </cell>
          <cell r="E346" t="str">
            <v>P</v>
          </cell>
          <cell r="F346" t="str">
            <v/>
          </cell>
        </row>
        <row r="347">
          <cell r="A347" t="str">
            <v>反番</v>
          </cell>
          <cell r="B347" t="str">
            <v>TANO</v>
          </cell>
          <cell r="C347" t="str">
            <v>15</v>
          </cell>
          <cell r="D347" t="str">
            <v/>
          </cell>
          <cell r="E347" t="str">
            <v>A</v>
          </cell>
          <cell r="F347" t="str">
            <v/>
          </cell>
        </row>
        <row r="348">
          <cell r="A348" t="str">
            <v>反番数量</v>
          </cell>
          <cell r="B348" t="str">
            <v>TAQT</v>
          </cell>
          <cell r="C348" t="str">
            <v>9</v>
          </cell>
          <cell r="D348">
            <v>2</v>
          </cell>
          <cell r="E348" t="str">
            <v>P</v>
          </cell>
          <cell r="F348" t="str">
            <v/>
          </cell>
        </row>
        <row r="349">
          <cell r="A349" t="str">
            <v>販売原価</v>
          </cell>
          <cell r="B349" t="str">
            <v>HBGK</v>
          </cell>
          <cell r="C349" t="str">
            <v>9</v>
          </cell>
          <cell r="D349" t="str">
            <v>2</v>
          </cell>
          <cell r="E349" t="str">
            <v>P</v>
          </cell>
          <cell r="F349" t="str">
            <v/>
          </cell>
        </row>
        <row r="350">
          <cell r="A350" t="str">
            <v>販売先コード</v>
          </cell>
          <cell r="B350" t="str">
            <v>HBSC</v>
          </cell>
          <cell r="C350" t="str">
            <v>7</v>
          </cell>
          <cell r="D350" t="str">
            <v/>
          </cell>
          <cell r="E350" t="str">
            <v>A</v>
          </cell>
          <cell r="F350" t="str">
            <v/>
          </cell>
        </row>
        <row r="351">
          <cell r="A351" t="str">
            <v>販売先区分</v>
          </cell>
          <cell r="B351" t="str">
            <v>HBKB</v>
          </cell>
          <cell r="C351" t="str">
            <v>1</v>
          </cell>
          <cell r="D351" t="str">
            <v/>
          </cell>
          <cell r="E351" t="str">
            <v>A</v>
          </cell>
          <cell r="F351" t="str">
            <v xml:space="preserve">"1"=販売先、得意先 </v>
          </cell>
        </row>
        <row r="352">
          <cell r="A352" t="str">
            <v>販売先名</v>
          </cell>
          <cell r="B352" t="str">
            <v>HBNM</v>
          </cell>
          <cell r="C352">
            <v>22</v>
          </cell>
          <cell r="D352" t="str">
            <v/>
          </cell>
          <cell r="E352" t="str">
            <v>O</v>
          </cell>
          <cell r="F352" t="str">
            <v/>
          </cell>
        </row>
        <row r="353">
          <cell r="A353" t="str">
            <v>備考</v>
          </cell>
          <cell r="B353" t="str">
            <v>BIKO</v>
          </cell>
          <cell r="C353">
            <v>32</v>
          </cell>
          <cell r="D353" t="str">
            <v/>
          </cell>
          <cell r="E353" t="str">
            <v>O</v>
          </cell>
          <cell r="F353" t="str">
            <v/>
          </cell>
        </row>
        <row r="354">
          <cell r="A354" t="str">
            <v>備考コード</v>
          </cell>
          <cell r="B354" t="str">
            <v>BKCD</v>
          </cell>
          <cell r="C354" t="str">
            <v>5</v>
          </cell>
          <cell r="D354" t="str">
            <v/>
          </cell>
          <cell r="E354" t="str">
            <v>A</v>
          </cell>
          <cell r="F354" t="str">
            <v/>
          </cell>
        </row>
        <row r="355">
          <cell r="A355" t="str">
            <v>品種コード（子）</v>
          </cell>
          <cell r="B355" t="str">
            <v>CHC3</v>
          </cell>
          <cell r="C355" t="str">
            <v>2</v>
          </cell>
          <cell r="D355" t="str">
            <v/>
          </cell>
          <cell r="E355" t="str">
            <v>A</v>
          </cell>
          <cell r="F355" t="str">
            <v/>
          </cell>
        </row>
        <row r="356">
          <cell r="A356" t="str">
            <v>品種コード（親）</v>
          </cell>
          <cell r="B356" t="str">
            <v>PHC3</v>
          </cell>
          <cell r="C356" t="str">
            <v>2</v>
          </cell>
          <cell r="D356" t="str">
            <v/>
          </cell>
          <cell r="E356" t="str">
            <v>A</v>
          </cell>
          <cell r="F356" t="str">
            <v/>
          </cell>
        </row>
        <row r="357">
          <cell r="A357" t="str">
            <v>品名コード（子）</v>
          </cell>
          <cell r="B357" t="str">
            <v>CHC2</v>
          </cell>
          <cell r="C357" t="str">
            <v>4</v>
          </cell>
          <cell r="D357" t="str">
            <v/>
          </cell>
          <cell r="E357" t="str">
            <v>A</v>
          </cell>
          <cell r="F357" t="str">
            <v/>
          </cell>
        </row>
        <row r="358">
          <cell r="A358" t="str">
            <v>品名コード（親）</v>
          </cell>
          <cell r="B358" t="str">
            <v>PHC2</v>
          </cell>
          <cell r="C358" t="str">
            <v>4</v>
          </cell>
          <cell r="D358" t="str">
            <v/>
          </cell>
          <cell r="E358" t="str">
            <v>A</v>
          </cell>
          <cell r="F358" t="str">
            <v/>
          </cell>
        </row>
        <row r="359">
          <cell r="A359" t="str">
            <v>品名部門コード</v>
          </cell>
          <cell r="B359" t="str">
            <v>HBCD</v>
          </cell>
          <cell r="C359" t="str">
            <v>1</v>
          </cell>
          <cell r="D359" t="str">
            <v/>
          </cell>
          <cell r="E359" t="str">
            <v>A</v>
          </cell>
          <cell r="F359" t="str">
            <v/>
          </cell>
        </row>
        <row r="360">
          <cell r="A360" t="str">
            <v>品種名（子）</v>
          </cell>
          <cell r="B360" t="str">
            <v>CSN3</v>
          </cell>
          <cell r="C360">
            <v>12</v>
          </cell>
          <cell r="D360" t="str">
            <v/>
          </cell>
          <cell r="E360" t="str">
            <v>O</v>
          </cell>
          <cell r="F360" t="str">
            <v/>
          </cell>
        </row>
        <row r="361">
          <cell r="A361" t="str">
            <v>品種名（親）</v>
          </cell>
          <cell r="B361" t="str">
            <v>PSN3</v>
          </cell>
          <cell r="C361">
            <v>12</v>
          </cell>
          <cell r="D361" t="str">
            <v/>
          </cell>
          <cell r="E361" t="str">
            <v>O</v>
          </cell>
          <cell r="F361" t="str">
            <v/>
          </cell>
        </row>
        <row r="362">
          <cell r="A362" t="str">
            <v>品名</v>
          </cell>
          <cell r="B362" t="str">
            <v>HNNM</v>
          </cell>
          <cell r="C362" t="str">
            <v>22</v>
          </cell>
          <cell r="D362" t="str">
            <v/>
          </cell>
          <cell r="E362" t="str">
            <v>O</v>
          </cell>
          <cell r="F362" t="str">
            <v/>
          </cell>
        </row>
        <row r="363">
          <cell r="A363" t="str">
            <v>品名（子）</v>
          </cell>
          <cell r="B363" t="str">
            <v>CMN2</v>
          </cell>
          <cell r="C363">
            <v>22</v>
          </cell>
          <cell r="D363" t="str">
            <v/>
          </cell>
          <cell r="E363" t="str">
            <v>O</v>
          </cell>
          <cell r="F363" t="str">
            <v/>
          </cell>
        </row>
        <row r="364">
          <cell r="A364" t="str">
            <v>品名（親）</v>
          </cell>
          <cell r="B364" t="str">
            <v>PMN2</v>
          </cell>
          <cell r="C364">
            <v>22</v>
          </cell>
          <cell r="D364" t="str">
            <v/>
          </cell>
          <cell r="E364" t="str">
            <v>O</v>
          </cell>
          <cell r="F364" t="str">
            <v/>
          </cell>
        </row>
        <row r="365">
          <cell r="A365" t="str">
            <v>品名コード</v>
          </cell>
          <cell r="B365" t="str">
            <v>HMCD</v>
          </cell>
          <cell r="C365" t="str">
            <v>4</v>
          </cell>
          <cell r="D365" t="str">
            <v/>
          </cell>
          <cell r="E365" t="str">
            <v>A</v>
          </cell>
          <cell r="F365" t="str">
            <v/>
          </cell>
        </row>
        <row r="366">
          <cell r="A366" t="str">
            <v>品名正式名</v>
          </cell>
          <cell r="B366" t="str">
            <v>HNSM</v>
          </cell>
          <cell r="C366">
            <v>42</v>
          </cell>
          <cell r="D366" t="str">
            <v/>
          </cell>
          <cell r="E366" t="str">
            <v>O</v>
          </cell>
          <cell r="F366" t="str">
            <v/>
          </cell>
        </row>
        <row r="367">
          <cell r="A367" t="str">
            <v>部門コード</v>
          </cell>
          <cell r="B367" t="str">
            <v>BMCD</v>
          </cell>
          <cell r="C367">
            <v>3</v>
          </cell>
          <cell r="D367" t="str">
            <v/>
          </cell>
          <cell r="E367" t="str">
            <v>A</v>
          </cell>
          <cell r="F367" t="str">
            <v/>
          </cell>
        </row>
        <row r="368">
          <cell r="A368" t="str">
            <v>部門名</v>
          </cell>
          <cell r="B368" t="str">
            <v>BMNM</v>
          </cell>
          <cell r="C368" t="str">
            <v>22</v>
          </cell>
          <cell r="D368" t="str">
            <v/>
          </cell>
          <cell r="E368" t="str">
            <v>O</v>
          </cell>
          <cell r="F368" t="str">
            <v/>
          </cell>
        </row>
        <row r="369">
          <cell r="A369" t="str">
            <v>別注サイズ横</v>
          </cell>
          <cell r="B369" t="str">
            <v>BSZY</v>
          </cell>
          <cell r="C369" t="str">
            <v>9</v>
          </cell>
          <cell r="D369" t="str">
            <v>3</v>
          </cell>
          <cell r="E369" t="str">
            <v>P</v>
          </cell>
          <cell r="F369" t="str">
            <v/>
          </cell>
        </row>
        <row r="370">
          <cell r="A370" t="str">
            <v>別注サイズ縦</v>
          </cell>
          <cell r="B370" t="str">
            <v>BSZT</v>
          </cell>
          <cell r="C370" t="str">
            <v>9</v>
          </cell>
          <cell r="D370" t="str">
            <v>3</v>
          </cell>
          <cell r="E370" t="str">
            <v>P</v>
          </cell>
          <cell r="F370" t="str">
            <v/>
          </cell>
        </row>
        <row r="371">
          <cell r="A371" t="str">
            <v>歩引／増</v>
          </cell>
          <cell r="B371" t="str">
            <v>BBBM</v>
          </cell>
          <cell r="C371" t="str">
            <v>11</v>
          </cell>
          <cell r="D371" t="str">
            <v>0</v>
          </cell>
          <cell r="E371" t="str">
            <v>P</v>
          </cell>
          <cell r="F371" t="str">
            <v/>
          </cell>
        </row>
        <row r="372">
          <cell r="A372" t="str">
            <v>歩引率＜％＞</v>
          </cell>
          <cell r="B372" t="str">
            <v>BBRT</v>
          </cell>
          <cell r="C372" t="str">
            <v>5</v>
          </cell>
          <cell r="D372" t="str">
            <v>2</v>
          </cell>
          <cell r="E372" t="str">
            <v>P</v>
          </cell>
          <cell r="F372" t="str">
            <v/>
          </cell>
        </row>
        <row r="373">
          <cell r="A373" t="str">
            <v>歩積金額</v>
          </cell>
          <cell r="B373" t="str">
            <v>BZAM</v>
          </cell>
          <cell r="C373" t="str">
            <v>7</v>
          </cell>
          <cell r="D373" t="str">
            <v>0</v>
          </cell>
          <cell r="E373" t="str">
            <v>P</v>
          </cell>
          <cell r="F373" t="str">
            <v/>
          </cell>
        </row>
        <row r="374">
          <cell r="A374" t="str">
            <v>未決済手形</v>
          </cell>
          <cell r="B374" t="str">
            <v>MKTG</v>
          </cell>
          <cell r="C374">
            <v>11</v>
          </cell>
          <cell r="D374">
            <v>0</v>
          </cell>
          <cell r="E374" t="str">
            <v>P</v>
          </cell>
          <cell r="F374" t="str">
            <v/>
          </cell>
        </row>
        <row r="375">
          <cell r="A375" t="str">
            <v>未決済手形残高</v>
          </cell>
          <cell r="B375" t="str">
            <v>MKTZ</v>
          </cell>
          <cell r="C375" t="str">
            <v>11</v>
          </cell>
          <cell r="D375" t="str">
            <v>0</v>
          </cell>
          <cell r="E375" t="str">
            <v>P</v>
          </cell>
          <cell r="F375" t="str">
            <v/>
          </cell>
        </row>
        <row r="376">
          <cell r="A376" t="str">
            <v>有効在庫数量</v>
          </cell>
          <cell r="B376" t="str">
            <v>YPQT</v>
          </cell>
          <cell r="C376">
            <v>9</v>
          </cell>
          <cell r="D376">
            <v>2</v>
          </cell>
          <cell r="E376" t="str">
            <v>P</v>
          </cell>
          <cell r="F376" t="str">
            <v>現在数－（引当数＋出庫予）</v>
          </cell>
        </row>
        <row r="377">
          <cell r="A377" t="str">
            <v>郵便番号</v>
          </cell>
          <cell r="B377" t="str">
            <v>PSCD</v>
          </cell>
          <cell r="C377" t="str">
            <v>8</v>
          </cell>
          <cell r="D377" t="str">
            <v/>
          </cell>
          <cell r="E377" t="str">
            <v>A</v>
          </cell>
          <cell r="F377" t="str">
            <v/>
          </cell>
        </row>
        <row r="378">
          <cell r="A378" t="str">
            <v>与信限度額１</v>
          </cell>
          <cell r="B378" t="str">
            <v>YSG1</v>
          </cell>
          <cell r="C378" t="str">
            <v>9</v>
          </cell>
          <cell r="D378" t="str">
            <v>0</v>
          </cell>
          <cell r="E378" t="str">
            <v>P</v>
          </cell>
          <cell r="F378" t="str">
            <v/>
          </cell>
        </row>
        <row r="379">
          <cell r="A379" t="str">
            <v>与信限度額２</v>
          </cell>
          <cell r="B379" t="str">
            <v>YSG2</v>
          </cell>
          <cell r="C379" t="str">
            <v>9</v>
          </cell>
          <cell r="D379" t="str">
            <v>0</v>
          </cell>
          <cell r="E379" t="str">
            <v>P</v>
          </cell>
          <cell r="F379" t="str">
            <v/>
          </cell>
        </row>
        <row r="380">
          <cell r="A380" t="str">
            <v>与信限度額３</v>
          </cell>
          <cell r="B380" t="str">
            <v>YSG3</v>
          </cell>
          <cell r="C380" t="str">
            <v>9</v>
          </cell>
          <cell r="D380" t="str">
            <v>0</v>
          </cell>
          <cell r="E380" t="str">
            <v>P</v>
          </cell>
          <cell r="F380" t="str">
            <v/>
          </cell>
        </row>
        <row r="381">
          <cell r="A381" t="str">
            <v>預り先コード</v>
          </cell>
          <cell r="B381" t="str">
            <v>AZCD</v>
          </cell>
          <cell r="C381" t="str">
            <v>7</v>
          </cell>
          <cell r="D381" t="str">
            <v/>
          </cell>
          <cell r="E381" t="str">
            <v>A</v>
          </cell>
          <cell r="F381" t="str">
            <v/>
          </cell>
        </row>
        <row r="382">
          <cell r="A382" t="str">
            <v>預り先名</v>
          </cell>
          <cell r="B382" t="str">
            <v>AZNM</v>
          </cell>
          <cell r="C382">
            <v>22</v>
          </cell>
          <cell r="D382" t="str">
            <v/>
          </cell>
          <cell r="E382" t="str">
            <v>O</v>
          </cell>
          <cell r="F382" t="str">
            <v/>
          </cell>
        </row>
        <row r="383">
          <cell r="A383" t="str">
            <v>曜日</v>
          </cell>
          <cell r="B383" t="str">
            <v>YOBI</v>
          </cell>
          <cell r="C383">
            <v>1</v>
          </cell>
          <cell r="D383" t="str">
            <v/>
          </cell>
          <cell r="E383" t="str">
            <v>A</v>
          </cell>
          <cell r="F383" t="str">
            <v/>
          </cell>
        </row>
        <row r="384">
          <cell r="A384" t="str">
            <v>略名</v>
          </cell>
          <cell r="B384" t="str">
            <v>ABNM</v>
          </cell>
          <cell r="C384" t="str">
            <v>12</v>
          </cell>
          <cell r="D384" t="str">
            <v/>
          </cell>
          <cell r="E384" t="str">
            <v>O</v>
          </cell>
          <cell r="F384" t="str">
            <v/>
          </cell>
        </row>
        <row r="385">
          <cell r="A385" t="str">
            <v>連番</v>
          </cell>
          <cell r="B385" t="str">
            <v>CLRB</v>
          </cell>
          <cell r="C385">
            <v>7</v>
          </cell>
          <cell r="D385">
            <v>0</v>
          </cell>
          <cell r="E385" t="str">
            <v>P</v>
          </cell>
          <cell r="F385" t="str">
            <v/>
          </cell>
        </row>
        <row r="386">
          <cell r="A386" t="str">
            <v>連番</v>
          </cell>
          <cell r="B386" t="str">
            <v>CTRB</v>
          </cell>
          <cell r="C386">
            <v>8</v>
          </cell>
          <cell r="D386">
            <v>0</v>
          </cell>
          <cell r="E386" t="str">
            <v>A</v>
          </cell>
          <cell r="F386" t="str">
            <v/>
          </cell>
        </row>
        <row r="387">
          <cell r="A387" t="str">
            <v>売上／入金区分</v>
          </cell>
          <cell r="B387" t="str">
            <v>UNKB</v>
          </cell>
          <cell r="C387">
            <v>1</v>
          </cell>
          <cell r="D387" t="str">
            <v/>
          </cell>
          <cell r="E387" t="str">
            <v>A</v>
          </cell>
          <cell r="F387" t="str">
            <v>１：売上　２：入金</v>
          </cell>
        </row>
        <row r="388">
          <cell r="A388" t="str">
            <v>請求処理済ＭＫ</v>
          </cell>
          <cell r="B388" t="str">
            <v>BZMK</v>
          </cell>
          <cell r="C388">
            <v>1</v>
          </cell>
          <cell r="D388" t="str">
            <v/>
          </cell>
          <cell r="E388" t="str">
            <v>A</v>
          </cell>
          <cell r="F388" t="str">
            <v/>
          </cell>
        </row>
        <row r="389">
          <cell r="A389" t="str">
            <v>日次処理済ＭＫ</v>
          </cell>
          <cell r="B389" t="str">
            <v>NZMK</v>
          </cell>
          <cell r="C389">
            <v>1</v>
          </cell>
          <cell r="D389" t="str">
            <v/>
          </cell>
          <cell r="E389" t="str">
            <v>A</v>
          </cell>
          <cell r="F389" t="str">
            <v/>
          </cell>
        </row>
        <row r="390">
          <cell r="A390" t="str">
            <v>コントロールキー１</v>
          </cell>
          <cell r="B390" t="str">
            <v>CTK1</v>
          </cell>
          <cell r="C390">
            <v>8</v>
          </cell>
          <cell r="D390" t="str">
            <v/>
          </cell>
          <cell r="E390" t="str">
            <v>A</v>
          </cell>
          <cell r="F390" t="str">
            <v/>
          </cell>
        </row>
        <row r="391">
          <cell r="A391" t="str">
            <v>コントロールキー２</v>
          </cell>
          <cell r="B391" t="str">
            <v>CTK2</v>
          </cell>
          <cell r="C391">
            <v>8</v>
          </cell>
          <cell r="D391" t="str">
            <v/>
          </cell>
          <cell r="E391" t="str">
            <v>A</v>
          </cell>
          <cell r="F391" t="str">
            <v/>
          </cell>
        </row>
        <row r="392">
          <cell r="A392" t="str">
            <v>コントロールキー３</v>
          </cell>
          <cell r="B392" t="str">
            <v>CTK3</v>
          </cell>
          <cell r="C392">
            <v>3</v>
          </cell>
          <cell r="D392">
            <v>0</v>
          </cell>
          <cell r="E392" t="str">
            <v>S</v>
          </cell>
          <cell r="F392" t="str">
            <v/>
          </cell>
        </row>
        <row r="393">
          <cell r="A393" t="str">
            <v>データ部</v>
          </cell>
          <cell r="B393" t="str">
            <v>DATA</v>
          </cell>
          <cell r="C393">
            <v>20</v>
          </cell>
          <cell r="D393" t="str">
            <v/>
          </cell>
          <cell r="E393" t="str">
            <v>O</v>
          </cell>
          <cell r="F393" t="str">
            <v/>
          </cell>
        </row>
        <row r="394">
          <cell r="A394" t="str">
            <v>データの開始値</v>
          </cell>
          <cell r="B394" t="str">
            <v>DTST</v>
          </cell>
          <cell r="C394">
            <v>20</v>
          </cell>
          <cell r="D394" t="str">
            <v/>
          </cell>
          <cell r="E394" t="str">
            <v>O</v>
          </cell>
          <cell r="F394" t="str">
            <v/>
          </cell>
        </row>
        <row r="395">
          <cell r="A395" t="str">
            <v>データの終了値</v>
          </cell>
          <cell r="B395" t="str">
            <v>DTEN</v>
          </cell>
          <cell r="C395">
            <v>20</v>
          </cell>
          <cell r="D395" t="str">
            <v/>
          </cell>
          <cell r="E395" t="str">
            <v>O</v>
          </cell>
          <cell r="F395" t="str">
            <v/>
          </cell>
        </row>
        <row r="396">
          <cell r="A396" t="str">
            <v>最終使用日</v>
          </cell>
          <cell r="B396" t="str">
            <v>SSDT</v>
          </cell>
          <cell r="C396">
            <v>8</v>
          </cell>
          <cell r="D396">
            <v>0</v>
          </cell>
          <cell r="E396" t="str">
            <v>S</v>
          </cell>
          <cell r="F396" t="str">
            <v/>
          </cell>
        </row>
        <row r="397">
          <cell r="A397" t="str">
            <v>売上区分名</v>
          </cell>
          <cell r="B397" t="str">
            <v>UBNM</v>
          </cell>
          <cell r="C397">
            <v>22</v>
          </cell>
          <cell r="D397" t="str">
            <v/>
          </cell>
          <cell r="E397" t="str">
            <v>O</v>
          </cell>
          <cell r="F397" t="str">
            <v/>
          </cell>
        </row>
        <row r="398">
          <cell r="A398" t="str">
            <v>入金種別名</v>
          </cell>
          <cell r="B398" t="str">
            <v>NSNM</v>
          </cell>
          <cell r="C398">
            <v>22</v>
          </cell>
          <cell r="D398" t="str">
            <v/>
          </cell>
          <cell r="E398" t="str">
            <v>O</v>
          </cell>
          <cell r="F398" t="str">
            <v/>
          </cell>
        </row>
        <row r="399">
          <cell r="A399" t="str">
            <v>仕入／支払区分</v>
          </cell>
          <cell r="B399" t="str">
            <v>SSKB</v>
          </cell>
          <cell r="C399">
            <v>1</v>
          </cell>
          <cell r="D399" t="str">
            <v/>
          </cell>
          <cell r="E399" t="str">
            <v>A</v>
          </cell>
          <cell r="F399" t="str">
            <v>１：仕入　２：支払</v>
          </cell>
        </row>
        <row r="400">
          <cell r="A400" t="str">
            <v>仕入区分名</v>
          </cell>
          <cell r="B400" t="str">
            <v>SBNM</v>
          </cell>
          <cell r="C400">
            <v>22</v>
          </cell>
          <cell r="D400" t="str">
            <v/>
          </cell>
          <cell r="E400" t="str">
            <v>O</v>
          </cell>
          <cell r="F400" t="str">
            <v/>
          </cell>
        </row>
        <row r="401">
          <cell r="A401" t="str">
            <v>伝票区分</v>
          </cell>
          <cell r="B401" t="str">
            <v>DNKB</v>
          </cell>
          <cell r="C401">
            <v>1</v>
          </cell>
          <cell r="D401" t="str">
            <v/>
          </cell>
          <cell r="E401" t="str">
            <v>A</v>
          </cell>
          <cell r="F401" t="str">
            <v>１：差額レコード</v>
          </cell>
        </row>
        <row r="402">
          <cell r="A402" t="str">
            <v>ＰＧ－ＩＤ</v>
          </cell>
          <cell r="B402" t="str">
            <v>PGID</v>
          </cell>
          <cell r="C402">
            <v>10</v>
          </cell>
          <cell r="D402" t="str">
            <v/>
          </cell>
          <cell r="E402" t="str">
            <v>A</v>
          </cell>
          <cell r="F402" t="str">
            <v/>
          </cell>
        </row>
        <row r="403">
          <cell r="A403" t="str">
            <v>ＦＩＥＬＤ－ＩＤ</v>
          </cell>
          <cell r="B403" t="str">
            <v>FDID</v>
          </cell>
          <cell r="C403">
            <v>10</v>
          </cell>
          <cell r="D403" t="str">
            <v/>
          </cell>
          <cell r="E403" t="str">
            <v>A</v>
          </cell>
          <cell r="F403" t="str">
            <v/>
          </cell>
        </row>
        <row r="404">
          <cell r="A404" t="str">
            <v>ＳＥＱ№</v>
          </cell>
          <cell r="B404" t="str">
            <v>SQNO</v>
          </cell>
          <cell r="C404">
            <v>3</v>
          </cell>
          <cell r="D404">
            <v>0</v>
          </cell>
          <cell r="E404" t="str">
            <v>S</v>
          </cell>
          <cell r="F404" t="str">
            <v/>
          </cell>
        </row>
        <row r="405">
          <cell r="A405" t="str">
            <v>内容</v>
          </cell>
          <cell r="B405" t="str">
            <v>NIYO</v>
          </cell>
          <cell r="C405">
            <v>42</v>
          </cell>
          <cell r="D405" t="str">
            <v/>
          </cell>
          <cell r="E405" t="str">
            <v>O</v>
          </cell>
          <cell r="F405" t="str">
            <v/>
          </cell>
        </row>
        <row r="406">
          <cell r="A406" t="str">
            <v>入出庫区分</v>
          </cell>
          <cell r="B406" t="str">
            <v>IOKB</v>
          </cell>
          <cell r="C406">
            <v>1</v>
          </cell>
          <cell r="D406" t="str">
            <v/>
          </cell>
          <cell r="E406" t="str">
            <v>A</v>
          </cell>
          <cell r="F406" t="str">
            <v>１：入庫　２：出庫</v>
          </cell>
        </row>
        <row r="407">
          <cell r="A407" t="str">
            <v>短尺長</v>
          </cell>
          <cell r="B407" t="str">
            <v>TSTU</v>
          </cell>
          <cell r="C407">
            <v>9</v>
          </cell>
          <cell r="D407">
            <v>2</v>
          </cell>
          <cell r="E407" t="str">
            <v>P</v>
          </cell>
          <cell r="F407" t="str">
            <v/>
          </cell>
        </row>
        <row r="408">
          <cell r="A408" t="str">
            <v>在庫数量</v>
          </cell>
          <cell r="B408" t="str">
            <v>ZKQT</v>
          </cell>
          <cell r="C408">
            <v>9</v>
          </cell>
          <cell r="D408">
            <v>2</v>
          </cell>
          <cell r="E408" t="str">
            <v>P</v>
          </cell>
          <cell r="F408" t="str">
            <v/>
          </cell>
        </row>
        <row r="409">
          <cell r="A409" t="str">
            <v>反番管理区分</v>
          </cell>
          <cell r="B409" t="str">
            <v>TKKB</v>
          </cell>
          <cell r="C409">
            <v>1</v>
          </cell>
          <cell r="D409" t="str">
            <v/>
          </cell>
          <cell r="E409" t="str">
            <v>A</v>
          </cell>
          <cell r="F409" t="str">
            <v>" "=管理しない　"1"=管理する</v>
          </cell>
        </row>
        <row r="410">
          <cell r="A410" t="str">
            <v>ＩＰＬ時のオンライン</v>
          </cell>
          <cell r="B410" t="str">
            <v>IPL</v>
          </cell>
          <cell r="C410">
            <v>5</v>
          </cell>
          <cell r="D410" t="str">
            <v/>
          </cell>
          <cell r="E410" t="str">
            <v>A</v>
          </cell>
          <cell r="F410" t="str">
            <v/>
          </cell>
        </row>
        <row r="411">
          <cell r="A411" t="str">
            <v>交換網バックアップ活動化</v>
          </cell>
          <cell r="B411" t="str">
            <v>EBKA</v>
          </cell>
          <cell r="C411">
            <v>5</v>
          </cell>
          <cell r="D411" t="str">
            <v/>
          </cell>
          <cell r="E411" t="str">
            <v>A</v>
          </cell>
          <cell r="F411" t="str">
            <v/>
          </cell>
        </row>
        <row r="412">
          <cell r="A412" t="str">
            <v>交換回線リスト</v>
          </cell>
          <cell r="B412" t="str">
            <v>ELNL</v>
          </cell>
          <cell r="C412">
            <v>10</v>
          </cell>
          <cell r="D412" t="str">
            <v/>
          </cell>
          <cell r="E412" t="str">
            <v>A</v>
          </cell>
          <cell r="F412" t="str">
            <v/>
          </cell>
        </row>
        <row r="413">
          <cell r="A413" t="str">
            <v>初期接続</v>
          </cell>
          <cell r="B413" t="str">
            <v>IZAC</v>
          </cell>
          <cell r="C413">
            <v>5</v>
          </cell>
          <cell r="D413" t="str">
            <v/>
          </cell>
          <cell r="E413" t="str">
            <v>A</v>
          </cell>
          <cell r="F413" t="str">
            <v/>
          </cell>
        </row>
        <row r="414">
          <cell r="A414" t="str">
            <v>接続番号</v>
          </cell>
          <cell r="B414" t="str">
            <v>ACNO</v>
          </cell>
          <cell r="C414">
            <v>32</v>
          </cell>
          <cell r="D414" t="str">
            <v/>
          </cell>
          <cell r="E414" t="str">
            <v>A</v>
          </cell>
          <cell r="F414" t="str">
            <v/>
          </cell>
        </row>
        <row r="415">
          <cell r="A415" t="str">
            <v>事前ダイアル呼出し遅延</v>
          </cell>
          <cell r="B415" t="str">
            <v>BDLL</v>
          </cell>
          <cell r="C415">
            <v>6</v>
          </cell>
          <cell r="D415" t="str">
            <v/>
          </cell>
          <cell r="E415" t="str">
            <v>A</v>
          </cell>
          <cell r="F415" t="str">
            <v/>
          </cell>
        </row>
        <row r="416">
          <cell r="A416" t="str">
            <v>再ダイアル呼出し遅延</v>
          </cell>
          <cell r="B416" t="str">
            <v>RDLL</v>
          </cell>
          <cell r="C416">
            <v>6</v>
          </cell>
          <cell r="D416" t="str">
            <v/>
          </cell>
          <cell r="E416" t="str">
            <v>A</v>
          </cell>
          <cell r="F416" t="str">
            <v/>
          </cell>
        </row>
        <row r="417">
          <cell r="A417" t="str">
            <v>ダイアル呼出し再試行</v>
          </cell>
          <cell r="B417" t="str">
            <v>DLRE</v>
          </cell>
          <cell r="C417">
            <v>6</v>
          </cell>
          <cell r="D417" t="str">
            <v/>
          </cell>
          <cell r="E417" t="str">
            <v>A</v>
          </cell>
          <cell r="F417" t="str">
            <v/>
          </cell>
        </row>
        <row r="418">
          <cell r="A418" t="str">
            <v>ローカル識別コード</v>
          </cell>
          <cell r="B418" t="str">
            <v>NOID</v>
          </cell>
          <cell r="C418">
            <v>32</v>
          </cell>
          <cell r="D418" t="str">
            <v/>
          </cell>
          <cell r="E418" t="str">
            <v>A</v>
          </cell>
          <cell r="F418" t="str">
            <v/>
          </cell>
        </row>
        <row r="419">
          <cell r="A419" t="str">
            <v>遠隔識別コード</v>
          </cell>
          <cell r="B419" t="str">
            <v>ESCD</v>
          </cell>
          <cell r="C419">
            <v>32</v>
          </cell>
          <cell r="D419" t="str">
            <v/>
          </cell>
          <cell r="E419" t="str">
            <v>A</v>
          </cell>
          <cell r="F419" t="str">
            <v/>
          </cell>
        </row>
        <row r="420">
          <cell r="A420" t="str">
            <v>ＲＪＥホスト・タイプ</v>
          </cell>
          <cell r="B420" t="str">
            <v>RJET</v>
          </cell>
          <cell r="C420">
            <v>5</v>
          </cell>
          <cell r="D420" t="str">
            <v/>
          </cell>
          <cell r="E420" t="str">
            <v>A</v>
          </cell>
          <cell r="F420" t="str">
            <v/>
          </cell>
        </row>
        <row r="421">
          <cell r="A421" t="str">
            <v>ＲＪＥホスト／サインオン／ログオン</v>
          </cell>
          <cell r="B421" t="str">
            <v>RJES</v>
          </cell>
          <cell r="C421">
            <v>80</v>
          </cell>
          <cell r="D421" t="str">
            <v/>
          </cell>
          <cell r="E421" t="str">
            <v>A</v>
          </cell>
          <cell r="F421" t="str">
            <v/>
          </cell>
        </row>
        <row r="422">
          <cell r="A422" t="str">
            <v>カウント限界</v>
          </cell>
          <cell r="B422" t="str">
            <v>CTLM</v>
          </cell>
          <cell r="C422">
            <v>7</v>
          </cell>
          <cell r="D422" t="str">
            <v/>
          </cell>
          <cell r="E422" t="str">
            <v>A</v>
          </cell>
          <cell r="F422" t="str">
            <v/>
          </cell>
        </row>
        <row r="423">
          <cell r="A423" t="str">
            <v>時間間隔</v>
          </cell>
          <cell r="B423" t="str">
            <v>TMKK</v>
          </cell>
          <cell r="C423">
            <v>6</v>
          </cell>
          <cell r="D423" t="str">
            <v/>
          </cell>
          <cell r="E423" t="str">
            <v>A</v>
          </cell>
          <cell r="F423" t="str">
            <v/>
          </cell>
        </row>
        <row r="424">
          <cell r="A424" t="str">
            <v>テキスト”記述”</v>
          </cell>
          <cell r="B424" t="str">
            <v>TEXT</v>
          </cell>
          <cell r="C424">
            <v>50</v>
          </cell>
          <cell r="D424" t="str">
            <v/>
          </cell>
          <cell r="E424" t="str">
            <v>O</v>
          </cell>
          <cell r="F424" t="str">
            <v/>
          </cell>
        </row>
        <row r="425">
          <cell r="A425" t="str">
            <v>転送ＭＫ</v>
          </cell>
          <cell r="B425" t="str">
            <v>TSMK</v>
          </cell>
          <cell r="C425">
            <v>1</v>
          </cell>
          <cell r="D425" t="str">
            <v/>
          </cell>
          <cell r="E425" t="str">
            <v>A</v>
          </cell>
        </row>
        <row r="426">
          <cell r="A426" t="str">
            <v>総債務残高</v>
          </cell>
          <cell r="B426" t="str">
            <v>DBBL</v>
          </cell>
          <cell r="C426">
            <v>11</v>
          </cell>
          <cell r="D426">
            <v>0</v>
          </cell>
          <cell r="E426" t="str">
            <v>P</v>
          </cell>
        </row>
        <row r="427">
          <cell r="A427" t="str">
            <v>出荷指示書出力区分</v>
          </cell>
          <cell r="B427" t="str">
            <v>SHKB</v>
          </cell>
          <cell r="C427">
            <v>1</v>
          </cell>
          <cell r="D427" t="str">
            <v/>
          </cell>
          <cell r="E427" t="str">
            <v>A</v>
          </cell>
          <cell r="F427" t="str">
            <v>" "=明細　"1"=マトリックス</v>
          </cell>
        </row>
        <row r="428">
          <cell r="A428" t="str">
            <v>締日１</v>
          </cell>
          <cell r="B428" t="str">
            <v>SMD1</v>
          </cell>
          <cell r="C428">
            <v>2</v>
          </cell>
          <cell r="D428">
            <v>0</v>
          </cell>
          <cell r="E428" t="str">
            <v>S</v>
          </cell>
          <cell r="F428" t="str">
            <v/>
          </cell>
        </row>
        <row r="429">
          <cell r="A429" t="str">
            <v>締日２</v>
          </cell>
          <cell r="B429" t="str">
            <v>SMD2</v>
          </cell>
          <cell r="C429">
            <v>2</v>
          </cell>
          <cell r="D429">
            <v>0</v>
          </cell>
          <cell r="E429" t="str">
            <v>S</v>
          </cell>
          <cell r="F429" t="str">
            <v/>
          </cell>
        </row>
        <row r="430">
          <cell r="A430" t="str">
            <v>取引区分略名</v>
          </cell>
          <cell r="B430" t="str">
            <v>TRAB</v>
          </cell>
          <cell r="C430">
            <v>8</v>
          </cell>
          <cell r="D430" t="str">
            <v/>
          </cell>
          <cell r="E430" t="str">
            <v>O</v>
          </cell>
          <cell r="F430" t="str">
            <v/>
          </cell>
        </row>
        <row r="431">
          <cell r="A431" t="str">
            <v>納品書発行済ＭＫ</v>
          </cell>
          <cell r="B431" t="str">
            <v>NHMK</v>
          </cell>
          <cell r="C431">
            <v>1</v>
          </cell>
          <cell r="D431" t="str">
            <v/>
          </cell>
          <cell r="E431" t="str">
            <v>A</v>
          </cell>
          <cell r="F431" t="str">
            <v/>
          </cell>
        </row>
        <row r="432">
          <cell r="A432" t="str">
            <v>出荷案内書発行済ＭＫ</v>
          </cell>
          <cell r="B432" t="str">
            <v>SAMK</v>
          </cell>
          <cell r="C432">
            <v>1</v>
          </cell>
          <cell r="D432" t="str">
            <v/>
          </cell>
          <cell r="E432" t="str">
            <v>A</v>
          </cell>
          <cell r="F432" t="str">
            <v/>
          </cell>
        </row>
        <row r="433">
          <cell r="A433" t="str">
            <v>送り状発行済ＭＫ</v>
          </cell>
          <cell r="B433" t="str">
            <v>OJMK</v>
          </cell>
          <cell r="C433">
            <v>1</v>
          </cell>
          <cell r="D433" t="str">
            <v/>
          </cell>
          <cell r="E433" t="str">
            <v>A</v>
          </cell>
          <cell r="F433" t="str">
            <v/>
          </cell>
        </row>
        <row r="434">
          <cell r="A434" t="str">
            <v>受注個数</v>
          </cell>
          <cell r="B434" t="str">
            <v>JUKS</v>
          </cell>
          <cell r="C434">
            <v>11</v>
          </cell>
          <cell r="D434">
            <v>0</v>
          </cell>
          <cell r="E434" t="str">
            <v>P</v>
          </cell>
          <cell r="F434" t="str">
            <v/>
          </cell>
        </row>
        <row r="435">
          <cell r="A435" t="str">
            <v>受注数量</v>
          </cell>
          <cell r="B435" t="str">
            <v>JUQT</v>
          </cell>
          <cell r="C435">
            <v>9</v>
          </cell>
          <cell r="D435">
            <v>2</v>
          </cell>
          <cell r="E435" t="str">
            <v>P</v>
          </cell>
          <cell r="F435" t="str">
            <v/>
          </cell>
        </row>
        <row r="436">
          <cell r="A436" t="str">
            <v>出荷個数</v>
          </cell>
          <cell r="B436" t="str">
            <v>SKKS</v>
          </cell>
          <cell r="C436">
            <v>11</v>
          </cell>
          <cell r="D436">
            <v>0</v>
          </cell>
          <cell r="E436" t="str">
            <v>P</v>
          </cell>
          <cell r="F436" t="str">
            <v/>
          </cell>
        </row>
        <row r="437">
          <cell r="A437" t="str">
            <v>欠品個数</v>
          </cell>
          <cell r="B437" t="str">
            <v>KPKS</v>
          </cell>
          <cell r="C437">
            <v>11</v>
          </cell>
          <cell r="D437">
            <v>0</v>
          </cell>
          <cell r="E437" t="str">
            <v>P</v>
          </cell>
          <cell r="F437" t="str">
            <v/>
          </cell>
        </row>
        <row r="438">
          <cell r="A438" t="str">
            <v>欠品数量</v>
          </cell>
          <cell r="B438" t="str">
            <v>KPQT</v>
          </cell>
          <cell r="C438">
            <v>9</v>
          </cell>
          <cell r="D438">
            <v>2</v>
          </cell>
          <cell r="E438" t="str">
            <v>P</v>
          </cell>
          <cell r="F438" t="str">
            <v/>
          </cell>
        </row>
        <row r="439">
          <cell r="A439" t="str">
            <v>引当ｍ数</v>
          </cell>
          <cell r="B439" t="str">
            <v>HAMS</v>
          </cell>
          <cell r="C439">
            <v>7</v>
          </cell>
          <cell r="D439">
            <v>2</v>
          </cell>
          <cell r="E439" t="str">
            <v>P</v>
          </cell>
          <cell r="F439" t="str">
            <v/>
          </cell>
        </row>
        <row r="440">
          <cell r="A440" t="str">
            <v>納品書発行区分</v>
          </cell>
          <cell r="B440" t="str">
            <v>NHKB</v>
          </cell>
          <cell r="C440">
            <v>1</v>
          </cell>
          <cell r="D440" t="str">
            <v/>
          </cell>
          <cell r="E440" t="str">
            <v>A</v>
          </cell>
          <cell r="F440" t="str">
            <v>" "= 発行する　 "1"= 発行しない</v>
          </cell>
        </row>
        <row r="441">
          <cell r="A441" t="str">
            <v>送り状発行区分</v>
          </cell>
          <cell r="B441" t="str">
            <v>OHKB</v>
          </cell>
          <cell r="C441">
            <v>1</v>
          </cell>
          <cell r="D441" t="str">
            <v/>
          </cell>
          <cell r="E441" t="str">
            <v>A</v>
          </cell>
          <cell r="F441" t="str">
            <v>" "= 発行する　 "1"= 発行しない</v>
          </cell>
        </row>
        <row r="442">
          <cell r="A442" t="str">
            <v>エフ発行区分</v>
          </cell>
          <cell r="B442" t="str">
            <v>EHKB</v>
          </cell>
          <cell r="C442">
            <v>1</v>
          </cell>
          <cell r="D442" t="str">
            <v/>
          </cell>
          <cell r="E442" t="str">
            <v>A</v>
          </cell>
          <cell r="F442" t="str">
            <v>" "= 発行する　 "1"= 発行しない</v>
          </cell>
        </row>
        <row r="443">
          <cell r="A443" t="str">
            <v>カナ名</v>
          </cell>
          <cell r="B443" t="str">
            <v>KANM</v>
          </cell>
          <cell r="C443">
            <v>6</v>
          </cell>
          <cell r="D443" t="str">
            <v/>
          </cell>
          <cell r="E443" t="str">
            <v>A</v>
          </cell>
          <cell r="F443" t="str">
            <v/>
          </cell>
        </row>
        <row r="444">
          <cell r="A444" t="str">
            <v>削除ＭＫ</v>
          </cell>
          <cell r="B444" t="str">
            <v>SJMK</v>
          </cell>
          <cell r="C444">
            <v>1</v>
          </cell>
          <cell r="D444" t="str">
            <v/>
          </cell>
          <cell r="E444" t="str">
            <v>A</v>
          </cell>
          <cell r="F444" t="str">
            <v>" "= 削除しない　 "1"= 削除する</v>
          </cell>
        </row>
        <row r="445">
          <cell r="A445" t="str">
            <v>集計区分１</v>
          </cell>
          <cell r="B445" t="str">
            <v>SKK1</v>
          </cell>
          <cell r="C445">
            <v>2</v>
          </cell>
          <cell r="D445" t="str">
            <v/>
          </cell>
          <cell r="E445" t="str">
            <v>A</v>
          </cell>
          <cell r="F445" t="str">
            <v>中計</v>
          </cell>
        </row>
        <row r="446">
          <cell r="A446" t="str">
            <v>集計区分２</v>
          </cell>
          <cell r="B446" t="str">
            <v>SKK2</v>
          </cell>
          <cell r="C446">
            <v>1</v>
          </cell>
          <cell r="D446" t="str">
            <v/>
          </cell>
          <cell r="E446" t="str">
            <v>A</v>
          </cell>
          <cell r="F446" t="str">
            <v>小計</v>
          </cell>
        </row>
        <row r="447">
          <cell r="A447" t="str">
            <v>品名カナ名</v>
          </cell>
          <cell r="B447" t="str">
            <v>HMKA</v>
          </cell>
          <cell r="C447">
            <v>6</v>
          </cell>
          <cell r="D447" t="str">
            <v/>
          </cell>
          <cell r="E447" t="str">
            <v>A</v>
          </cell>
          <cell r="F447" t="str">
            <v/>
          </cell>
        </row>
        <row r="448">
          <cell r="A448" t="str">
            <v>品種カナ名</v>
          </cell>
          <cell r="B448" t="str">
            <v>HSKA</v>
          </cell>
          <cell r="C448">
            <v>6</v>
          </cell>
          <cell r="D448" t="str">
            <v/>
          </cell>
          <cell r="E448" t="str">
            <v>A</v>
          </cell>
          <cell r="F448" t="str">
            <v/>
          </cell>
        </row>
        <row r="449">
          <cell r="A449" t="str">
            <v>色カナ名</v>
          </cell>
          <cell r="B449" t="str">
            <v>IRKA</v>
          </cell>
          <cell r="C449">
            <v>6</v>
          </cell>
          <cell r="D449" t="str">
            <v/>
          </cell>
          <cell r="E449" t="str">
            <v>A</v>
          </cell>
          <cell r="F449" t="str">
            <v/>
          </cell>
        </row>
        <row r="450">
          <cell r="A450" t="str">
            <v>サイズカナ名</v>
          </cell>
          <cell r="B450" t="str">
            <v>SZKA</v>
          </cell>
          <cell r="C450">
            <v>6</v>
          </cell>
          <cell r="D450" t="str">
            <v/>
          </cell>
          <cell r="E450" t="str">
            <v>A</v>
          </cell>
          <cell r="F450" t="str">
            <v/>
          </cell>
        </row>
        <row r="451">
          <cell r="A451" t="str">
            <v>帳端区分</v>
          </cell>
          <cell r="B451" t="str">
            <v>CHKB</v>
          </cell>
          <cell r="C451">
            <v>1</v>
          </cell>
          <cell r="D451" t="str">
            <v/>
          </cell>
          <cell r="E451" t="str">
            <v>A</v>
          </cell>
          <cell r="F451" t="str">
            <v>" "= 通常　 "1"= 帳端</v>
          </cell>
        </row>
        <row r="452">
          <cell r="A452" t="str">
            <v>集計区分名</v>
          </cell>
          <cell r="B452" t="str">
            <v>SKNM</v>
          </cell>
          <cell r="C452">
            <v>16</v>
          </cell>
          <cell r="D452" t="str">
            <v/>
          </cell>
          <cell r="E452" t="str">
            <v>O</v>
          </cell>
          <cell r="F452" t="str">
            <v/>
          </cell>
        </row>
        <row r="453">
          <cell r="A453" t="str">
            <v>元伝票№</v>
          </cell>
          <cell r="B453" t="str">
            <v>MDNO</v>
          </cell>
          <cell r="C453" t="str">
            <v>8</v>
          </cell>
          <cell r="D453" t="str">
            <v>0</v>
          </cell>
          <cell r="E453" t="str">
            <v>S</v>
          </cell>
          <cell r="F453" t="str">
            <v/>
          </cell>
        </row>
        <row r="454">
          <cell r="A454" t="str">
            <v>元伝票枝番</v>
          </cell>
          <cell r="B454" t="str">
            <v>MDEB</v>
          </cell>
          <cell r="C454" t="str">
            <v>2</v>
          </cell>
          <cell r="D454" t="str">
            <v>0</v>
          </cell>
          <cell r="E454" t="str">
            <v>S</v>
          </cell>
          <cell r="F454" t="str">
            <v/>
          </cell>
        </row>
        <row r="455">
          <cell r="A455" t="str">
            <v>区分１</v>
          </cell>
          <cell r="B455" t="str">
            <v>KBN1</v>
          </cell>
          <cell r="C455">
            <v>2</v>
          </cell>
          <cell r="D455" t="str">
            <v/>
          </cell>
          <cell r="E455" t="str">
            <v>A</v>
          </cell>
          <cell r="F455" t="str">
            <v/>
          </cell>
        </row>
        <row r="456">
          <cell r="A456" t="str">
            <v>区分２</v>
          </cell>
          <cell r="B456" t="str">
            <v>KBN2</v>
          </cell>
          <cell r="C456">
            <v>1</v>
          </cell>
          <cell r="D456" t="str">
            <v/>
          </cell>
          <cell r="E456" t="str">
            <v>A</v>
          </cell>
          <cell r="F456" t="str">
            <v/>
          </cell>
        </row>
        <row r="457">
          <cell r="A457" t="str">
            <v>区分名</v>
          </cell>
          <cell r="B457" t="str">
            <v>KBNM</v>
          </cell>
          <cell r="C457">
            <v>16</v>
          </cell>
          <cell r="D457" t="str">
            <v/>
          </cell>
          <cell r="E457" t="str">
            <v>O</v>
          </cell>
          <cell r="F457" t="str">
            <v/>
          </cell>
        </row>
        <row r="458">
          <cell r="A458" t="str">
            <v>集計単位</v>
          </cell>
          <cell r="B458" t="str">
            <v>SKUN</v>
          </cell>
          <cell r="C458">
            <v>2</v>
          </cell>
          <cell r="D458" t="str">
            <v/>
          </cell>
          <cell r="E458" t="str">
            <v>A</v>
          </cell>
          <cell r="F458" t="str">
            <v/>
          </cell>
        </row>
        <row r="459">
          <cell r="A459" t="str">
            <v>制御記述装置</v>
          </cell>
          <cell r="B459" t="str">
            <v>CTLD</v>
          </cell>
          <cell r="C459">
            <v>10</v>
          </cell>
          <cell r="D459" t="str">
            <v/>
          </cell>
          <cell r="E459" t="str">
            <v>A</v>
          </cell>
          <cell r="F459" t="str">
            <v/>
          </cell>
        </row>
        <row r="460">
          <cell r="A460" t="str">
            <v>接続タイプ</v>
          </cell>
          <cell r="B460" t="str">
            <v>ACTP</v>
          </cell>
          <cell r="C460">
            <v>9</v>
          </cell>
          <cell r="D460" t="str">
            <v/>
          </cell>
          <cell r="E460" t="str">
            <v>A</v>
          </cell>
          <cell r="F460" t="str">
            <v/>
          </cell>
        </row>
        <row r="461">
          <cell r="A461" t="str">
            <v>接続される非交換回線</v>
          </cell>
          <cell r="B461" t="str">
            <v>ANEL</v>
          </cell>
          <cell r="C461">
            <v>10</v>
          </cell>
          <cell r="D461" t="str">
            <v/>
          </cell>
          <cell r="E461" t="str">
            <v>A</v>
          </cell>
          <cell r="F461" t="str">
            <v/>
          </cell>
        </row>
        <row r="462">
          <cell r="A462" t="str">
            <v>適用業務タイプ</v>
          </cell>
          <cell r="B462" t="str">
            <v>TGTP</v>
          </cell>
          <cell r="C462">
            <v>4</v>
          </cell>
          <cell r="D462" t="str">
            <v/>
          </cell>
          <cell r="E462" t="str">
            <v>A</v>
          </cell>
          <cell r="F462" t="str">
            <v/>
          </cell>
        </row>
        <row r="463">
          <cell r="A463" t="str">
            <v>接続されている装置</v>
          </cell>
          <cell r="B463" t="str">
            <v>ACDV</v>
          </cell>
          <cell r="C463">
            <v>10</v>
          </cell>
          <cell r="D463" t="str">
            <v/>
          </cell>
          <cell r="E463" t="str">
            <v>A</v>
          </cell>
          <cell r="F463" t="str">
            <v/>
          </cell>
        </row>
        <row r="464">
          <cell r="A464" t="str">
            <v>権限</v>
          </cell>
          <cell r="B464" t="str">
            <v>KNGN</v>
          </cell>
          <cell r="C464">
            <v>10</v>
          </cell>
          <cell r="D464" t="str">
            <v/>
          </cell>
          <cell r="E464" t="str">
            <v>A</v>
          </cell>
          <cell r="F464" t="str">
            <v/>
          </cell>
        </row>
        <row r="465">
          <cell r="A465" t="str">
            <v>締日</v>
          </cell>
          <cell r="B465" t="str">
            <v>SMDT</v>
          </cell>
          <cell r="C465">
            <v>2</v>
          </cell>
          <cell r="D465">
            <v>0</v>
          </cell>
          <cell r="E465" t="str">
            <v>S</v>
          </cell>
          <cell r="F465" t="str">
            <v/>
          </cell>
        </row>
        <row r="466">
          <cell r="A466" t="str">
            <v>在庫場所名</v>
          </cell>
          <cell r="B466" t="str">
            <v>ZKNM</v>
          </cell>
          <cell r="C466">
            <v>22</v>
          </cell>
          <cell r="D466" t="str">
            <v/>
          </cell>
          <cell r="E466" t="str">
            <v>O</v>
          </cell>
          <cell r="F466" t="str">
            <v/>
          </cell>
        </row>
        <row r="467">
          <cell r="A467" t="str">
            <v>納入場所名</v>
          </cell>
          <cell r="B467" t="str">
            <v>NNNM</v>
          </cell>
          <cell r="C467">
            <v>22</v>
          </cell>
          <cell r="D467" t="str">
            <v/>
          </cell>
          <cell r="E467" t="str">
            <v>O</v>
          </cell>
          <cell r="F467" t="str">
            <v/>
          </cell>
        </row>
        <row r="468">
          <cell r="A468" t="str">
            <v>請求確定済ＭＫ</v>
          </cell>
          <cell r="B468" t="str">
            <v>BKMK</v>
          </cell>
          <cell r="C468">
            <v>1</v>
          </cell>
          <cell r="D468" t="str">
            <v/>
          </cell>
          <cell r="E468" t="str">
            <v>A</v>
          </cell>
          <cell r="F468" t="str">
            <v/>
          </cell>
        </row>
        <row r="469">
          <cell r="A469" t="str">
            <v>集金日１</v>
          </cell>
          <cell r="B469" t="str">
            <v>SKD1</v>
          </cell>
          <cell r="C469">
            <v>2</v>
          </cell>
          <cell r="D469">
            <v>0</v>
          </cell>
          <cell r="E469" t="str">
            <v>S</v>
          </cell>
          <cell r="F469" t="str">
            <v/>
          </cell>
        </row>
        <row r="470">
          <cell r="A470" t="str">
            <v>集金日２</v>
          </cell>
          <cell r="B470" t="str">
            <v>SKD2</v>
          </cell>
          <cell r="C470">
            <v>2</v>
          </cell>
          <cell r="D470">
            <v>0</v>
          </cell>
          <cell r="E470" t="str">
            <v>S</v>
          </cell>
          <cell r="F470" t="str">
            <v/>
          </cell>
        </row>
        <row r="471">
          <cell r="A471" t="str">
            <v>集金条件</v>
          </cell>
          <cell r="B471" t="str">
            <v>SKJK</v>
          </cell>
          <cell r="C471">
            <v>1</v>
          </cell>
          <cell r="D471" t="str">
            <v/>
          </cell>
          <cell r="E471" t="str">
            <v>A</v>
          </cell>
          <cell r="F471" t="str">
            <v/>
          </cell>
        </row>
        <row r="472">
          <cell r="A472" t="str">
            <v>手形サイト</v>
          </cell>
          <cell r="B472" t="str">
            <v>TGST</v>
          </cell>
          <cell r="C472">
            <v>3</v>
          </cell>
          <cell r="D472">
            <v>0</v>
          </cell>
          <cell r="E472" t="str">
            <v>S</v>
          </cell>
          <cell r="F472" t="str">
            <v/>
          </cell>
        </row>
        <row r="473">
          <cell r="A473" t="str">
            <v>数量加減区分</v>
          </cell>
          <cell r="B473" t="str">
            <v>QTKB</v>
          </cell>
          <cell r="C473">
            <v>1</v>
          </cell>
          <cell r="D473" t="str">
            <v/>
          </cell>
          <cell r="E473" t="str">
            <v>A</v>
          </cell>
          <cell r="F473" t="str">
            <v/>
          </cell>
        </row>
        <row r="474">
          <cell r="A474" t="str">
            <v>訂正取引区分</v>
          </cell>
          <cell r="B474" t="str">
            <v>TSKB</v>
          </cell>
          <cell r="C474">
            <v>2</v>
          </cell>
          <cell r="D474" t="str">
            <v/>
          </cell>
          <cell r="E474" t="str">
            <v>A</v>
          </cell>
          <cell r="F474" t="str">
            <v/>
          </cell>
        </row>
        <row r="475">
          <cell r="A475" t="str">
            <v>前月残金額（仕入原価）</v>
          </cell>
          <cell r="B475" t="str">
            <v>ZZPA</v>
          </cell>
          <cell r="C475">
            <v>11</v>
          </cell>
          <cell r="D475">
            <v>0</v>
          </cell>
          <cell r="E475" t="str">
            <v>P</v>
          </cell>
          <cell r="F475" t="str">
            <v/>
          </cell>
        </row>
        <row r="476">
          <cell r="A476" t="str">
            <v>前月残金額（製造原価）</v>
          </cell>
          <cell r="B476" t="str">
            <v>ZZMA</v>
          </cell>
          <cell r="C476">
            <v>11</v>
          </cell>
          <cell r="D476">
            <v>0</v>
          </cell>
          <cell r="E476" t="str">
            <v>P</v>
          </cell>
          <cell r="F476" t="str">
            <v/>
          </cell>
        </row>
        <row r="477">
          <cell r="A477" t="str">
            <v>加工入庫数量</v>
          </cell>
          <cell r="B477" t="str">
            <v>KSIQ</v>
          </cell>
          <cell r="C477">
            <v>9</v>
          </cell>
          <cell r="D477">
            <v>2</v>
          </cell>
          <cell r="E477" t="str">
            <v>P</v>
          </cell>
          <cell r="F477" t="str">
            <v/>
          </cell>
        </row>
        <row r="478">
          <cell r="A478" t="str">
            <v>加工賃仕入金額</v>
          </cell>
          <cell r="B478" t="str">
            <v>KSIA</v>
          </cell>
          <cell r="C478">
            <v>9</v>
          </cell>
          <cell r="D478">
            <v>0</v>
          </cell>
          <cell r="E478" t="str">
            <v>P</v>
          </cell>
          <cell r="F478" t="str">
            <v/>
          </cell>
        </row>
        <row r="479">
          <cell r="A479" t="str">
            <v>原材料金額（仕入原価）</v>
          </cell>
          <cell r="B479" t="str">
            <v>GZPA</v>
          </cell>
          <cell r="C479">
            <v>9</v>
          </cell>
          <cell r="D479">
            <v>0</v>
          </cell>
          <cell r="E479" t="str">
            <v>P</v>
          </cell>
          <cell r="F479" t="str">
            <v/>
          </cell>
        </row>
        <row r="480">
          <cell r="A480" t="str">
            <v>原材料金額（製造原価）</v>
          </cell>
          <cell r="B480" t="str">
            <v>GZMA</v>
          </cell>
          <cell r="C480">
            <v>9</v>
          </cell>
          <cell r="D480">
            <v>0</v>
          </cell>
          <cell r="E480" t="str">
            <v>P</v>
          </cell>
          <cell r="F480" t="str">
            <v/>
          </cell>
        </row>
        <row r="481">
          <cell r="A481" t="str">
            <v>経理仕訳区分</v>
          </cell>
          <cell r="B481" t="str">
            <v>SWKB</v>
          </cell>
          <cell r="C481" t="str">
            <v>1</v>
          </cell>
          <cell r="D481" t="str">
            <v/>
          </cell>
          <cell r="E481" t="str">
            <v>A</v>
          </cell>
          <cell r="F481" t="str">
            <v>ブランク＝"する" １＝"しない"</v>
          </cell>
        </row>
        <row r="482">
          <cell r="A482" t="str">
            <v>反番表示桁数</v>
          </cell>
          <cell r="B482" t="str">
            <v>THKT</v>
          </cell>
          <cell r="C482">
            <v>2</v>
          </cell>
          <cell r="D482">
            <v>0</v>
          </cell>
          <cell r="E482" t="str">
            <v>S</v>
          </cell>
          <cell r="F482" t="str">
            <v/>
          </cell>
        </row>
        <row r="483">
          <cell r="A483" t="str">
            <v>販先納品書発行済ＭＫ</v>
          </cell>
          <cell r="B483" t="str">
            <v>NHM1</v>
          </cell>
          <cell r="C483">
            <v>1</v>
          </cell>
          <cell r="D483" t="str">
            <v/>
          </cell>
          <cell r="E483" t="str">
            <v>A</v>
          </cell>
          <cell r="F483" t="str">
            <v/>
          </cell>
        </row>
        <row r="484">
          <cell r="A484" t="str">
            <v>得先納品書発行済ＭＫ</v>
          </cell>
          <cell r="B484" t="str">
            <v>NHM2</v>
          </cell>
          <cell r="C484">
            <v>1</v>
          </cell>
          <cell r="D484" t="str">
            <v/>
          </cell>
          <cell r="E484" t="str">
            <v>A</v>
          </cell>
          <cell r="F484" t="str">
            <v/>
          </cell>
        </row>
        <row r="485">
          <cell r="A485" t="str">
            <v>販先出案書発行済ＭＫ</v>
          </cell>
          <cell r="B485" t="str">
            <v>SAM1</v>
          </cell>
          <cell r="C485">
            <v>1</v>
          </cell>
          <cell r="D485" t="str">
            <v/>
          </cell>
          <cell r="E485" t="str">
            <v>A</v>
          </cell>
          <cell r="F485" t="str">
            <v/>
          </cell>
        </row>
        <row r="486">
          <cell r="A486" t="str">
            <v>得先出案書発行済ＭＫ</v>
          </cell>
          <cell r="B486" t="str">
            <v>SAM2</v>
          </cell>
          <cell r="C486">
            <v>1</v>
          </cell>
          <cell r="D486" t="str">
            <v/>
          </cell>
          <cell r="E486" t="str">
            <v>A</v>
          </cell>
          <cell r="F486" t="str">
            <v/>
          </cell>
        </row>
        <row r="487">
          <cell r="A487" t="str">
            <v>引渡サブシステム</v>
          </cell>
          <cell r="B487" t="str">
            <v>HWSB</v>
          </cell>
          <cell r="C487">
            <v>2</v>
          </cell>
          <cell r="D487" t="str">
            <v/>
          </cell>
          <cell r="E487" t="str">
            <v>A</v>
          </cell>
          <cell r="F487" t="str">
            <v/>
          </cell>
        </row>
        <row r="488">
          <cell r="A488" t="str">
            <v>引渡№</v>
          </cell>
          <cell r="B488" t="str">
            <v>HWNO</v>
          </cell>
          <cell r="C488">
            <v>8</v>
          </cell>
          <cell r="D488">
            <v>0</v>
          </cell>
          <cell r="E488" t="str">
            <v>S</v>
          </cell>
          <cell r="F488" t="str">
            <v/>
          </cell>
        </row>
        <row r="489">
          <cell r="A489" t="str">
            <v>引渡部門</v>
          </cell>
          <cell r="B489" t="str">
            <v>HWBM</v>
          </cell>
          <cell r="C489">
            <v>3</v>
          </cell>
          <cell r="D489" t="str">
            <v/>
          </cell>
          <cell r="E489" t="str">
            <v>A</v>
          </cell>
          <cell r="F489" t="str">
            <v/>
          </cell>
        </row>
        <row r="490">
          <cell r="A490" t="str">
            <v>引受サブシステム</v>
          </cell>
          <cell r="B490" t="str">
            <v>HUSB</v>
          </cell>
          <cell r="C490">
            <v>2</v>
          </cell>
          <cell r="D490" t="str">
            <v/>
          </cell>
          <cell r="E490" t="str">
            <v>A</v>
          </cell>
          <cell r="F490" t="str">
            <v/>
          </cell>
        </row>
        <row r="491">
          <cell r="A491" t="str">
            <v>引受№</v>
          </cell>
          <cell r="B491" t="str">
            <v>HUNO</v>
          </cell>
          <cell r="C491">
            <v>8</v>
          </cell>
          <cell r="D491">
            <v>0</v>
          </cell>
          <cell r="E491" t="str">
            <v>S</v>
          </cell>
          <cell r="F491" t="str">
            <v/>
          </cell>
        </row>
        <row r="492">
          <cell r="A492" t="str">
            <v>引受部門</v>
          </cell>
          <cell r="B492" t="str">
            <v>HUBM</v>
          </cell>
          <cell r="C492">
            <v>3</v>
          </cell>
          <cell r="D492" t="str">
            <v/>
          </cell>
          <cell r="E492" t="str">
            <v>A</v>
          </cell>
          <cell r="F492" t="str">
            <v/>
          </cell>
        </row>
        <row r="493">
          <cell r="A493" t="str">
            <v>社内加工区分</v>
          </cell>
          <cell r="B493" t="str">
            <v>SNKB</v>
          </cell>
          <cell r="C493">
            <v>1</v>
          </cell>
          <cell r="D493" t="str">
            <v/>
          </cell>
          <cell r="E493" t="str">
            <v>A</v>
          </cell>
          <cell r="F493" t="str">
            <v/>
          </cell>
        </row>
        <row r="494">
          <cell r="A494" t="str">
            <v>元入金№</v>
          </cell>
          <cell r="B494" t="str">
            <v>MNNO</v>
          </cell>
          <cell r="C494">
            <v>8</v>
          </cell>
          <cell r="D494">
            <v>0</v>
          </cell>
          <cell r="E494" t="str">
            <v>S</v>
          </cell>
          <cell r="F494" t="str">
            <v/>
          </cell>
        </row>
        <row r="495">
          <cell r="A495" t="str">
            <v>元入金枝番</v>
          </cell>
          <cell r="B495" t="str">
            <v>MNEB</v>
          </cell>
          <cell r="C495">
            <v>2</v>
          </cell>
          <cell r="D495">
            <v>0</v>
          </cell>
          <cell r="E495" t="str">
            <v>S</v>
          </cell>
          <cell r="F495" t="str">
            <v/>
          </cell>
        </row>
        <row r="496">
          <cell r="A496" t="str">
            <v>訂正済ＭＫ</v>
          </cell>
          <cell r="B496" t="str">
            <v>NDMK</v>
          </cell>
          <cell r="C496">
            <v>1</v>
          </cell>
          <cell r="D496" t="str">
            <v/>
          </cell>
          <cell r="E496" t="str">
            <v>A</v>
          </cell>
          <cell r="F496" t="str">
            <v/>
          </cell>
        </row>
        <row r="497">
          <cell r="A497" t="str">
            <v>入金種別名称</v>
          </cell>
          <cell r="B497" t="str">
            <v>NKNM</v>
          </cell>
          <cell r="C497">
            <v>8</v>
          </cell>
          <cell r="E497" t="str">
            <v>O</v>
          </cell>
          <cell r="F497" t="str">
            <v/>
          </cell>
        </row>
        <row r="498">
          <cell r="A498" t="str">
            <v>元支払№</v>
          </cell>
          <cell r="B498" t="str">
            <v>MNNO</v>
          </cell>
          <cell r="C498">
            <v>8</v>
          </cell>
          <cell r="D498">
            <v>0</v>
          </cell>
          <cell r="E498" t="str">
            <v>S</v>
          </cell>
          <cell r="F498" t="str">
            <v/>
          </cell>
        </row>
        <row r="499">
          <cell r="A499" t="str">
            <v>元支払枝番</v>
          </cell>
          <cell r="B499" t="str">
            <v>MNEB</v>
          </cell>
          <cell r="C499">
            <v>2</v>
          </cell>
          <cell r="D499">
            <v>0</v>
          </cell>
          <cell r="E499" t="str">
            <v>S</v>
          </cell>
          <cell r="F499" t="str">
            <v/>
          </cell>
        </row>
        <row r="500">
          <cell r="A500" t="str">
            <v>指示数量</v>
          </cell>
          <cell r="B500" t="str">
            <v>SJQT</v>
          </cell>
          <cell r="C500">
            <v>9</v>
          </cell>
          <cell r="D500">
            <v>2</v>
          </cell>
          <cell r="E500" t="str">
            <v>P</v>
          </cell>
          <cell r="F500" t="str">
            <v/>
          </cell>
        </row>
        <row r="501">
          <cell r="A501" t="str">
            <v>売上処理済ＭＫ</v>
          </cell>
          <cell r="B501" t="str">
            <v>URMK</v>
          </cell>
          <cell r="C501">
            <v>1</v>
          </cell>
          <cell r="D501" t="str">
            <v/>
          </cell>
          <cell r="E501" t="str">
            <v>A</v>
          </cell>
          <cell r="F501" t="str">
            <v/>
          </cell>
        </row>
        <row r="502">
          <cell r="A502" t="str">
            <v>引渡金額</v>
          </cell>
          <cell r="B502" t="str">
            <v>HWAM</v>
          </cell>
          <cell r="C502">
            <v>9</v>
          </cell>
          <cell r="D502">
            <v>0</v>
          </cell>
          <cell r="E502" t="str">
            <v>P</v>
          </cell>
          <cell r="F502" t="str">
            <v/>
          </cell>
        </row>
        <row r="503">
          <cell r="A503" t="str">
            <v>調整</v>
          </cell>
          <cell r="B503" t="str">
            <v>CHOS</v>
          </cell>
          <cell r="C503">
            <v>11</v>
          </cell>
          <cell r="D503">
            <v>0</v>
          </cell>
          <cell r="E503" t="str">
            <v>P</v>
          </cell>
          <cell r="F503" t="str">
            <v/>
          </cell>
        </row>
        <row r="504">
          <cell r="A504" t="str">
            <v>伝票金額</v>
          </cell>
          <cell r="B504" t="str">
            <v>UDNKN</v>
          </cell>
          <cell r="C504">
            <v>9</v>
          </cell>
          <cell r="D504">
            <v>0</v>
          </cell>
          <cell r="E504" t="str">
            <v>P</v>
          </cell>
          <cell r="F504" t="str">
            <v/>
          </cell>
        </row>
        <row r="505">
          <cell r="A505" t="str">
            <v>場所名称</v>
          </cell>
          <cell r="B505" t="str">
            <v>WHNM</v>
          </cell>
          <cell r="C505">
            <v>22</v>
          </cell>
          <cell r="D505">
            <v>0</v>
          </cell>
          <cell r="E505" t="str">
            <v>O</v>
          </cell>
          <cell r="F505" t="str">
            <v/>
          </cell>
        </row>
        <row r="506">
          <cell r="A506" t="str">
            <v>サイズコード 1</v>
          </cell>
          <cell r="B506" t="str">
            <v>SZ01</v>
          </cell>
          <cell r="C506">
            <v>4</v>
          </cell>
          <cell r="D506">
            <v>0</v>
          </cell>
          <cell r="E506" t="str">
            <v>A</v>
          </cell>
          <cell r="F506" t="str">
            <v/>
          </cell>
        </row>
        <row r="507">
          <cell r="A507" t="str">
            <v>サイズコード 2</v>
          </cell>
          <cell r="B507" t="str">
            <v>SZ02</v>
          </cell>
          <cell r="C507">
            <v>4</v>
          </cell>
          <cell r="D507">
            <v>0</v>
          </cell>
          <cell r="E507" t="str">
            <v>A</v>
          </cell>
          <cell r="F507" t="str">
            <v/>
          </cell>
        </row>
        <row r="508">
          <cell r="A508" t="str">
            <v>サイズコード 3</v>
          </cell>
          <cell r="B508" t="str">
            <v>SZ03</v>
          </cell>
          <cell r="C508">
            <v>4</v>
          </cell>
          <cell r="D508">
            <v>0</v>
          </cell>
          <cell r="E508" t="str">
            <v>A</v>
          </cell>
          <cell r="F508" t="str">
            <v/>
          </cell>
        </row>
        <row r="509">
          <cell r="A509" t="str">
            <v>サイズコード 4</v>
          </cell>
          <cell r="B509" t="str">
            <v>SZ04</v>
          </cell>
          <cell r="C509">
            <v>4</v>
          </cell>
          <cell r="D509">
            <v>0</v>
          </cell>
          <cell r="E509" t="str">
            <v>A</v>
          </cell>
          <cell r="F509" t="str">
            <v/>
          </cell>
        </row>
        <row r="510">
          <cell r="A510" t="str">
            <v>サイズコード 5</v>
          </cell>
          <cell r="B510" t="str">
            <v>SZ05</v>
          </cell>
          <cell r="C510">
            <v>4</v>
          </cell>
          <cell r="D510">
            <v>0</v>
          </cell>
          <cell r="E510" t="str">
            <v>A</v>
          </cell>
          <cell r="F510" t="str">
            <v/>
          </cell>
        </row>
        <row r="511">
          <cell r="A511" t="str">
            <v>サイズコード 6</v>
          </cell>
          <cell r="B511" t="str">
            <v>SZ06</v>
          </cell>
          <cell r="C511">
            <v>4</v>
          </cell>
          <cell r="D511">
            <v>0</v>
          </cell>
          <cell r="E511" t="str">
            <v>A</v>
          </cell>
          <cell r="F511" t="str">
            <v/>
          </cell>
        </row>
        <row r="512">
          <cell r="A512" t="str">
            <v>サイズコード 7</v>
          </cell>
          <cell r="B512" t="str">
            <v>SZ07</v>
          </cell>
          <cell r="C512">
            <v>4</v>
          </cell>
          <cell r="D512">
            <v>0</v>
          </cell>
          <cell r="E512" t="str">
            <v>A</v>
          </cell>
          <cell r="F512" t="str">
            <v/>
          </cell>
        </row>
        <row r="513">
          <cell r="A513" t="str">
            <v>サイズコード 8</v>
          </cell>
          <cell r="B513" t="str">
            <v>SZ08</v>
          </cell>
          <cell r="C513">
            <v>4</v>
          </cell>
          <cell r="D513">
            <v>0</v>
          </cell>
          <cell r="E513" t="str">
            <v>A</v>
          </cell>
          <cell r="F513" t="str">
            <v/>
          </cell>
        </row>
        <row r="514">
          <cell r="A514" t="str">
            <v>サイズコード 9</v>
          </cell>
          <cell r="B514" t="str">
            <v>SZ09</v>
          </cell>
          <cell r="C514">
            <v>4</v>
          </cell>
          <cell r="D514">
            <v>0</v>
          </cell>
          <cell r="E514" t="str">
            <v>A</v>
          </cell>
          <cell r="F514" t="str">
            <v/>
          </cell>
        </row>
        <row r="515">
          <cell r="A515" t="str">
            <v>サイズコード 10</v>
          </cell>
          <cell r="B515" t="str">
            <v>SZ10</v>
          </cell>
          <cell r="C515">
            <v>4</v>
          </cell>
          <cell r="D515">
            <v>0</v>
          </cell>
          <cell r="E515" t="str">
            <v>A</v>
          </cell>
          <cell r="F515" t="str">
            <v/>
          </cell>
        </row>
        <row r="516">
          <cell r="A516" t="str">
            <v>サイズコード 11</v>
          </cell>
          <cell r="B516" t="str">
            <v>SZ11</v>
          </cell>
          <cell r="C516">
            <v>4</v>
          </cell>
          <cell r="D516">
            <v>0</v>
          </cell>
          <cell r="E516" t="str">
            <v>A</v>
          </cell>
          <cell r="F516" t="str">
            <v/>
          </cell>
        </row>
        <row r="517">
          <cell r="A517" t="str">
            <v>サイズコード 12</v>
          </cell>
          <cell r="B517" t="str">
            <v>SZ12</v>
          </cell>
          <cell r="C517">
            <v>4</v>
          </cell>
          <cell r="D517">
            <v>0</v>
          </cell>
          <cell r="E517" t="str">
            <v>A</v>
          </cell>
          <cell r="F517" t="str">
            <v/>
          </cell>
        </row>
        <row r="518">
          <cell r="A518" t="str">
            <v>サイズコード 13</v>
          </cell>
          <cell r="B518" t="str">
            <v>SZ13</v>
          </cell>
          <cell r="C518">
            <v>4</v>
          </cell>
          <cell r="D518">
            <v>0</v>
          </cell>
          <cell r="E518" t="str">
            <v>A</v>
          </cell>
          <cell r="F518" t="str">
            <v/>
          </cell>
        </row>
        <row r="519">
          <cell r="A519" t="str">
            <v>サイズコード 14</v>
          </cell>
          <cell r="B519" t="str">
            <v>SZ14</v>
          </cell>
          <cell r="C519">
            <v>4</v>
          </cell>
          <cell r="D519">
            <v>0</v>
          </cell>
          <cell r="E519" t="str">
            <v>A</v>
          </cell>
          <cell r="F519" t="str">
            <v/>
          </cell>
        </row>
        <row r="520">
          <cell r="A520" t="str">
            <v>サイズコード 15</v>
          </cell>
          <cell r="B520" t="str">
            <v>SZ15</v>
          </cell>
          <cell r="C520">
            <v>4</v>
          </cell>
          <cell r="D520">
            <v>0</v>
          </cell>
          <cell r="E520" t="str">
            <v>A</v>
          </cell>
          <cell r="F520" t="str">
            <v/>
          </cell>
        </row>
        <row r="521">
          <cell r="A521" t="str">
            <v>数量 1</v>
          </cell>
          <cell r="B521" t="str">
            <v>QT01</v>
          </cell>
          <cell r="C521">
            <v>9</v>
          </cell>
          <cell r="D521">
            <v>2</v>
          </cell>
          <cell r="E521" t="str">
            <v>P</v>
          </cell>
          <cell r="F521" t="str">
            <v/>
          </cell>
        </row>
        <row r="522">
          <cell r="A522" t="str">
            <v>数量 2</v>
          </cell>
          <cell r="B522" t="str">
            <v>QT02</v>
          </cell>
          <cell r="C522">
            <v>9</v>
          </cell>
          <cell r="D522">
            <v>2</v>
          </cell>
          <cell r="E522" t="str">
            <v>P</v>
          </cell>
          <cell r="F522" t="str">
            <v/>
          </cell>
        </row>
        <row r="523">
          <cell r="A523" t="str">
            <v>数量 3</v>
          </cell>
          <cell r="B523" t="str">
            <v>QT03</v>
          </cell>
          <cell r="C523">
            <v>9</v>
          </cell>
          <cell r="D523">
            <v>2</v>
          </cell>
          <cell r="E523" t="str">
            <v>P</v>
          </cell>
          <cell r="F523" t="str">
            <v/>
          </cell>
        </row>
        <row r="524">
          <cell r="A524" t="str">
            <v>数量 4</v>
          </cell>
          <cell r="B524" t="str">
            <v>QT04</v>
          </cell>
          <cell r="C524">
            <v>9</v>
          </cell>
          <cell r="D524">
            <v>2</v>
          </cell>
          <cell r="E524" t="str">
            <v>P</v>
          </cell>
          <cell r="F524" t="str">
            <v/>
          </cell>
        </row>
        <row r="525">
          <cell r="A525" t="str">
            <v>数量 5</v>
          </cell>
          <cell r="B525" t="str">
            <v>QT05</v>
          </cell>
          <cell r="C525">
            <v>9</v>
          </cell>
          <cell r="D525">
            <v>2</v>
          </cell>
          <cell r="E525" t="str">
            <v>P</v>
          </cell>
          <cell r="F525" t="str">
            <v/>
          </cell>
        </row>
        <row r="526">
          <cell r="A526" t="str">
            <v>数量 6</v>
          </cell>
          <cell r="B526" t="str">
            <v>QT06</v>
          </cell>
          <cell r="C526">
            <v>9</v>
          </cell>
          <cell r="D526">
            <v>2</v>
          </cell>
          <cell r="E526" t="str">
            <v>P</v>
          </cell>
          <cell r="F526" t="str">
            <v/>
          </cell>
        </row>
        <row r="527">
          <cell r="A527" t="str">
            <v>数量 7</v>
          </cell>
          <cell r="B527" t="str">
            <v>QT07</v>
          </cell>
          <cell r="C527">
            <v>9</v>
          </cell>
          <cell r="D527">
            <v>2</v>
          </cell>
          <cell r="E527" t="str">
            <v>P</v>
          </cell>
          <cell r="F527" t="str">
            <v/>
          </cell>
        </row>
        <row r="528">
          <cell r="A528" t="str">
            <v>数量 8</v>
          </cell>
          <cell r="B528" t="str">
            <v>QT08</v>
          </cell>
          <cell r="C528">
            <v>9</v>
          </cell>
          <cell r="D528">
            <v>2</v>
          </cell>
          <cell r="E528" t="str">
            <v>P</v>
          </cell>
          <cell r="F528" t="str">
            <v/>
          </cell>
        </row>
        <row r="529">
          <cell r="A529" t="str">
            <v>数量 9</v>
          </cell>
          <cell r="B529" t="str">
            <v>QT09</v>
          </cell>
          <cell r="C529">
            <v>9</v>
          </cell>
          <cell r="D529">
            <v>2</v>
          </cell>
          <cell r="E529" t="str">
            <v>P</v>
          </cell>
          <cell r="F529" t="str">
            <v/>
          </cell>
        </row>
        <row r="530">
          <cell r="A530" t="str">
            <v>数量 10</v>
          </cell>
          <cell r="B530" t="str">
            <v>QT10</v>
          </cell>
          <cell r="C530">
            <v>9</v>
          </cell>
          <cell r="D530">
            <v>2</v>
          </cell>
          <cell r="E530" t="str">
            <v>P</v>
          </cell>
          <cell r="F530" t="str">
            <v/>
          </cell>
        </row>
        <row r="531">
          <cell r="A531" t="str">
            <v>数量 11</v>
          </cell>
          <cell r="B531" t="str">
            <v>QT11</v>
          </cell>
          <cell r="C531">
            <v>9</v>
          </cell>
          <cell r="D531">
            <v>2</v>
          </cell>
          <cell r="E531" t="str">
            <v>P</v>
          </cell>
          <cell r="F531" t="str">
            <v/>
          </cell>
        </row>
        <row r="532">
          <cell r="A532" t="str">
            <v>数量 12</v>
          </cell>
          <cell r="B532" t="str">
            <v>QT12</v>
          </cell>
          <cell r="C532">
            <v>9</v>
          </cell>
          <cell r="D532">
            <v>2</v>
          </cell>
          <cell r="E532" t="str">
            <v>P</v>
          </cell>
          <cell r="F532" t="str">
            <v/>
          </cell>
        </row>
        <row r="533">
          <cell r="A533" t="str">
            <v>数量 13</v>
          </cell>
          <cell r="B533" t="str">
            <v>QT13</v>
          </cell>
          <cell r="C533">
            <v>9</v>
          </cell>
          <cell r="D533">
            <v>2</v>
          </cell>
          <cell r="E533" t="str">
            <v>P</v>
          </cell>
          <cell r="F533" t="str">
            <v/>
          </cell>
        </row>
        <row r="534">
          <cell r="A534" t="str">
            <v>数量 14</v>
          </cell>
          <cell r="B534" t="str">
            <v>QT14</v>
          </cell>
          <cell r="C534">
            <v>9</v>
          </cell>
          <cell r="D534">
            <v>2</v>
          </cell>
          <cell r="E534" t="str">
            <v>P</v>
          </cell>
          <cell r="F534" t="str">
            <v/>
          </cell>
        </row>
        <row r="535">
          <cell r="A535" t="str">
            <v>数量 15</v>
          </cell>
          <cell r="B535" t="str">
            <v>QT15</v>
          </cell>
          <cell r="C535">
            <v>9</v>
          </cell>
          <cell r="D535">
            <v>2</v>
          </cell>
          <cell r="E535" t="str">
            <v>P</v>
          </cell>
          <cell r="F535" t="str">
            <v/>
          </cell>
        </row>
        <row r="536">
          <cell r="A536" t="str">
            <v>部門</v>
          </cell>
          <cell r="B536" t="str">
            <v>BMN</v>
          </cell>
          <cell r="C536">
            <v>3</v>
          </cell>
          <cell r="D536">
            <v>0</v>
          </cell>
          <cell r="E536" t="str">
            <v>A</v>
          </cell>
          <cell r="F536" t="str">
            <v/>
          </cell>
        </row>
        <row r="537">
          <cell r="A537" t="str">
            <v>部門 1</v>
          </cell>
          <cell r="B537" t="str">
            <v>BMN1</v>
          </cell>
          <cell r="C537">
            <v>3</v>
          </cell>
          <cell r="D537">
            <v>0</v>
          </cell>
          <cell r="E537" t="str">
            <v>A</v>
          </cell>
          <cell r="F537" t="str">
            <v/>
          </cell>
        </row>
        <row r="538">
          <cell r="A538" t="str">
            <v>部門 2</v>
          </cell>
          <cell r="B538" t="str">
            <v>BMN2</v>
          </cell>
          <cell r="C538">
            <v>3</v>
          </cell>
          <cell r="D538">
            <v>0</v>
          </cell>
          <cell r="E538" t="str">
            <v>A</v>
          </cell>
          <cell r="F538" t="str">
            <v/>
          </cell>
        </row>
        <row r="539">
          <cell r="A539" t="str">
            <v>科目コード 1</v>
          </cell>
          <cell r="B539" t="str">
            <v>KCD1</v>
          </cell>
          <cell r="C539">
            <v>7</v>
          </cell>
          <cell r="D539">
            <v>0</v>
          </cell>
          <cell r="E539" t="str">
            <v>A</v>
          </cell>
          <cell r="F539" t="str">
            <v/>
          </cell>
        </row>
        <row r="540">
          <cell r="A540" t="str">
            <v>科目コード 2</v>
          </cell>
          <cell r="B540" t="str">
            <v>KCD2</v>
          </cell>
          <cell r="C540">
            <v>7</v>
          </cell>
          <cell r="D540">
            <v>0</v>
          </cell>
          <cell r="E540" t="str">
            <v>A</v>
          </cell>
          <cell r="F540" t="str">
            <v/>
          </cell>
        </row>
        <row r="541">
          <cell r="A541" t="str">
            <v>内訳 1</v>
          </cell>
          <cell r="B541" t="str">
            <v>UCD1</v>
          </cell>
          <cell r="C541">
            <v>7</v>
          </cell>
          <cell r="D541">
            <v>0</v>
          </cell>
          <cell r="E541" t="str">
            <v>A</v>
          </cell>
          <cell r="F541" t="str">
            <v/>
          </cell>
        </row>
        <row r="542">
          <cell r="A542" t="str">
            <v>内訳 2</v>
          </cell>
          <cell r="B542" t="str">
            <v>UCD2</v>
          </cell>
          <cell r="C542">
            <v>7</v>
          </cell>
          <cell r="D542">
            <v>0</v>
          </cell>
          <cell r="E542" t="str">
            <v>A</v>
          </cell>
          <cell r="F542" t="str">
            <v/>
          </cell>
        </row>
        <row r="543">
          <cell r="A543" t="str">
            <v>内訳</v>
          </cell>
          <cell r="B543" t="str">
            <v>HAN</v>
          </cell>
          <cell r="C543">
            <v>7</v>
          </cell>
          <cell r="D543">
            <v>0</v>
          </cell>
          <cell r="E543" t="str">
            <v>A</v>
          </cell>
          <cell r="F543" t="str">
            <v>内訳1　0無</v>
          </cell>
        </row>
        <row r="544">
          <cell r="A544" t="str">
            <v>製品　仕入</v>
          </cell>
          <cell r="B544" t="str">
            <v>URS</v>
          </cell>
          <cell r="C544">
            <v>11</v>
          </cell>
          <cell r="D544">
            <v>0</v>
          </cell>
          <cell r="E544" t="str">
            <v>P</v>
          </cell>
          <cell r="F544" t="str">
            <v/>
          </cell>
        </row>
        <row r="545">
          <cell r="A545" t="str">
            <v>半製品仕入</v>
          </cell>
          <cell r="B545" t="str">
            <v>URH</v>
          </cell>
          <cell r="C545">
            <v>11</v>
          </cell>
          <cell r="D545">
            <v>0</v>
          </cell>
          <cell r="E545" t="str">
            <v>P</v>
          </cell>
          <cell r="F545" t="str">
            <v/>
          </cell>
        </row>
        <row r="546">
          <cell r="A546" t="str">
            <v>原材料仕入</v>
          </cell>
          <cell r="B546" t="str">
            <v>URG</v>
          </cell>
          <cell r="C546">
            <v>11</v>
          </cell>
          <cell r="D546">
            <v>0</v>
          </cell>
          <cell r="E546" t="str">
            <v>P</v>
          </cell>
          <cell r="F546" t="str">
            <v/>
          </cell>
        </row>
        <row r="547">
          <cell r="A547" t="str">
            <v>消費税合計</v>
          </cell>
          <cell r="B547" t="str">
            <v>TAX</v>
          </cell>
          <cell r="C547">
            <v>11</v>
          </cell>
          <cell r="D547">
            <v>0</v>
          </cell>
          <cell r="E547" t="str">
            <v>P</v>
          </cell>
          <cell r="F547" t="str">
            <v/>
          </cell>
        </row>
        <row r="548">
          <cell r="A548" t="str">
            <v>製品消費税</v>
          </cell>
          <cell r="B548" t="str">
            <v>TAS</v>
          </cell>
          <cell r="C548">
            <v>11</v>
          </cell>
          <cell r="D548">
            <v>0</v>
          </cell>
          <cell r="E548" t="str">
            <v>P</v>
          </cell>
          <cell r="F548" t="str">
            <v/>
          </cell>
        </row>
        <row r="549">
          <cell r="A549" t="str">
            <v>半製品消費税</v>
          </cell>
          <cell r="B549" t="str">
            <v>TAH</v>
          </cell>
          <cell r="C549">
            <v>11</v>
          </cell>
          <cell r="D549">
            <v>0</v>
          </cell>
          <cell r="E549" t="str">
            <v>P</v>
          </cell>
          <cell r="F549" t="str">
            <v/>
          </cell>
        </row>
        <row r="550">
          <cell r="A550" t="str">
            <v>原材料消費税</v>
          </cell>
          <cell r="B550" t="str">
            <v>TAG</v>
          </cell>
          <cell r="C550">
            <v>11</v>
          </cell>
          <cell r="D550">
            <v>0</v>
          </cell>
          <cell r="E550" t="str">
            <v>P</v>
          </cell>
          <cell r="F550" t="str">
            <v/>
          </cell>
        </row>
        <row r="551">
          <cell r="A551" t="str">
            <v>取引先</v>
          </cell>
          <cell r="B551" t="str">
            <v>TCD</v>
          </cell>
          <cell r="C551">
            <v>7</v>
          </cell>
          <cell r="D551">
            <v>0</v>
          </cell>
          <cell r="E551" t="str">
            <v>A</v>
          </cell>
          <cell r="F551" t="str">
            <v>取引先　0有</v>
          </cell>
        </row>
        <row r="552">
          <cell r="A552" t="str">
            <v>サイズ名 1</v>
          </cell>
          <cell r="B552" t="str">
            <v>SN01</v>
          </cell>
          <cell r="C552">
            <v>10</v>
          </cell>
          <cell r="D552">
            <v>0</v>
          </cell>
          <cell r="E552" t="str">
            <v>O</v>
          </cell>
          <cell r="F552" t="str">
            <v/>
          </cell>
        </row>
        <row r="553">
          <cell r="A553" t="str">
            <v>サイズ名 2</v>
          </cell>
          <cell r="B553" t="str">
            <v>SN02</v>
          </cell>
          <cell r="C553">
            <v>10</v>
          </cell>
          <cell r="D553">
            <v>0</v>
          </cell>
          <cell r="E553" t="str">
            <v>O</v>
          </cell>
          <cell r="F553" t="str">
            <v/>
          </cell>
        </row>
        <row r="554">
          <cell r="A554" t="str">
            <v>サイズ名 3</v>
          </cell>
          <cell r="B554" t="str">
            <v>SN03</v>
          </cell>
          <cell r="C554">
            <v>10</v>
          </cell>
          <cell r="D554">
            <v>0</v>
          </cell>
          <cell r="E554" t="str">
            <v>O</v>
          </cell>
          <cell r="F554" t="str">
            <v/>
          </cell>
        </row>
        <row r="555">
          <cell r="A555" t="str">
            <v>サイズ名 4</v>
          </cell>
          <cell r="B555" t="str">
            <v>SN04</v>
          </cell>
          <cell r="C555">
            <v>10</v>
          </cell>
          <cell r="D555">
            <v>0</v>
          </cell>
          <cell r="E555" t="str">
            <v>O</v>
          </cell>
          <cell r="F555" t="str">
            <v/>
          </cell>
        </row>
        <row r="556">
          <cell r="A556" t="str">
            <v>サイズ名 5</v>
          </cell>
          <cell r="B556" t="str">
            <v>SN05</v>
          </cell>
          <cell r="C556">
            <v>10</v>
          </cell>
          <cell r="D556">
            <v>0</v>
          </cell>
          <cell r="E556" t="str">
            <v>O</v>
          </cell>
          <cell r="F556" t="str">
            <v/>
          </cell>
        </row>
        <row r="557">
          <cell r="A557" t="str">
            <v>サイズ名 6</v>
          </cell>
          <cell r="B557" t="str">
            <v>SN06</v>
          </cell>
          <cell r="C557">
            <v>10</v>
          </cell>
          <cell r="D557">
            <v>0</v>
          </cell>
          <cell r="E557" t="str">
            <v>O</v>
          </cell>
          <cell r="F557" t="str">
            <v/>
          </cell>
        </row>
        <row r="558">
          <cell r="A558" t="str">
            <v>サイズ名 7</v>
          </cell>
          <cell r="B558" t="str">
            <v>SN07</v>
          </cell>
          <cell r="C558">
            <v>10</v>
          </cell>
          <cell r="D558">
            <v>0</v>
          </cell>
          <cell r="E558" t="str">
            <v>O</v>
          </cell>
          <cell r="F558" t="str">
            <v/>
          </cell>
        </row>
        <row r="559">
          <cell r="A559" t="str">
            <v>サイズ名 8</v>
          </cell>
          <cell r="B559" t="str">
            <v>SN08</v>
          </cell>
          <cell r="C559">
            <v>10</v>
          </cell>
          <cell r="D559">
            <v>0</v>
          </cell>
          <cell r="E559" t="str">
            <v>O</v>
          </cell>
          <cell r="F559" t="str">
            <v/>
          </cell>
        </row>
        <row r="560">
          <cell r="A560" t="str">
            <v>サイズ名 9</v>
          </cell>
          <cell r="B560" t="str">
            <v>SN09</v>
          </cell>
          <cell r="C560">
            <v>10</v>
          </cell>
          <cell r="D560">
            <v>0</v>
          </cell>
          <cell r="E560" t="str">
            <v>O</v>
          </cell>
          <cell r="F560" t="str">
            <v/>
          </cell>
        </row>
        <row r="561">
          <cell r="A561" t="str">
            <v>サイズ名 10</v>
          </cell>
          <cell r="B561" t="str">
            <v>SN10</v>
          </cell>
          <cell r="C561">
            <v>10</v>
          </cell>
          <cell r="D561">
            <v>0</v>
          </cell>
          <cell r="E561" t="str">
            <v>O</v>
          </cell>
          <cell r="F561" t="str">
            <v/>
          </cell>
        </row>
        <row r="562">
          <cell r="A562" t="str">
            <v>サイズ名 11</v>
          </cell>
          <cell r="B562" t="str">
            <v>SN11</v>
          </cell>
          <cell r="C562">
            <v>10</v>
          </cell>
          <cell r="D562">
            <v>0</v>
          </cell>
          <cell r="E562" t="str">
            <v>O</v>
          </cell>
          <cell r="F562" t="str">
            <v/>
          </cell>
        </row>
        <row r="563">
          <cell r="A563" t="str">
            <v>サイズ名 12</v>
          </cell>
          <cell r="B563" t="str">
            <v>SN12</v>
          </cell>
          <cell r="C563">
            <v>10</v>
          </cell>
          <cell r="D563">
            <v>0</v>
          </cell>
          <cell r="E563" t="str">
            <v>O</v>
          </cell>
          <cell r="F563" t="str">
            <v/>
          </cell>
        </row>
        <row r="564">
          <cell r="A564" t="str">
            <v>サイズ名 13</v>
          </cell>
          <cell r="B564" t="str">
            <v>SN13</v>
          </cell>
          <cell r="C564">
            <v>10</v>
          </cell>
          <cell r="D564">
            <v>0</v>
          </cell>
          <cell r="E564" t="str">
            <v>O</v>
          </cell>
          <cell r="F564" t="str">
            <v/>
          </cell>
        </row>
        <row r="565">
          <cell r="A565" t="str">
            <v>サイズ名 14</v>
          </cell>
          <cell r="B565" t="str">
            <v>SN14</v>
          </cell>
          <cell r="C565">
            <v>10</v>
          </cell>
          <cell r="D565">
            <v>0</v>
          </cell>
          <cell r="E565" t="str">
            <v>O</v>
          </cell>
          <cell r="F565" t="str">
            <v/>
          </cell>
        </row>
        <row r="566">
          <cell r="A566" t="str">
            <v>サイズ名 15</v>
          </cell>
          <cell r="B566" t="str">
            <v>SN15</v>
          </cell>
          <cell r="C566">
            <v>10</v>
          </cell>
          <cell r="D566">
            <v>0</v>
          </cell>
          <cell r="E566" t="str">
            <v>O</v>
          </cell>
          <cell r="F566" t="str">
            <v/>
          </cell>
        </row>
        <row r="567">
          <cell r="A567" t="str">
            <v>帳簿在庫数 1</v>
          </cell>
          <cell r="B567" t="str">
            <v>SU01</v>
          </cell>
          <cell r="C567">
            <v>7</v>
          </cell>
          <cell r="D567">
            <v>0</v>
          </cell>
          <cell r="E567" t="str">
            <v>P</v>
          </cell>
          <cell r="F567" t="str">
            <v/>
          </cell>
        </row>
        <row r="568">
          <cell r="A568" t="str">
            <v>帳簿在庫数 2</v>
          </cell>
          <cell r="B568" t="str">
            <v>SU02</v>
          </cell>
          <cell r="C568">
            <v>7</v>
          </cell>
          <cell r="D568">
            <v>0</v>
          </cell>
          <cell r="E568" t="str">
            <v>P</v>
          </cell>
          <cell r="F568" t="str">
            <v/>
          </cell>
        </row>
        <row r="569">
          <cell r="A569" t="str">
            <v>帳簿在庫数 3</v>
          </cell>
          <cell r="B569" t="str">
            <v>SU03</v>
          </cell>
          <cell r="C569">
            <v>7</v>
          </cell>
          <cell r="D569">
            <v>0</v>
          </cell>
          <cell r="E569" t="str">
            <v>P</v>
          </cell>
          <cell r="F569" t="str">
            <v/>
          </cell>
        </row>
        <row r="570">
          <cell r="A570" t="str">
            <v>帳簿在庫数 4</v>
          </cell>
          <cell r="B570" t="str">
            <v>SU04</v>
          </cell>
          <cell r="C570">
            <v>7</v>
          </cell>
          <cell r="D570">
            <v>0</v>
          </cell>
          <cell r="E570" t="str">
            <v>P</v>
          </cell>
          <cell r="F570" t="str">
            <v/>
          </cell>
        </row>
        <row r="571">
          <cell r="A571" t="str">
            <v>帳簿在庫数 5</v>
          </cell>
          <cell r="B571" t="str">
            <v>SU05</v>
          </cell>
          <cell r="C571">
            <v>7</v>
          </cell>
          <cell r="D571">
            <v>0</v>
          </cell>
          <cell r="E571" t="str">
            <v>P</v>
          </cell>
          <cell r="F571" t="str">
            <v/>
          </cell>
        </row>
        <row r="572">
          <cell r="A572" t="str">
            <v>帳簿在庫数 6</v>
          </cell>
          <cell r="B572" t="str">
            <v>SU06</v>
          </cell>
          <cell r="C572">
            <v>7</v>
          </cell>
          <cell r="D572">
            <v>0</v>
          </cell>
          <cell r="E572" t="str">
            <v>P</v>
          </cell>
          <cell r="F572" t="str">
            <v/>
          </cell>
        </row>
        <row r="573">
          <cell r="A573" t="str">
            <v>帳簿在庫数 7</v>
          </cell>
          <cell r="B573" t="str">
            <v>SU07</v>
          </cell>
          <cell r="C573">
            <v>7</v>
          </cell>
          <cell r="D573">
            <v>0</v>
          </cell>
          <cell r="E573" t="str">
            <v>P</v>
          </cell>
          <cell r="F573" t="str">
            <v/>
          </cell>
        </row>
        <row r="574">
          <cell r="A574" t="str">
            <v>帳簿在庫数 8</v>
          </cell>
          <cell r="B574" t="str">
            <v>SU08</v>
          </cell>
          <cell r="C574">
            <v>7</v>
          </cell>
          <cell r="D574">
            <v>0</v>
          </cell>
          <cell r="E574" t="str">
            <v>P</v>
          </cell>
          <cell r="F574" t="str">
            <v/>
          </cell>
        </row>
        <row r="575">
          <cell r="A575" t="str">
            <v>帳簿在庫数 9</v>
          </cell>
          <cell r="B575" t="str">
            <v>SU09</v>
          </cell>
          <cell r="C575">
            <v>7</v>
          </cell>
          <cell r="D575">
            <v>0</v>
          </cell>
          <cell r="E575" t="str">
            <v>P</v>
          </cell>
          <cell r="F575" t="str">
            <v/>
          </cell>
        </row>
        <row r="576">
          <cell r="A576" t="str">
            <v>帳簿在庫数 10</v>
          </cell>
          <cell r="B576" t="str">
            <v>SU10</v>
          </cell>
          <cell r="C576">
            <v>7</v>
          </cell>
          <cell r="D576">
            <v>0</v>
          </cell>
          <cell r="E576" t="str">
            <v>P</v>
          </cell>
          <cell r="F576" t="str">
            <v/>
          </cell>
        </row>
        <row r="577">
          <cell r="A577" t="str">
            <v>帳簿在庫数 11</v>
          </cell>
          <cell r="B577" t="str">
            <v>SU11</v>
          </cell>
          <cell r="C577">
            <v>7</v>
          </cell>
          <cell r="D577">
            <v>0</v>
          </cell>
          <cell r="E577" t="str">
            <v>P</v>
          </cell>
          <cell r="F577" t="str">
            <v/>
          </cell>
        </row>
        <row r="578">
          <cell r="A578" t="str">
            <v>帳簿在庫数 12</v>
          </cell>
          <cell r="B578" t="str">
            <v>SU12</v>
          </cell>
          <cell r="C578">
            <v>7</v>
          </cell>
          <cell r="D578">
            <v>0</v>
          </cell>
          <cell r="E578" t="str">
            <v>P</v>
          </cell>
          <cell r="F578" t="str">
            <v/>
          </cell>
        </row>
        <row r="579">
          <cell r="A579" t="str">
            <v>帳簿在庫数 13</v>
          </cell>
          <cell r="B579" t="str">
            <v>SU13</v>
          </cell>
          <cell r="C579">
            <v>7</v>
          </cell>
          <cell r="D579">
            <v>0</v>
          </cell>
          <cell r="E579" t="str">
            <v>P</v>
          </cell>
          <cell r="F579" t="str">
            <v/>
          </cell>
        </row>
        <row r="580">
          <cell r="A580" t="str">
            <v>帳簿在庫数 14</v>
          </cell>
          <cell r="B580" t="str">
            <v>SU14</v>
          </cell>
          <cell r="C580">
            <v>7</v>
          </cell>
          <cell r="D580">
            <v>0</v>
          </cell>
          <cell r="E580" t="str">
            <v>P</v>
          </cell>
          <cell r="F580" t="str">
            <v/>
          </cell>
        </row>
        <row r="581">
          <cell r="A581" t="str">
            <v>帳簿在庫数 15</v>
          </cell>
          <cell r="B581" t="str">
            <v>SU15</v>
          </cell>
          <cell r="C581">
            <v>7</v>
          </cell>
          <cell r="D581">
            <v>0</v>
          </cell>
          <cell r="E581" t="str">
            <v>P</v>
          </cell>
          <cell r="F581" t="str">
            <v/>
          </cell>
        </row>
        <row r="582">
          <cell r="A582" t="str">
            <v>前月算数量　平米</v>
          </cell>
          <cell r="B582" t="str">
            <v>ZZHT</v>
          </cell>
          <cell r="C582">
            <v>9</v>
          </cell>
          <cell r="D582">
            <v>2</v>
          </cell>
          <cell r="E582" t="str">
            <v>P</v>
          </cell>
          <cell r="F582" t="str">
            <v/>
          </cell>
        </row>
        <row r="583">
          <cell r="A583" t="str">
            <v>入庫数量　仕入平米</v>
          </cell>
          <cell r="B583" t="str">
            <v>NKHS</v>
          </cell>
          <cell r="C583">
            <v>9</v>
          </cell>
          <cell r="D583">
            <v>2</v>
          </cell>
          <cell r="E583" t="str">
            <v>P</v>
          </cell>
          <cell r="F583" t="str">
            <v/>
          </cell>
        </row>
        <row r="584">
          <cell r="A584" t="str">
            <v>入庫数量　引渡平米</v>
          </cell>
          <cell r="B584" t="str">
            <v>NKHH</v>
          </cell>
          <cell r="C584">
            <v>9</v>
          </cell>
          <cell r="D584">
            <v>2</v>
          </cell>
          <cell r="E584" t="str">
            <v>P</v>
          </cell>
          <cell r="F584" t="str">
            <v/>
          </cell>
        </row>
        <row r="585">
          <cell r="A585" t="str">
            <v>入庫数量　振替平米</v>
          </cell>
          <cell r="B585" t="str">
            <v>NKHF</v>
          </cell>
          <cell r="C585">
            <v>9</v>
          </cell>
          <cell r="D585">
            <v>2</v>
          </cell>
          <cell r="E585" t="str">
            <v>P</v>
          </cell>
          <cell r="F585" t="str">
            <v/>
          </cell>
        </row>
        <row r="586">
          <cell r="A586" t="str">
            <v>入庫数量　加工平米</v>
          </cell>
          <cell r="B586" t="str">
            <v>NKHK</v>
          </cell>
          <cell r="C586">
            <v>9</v>
          </cell>
          <cell r="D586">
            <v>2</v>
          </cell>
          <cell r="E586" t="str">
            <v>P</v>
          </cell>
          <cell r="F586" t="str">
            <v/>
          </cell>
        </row>
        <row r="587">
          <cell r="A587" t="str">
            <v>出庫数量　売上平米</v>
          </cell>
          <cell r="B587" t="str">
            <v>SKHU</v>
          </cell>
          <cell r="C587">
            <v>9</v>
          </cell>
          <cell r="D587">
            <v>2</v>
          </cell>
          <cell r="E587" t="str">
            <v>P</v>
          </cell>
          <cell r="F587" t="str">
            <v/>
          </cell>
        </row>
        <row r="588">
          <cell r="A588" t="str">
            <v>出庫数量　引渡平米</v>
          </cell>
          <cell r="B588" t="str">
            <v>SKHH</v>
          </cell>
          <cell r="C588">
            <v>9</v>
          </cell>
          <cell r="D588">
            <v>2</v>
          </cell>
          <cell r="E588" t="str">
            <v>P</v>
          </cell>
          <cell r="F588" t="str">
            <v/>
          </cell>
        </row>
        <row r="589">
          <cell r="A589" t="str">
            <v>出庫数量　振替平米</v>
          </cell>
          <cell r="B589" t="str">
            <v>SKHF</v>
          </cell>
          <cell r="C589">
            <v>9</v>
          </cell>
          <cell r="D589">
            <v>2</v>
          </cell>
          <cell r="E589" t="str">
            <v>P</v>
          </cell>
          <cell r="F589" t="str">
            <v/>
          </cell>
        </row>
        <row r="590">
          <cell r="A590" t="str">
            <v>出庫数量　加工平米</v>
          </cell>
          <cell r="B590" t="str">
            <v>SKHK</v>
          </cell>
          <cell r="C590">
            <v>9</v>
          </cell>
          <cell r="D590">
            <v>2</v>
          </cell>
          <cell r="E590" t="str">
            <v>P</v>
          </cell>
          <cell r="F590" t="str">
            <v/>
          </cell>
        </row>
        <row r="591">
          <cell r="A591" t="str">
            <v>出庫数量　ロス平米</v>
          </cell>
          <cell r="B591" t="str">
            <v>SKHL</v>
          </cell>
          <cell r="C591">
            <v>9</v>
          </cell>
          <cell r="D591">
            <v>2</v>
          </cell>
          <cell r="E591" t="str">
            <v>P</v>
          </cell>
          <cell r="F591" t="str">
            <v/>
          </cell>
        </row>
        <row r="592">
          <cell r="A592" t="str">
            <v>当月算数量　加工平米</v>
          </cell>
          <cell r="B592" t="str">
            <v>SKHL</v>
          </cell>
          <cell r="C592">
            <v>9</v>
          </cell>
          <cell r="D592">
            <v>2</v>
          </cell>
          <cell r="E592" t="str">
            <v>P</v>
          </cell>
          <cell r="F592" t="str">
            <v/>
          </cell>
        </row>
        <row r="593">
          <cell r="A593" t="str">
            <v>相手先部門</v>
          </cell>
          <cell r="B593" t="str">
            <v>ATBM</v>
          </cell>
          <cell r="C593">
            <v>3</v>
          </cell>
          <cell r="D593">
            <v>0</v>
          </cell>
          <cell r="E593" t="str">
            <v>A</v>
          </cell>
          <cell r="F593" t="str">
            <v/>
          </cell>
        </row>
        <row r="594">
          <cell r="A594" t="str">
            <v>処理済MK</v>
          </cell>
          <cell r="B594" t="str">
            <v>GNMK</v>
          </cell>
          <cell r="C594">
            <v>1</v>
          </cell>
          <cell r="D594">
            <v>0</v>
          </cell>
          <cell r="E594" t="str">
            <v>A</v>
          </cell>
          <cell r="F594" t="str">
            <v/>
          </cell>
        </row>
        <row r="595">
          <cell r="A595" t="str">
            <v>会社コード</v>
          </cell>
          <cell r="B595" t="str">
            <v>ICD</v>
          </cell>
          <cell r="C595">
            <v>1</v>
          </cell>
          <cell r="D595">
            <v>0</v>
          </cell>
          <cell r="E595" t="str">
            <v>A</v>
          </cell>
          <cell r="F595" t="str">
            <v/>
          </cell>
        </row>
        <row r="596">
          <cell r="A596" t="str">
            <v>会社名</v>
          </cell>
          <cell r="B596" t="str">
            <v>INM</v>
          </cell>
          <cell r="C596">
            <v>42</v>
          </cell>
          <cell r="D596">
            <v>0</v>
          </cell>
          <cell r="E596" t="str">
            <v>O</v>
          </cell>
          <cell r="F596" t="str">
            <v/>
          </cell>
        </row>
        <row r="597">
          <cell r="A597" t="str">
            <v>ライブラリー名</v>
          </cell>
          <cell r="B597" t="str">
            <v>LBNM</v>
          </cell>
          <cell r="C597">
            <v>10</v>
          </cell>
          <cell r="D597">
            <v>0</v>
          </cell>
          <cell r="E597" t="str">
            <v>A</v>
          </cell>
          <cell r="F597" t="str">
            <v/>
          </cell>
        </row>
        <row r="598">
          <cell r="A598" t="str">
            <v>初期メニューID</v>
          </cell>
          <cell r="B598" t="str">
            <v>MENU</v>
          </cell>
          <cell r="C598">
            <v>7</v>
          </cell>
          <cell r="D598">
            <v>0</v>
          </cell>
          <cell r="E598" t="str">
            <v>A</v>
          </cell>
          <cell r="F598" t="str">
            <v/>
          </cell>
        </row>
        <row r="599">
          <cell r="A599" t="str">
            <v>オーノ識別区分</v>
          </cell>
          <cell r="B599" t="str">
            <v>OHNO</v>
          </cell>
          <cell r="C599">
            <v>1</v>
          </cell>
          <cell r="D599">
            <v>0</v>
          </cell>
          <cell r="E599" t="str">
            <v>A</v>
          </cell>
          <cell r="F599" t="str">
            <v/>
          </cell>
        </row>
        <row r="600">
          <cell r="A600" t="str">
            <v>引受引渡区分</v>
          </cell>
          <cell r="B600" t="str">
            <v>HHKB</v>
          </cell>
          <cell r="C600">
            <v>1</v>
          </cell>
          <cell r="D600">
            <v>0</v>
          </cell>
          <cell r="E600" t="str">
            <v>A</v>
          </cell>
          <cell r="F600" t="str">
            <v>1：引受　2：引渡</v>
          </cell>
        </row>
        <row r="601">
          <cell r="A601" t="str">
            <v>変更前部門コード</v>
          </cell>
          <cell r="B601" t="str">
            <v>BMCD</v>
          </cell>
          <cell r="C601">
            <v>3</v>
          </cell>
          <cell r="D601">
            <v>0</v>
          </cell>
          <cell r="E601" t="str">
            <v>A</v>
          </cell>
          <cell r="F601" t="str">
            <v/>
          </cell>
        </row>
        <row r="602">
          <cell r="A602" t="str">
            <v>変更後部門コード</v>
          </cell>
          <cell r="B602" t="str">
            <v>UWCD</v>
          </cell>
          <cell r="C602">
            <v>5</v>
          </cell>
          <cell r="D602">
            <v>0</v>
          </cell>
          <cell r="E602" t="str">
            <v>A</v>
          </cell>
          <cell r="F602" t="str">
            <v/>
          </cell>
        </row>
        <row r="603">
          <cell r="A603" t="str">
            <v>エフ発行限度数量</v>
          </cell>
          <cell r="B603" t="str">
            <v>EHGS</v>
          </cell>
          <cell r="C603">
            <v>3</v>
          </cell>
          <cell r="D603">
            <v>0</v>
          </cell>
          <cell r="E603" t="str">
            <v>P</v>
          </cell>
          <cell r="F603" t="str">
            <v/>
          </cell>
        </row>
        <row r="604">
          <cell r="A604" t="str">
            <v>自社数量</v>
          </cell>
          <cell r="B604" t="str">
            <v>JSQT</v>
          </cell>
          <cell r="C604">
            <v>9</v>
          </cell>
          <cell r="D604">
            <v>2</v>
          </cell>
          <cell r="E604" t="str">
            <v>P</v>
          </cell>
        </row>
        <row r="605">
          <cell r="A605" t="str">
            <v>新・有効在庫数量</v>
          </cell>
          <cell r="B605" t="str">
            <v>NEWY</v>
          </cell>
          <cell r="C605">
            <v>9</v>
          </cell>
          <cell r="D605">
            <v>2</v>
          </cell>
          <cell r="E605" t="str">
            <v>P</v>
          </cell>
        </row>
        <row r="606">
          <cell r="A606" t="str">
            <v>帖物表示区分</v>
          </cell>
          <cell r="B606" t="str">
            <v>JOKB</v>
          </cell>
          <cell r="C606">
            <v>1</v>
          </cell>
          <cell r="D606" t="str">
            <v xml:space="preserve"> </v>
          </cell>
          <cell r="E606" t="str">
            <v>A</v>
          </cell>
          <cell r="F606" t="str">
            <v>" "=未使用　"1"=本数表示する</v>
          </cell>
        </row>
        <row r="607">
          <cell r="A607" t="str">
            <v>構成マスタ使用状況</v>
          </cell>
          <cell r="B607" t="str">
            <v>NONM</v>
          </cell>
          <cell r="C607">
            <v>1</v>
          </cell>
          <cell r="D607" t="str">
            <v xml:space="preserve"> </v>
          </cell>
          <cell r="E607" t="str">
            <v>A</v>
          </cell>
          <cell r="F607" t="str">
            <v>" "=使用　"1"=未使用</v>
          </cell>
        </row>
        <row r="608">
          <cell r="A608" t="str">
            <v>表示会社名</v>
          </cell>
          <cell r="B608" t="str">
            <v>HYNM</v>
          </cell>
          <cell r="C608">
            <v>26</v>
          </cell>
          <cell r="D608" t="str">
            <v xml:space="preserve"> </v>
          </cell>
          <cell r="E608" t="str">
            <v>O</v>
          </cell>
          <cell r="F608" t="str">
            <v>　</v>
          </cell>
        </row>
        <row r="609">
          <cell r="A609" t="str">
            <v>表示住所１</v>
          </cell>
          <cell r="B609" t="str">
            <v>HYJ1</v>
          </cell>
          <cell r="C609">
            <v>32</v>
          </cell>
          <cell r="D609" t="str">
            <v xml:space="preserve"> </v>
          </cell>
          <cell r="E609" t="str">
            <v>O</v>
          </cell>
          <cell r="F609" t="str">
            <v>　</v>
          </cell>
        </row>
        <row r="610">
          <cell r="A610" t="str">
            <v>表示住所２</v>
          </cell>
          <cell r="B610" t="str">
            <v>HYJ2</v>
          </cell>
          <cell r="C610">
            <v>32</v>
          </cell>
          <cell r="D610" t="str">
            <v xml:space="preserve"> </v>
          </cell>
          <cell r="E610" t="str">
            <v>O</v>
          </cell>
          <cell r="F610" t="str">
            <v>　</v>
          </cell>
        </row>
        <row r="611">
          <cell r="A611" t="str">
            <v>買掛日次処理済ＭＫ</v>
          </cell>
          <cell r="B611" t="str">
            <v>KNMK</v>
          </cell>
          <cell r="C611">
            <v>1</v>
          </cell>
          <cell r="D611" t="str">
            <v xml:space="preserve"> </v>
          </cell>
          <cell r="E611" t="str">
            <v>A</v>
          </cell>
          <cell r="F611" t="str">
            <v>　</v>
          </cell>
        </row>
        <row r="612">
          <cell r="A612" t="str">
            <v>売掛日次処理済ＭＫ</v>
          </cell>
          <cell r="B612" t="str">
            <v>UNMK</v>
          </cell>
          <cell r="C612">
            <v>1</v>
          </cell>
          <cell r="D612" t="str">
            <v xml:space="preserve"> </v>
          </cell>
          <cell r="E612" t="str">
            <v>A</v>
          </cell>
          <cell r="F612" t="str">
            <v>　</v>
          </cell>
        </row>
        <row r="613">
          <cell r="A613" t="str">
            <v>品目日次処理済ＭＫ</v>
          </cell>
          <cell r="B613" t="str">
            <v>HNMK</v>
          </cell>
          <cell r="C613">
            <v>1</v>
          </cell>
          <cell r="D613" t="str">
            <v xml:space="preserve"> </v>
          </cell>
          <cell r="E613" t="str">
            <v>A</v>
          </cell>
          <cell r="F613" t="str">
            <v>　</v>
          </cell>
        </row>
        <row r="614">
          <cell r="A614" t="str">
            <v>売上品名部門コード</v>
          </cell>
          <cell r="B614" t="str">
            <v>URHB</v>
          </cell>
          <cell r="C614">
            <v>1</v>
          </cell>
          <cell r="D614" t="str">
            <v xml:space="preserve"> </v>
          </cell>
          <cell r="E614" t="str">
            <v>A</v>
          </cell>
          <cell r="F614" t="str">
            <v>　</v>
          </cell>
        </row>
        <row r="615">
          <cell r="A615" t="str">
            <v>売上品名コード</v>
          </cell>
          <cell r="B615" t="str">
            <v>URHM</v>
          </cell>
          <cell r="C615">
            <v>4</v>
          </cell>
          <cell r="D615" t="str">
            <v xml:space="preserve"> </v>
          </cell>
          <cell r="E615" t="str">
            <v>A</v>
          </cell>
          <cell r="F615" t="str">
            <v>　</v>
          </cell>
        </row>
        <row r="616">
          <cell r="A616" t="str">
            <v>売上品種コード</v>
          </cell>
          <cell r="B616" t="str">
            <v>URHS</v>
          </cell>
          <cell r="C616">
            <v>2</v>
          </cell>
          <cell r="D616" t="str">
            <v xml:space="preserve"> </v>
          </cell>
          <cell r="E616" t="str">
            <v>A</v>
          </cell>
          <cell r="F616" t="str">
            <v>　</v>
          </cell>
        </row>
        <row r="617">
          <cell r="A617" t="str">
            <v>売上色コード</v>
          </cell>
          <cell r="B617" t="str">
            <v>URCL</v>
          </cell>
          <cell r="C617">
            <v>3</v>
          </cell>
          <cell r="D617" t="str">
            <v xml:space="preserve"> </v>
          </cell>
          <cell r="E617" t="str">
            <v>A</v>
          </cell>
          <cell r="F617" t="str">
            <v>　</v>
          </cell>
        </row>
        <row r="618">
          <cell r="A618" t="str">
            <v>売上サイズコード</v>
          </cell>
          <cell r="B618" t="str">
            <v>URSZ</v>
          </cell>
          <cell r="C618">
            <v>4</v>
          </cell>
          <cell r="D618" t="str">
            <v xml:space="preserve"> </v>
          </cell>
          <cell r="E618" t="str">
            <v>A</v>
          </cell>
          <cell r="F618" t="str">
            <v>　</v>
          </cell>
        </row>
        <row r="619">
          <cell r="A619" t="str">
            <v>仕入品名部門コード</v>
          </cell>
          <cell r="B619" t="str">
            <v>PRHB</v>
          </cell>
          <cell r="C619">
            <v>1</v>
          </cell>
          <cell r="D619" t="str">
            <v xml:space="preserve"> </v>
          </cell>
          <cell r="E619" t="str">
            <v>A</v>
          </cell>
          <cell r="F619" t="str">
            <v>　</v>
          </cell>
        </row>
        <row r="620">
          <cell r="A620" t="str">
            <v>仕入品名コード</v>
          </cell>
          <cell r="B620" t="str">
            <v>PRHM</v>
          </cell>
          <cell r="C620">
            <v>4</v>
          </cell>
          <cell r="D620" t="str">
            <v xml:space="preserve"> </v>
          </cell>
          <cell r="E620" t="str">
            <v>A</v>
          </cell>
          <cell r="F620" t="str">
            <v>　</v>
          </cell>
        </row>
        <row r="621">
          <cell r="A621" t="str">
            <v>仕入品種コード</v>
          </cell>
          <cell r="B621" t="str">
            <v>PRHS</v>
          </cell>
          <cell r="C621">
            <v>2</v>
          </cell>
          <cell r="D621" t="str">
            <v xml:space="preserve"> </v>
          </cell>
          <cell r="E621" t="str">
            <v>A</v>
          </cell>
        </row>
        <row r="622">
          <cell r="A622" t="str">
            <v>仕入色コード</v>
          </cell>
          <cell r="B622" t="str">
            <v>PRCL</v>
          </cell>
          <cell r="C622">
            <v>3</v>
          </cell>
          <cell r="D622" t="str">
            <v xml:space="preserve"> </v>
          </cell>
          <cell r="E622" t="str">
            <v>A</v>
          </cell>
        </row>
        <row r="623">
          <cell r="A623" t="str">
            <v>仕入サイズコード</v>
          </cell>
          <cell r="B623" t="str">
            <v>PRSZ</v>
          </cell>
          <cell r="C623">
            <v>4</v>
          </cell>
          <cell r="D623" t="str">
            <v xml:space="preserve"> </v>
          </cell>
          <cell r="E623" t="str">
            <v>A</v>
          </cell>
        </row>
        <row r="624">
          <cell r="A624" t="str">
            <v>変換用品名部門コード</v>
          </cell>
          <cell r="B624" t="str">
            <v>CHHB</v>
          </cell>
          <cell r="C624">
            <v>30</v>
          </cell>
          <cell r="D624" t="str">
            <v xml:space="preserve"> </v>
          </cell>
          <cell r="E624" t="str">
            <v>A</v>
          </cell>
        </row>
        <row r="625">
          <cell r="A625" t="str">
            <v>ＣＳＶファイル名</v>
          </cell>
          <cell r="B625" t="str">
            <v>CSVF</v>
          </cell>
          <cell r="C625">
            <v>12</v>
          </cell>
          <cell r="D625" t="str">
            <v xml:space="preserve"> </v>
          </cell>
          <cell r="E625" t="str">
            <v>A</v>
          </cell>
          <cell r="F625" t="str">
            <v>PCA会計連携用ファイル名</v>
          </cell>
        </row>
        <row r="626">
          <cell r="A626" t="str">
            <v>売掛金科目 CD</v>
          </cell>
          <cell r="B626" t="str">
            <v>KM01</v>
          </cell>
          <cell r="C626">
            <v>4</v>
          </cell>
          <cell r="D626" t="str">
            <v xml:space="preserve"> </v>
          </cell>
          <cell r="E626" t="str">
            <v>A</v>
          </cell>
          <cell r="F626" t="str">
            <v xml:space="preserve"> </v>
          </cell>
        </row>
        <row r="627">
          <cell r="A627" t="str">
            <v>売掛金税区分</v>
          </cell>
          <cell r="B627" t="str">
            <v>ZK01</v>
          </cell>
          <cell r="C627">
            <v>2</v>
          </cell>
          <cell r="D627" t="str">
            <v xml:space="preserve"> </v>
          </cell>
          <cell r="E627" t="str">
            <v>A</v>
          </cell>
          <cell r="F627" t="str">
            <v xml:space="preserve"> </v>
          </cell>
        </row>
        <row r="628">
          <cell r="A628" t="str">
            <v>仮払消費税科目 CD</v>
          </cell>
          <cell r="B628" t="str">
            <v>KM02</v>
          </cell>
          <cell r="C628">
            <v>4</v>
          </cell>
          <cell r="D628" t="str">
            <v xml:space="preserve"> </v>
          </cell>
          <cell r="E628" t="str">
            <v>A</v>
          </cell>
          <cell r="F628" t="str">
            <v xml:space="preserve"> </v>
          </cell>
        </row>
        <row r="629">
          <cell r="A629" t="str">
            <v>仮払消費税区分</v>
          </cell>
          <cell r="B629" t="str">
            <v>ZK02</v>
          </cell>
          <cell r="C629">
            <v>2</v>
          </cell>
          <cell r="D629" t="str">
            <v xml:space="preserve"> </v>
          </cell>
          <cell r="E629" t="str">
            <v>A</v>
          </cell>
          <cell r="F629" t="str">
            <v xml:space="preserve"> </v>
          </cell>
        </row>
        <row r="630">
          <cell r="A630" t="str">
            <v>買掛金科目 CD</v>
          </cell>
          <cell r="B630" t="str">
            <v>KM03</v>
          </cell>
          <cell r="C630">
            <v>4</v>
          </cell>
          <cell r="D630" t="str">
            <v xml:space="preserve"> </v>
          </cell>
          <cell r="E630" t="str">
            <v>A</v>
          </cell>
          <cell r="F630" t="str">
            <v xml:space="preserve"> </v>
          </cell>
        </row>
        <row r="631">
          <cell r="A631" t="str">
            <v>買掛金税区分</v>
          </cell>
          <cell r="B631" t="str">
            <v>ZK03</v>
          </cell>
          <cell r="C631">
            <v>2</v>
          </cell>
          <cell r="D631" t="str">
            <v xml:space="preserve"> </v>
          </cell>
          <cell r="E631" t="str">
            <v>A</v>
          </cell>
          <cell r="F631" t="str">
            <v xml:space="preserve"> </v>
          </cell>
        </row>
        <row r="632">
          <cell r="A632" t="str">
            <v>借受消費税科目 CD</v>
          </cell>
          <cell r="B632" t="str">
            <v>KM04</v>
          </cell>
          <cell r="C632">
            <v>4</v>
          </cell>
          <cell r="D632" t="str">
            <v xml:space="preserve"> </v>
          </cell>
          <cell r="E632" t="str">
            <v>A</v>
          </cell>
          <cell r="F632" t="str">
            <v xml:space="preserve"> </v>
          </cell>
        </row>
        <row r="633">
          <cell r="A633" t="str">
            <v>借受消費税税区分</v>
          </cell>
          <cell r="B633" t="str">
            <v>ZK04</v>
          </cell>
          <cell r="C633">
            <v>2</v>
          </cell>
          <cell r="D633" t="str">
            <v xml:space="preserve"> </v>
          </cell>
          <cell r="E633" t="str">
            <v>A</v>
          </cell>
          <cell r="F633" t="str">
            <v xml:space="preserve"> </v>
          </cell>
        </row>
        <row r="634">
          <cell r="A634" t="str">
            <v>製品売上科目 CD</v>
          </cell>
          <cell r="B634" t="str">
            <v>KM05</v>
          </cell>
          <cell r="C634">
            <v>4</v>
          </cell>
          <cell r="D634" t="str">
            <v xml:space="preserve"> </v>
          </cell>
          <cell r="E634" t="str">
            <v>A</v>
          </cell>
          <cell r="F634" t="str">
            <v xml:space="preserve"> </v>
          </cell>
        </row>
        <row r="635">
          <cell r="A635" t="str">
            <v>製品売上税区分</v>
          </cell>
          <cell r="B635" t="str">
            <v>ZK05</v>
          </cell>
          <cell r="C635">
            <v>2</v>
          </cell>
          <cell r="D635" t="str">
            <v xml:space="preserve"> </v>
          </cell>
          <cell r="E635" t="str">
            <v>A</v>
          </cell>
          <cell r="F635" t="str">
            <v xml:space="preserve"> </v>
          </cell>
        </row>
        <row r="636">
          <cell r="A636" t="str">
            <v>原材料売上科目 CD</v>
          </cell>
          <cell r="B636" t="str">
            <v>KM06</v>
          </cell>
          <cell r="C636">
            <v>4</v>
          </cell>
          <cell r="D636" t="str">
            <v xml:space="preserve"> </v>
          </cell>
          <cell r="E636" t="str">
            <v>A</v>
          </cell>
          <cell r="F636" t="str">
            <v xml:space="preserve"> </v>
          </cell>
        </row>
        <row r="637">
          <cell r="A637" t="str">
            <v>原材料売上税区分</v>
          </cell>
          <cell r="B637" t="str">
            <v>ZK06</v>
          </cell>
          <cell r="C637">
            <v>2</v>
          </cell>
          <cell r="D637" t="str">
            <v xml:space="preserve"> </v>
          </cell>
          <cell r="E637" t="str">
            <v>A</v>
          </cell>
          <cell r="F637" t="str">
            <v xml:space="preserve"> </v>
          </cell>
        </row>
        <row r="638">
          <cell r="A638" t="str">
            <v>輸出製品売上科目 CD</v>
          </cell>
          <cell r="B638" t="str">
            <v>KM07</v>
          </cell>
          <cell r="C638">
            <v>4</v>
          </cell>
          <cell r="D638" t="str">
            <v xml:space="preserve"> </v>
          </cell>
          <cell r="E638" t="str">
            <v>A</v>
          </cell>
          <cell r="F638" t="str">
            <v xml:space="preserve"> </v>
          </cell>
        </row>
        <row r="639">
          <cell r="A639" t="str">
            <v>輸出製品売上税区分</v>
          </cell>
          <cell r="B639" t="str">
            <v>ZK07</v>
          </cell>
          <cell r="C639">
            <v>2</v>
          </cell>
          <cell r="D639" t="str">
            <v xml:space="preserve"> </v>
          </cell>
          <cell r="E639" t="str">
            <v>A</v>
          </cell>
          <cell r="F639" t="str">
            <v xml:space="preserve"> </v>
          </cell>
        </row>
        <row r="640">
          <cell r="A640" t="str">
            <v>輸出原料売上科目 CD</v>
          </cell>
          <cell r="B640" t="str">
            <v>KM08</v>
          </cell>
          <cell r="C640">
            <v>4</v>
          </cell>
          <cell r="D640" t="str">
            <v xml:space="preserve"> </v>
          </cell>
          <cell r="E640" t="str">
            <v>A</v>
          </cell>
          <cell r="F640" t="str">
            <v xml:space="preserve"> </v>
          </cell>
        </row>
        <row r="641">
          <cell r="A641" t="str">
            <v>輸出原料売上税区分</v>
          </cell>
          <cell r="B641" t="str">
            <v>ZK08</v>
          </cell>
          <cell r="C641">
            <v>2</v>
          </cell>
          <cell r="D641" t="str">
            <v xml:space="preserve"> </v>
          </cell>
          <cell r="E641" t="str">
            <v>A</v>
          </cell>
          <cell r="F641" t="str">
            <v xml:space="preserve"> </v>
          </cell>
        </row>
        <row r="642">
          <cell r="A642" t="str">
            <v>製品仕入科目 CD</v>
          </cell>
          <cell r="B642" t="str">
            <v>KM09</v>
          </cell>
          <cell r="C642">
            <v>4</v>
          </cell>
          <cell r="D642" t="str">
            <v xml:space="preserve"> </v>
          </cell>
          <cell r="E642" t="str">
            <v>A</v>
          </cell>
          <cell r="F642" t="str">
            <v xml:space="preserve"> </v>
          </cell>
        </row>
        <row r="643">
          <cell r="A643" t="str">
            <v>製品仕入税区分</v>
          </cell>
          <cell r="B643" t="str">
            <v>ZK09</v>
          </cell>
          <cell r="C643">
            <v>2</v>
          </cell>
          <cell r="D643" t="str">
            <v xml:space="preserve"> </v>
          </cell>
          <cell r="E643" t="str">
            <v>A</v>
          </cell>
          <cell r="F643" t="str">
            <v xml:space="preserve"> </v>
          </cell>
        </row>
        <row r="644">
          <cell r="A644" t="str">
            <v>原材料仕入科目 CD</v>
          </cell>
          <cell r="B644" t="str">
            <v>KM10</v>
          </cell>
          <cell r="C644">
            <v>4</v>
          </cell>
          <cell r="D644" t="str">
            <v xml:space="preserve"> </v>
          </cell>
          <cell r="E644" t="str">
            <v>A</v>
          </cell>
          <cell r="F644" t="str">
            <v xml:space="preserve"> </v>
          </cell>
        </row>
        <row r="645">
          <cell r="A645" t="str">
            <v>原材料仕入税区分</v>
          </cell>
          <cell r="B645" t="str">
            <v>ZK10</v>
          </cell>
          <cell r="C645">
            <v>2</v>
          </cell>
          <cell r="D645" t="str">
            <v xml:space="preserve"> </v>
          </cell>
          <cell r="E645" t="str">
            <v>A</v>
          </cell>
          <cell r="F645" t="str">
            <v xml:space="preserve"> </v>
          </cell>
        </row>
        <row r="646">
          <cell r="A646" t="str">
            <v>輸入製品仕入科目 CD</v>
          </cell>
          <cell r="B646" t="str">
            <v>KM11</v>
          </cell>
          <cell r="C646">
            <v>4</v>
          </cell>
          <cell r="D646" t="str">
            <v xml:space="preserve"> </v>
          </cell>
          <cell r="E646" t="str">
            <v>A</v>
          </cell>
          <cell r="F646" t="str">
            <v xml:space="preserve"> </v>
          </cell>
        </row>
        <row r="647">
          <cell r="A647" t="str">
            <v>輸入製品仕入税区分</v>
          </cell>
          <cell r="B647" t="str">
            <v>ZK11</v>
          </cell>
          <cell r="C647">
            <v>2</v>
          </cell>
          <cell r="D647" t="str">
            <v xml:space="preserve"> </v>
          </cell>
          <cell r="E647" t="str">
            <v>A</v>
          </cell>
          <cell r="F647" t="str">
            <v xml:space="preserve"> </v>
          </cell>
        </row>
        <row r="648">
          <cell r="A648" t="str">
            <v>輸入原料仕入科目 CD</v>
          </cell>
          <cell r="B648" t="str">
            <v>KM12</v>
          </cell>
          <cell r="C648">
            <v>4</v>
          </cell>
          <cell r="D648" t="str">
            <v xml:space="preserve"> </v>
          </cell>
          <cell r="E648" t="str">
            <v>A</v>
          </cell>
          <cell r="F648" t="str">
            <v xml:space="preserve"> </v>
          </cell>
        </row>
        <row r="649">
          <cell r="A649" t="str">
            <v>輸入原料仕入税区分</v>
          </cell>
          <cell r="B649" t="str">
            <v>ZK12</v>
          </cell>
          <cell r="C649">
            <v>2</v>
          </cell>
          <cell r="D649" t="str">
            <v xml:space="preserve"> </v>
          </cell>
          <cell r="E649" t="str">
            <v>A</v>
          </cell>
          <cell r="F649" t="str">
            <v xml:space="preserve"> </v>
          </cell>
        </row>
        <row r="650">
          <cell r="A650" t="str">
            <v>引受高科目 CD</v>
          </cell>
          <cell r="B650" t="str">
            <v>KM13</v>
          </cell>
          <cell r="C650">
            <v>4</v>
          </cell>
          <cell r="D650" t="str">
            <v xml:space="preserve"> </v>
          </cell>
          <cell r="E650" t="str">
            <v>A</v>
          </cell>
          <cell r="F650" t="str">
            <v xml:space="preserve"> </v>
          </cell>
        </row>
        <row r="651">
          <cell r="A651" t="str">
            <v>引受高税区分</v>
          </cell>
          <cell r="B651" t="str">
            <v>ZK13</v>
          </cell>
          <cell r="C651">
            <v>2</v>
          </cell>
          <cell r="D651" t="str">
            <v xml:space="preserve"> </v>
          </cell>
          <cell r="E651" t="str">
            <v>A</v>
          </cell>
          <cell r="F651" t="str">
            <v xml:space="preserve"> </v>
          </cell>
        </row>
        <row r="652">
          <cell r="A652" t="str">
            <v>引渡高科目 CD</v>
          </cell>
          <cell r="B652" t="str">
            <v>KM14</v>
          </cell>
          <cell r="C652">
            <v>4</v>
          </cell>
          <cell r="D652" t="str">
            <v xml:space="preserve"> </v>
          </cell>
          <cell r="E652" t="str">
            <v>A</v>
          </cell>
          <cell r="F652" t="str">
            <v xml:space="preserve"> </v>
          </cell>
        </row>
        <row r="653">
          <cell r="A653" t="str">
            <v>引渡高税区分</v>
          </cell>
          <cell r="B653" t="str">
            <v>ZK14</v>
          </cell>
          <cell r="C653">
            <v>2</v>
          </cell>
          <cell r="D653" t="str">
            <v xml:space="preserve"> </v>
          </cell>
          <cell r="E653" t="str">
            <v>A</v>
          </cell>
          <cell r="F653" t="str">
            <v xml:space="preserve"> </v>
          </cell>
        </row>
        <row r="654">
          <cell r="A654" t="str">
            <v>半製品売上科目 CD</v>
          </cell>
          <cell r="B654" t="str">
            <v>KM15</v>
          </cell>
          <cell r="C654">
            <v>4</v>
          </cell>
          <cell r="D654" t="str">
            <v xml:space="preserve"> </v>
          </cell>
          <cell r="E654" t="str">
            <v>A</v>
          </cell>
          <cell r="F654" t="str">
            <v xml:space="preserve"> </v>
          </cell>
        </row>
        <row r="655">
          <cell r="A655" t="str">
            <v>半製品売上税区分</v>
          </cell>
          <cell r="B655" t="str">
            <v>ZK15</v>
          </cell>
          <cell r="C655">
            <v>2</v>
          </cell>
          <cell r="D655" t="str">
            <v xml:space="preserve"> </v>
          </cell>
          <cell r="E655" t="str">
            <v>A</v>
          </cell>
          <cell r="F655" t="str">
            <v xml:space="preserve"> </v>
          </cell>
        </row>
        <row r="656">
          <cell r="A656" t="str">
            <v>輸出半製品売科目 CD</v>
          </cell>
          <cell r="B656" t="str">
            <v>KM16</v>
          </cell>
          <cell r="C656">
            <v>4</v>
          </cell>
          <cell r="D656" t="str">
            <v xml:space="preserve"> </v>
          </cell>
          <cell r="E656" t="str">
            <v>A</v>
          </cell>
          <cell r="F656" t="str">
            <v xml:space="preserve"> </v>
          </cell>
        </row>
        <row r="657">
          <cell r="A657" t="str">
            <v>輸出半製品売税区分</v>
          </cell>
          <cell r="B657" t="str">
            <v>ZK16</v>
          </cell>
          <cell r="C657">
            <v>2</v>
          </cell>
          <cell r="D657" t="str">
            <v xml:space="preserve"> </v>
          </cell>
          <cell r="E657" t="str">
            <v>A</v>
          </cell>
          <cell r="F657" t="str">
            <v xml:space="preserve"> </v>
          </cell>
        </row>
        <row r="658">
          <cell r="A658" t="str">
            <v>半製品仕入科目 CD</v>
          </cell>
          <cell r="B658" t="str">
            <v>KM17</v>
          </cell>
          <cell r="C658">
            <v>4</v>
          </cell>
          <cell r="D658" t="str">
            <v xml:space="preserve"> </v>
          </cell>
          <cell r="E658" t="str">
            <v>A</v>
          </cell>
          <cell r="F658" t="str">
            <v xml:space="preserve"> </v>
          </cell>
        </row>
        <row r="659">
          <cell r="A659" t="str">
            <v>半製品仕入税区分</v>
          </cell>
          <cell r="B659" t="str">
            <v>ZK17</v>
          </cell>
          <cell r="C659">
            <v>2</v>
          </cell>
          <cell r="D659" t="str">
            <v xml:space="preserve"> </v>
          </cell>
          <cell r="E659" t="str">
            <v>A</v>
          </cell>
          <cell r="F659" t="str">
            <v xml:space="preserve"> </v>
          </cell>
        </row>
        <row r="660">
          <cell r="A660" t="str">
            <v>輸入半製品仕科目 CD</v>
          </cell>
          <cell r="B660" t="str">
            <v>KM18</v>
          </cell>
          <cell r="C660">
            <v>4</v>
          </cell>
          <cell r="D660" t="str">
            <v xml:space="preserve"> </v>
          </cell>
          <cell r="E660" t="str">
            <v>A</v>
          </cell>
          <cell r="F660" t="str">
            <v xml:space="preserve"> </v>
          </cell>
        </row>
        <row r="661">
          <cell r="A661" t="str">
            <v>輸入半製品仕税区分</v>
          </cell>
          <cell r="B661" t="str">
            <v>ZK18</v>
          </cell>
          <cell r="C661">
            <v>2</v>
          </cell>
          <cell r="D661" t="str">
            <v xml:space="preserve"> </v>
          </cell>
          <cell r="E661" t="str">
            <v>A</v>
          </cell>
          <cell r="F661" t="str">
            <v xml:space="preserve"> </v>
          </cell>
        </row>
        <row r="662">
          <cell r="A662" t="str">
            <v>原材料棚卸高科目CD</v>
          </cell>
          <cell r="B662" t="str">
            <v>KM19</v>
          </cell>
          <cell r="C662">
            <v>4</v>
          </cell>
          <cell r="D662" t="str">
            <v xml:space="preserve"> </v>
          </cell>
          <cell r="E662" t="str">
            <v>A</v>
          </cell>
          <cell r="F662" t="str">
            <v xml:space="preserve"> </v>
          </cell>
        </row>
        <row r="663">
          <cell r="A663" t="str">
            <v>原材料棚卸高税区分</v>
          </cell>
          <cell r="B663" t="str">
            <v>ZK19</v>
          </cell>
          <cell r="C663">
            <v>2</v>
          </cell>
          <cell r="D663" t="str">
            <v xml:space="preserve"> </v>
          </cell>
          <cell r="E663" t="str">
            <v>A</v>
          </cell>
          <cell r="F663" t="str">
            <v xml:space="preserve"> </v>
          </cell>
        </row>
        <row r="664">
          <cell r="A664" t="str">
            <v>原材料科目CD</v>
          </cell>
          <cell r="B664" t="str">
            <v>KM20</v>
          </cell>
          <cell r="C664">
            <v>4</v>
          </cell>
          <cell r="D664" t="str">
            <v xml:space="preserve"> </v>
          </cell>
          <cell r="E664" t="str">
            <v>A</v>
          </cell>
          <cell r="F664" t="str">
            <v xml:space="preserve"> </v>
          </cell>
        </row>
        <row r="665">
          <cell r="A665" t="str">
            <v>原材料税区分</v>
          </cell>
          <cell r="B665" t="str">
            <v>ZK20</v>
          </cell>
          <cell r="C665">
            <v>2</v>
          </cell>
          <cell r="D665" t="str">
            <v xml:space="preserve"> </v>
          </cell>
          <cell r="E665" t="str">
            <v>A</v>
          </cell>
          <cell r="F665" t="str">
            <v xml:space="preserve"> </v>
          </cell>
        </row>
        <row r="666">
          <cell r="A666" t="str">
            <v>タフト半製品棚卸高科目CD</v>
          </cell>
          <cell r="B666" t="str">
            <v>KM21</v>
          </cell>
          <cell r="C666">
            <v>4</v>
          </cell>
          <cell r="D666" t="str">
            <v xml:space="preserve"> </v>
          </cell>
          <cell r="E666" t="str">
            <v>A</v>
          </cell>
          <cell r="F666" t="str">
            <v xml:space="preserve"> </v>
          </cell>
        </row>
        <row r="667">
          <cell r="A667" t="str">
            <v>タフト半製品棚卸高税区分</v>
          </cell>
          <cell r="B667" t="str">
            <v>ZK21</v>
          </cell>
          <cell r="C667">
            <v>2</v>
          </cell>
          <cell r="D667" t="str">
            <v xml:space="preserve"> </v>
          </cell>
          <cell r="E667" t="str">
            <v>A</v>
          </cell>
          <cell r="F667" t="str">
            <v xml:space="preserve"> </v>
          </cell>
        </row>
        <row r="668">
          <cell r="A668" t="str">
            <v>タフト半製品科目CD</v>
          </cell>
          <cell r="B668" t="str">
            <v>KM22</v>
          </cell>
          <cell r="C668">
            <v>4</v>
          </cell>
          <cell r="D668" t="str">
            <v xml:space="preserve"> </v>
          </cell>
          <cell r="E668" t="str">
            <v>A</v>
          </cell>
          <cell r="F668" t="str">
            <v xml:space="preserve"> </v>
          </cell>
        </row>
        <row r="669">
          <cell r="A669" t="str">
            <v>タフト半製品税区分</v>
          </cell>
          <cell r="B669" t="str">
            <v>ZK22</v>
          </cell>
          <cell r="C669">
            <v>2</v>
          </cell>
          <cell r="D669" t="str">
            <v xml:space="preserve"> </v>
          </cell>
          <cell r="E669" t="str">
            <v>A</v>
          </cell>
          <cell r="F669" t="str">
            <v xml:space="preserve"> </v>
          </cell>
        </row>
        <row r="670">
          <cell r="A670" t="str">
            <v>ｺｰﾃｨﾝｸﾞ半製品棚卸高科目CD</v>
          </cell>
          <cell r="B670" t="str">
            <v>KM23</v>
          </cell>
          <cell r="C670">
            <v>4</v>
          </cell>
          <cell r="D670" t="str">
            <v xml:space="preserve"> </v>
          </cell>
          <cell r="E670" t="str">
            <v>A</v>
          </cell>
          <cell r="F670" t="str">
            <v xml:space="preserve"> </v>
          </cell>
        </row>
        <row r="671">
          <cell r="A671" t="str">
            <v>ｺｰﾃｨﾝｸﾞ半製品棚卸高税区分</v>
          </cell>
          <cell r="B671" t="str">
            <v>ZK23</v>
          </cell>
          <cell r="C671">
            <v>2</v>
          </cell>
          <cell r="D671" t="str">
            <v xml:space="preserve"> </v>
          </cell>
          <cell r="E671" t="str">
            <v>A</v>
          </cell>
          <cell r="F671" t="str">
            <v xml:space="preserve"> </v>
          </cell>
        </row>
        <row r="672">
          <cell r="A672" t="str">
            <v>ｺｰﾃｨﾝｸﾞ半製品科目CD</v>
          </cell>
          <cell r="B672" t="str">
            <v>KM24</v>
          </cell>
          <cell r="C672">
            <v>4</v>
          </cell>
          <cell r="D672" t="str">
            <v xml:space="preserve"> </v>
          </cell>
          <cell r="E672" t="str">
            <v>A</v>
          </cell>
          <cell r="F672" t="str">
            <v xml:space="preserve"> </v>
          </cell>
        </row>
        <row r="673">
          <cell r="A673" t="str">
            <v>ｺｰﾃｨﾝｸﾞ半製品税区分</v>
          </cell>
          <cell r="B673" t="str">
            <v>ZK24</v>
          </cell>
          <cell r="C673">
            <v>2</v>
          </cell>
          <cell r="D673" t="str">
            <v xml:space="preserve"> </v>
          </cell>
          <cell r="E673" t="str">
            <v>A</v>
          </cell>
          <cell r="F673" t="str">
            <v xml:space="preserve"> </v>
          </cell>
        </row>
        <row r="674">
          <cell r="A674" t="str">
            <v>製品棚卸高科目CD</v>
          </cell>
          <cell r="B674" t="str">
            <v>KM25</v>
          </cell>
          <cell r="C674">
            <v>4</v>
          </cell>
          <cell r="D674" t="str">
            <v xml:space="preserve"> </v>
          </cell>
          <cell r="E674" t="str">
            <v>A</v>
          </cell>
          <cell r="F674" t="str">
            <v xml:space="preserve"> </v>
          </cell>
        </row>
        <row r="675">
          <cell r="A675" t="str">
            <v>製品棚卸高税区分</v>
          </cell>
          <cell r="B675" t="str">
            <v>ZK25</v>
          </cell>
          <cell r="C675">
            <v>2</v>
          </cell>
          <cell r="D675" t="str">
            <v xml:space="preserve"> </v>
          </cell>
          <cell r="E675" t="str">
            <v>A</v>
          </cell>
          <cell r="F675" t="str">
            <v xml:space="preserve"> </v>
          </cell>
        </row>
        <row r="676">
          <cell r="A676" t="str">
            <v>製品科目CD</v>
          </cell>
          <cell r="B676" t="str">
            <v>KM26</v>
          </cell>
          <cell r="C676">
            <v>4</v>
          </cell>
          <cell r="D676" t="str">
            <v xml:space="preserve"> </v>
          </cell>
          <cell r="E676" t="str">
            <v>A</v>
          </cell>
          <cell r="F676" t="str">
            <v xml:space="preserve"> </v>
          </cell>
        </row>
        <row r="677">
          <cell r="A677" t="str">
            <v>製品税区分</v>
          </cell>
          <cell r="B677" t="str">
            <v>ZK26</v>
          </cell>
          <cell r="C677">
            <v>2</v>
          </cell>
          <cell r="D677" t="str">
            <v xml:space="preserve"> </v>
          </cell>
          <cell r="E677" t="str">
            <v>A</v>
          </cell>
          <cell r="F677" t="str">
            <v xml:space="preserve"> </v>
          </cell>
        </row>
        <row r="678">
          <cell r="A678" t="str">
            <v>加工在庫棚卸高科目CD</v>
          </cell>
          <cell r="B678" t="str">
            <v>KM27</v>
          </cell>
          <cell r="C678">
            <v>4</v>
          </cell>
          <cell r="D678" t="str">
            <v xml:space="preserve"> </v>
          </cell>
          <cell r="E678" t="str">
            <v>A</v>
          </cell>
          <cell r="F678" t="str">
            <v xml:space="preserve"> </v>
          </cell>
        </row>
        <row r="679">
          <cell r="A679" t="str">
            <v>加工在庫棚卸高税区分</v>
          </cell>
          <cell r="B679" t="str">
            <v>ZK27</v>
          </cell>
          <cell r="C679">
            <v>2</v>
          </cell>
          <cell r="D679" t="str">
            <v xml:space="preserve"> </v>
          </cell>
          <cell r="E679" t="str">
            <v>A</v>
          </cell>
          <cell r="F679" t="str">
            <v xml:space="preserve"> </v>
          </cell>
        </row>
        <row r="680">
          <cell r="A680" t="str">
            <v>加工在庫科目CD</v>
          </cell>
          <cell r="B680" t="str">
            <v>KM28</v>
          </cell>
          <cell r="C680">
            <v>4</v>
          </cell>
          <cell r="D680" t="str">
            <v xml:space="preserve"> </v>
          </cell>
          <cell r="E680" t="str">
            <v>A</v>
          </cell>
          <cell r="F680" t="str">
            <v xml:space="preserve"> </v>
          </cell>
        </row>
        <row r="681">
          <cell r="A681" t="str">
            <v>加工在庫税区分</v>
          </cell>
          <cell r="B681" t="str">
            <v>ZK28</v>
          </cell>
          <cell r="C681">
            <v>2</v>
          </cell>
          <cell r="D681" t="str">
            <v xml:space="preserve"> </v>
          </cell>
          <cell r="E681" t="str">
            <v>A</v>
          </cell>
          <cell r="F681" t="str">
            <v xml:space="preserve"> </v>
          </cell>
        </row>
        <row r="682">
          <cell r="A682" t="str">
            <v>科目 CD 29</v>
          </cell>
          <cell r="B682" t="str">
            <v>KM29</v>
          </cell>
          <cell r="C682">
            <v>4</v>
          </cell>
          <cell r="D682" t="str">
            <v xml:space="preserve"> </v>
          </cell>
          <cell r="E682" t="str">
            <v>A</v>
          </cell>
          <cell r="F682" t="str">
            <v xml:space="preserve"> </v>
          </cell>
        </row>
        <row r="683">
          <cell r="A683" t="str">
            <v>税区分  29</v>
          </cell>
          <cell r="B683" t="str">
            <v>ZK29</v>
          </cell>
          <cell r="C683">
            <v>2</v>
          </cell>
          <cell r="D683" t="str">
            <v xml:space="preserve"> </v>
          </cell>
          <cell r="E683" t="str">
            <v>A</v>
          </cell>
          <cell r="F683" t="str">
            <v xml:space="preserve"> </v>
          </cell>
        </row>
        <row r="684">
          <cell r="A684" t="str">
            <v>科目 CD 30</v>
          </cell>
          <cell r="B684" t="str">
            <v>KM30</v>
          </cell>
          <cell r="C684">
            <v>4</v>
          </cell>
          <cell r="D684" t="str">
            <v xml:space="preserve"> </v>
          </cell>
          <cell r="E684" t="str">
            <v>A</v>
          </cell>
          <cell r="F684" t="str">
            <v xml:space="preserve"> </v>
          </cell>
        </row>
        <row r="685">
          <cell r="A685" t="str">
            <v>税区分  30</v>
          </cell>
          <cell r="B685" t="str">
            <v>ZK30</v>
          </cell>
          <cell r="C685">
            <v>2</v>
          </cell>
          <cell r="D685" t="str">
            <v xml:space="preserve"> </v>
          </cell>
          <cell r="E685" t="str">
            <v>A</v>
          </cell>
          <cell r="F685" t="str">
            <v xml:space="preserve"> </v>
          </cell>
        </row>
        <row r="686">
          <cell r="A686" t="str">
            <v>ﾊﾞｰｼﾞｮﾝ 管理 ｺｰﾄﾞ</v>
          </cell>
          <cell r="B686" t="str">
            <v>VRCD</v>
          </cell>
          <cell r="C686">
            <v>6</v>
          </cell>
          <cell r="D686" t="str">
            <v xml:space="preserve"> </v>
          </cell>
          <cell r="E686" t="str">
            <v>A</v>
          </cell>
          <cell r="F686" t="str">
            <v xml:space="preserve"> </v>
          </cell>
        </row>
        <row r="687">
          <cell r="A687" t="str">
            <v>伝票番号</v>
          </cell>
          <cell r="B687" t="str">
            <v>DNBN</v>
          </cell>
          <cell r="C687">
            <v>5</v>
          </cell>
          <cell r="D687">
            <v>0</v>
          </cell>
          <cell r="E687" t="str">
            <v>S</v>
          </cell>
          <cell r="F687" t="str">
            <v xml:space="preserve"> </v>
          </cell>
        </row>
        <row r="688">
          <cell r="A688" t="str">
            <v>自動税計算区分</v>
          </cell>
          <cell r="B688" t="str">
            <v>ZKKB</v>
          </cell>
          <cell r="C688">
            <v>1</v>
          </cell>
          <cell r="D688">
            <v>0</v>
          </cell>
          <cell r="E688" t="str">
            <v>S</v>
          </cell>
          <cell r="F688" t="str">
            <v xml:space="preserve"> </v>
          </cell>
        </row>
        <row r="689">
          <cell r="A689" t="str">
            <v>仕訳区分</v>
          </cell>
          <cell r="B689" t="str">
            <v>SIKB</v>
          </cell>
          <cell r="C689">
            <v>1</v>
          </cell>
          <cell r="D689">
            <v>0</v>
          </cell>
          <cell r="E689" t="str">
            <v>S</v>
          </cell>
          <cell r="F689" t="str">
            <v xml:space="preserve"> </v>
          </cell>
        </row>
        <row r="690">
          <cell r="A690" t="str">
            <v>管理会計仕訳区分</v>
          </cell>
          <cell r="B690" t="str">
            <v>KWKB</v>
          </cell>
          <cell r="C690">
            <v>1</v>
          </cell>
          <cell r="D690">
            <v>0</v>
          </cell>
          <cell r="E690" t="str">
            <v>S</v>
          </cell>
          <cell r="F690" t="str">
            <v xml:space="preserve"> </v>
          </cell>
        </row>
        <row r="691">
          <cell r="A691" t="str">
            <v>借方部門コード</v>
          </cell>
          <cell r="B691" t="str">
            <v>BCD1</v>
          </cell>
          <cell r="C691">
            <v>3</v>
          </cell>
          <cell r="D691" t="str">
            <v xml:space="preserve"> </v>
          </cell>
          <cell r="E691" t="str">
            <v>A</v>
          </cell>
          <cell r="F691" t="str">
            <v xml:space="preserve"> </v>
          </cell>
        </row>
        <row r="692">
          <cell r="A692" t="str">
            <v>借方科目コード</v>
          </cell>
          <cell r="B692" t="str">
            <v>KAC1</v>
          </cell>
          <cell r="C692">
            <v>4</v>
          </cell>
          <cell r="D692" t="str">
            <v xml:space="preserve"> </v>
          </cell>
          <cell r="E692" t="str">
            <v>A</v>
          </cell>
          <cell r="F692" t="str">
            <v xml:space="preserve"> </v>
          </cell>
        </row>
        <row r="693">
          <cell r="A693" t="str">
            <v>借方科目名</v>
          </cell>
          <cell r="B693" t="str">
            <v>KAN1</v>
          </cell>
          <cell r="C693">
            <v>14</v>
          </cell>
          <cell r="D693" t="str">
            <v xml:space="preserve"> </v>
          </cell>
          <cell r="E693" t="str">
            <v>O</v>
          </cell>
          <cell r="F693" t="str">
            <v xml:space="preserve"> </v>
          </cell>
        </row>
        <row r="694">
          <cell r="A694" t="str">
            <v>借方補助コード</v>
          </cell>
          <cell r="B694" t="str">
            <v>HCD1</v>
          </cell>
          <cell r="C694">
            <v>5</v>
          </cell>
          <cell r="D694" t="str">
            <v xml:space="preserve"> </v>
          </cell>
          <cell r="E694" t="str">
            <v>A</v>
          </cell>
          <cell r="F694" t="str">
            <v xml:space="preserve"> </v>
          </cell>
        </row>
        <row r="695">
          <cell r="A695" t="str">
            <v>借方補助名</v>
          </cell>
          <cell r="B695" t="str">
            <v>HNM1</v>
          </cell>
          <cell r="C695">
            <v>14</v>
          </cell>
          <cell r="D695" t="str">
            <v xml:space="preserve"> </v>
          </cell>
          <cell r="E695" t="str">
            <v>O</v>
          </cell>
          <cell r="F695" t="str">
            <v xml:space="preserve"> </v>
          </cell>
        </row>
        <row r="696">
          <cell r="A696" t="str">
            <v>借方税区分</v>
          </cell>
          <cell r="B696" t="str">
            <v>ZKB1</v>
          </cell>
          <cell r="C696">
            <v>2</v>
          </cell>
          <cell r="D696" t="str">
            <v xml:space="preserve"> </v>
          </cell>
          <cell r="E696" t="str">
            <v>A</v>
          </cell>
          <cell r="F696" t="str">
            <v xml:space="preserve"> </v>
          </cell>
        </row>
        <row r="697">
          <cell r="A697" t="str">
            <v>借方金額</v>
          </cell>
          <cell r="B697" t="str">
            <v>KIN1</v>
          </cell>
          <cell r="C697">
            <v>12</v>
          </cell>
          <cell r="D697">
            <v>0</v>
          </cell>
          <cell r="E697" t="str">
            <v>S</v>
          </cell>
          <cell r="F697" t="str">
            <v xml:space="preserve"> </v>
          </cell>
        </row>
        <row r="698">
          <cell r="A698" t="str">
            <v>借方消費税額</v>
          </cell>
          <cell r="B698" t="str">
            <v>ZEI1</v>
          </cell>
          <cell r="C698">
            <v>11</v>
          </cell>
          <cell r="D698">
            <v>0</v>
          </cell>
          <cell r="E698" t="str">
            <v>S</v>
          </cell>
          <cell r="F698" t="str">
            <v xml:space="preserve"> </v>
          </cell>
        </row>
        <row r="699">
          <cell r="A699" t="str">
            <v>貸方部門コード</v>
          </cell>
          <cell r="B699" t="str">
            <v>BCD2</v>
          </cell>
          <cell r="C699">
            <v>3</v>
          </cell>
          <cell r="D699" t="str">
            <v xml:space="preserve"> </v>
          </cell>
          <cell r="E699" t="str">
            <v>A</v>
          </cell>
          <cell r="F699" t="str">
            <v xml:space="preserve"> </v>
          </cell>
        </row>
        <row r="700">
          <cell r="A700" t="str">
            <v>貸方科目コード</v>
          </cell>
          <cell r="B700" t="str">
            <v>KAC2</v>
          </cell>
          <cell r="C700">
            <v>4</v>
          </cell>
          <cell r="D700" t="str">
            <v xml:space="preserve"> </v>
          </cell>
          <cell r="E700" t="str">
            <v>A</v>
          </cell>
          <cell r="F700" t="str">
            <v xml:space="preserve"> </v>
          </cell>
        </row>
        <row r="701">
          <cell r="A701" t="str">
            <v>貸方科目名</v>
          </cell>
          <cell r="B701" t="str">
            <v>KAN2</v>
          </cell>
          <cell r="C701">
            <v>14</v>
          </cell>
          <cell r="D701" t="str">
            <v xml:space="preserve"> </v>
          </cell>
          <cell r="E701" t="str">
            <v>O</v>
          </cell>
          <cell r="F701" t="str">
            <v xml:space="preserve"> </v>
          </cell>
        </row>
        <row r="702">
          <cell r="A702" t="str">
            <v>貸方補助コード</v>
          </cell>
          <cell r="B702" t="str">
            <v>HCD2</v>
          </cell>
          <cell r="C702">
            <v>5</v>
          </cell>
          <cell r="D702" t="str">
            <v xml:space="preserve"> </v>
          </cell>
          <cell r="E702" t="str">
            <v>A</v>
          </cell>
          <cell r="F702" t="str">
            <v xml:space="preserve"> </v>
          </cell>
        </row>
        <row r="703">
          <cell r="A703" t="str">
            <v>貸方補助名</v>
          </cell>
          <cell r="B703" t="str">
            <v>HNM2</v>
          </cell>
          <cell r="C703">
            <v>14</v>
          </cell>
          <cell r="D703" t="str">
            <v xml:space="preserve"> </v>
          </cell>
          <cell r="E703" t="str">
            <v>O</v>
          </cell>
          <cell r="F703" t="str">
            <v xml:space="preserve"> </v>
          </cell>
        </row>
        <row r="704">
          <cell r="A704" t="str">
            <v>貸方税区分</v>
          </cell>
          <cell r="B704" t="str">
            <v>ZKB2</v>
          </cell>
          <cell r="C704">
            <v>2</v>
          </cell>
          <cell r="D704" t="str">
            <v xml:space="preserve"> </v>
          </cell>
          <cell r="E704" t="str">
            <v>A</v>
          </cell>
          <cell r="F704" t="str">
            <v xml:space="preserve"> </v>
          </cell>
        </row>
        <row r="705">
          <cell r="A705" t="str">
            <v>貸方金額</v>
          </cell>
          <cell r="B705" t="str">
            <v>KIN2</v>
          </cell>
          <cell r="C705">
            <v>12</v>
          </cell>
          <cell r="D705">
            <v>0</v>
          </cell>
          <cell r="E705" t="str">
            <v>S</v>
          </cell>
          <cell r="F705" t="str">
            <v xml:space="preserve"> </v>
          </cell>
        </row>
        <row r="706">
          <cell r="A706" t="str">
            <v>貸方消費税額</v>
          </cell>
          <cell r="B706" t="str">
            <v>ZEI2</v>
          </cell>
          <cell r="C706">
            <v>11</v>
          </cell>
          <cell r="D706">
            <v>0</v>
          </cell>
          <cell r="E706" t="str">
            <v>S</v>
          </cell>
          <cell r="F706" t="str">
            <v xml:space="preserve"> </v>
          </cell>
        </row>
        <row r="707">
          <cell r="A707" t="str">
            <v>数字１</v>
          </cell>
          <cell r="B707" t="str">
            <v>SUZ1</v>
          </cell>
          <cell r="C707">
            <v>6</v>
          </cell>
          <cell r="D707" t="str">
            <v xml:space="preserve"> </v>
          </cell>
          <cell r="E707" t="str">
            <v>A</v>
          </cell>
          <cell r="F707" t="str">
            <v xml:space="preserve"> </v>
          </cell>
        </row>
        <row r="708">
          <cell r="A708" t="str">
            <v>数字２</v>
          </cell>
          <cell r="B708" t="str">
            <v>SUZ2</v>
          </cell>
          <cell r="C708">
            <v>23</v>
          </cell>
          <cell r="D708" t="str">
            <v xml:space="preserve"> </v>
          </cell>
          <cell r="E708" t="str">
            <v>A</v>
          </cell>
          <cell r="F708" t="str">
            <v xml:space="preserve"> </v>
          </cell>
        </row>
        <row r="709">
          <cell r="A709" t="str">
            <v xml:space="preserve">摘要 </v>
          </cell>
          <cell r="B709" t="str">
            <v>TEKY</v>
          </cell>
          <cell r="C709">
            <v>254</v>
          </cell>
          <cell r="D709" t="str">
            <v xml:space="preserve"> </v>
          </cell>
          <cell r="E709" t="str">
            <v>A</v>
          </cell>
          <cell r="F709" t="str">
            <v xml:space="preserve"> </v>
          </cell>
        </row>
        <row r="710">
          <cell r="A710" t="str">
            <v>入力 ﾌﾟﾛｸﾞﾗﾑ 区分</v>
          </cell>
          <cell r="B710" t="str">
            <v>NPKB</v>
          </cell>
          <cell r="C710">
            <v>8</v>
          </cell>
          <cell r="D710" t="str">
            <v xml:space="preserve"> </v>
          </cell>
          <cell r="E710" t="str">
            <v>A</v>
          </cell>
          <cell r="F710" t="str">
            <v xml:space="preserve"> </v>
          </cell>
        </row>
        <row r="711">
          <cell r="A711" t="str">
            <v>配賦税計算モード</v>
          </cell>
          <cell r="B711" t="str">
            <v>KSMD</v>
          </cell>
          <cell r="C711">
            <v>1</v>
          </cell>
          <cell r="D711" t="str">
            <v xml:space="preserve"> </v>
          </cell>
          <cell r="E711" t="str">
            <v>A</v>
          </cell>
          <cell r="F711" t="str">
            <v xml:space="preserve"> </v>
          </cell>
        </row>
        <row r="712">
          <cell r="A712" t="str">
            <v>配賦元集計開始日</v>
          </cell>
          <cell r="B712" t="str">
            <v>STDT</v>
          </cell>
          <cell r="C712">
            <v>8</v>
          </cell>
          <cell r="D712" t="str">
            <v xml:space="preserve"> </v>
          </cell>
          <cell r="E712" t="str">
            <v>A</v>
          </cell>
          <cell r="F712" t="str">
            <v xml:space="preserve"> </v>
          </cell>
        </row>
        <row r="713">
          <cell r="A713" t="str">
            <v>配賦元集計終了日</v>
          </cell>
          <cell r="B713" t="str">
            <v>ENDT</v>
          </cell>
          <cell r="C713">
            <v>8</v>
          </cell>
          <cell r="D713" t="str">
            <v xml:space="preserve"> </v>
          </cell>
          <cell r="E713" t="str">
            <v>A</v>
          </cell>
          <cell r="F713" t="str">
            <v xml:space="preserve"> </v>
          </cell>
        </row>
        <row r="714">
          <cell r="A714" t="str">
            <v>配賦基準番号</v>
          </cell>
          <cell r="B714" t="str">
            <v>KJNO</v>
          </cell>
          <cell r="C714">
            <v>2</v>
          </cell>
          <cell r="D714" t="str">
            <v xml:space="preserve"> </v>
          </cell>
          <cell r="E714" t="str">
            <v>A</v>
          </cell>
          <cell r="F714" t="str">
            <v xml:space="preserve"> </v>
          </cell>
        </row>
        <row r="715">
          <cell r="A715" t="str">
            <v>配賦元部門コード</v>
          </cell>
          <cell r="B715" t="str">
            <v>BCD3</v>
          </cell>
          <cell r="C715">
            <v>3</v>
          </cell>
          <cell r="D715" t="str">
            <v xml:space="preserve"> </v>
          </cell>
          <cell r="E715" t="str">
            <v>A</v>
          </cell>
          <cell r="F715" t="str">
            <v xml:space="preserve"> </v>
          </cell>
        </row>
        <row r="716">
          <cell r="A716" t="str">
            <v>配賦元科目コード</v>
          </cell>
          <cell r="B716" t="str">
            <v>KAC3</v>
          </cell>
          <cell r="C716">
            <v>4</v>
          </cell>
          <cell r="D716" t="str">
            <v xml:space="preserve"> </v>
          </cell>
          <cell r="E716" t="str">
            <v>A</v>
          </cell>
          <cell r="F716" t="str">
            <v xml:space="preserve"> </v>
          </cell>
        </row>
        <row r="717">
          <cell r="A717" t="str">
            <v>配賦元補助コード</v>
          </cell>
          <cell r="B717" t="str">
            <v>HCD3</v>
          </cell>
          <cell r="C717">
            <v>5</v>
          </cell>
          <cell r="D717" t="str">
            <v xml:space="preserve"> </v>
          </cell>
          <cell r="E717" t="str">
            <v>A</v>
          </cell>
          <cell r="F717" t="str">
            <v xml:space="preserve"> </v>
          </cell>
        </row>
        <row r="718">
          <cell r="A718" t="str">
            <v>配賦元金額</v>
          </cell>
          <cell r="B718" t="str">
            <v>KIN3</v>
          </cell>
          <cell r="C718">
            <v>12</v>
          </cell>
          <cell r="D718" t="str">
            <v xml:space="preserve"> </v>
          </cell>
          <cell r="E718" t="str">
            <v>A</v>
          </cell>
          <cell r="F718" t="str">
            <v xml:space="preserve"> </v>
          </cell>
        </row>
        <row r="719">
          <cell r="A719" t="str">
            <v>連結データ</v>
          </cell>
          <cell r="B719" t="str">
            <v>TDTA</v>
          </cell>
          <cell r="C719">
            <v>1024</v>
          </cell>
          <cell r="D719" t="str">
            <v xml:space="preserve"> </v>
          </cell>
          <cell r="E719" t="str">
            <v>O</v>
          </cell>
          <cell r="F719" t="str">
            <v>　</v>
          </cell>
        </row>
        <row r="720">
          <cell r="A720" t="str">
            <v>引渡元取引コード</v>
          </cell>
          <cell r="B720" t="str">
            <v>HWTC</v>
          </cell>
          <cell r="C720">
            <v>7</v>
          </cell>
          <cell r="E720" t="str">
            <v>A</v>
          </cell>
          <cell r="F720" t="str">
            <v>　</v>
          </cell>
        </row>
        <row r="721">
          <cell r="A721" t="str">
            <v>引受先取引コード</v>
          </cell>
          <cell r="B721" t="str">
            <v>HUTC</v>
          </cell>
          <cell r="C721">
            <v>7</v>
          </cell>
          <cell r="E721" t="str">
            <v>A</v>
          </cell>
          <cell r="F721" t="str">
            <v>　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DA9B-B3BF-40F9-8C91-7009EB587238}">
  <dimension ref="A2:J160"/>
  <sheetViews>
    <sheetView tabSelected="1" zoomScale="80" zoomScaleNormal="80" workbookViewId="0">
      <pane ySplit="14" topLeftCell="A15" activePane="bottomLeft" state="frozen"/>
      <selection pane="bottomLeft" activeCell="G20" sqref="G20"/>
    </sheetView>
  </sheetViews>
  <sheetFormatPr defaultColWidth="15.625" defaultRowHeight="16.5" x14ac:dyDescent="0.4"/>
  <cols>
    <col min="1" max="6" width="15.625" style="5"/>
    <col min="7" max="7" width="24.75" style="5" customWidth="1"/>
    <col min="8" max="16384" width="15.625" style="5"/>
  </cols>
  <sheetData>
    <row r="2" spans="1:10" ht="18.75" customHeight="1" x14ac:dyDescent="0.4">
      <c r="A2" s="121" t="s">
        <v>3627</v>
      </c>
      <c r="B2" s="121"/>
      <c r="C2" s="121"/>
      <c r="D2" s="121" t="s">
        <v>3628</v>
      </c>
      <c r="E2" s="121"/>
      <c r="F2" s="121"/>
      <c r="J2" s="92"/>
    </row>
    <row r="3" spans="1:10" ht="18.75" customHeight="1" x14ac:dyDescent="0.4">
      <c r="A3" s="118" t="s">
        <v>3629</v>
      </c>
      <c r="B3" s="119" t="s">
        <v>3630</v>
      </c>
      <c r="C3" s="120">
        <f>SUM(
   SUMIFS($D$15:$D$65,$B$15:$B$65,$A3, $C$15:$C$65, "110"),
   SUMIFS($D$15:$D$65,$B$15:$B$65, $A3, $C$15:$C$65, "300"),
   SUMIFS($D$15:$D$65,$B$15:$B$65, $A3, $C$15:$C$65, "400"),
   SUMIFS($D$15:$D$65,$B$15:$B$65, $A3, $C$15:$C$65, "500")
)</f>
        <v>228221161</v>
      </c>
      <c r="D3" s="118" t="s">
        <v>3629</v>
      </c>
      <c r="E3" s="119" t="s">
        <v>3631</v>
      </c>
      <c r="F3" s="120">
        <f>SUM(
   SUMIFS($E$15:$E$65,$B$15:$B$65,$D3, $C$15:$C$65, "950"),
   SUMIFS($F$15:$F$65,$B$15:$B$65, $D3, $C$15:$C$65, "900"),
   )</f>
        <v>125570979</v>
      </c>
      <c r="J3" s="92"/>
    </row>
    <row r="4" spans="1:10" ht="18.75" customHeight="1" x14ac:dyDescent="0.4">
      <c r="A4" s="118" t="s">
        <v>3629</v>
      </c>
      <c r="B4" s="119" t="s">
        <v>3632</v>
      </c>
      <c r="C4" s="120">
        <f>SUM(
   SUMIFS($D$15:$D$65,$B$15:$B$65,$A4, $C$15:$C$65, "800")
)</f>
        <v>75555238</v>
      </c>
      <c r="D4" s="122"/>
      <c r="E4" s="123"/>
      <c r="F4" s="124"/>
    </row>
    <row r="5" spans="1:10" ht="18.75" customHeight="1" x14ac:dyDescent="0.4">
      <c r="A5" s="118" t="s">
        <v>3633</v>
      </c>
      <c r="B5" s="119" t="s">
        <v>3634</v>
      </c>
      <c r="C5" s="120">
        <f>SUM(
   SUMIFS($D$15:$D$65,$B$15:$B$65,$A5, $C$15:$C$65, "110"),
   SUMIFS($D$15:$D$65,$B$15:$B$65, $A5, $C$15:$C$65, "300"),
   SUMIFS($D$15:$D$65,$B$15:$B$65, $A5, $C$15:$C$65, "400"),
   SUMIFS($D$15:$D$65,$B$15:$B$65, $A5, $C$15:$C$65, "500")
)</f>
        <v>76405586</v>
      </c>
      <c r="D5" s="118" t="s">
        <v>3633</v>
      </c>
      <c r="E5" s="119" t="s">
        <v>3631</v>
      </c>
      <c r="F5" s="120">
        <f>SUM(
   SUMIFS($E$15:$E$65,$B$15:$B$65,$D5, $C$15:$C$65, "950"),
   SUMIFS($F$15:$F$65,$B$15:$B$65, $D5, $C$15:$C$65, "900"),
   )</f>
        <v>236292</v>
      </c>
    </row>
    <row r="6" spans="1:10" ht="18.75" customHeight="1" x14ac:dyDescent="0.4">
      <c r="A6" s="118" t="s">
        <v>3633</v>
      </c>
      <c r="B6" s="119" t="s">
        <v>3636</v>
      </c>
      <c r="C6" s="120">
        <f>SUM(
   SUMIFS($D$15:$D$65,$B$15:$B$65,$A6, $C$15:$C$65, "800")
)</f>
        <v>1001000</v>
      </c>
      <c r="D6" s="122"/>
      <c r="E6" s="123"/>
      <c r="F6" s="124"/>
    </row>
    <row r="7" spans="1:10" ht="18.75" customHeight="1" x14ac:dyDescent="0.4">
      <c r="A7" s="118" t="s">
        <v>3635</v>
      </c>
      <c r="B7" s="119" t="s">
        <v>3638</v>
      </c>
      <c r="C7" s="120">
        <f>SUM(
   SUMIFS($D$15:$D$65,$B$15:$B$65,$A7, $C$15:$C$65, "110"),
   SUMIFS($D$15:$D$65,$B$15:$B$65, $A7, $C$15:$C$65, "300"),
   SUMIFS($D$15:$D$65,$B$15:$B$65, $A7, $C$15:$C$65, "400"),
   SUMIFS($D$15:$D$65,$B$15:$B$65, $A7, $C$15:$C$65, "500"),
   SUMIFS($D$15:$D$65,$B$15:$B$65, $A7, $C$15:$C$65, "800")
)</f>
        <v>277605271</v>
      </c>
      <c r="D7" s="118" t="s">
        <v>3635</v>
      </c>
      <c r="E7" s="119" t="s">
        <v>3631</v>
      </c>
      <c r="F7" s="120">
        <f>SUM(
   SUMIFS($E$15:$E$65,$B$15:$B$65,$D7, $C$15:$C$65, "950"),
   SUMIFS($F$15:$F$65,$B$15:$B$65, $D7, $C$15:$C$65, "900"),
   )</f>
        <v>0</v>
      </c>
    </row>
    <row r="8" spans="1:10" ht="18.75" customHeight="1" x14ac:dyDescent="0.4">
      <c r="A8" s="118" t="s">
        <v>3637</v>
      </c>
      <c r="B8" s="119" t="s">
        <v>3638</v>
      </c>
      <c r="C8" s="120">
        <f>SUM(
   SUMIFS($D$15:$D$65,$B$15:$B$65,$A8, $C$15:$C$65, "110"),
   SUMIFS($D$15:$D$65,$B$15:$B$65, $A8, $C$15:$C$65, "300"),
   SUMIFS($D$15:$D$65,$B$15:$B$65, $A8, $C$15:$C$65, "400"),
   SUMIFS($D$15:$D$65,$B$15:$B$65, $A8, $C$15:$C$65, "500"),
   SUMIFS($D$15:$D$65,$B$15:$B$65, $A8, $C$15:$C$65, "800")
)</f>
        <v>68562971</v>
      </c>
      <c r="D8" s="118" t="s">
        <v>3637</v>
      </c>
      <c r="E8" s="119" t="s">
        <v>3631</v>
      </c>
      <c r="F8" s="120">
        <f>SUM(
   SUMIFS($E$15:$E$65,$B$15:$B$65,$D8, $C$15:$C$65, "950"),
   SUMIFS($F$15:$F$65,$B$15:$B$65, $D8, $C$15:$C$65, "900"),
   )</f>
        <v>100988735</v>
      </c>
    </row>
    <row r="9" spans="1:10" ht="18.75" customHeight="1" x14ac:dyDescent="0.4">
      <c r="A9" s="118" t="s">
        <v>3639</v>
      </c>
      <c r="B9" s="119" t="s">
        <v>3638</v>
      </c>
      <c r="C9" s="120">
        <f>SUM(
   SUMIFS($D$15:$D$65,$B$15:$B$65,$A9, $C$15:$C$65, "110"),
   SUMIFS($D$15:$D$65,$B$15:$B$65, $A9, $C$15:$C$65, "300"),
   SUMIFS($D$15:$D$65,$B$15:$B$65, $A9, $C$15:$C$65, "400"),
   SUMIFS($D$15:$D$65,$B$15:$B$65, $A9, $C$15:$C$65, "500"),
   SUMIFS($D$15:$D$65,$B$15:$B$65, $A9, $C$15:$C$65, "800")
)</f>
        <v>118440509</v>
      </c>
      <c r="D9" s="118" t="s">
        <v>3639</v>
      </c>
      <c r="E9" s="119" t="s">
        <v>3631</v>
      </c>
      <c r="F9" s="120">
        <f ca="1">SUM(
   SUMIFS($E$15:$E$65,$B$15:$B$65,$D9, $C$15:$C$65, "950"),
   SUMIFS($F$15:$F$65,$B$15:$B$65, $D9, $C$15:$C$65, "900"),
   )</f>
        <v>2279812</v>
      </c>
    </row>
    <row r="10" spans="1:10" ht="18.75" customHeight="1" x14ac:dyDescent="0.4">
      <c r="A10" s="118" t="s">
        <v>3640</v>
      </c>
      <c r="B10" s="119" t="s">
        <v>3638</v>
      </c>
      <c r="C10" s="120">
        <f>SUM(
   SUMIFS($D$15:$D$65,$B$15:$B$65,$A10, $C$15:$C$65, "110"),
   SUMIFS($D$15:$D$65,$B$15:$B$65, $A10, $C$15:$C$65, "300"),
   SUMIFS($D$15:$D$65,$B$15:$B$65, $A10, $C$15:$C$65, "400"),
   SUMIFS($D$15:$D$65,$B$15:$B$65, $A10, $C$15:$C$65, "500"),
   SUMIFS($D$15:$D$65,$B$15:$B$65, $A10, $C$15:$C$65, "800")
)</f>
        <v>6363765</v>
      </c>
      <c r="D10" s="118" t="s">
        <v>3640</v>
      </c>
      <c r="E10" s="119" t="s">
        <v>3631</v>
      </c>
      <c r="F10" s="120">
        <f>SUM(
   SUMIFS($E$15:$E$65,$B$15:$B$65,$D10, $C$15:$C$65, "950"),
   SUMIFS($F$15:$F$65,$B$15:$B$65, $D10, $C$15:$C$65, "900"),
   )</f>
        <v>101286331</v>
      </c>
    </row>
    <row r="11" spans="1:10" x14ac:dyDescent="0.4">
      <c r="A11" s="122"/>
      <c r="B11" s="123"/>
      <c r="C11" s="124"/>
      <c r="D11" s="118" t="s">
        <v>3641</v>
      </c>
      <c r="E11" s="119" t="s">
        <v>3631</v>
      </c>
      <c r="F11" s="120">
        <f>SUM(
   SUMIFS($E$15:$E$65,$B$15:$B$65,$D11, $C$15:$C$65, "950"),
   SUMIFS($F$15:$F$65,$B$15:$B$65, $D11, $C$15:$C$65, "900"),
   )</f>
        <v>73601932</v>
      </c>
    </row>
    <row r="12" spans="1:10" x14ac:dyDescent="0.4">
      <c r="C12" s="6"/>
      <c r="D12" s="7"/>
      <c r="E12" s="7"/>
    </row>
    <row r="14" spans="1:10" x14ac:dyDescent="0.4">
      <c r="A14" s="4"/>
      <c r="B14" s="4"/>
      <c r="C14" s="4" t="s">
        <v>3642</v>
      </c>
      <c r="D14" s="4" t="s">
        <v>3627</v>
      </c>
      <c r="E14" s="4" t="s">
        <v>3643</v>
      </c>
      <c r="F14" s="4" t="s">
        <v>3644</v>
      </c>
    </row>
    <row r="15" spans="1:10" x14ac:dyDescent="0.4">
      <c r="A15" s="8"/>
      <c r="B15" s="9" t="s">
        <v>3645</v>
      </c>
      <c r="C15" s="10">
        <v>110</v>
      </c>
      <c r="D15" s="97">
        <f>SUMIFS(売上・仕入!$T:$T,売上・仕入!$C:$C,"SL",売上・仕入!$F:$F,$C15,売上・仕入!$G:$G,"4")</f>
        <v>49019238</v>
      </c>
      <c r="E15" s="11" t="s">
        <v>3646</v>
      </c>
      <c r="F15" s="12" t="s">
        <v>3646</v>
      </c>
    </row>
    <row r="16" spans="1:10" x14ac:dyDescent="0.4">
      <c r="A16" s="13"/>
      <c r="B16" s="14" t="s">
        <v>3647</v>
      </c>
      <c r="C16" s="15">
        <v>300</v>
      </c>
      <c r="D16" s="99">
        <f>SUMIFS(売上・仕入!$T:$T,売上・仕入!$C:$C,"SL",売上・仕入!$F:$F,$C16,売上・仕入!$G:$G,"4")</f>
        <v>96090146</v>
      </c>
      <c r="E16" s="16" t="s">
        <v>3646</v>
      </c>
      <c r="F16" s="17" t="s">
        <v>3646</v>
      </c>
    </row>
    <row r="17" spans="1:6" x14ac:dyDescent="0.4">
      <c r="A17" s="13"/>
      <c r="B17" s="14" t="s">
        <v>3647</v>
      </c>
      <c r="C17" s="15">
        <v>400</v>
      </c>
      <c r="D17" s="99">
        <f>SUMIFS(売上・仕入!$T:$T,売上・仕入!$C:$C,"SL",売上・仕入!$F:$F,$C17,売上・仕入!$G:$G,"4")</f>
        <v>73189076</v>
      </c>
      <c r="E17" s="16" t="s">
        <v>3646</v>
      </c>
      <c r="F17" s="17" t="s">
        <v>3646</v>
      </c>
    </row>
    <row r="18" spans="1:6" x14ac:dyDescent="0.4">
      <c r="A18" s="13"/>
      <c r="B18" s="14" t="s">
        <v>3647</v>
      </c>
      <c r="C18" s="15">
        <v>500</v>
      </c>
      <c r="D18" s="99">
        <f>SUMIFS(売上・仕入!$T:$T,売上・仕入!$C:$C,"SL",売上・仕入!$F:$F,$C18,売上・仕入!$G:$G,"4")</f>
        <v>9922701</v>
      </c>
      <c r="E18" s="16" t="s">
        <v>3646</v>
      </c>
      <c r="F18" s="17" t="s">
        <v>3646</v>
      </c>
    </row>
    <row r="19" spans="1:6" x14ac:dyDescent="0.4">
      <c r="A19" s="18"/>
      <c r="B19" s="19" t="s">
        <v>3647</v>
      </c>
      <c r="C19" s="20">
        <v>800</v>
      </c>
      <c r="D19" s="100">
        <f>SUMIFS(売上・仕入!$T:$T,売上・仕入!$C:$C,"SL",売上・仕入!$F:$F,$C19,売上・仕入!$G:$G,"4")</f>
        <v>75555238</v>
      </c>
      <c r="E19" s="21" t="s">
        <v>3646</v>
      </c>
      <c r="F19" s="22" t="s">
        <v>3646</v>
      </c>
    </row>
    <row r="20" spans="1:6" x14ac:dyDescent="0.4">
      <c r="A20" s="23" t="s">
        <v>3648</v>
      </c>
      <c r="B20" s="24" t="s">
        <v>3647</v>
      </c>
      <c r="C20" s="25">
        <v>950</v>
      </c>
      <c r="D20" s="26" t="s">
        <v>3646</v>
      </c>
      <c r="E20" s="106">
        <f>SUMIFS(売上・仕入!$T:$T,売上・仕入!$C:$C,"SL",売上・仕入!$F:$F,$C20,売上・仕入!$G:$G,"4")</f>
        <v>86838440</v>
      </c>
      <c r="F20" s="27" t="s">
        <v>3646</v>
      </c>
    </row>
    <row r="21" spans="1:6" x14ac:dyDescent="0.4">
      <c r="A21" s="23" t="s">
        <v>3649</v>
      </c>
      <c r="B21" s="24" t="s">
        <v>3647</v>
      </c>
      <c r="C21" s="25">
        <v>950</v>
      </c>
      <c r="D21" s="26" t="s">
        <v>3646</v>
      </c>
      <c r="E21" s="106">
        <f>SUM(SUMIFS(売上・仕入!$T:$T,売上・仕入!$C:$C,"SL",売上・仕入!$F:$F,$C21,売上・仕入!$G:$G,"2"),SUMIFS(売上・仕入!$T:$T,売上・仕入!$C:$C,"SL",売上・仕入!$F:$F,$C21,売上・仕入!$G:$G,"3"))</f>
        <v>0</v>
      </c>
      <c r="F21" s="27" t="s">
        <v>3646</v>
      </c>
    </row>
    <row r="22" spans="1:6" x14ac:dyDescent="0.4">
      <c r="A22" s="23" t="s">
        <v>3648</v>
      </c>
      <c r="B22" s="24" t="s">
        <v>3645</v>
      </c>
      <c r="C22" s="25">
        <v>900</v>
      </c>
      <c r="D22" s="26" t="s">
        <v>3646</v>
      </c>
      <c r="E22" s="26" t="s">
        <v>3646</v>
      </c>
      <c r="F22" s="114">
        <f>SUMIFS(売上・仕入!$T:$T,売上・仕入!$C:$C,"SL",売上・仕入!$F:$F,$C22,売上・仕入!$G:$G,"4")</f>
        <v>38721539</v>
      </c>
    </row>
    <row r="23" spans="1:6" x14ac:dyDescent="0.4">
      <c r="A23" s="23" t="s">
        <v>3649</v>
      </c>
      <c r="B23" s="24" t="s">
        <v>3647</v>
      </c>
      <c r="C23" s="25">
        <v>900</v>
      </c>
      <c r="D23" s="26" t="s">
        <v>3646</v>
      </c>
      <c r="E23" s="26" t="s">
        <v>3646</v>
      </c>
      <c r="F23" s="114">
        <f>SUM(SUMIFS(売上・仕入!$T:$T,売上・仕入!$C:$C,"SL",売上・仕入!$F:$F,$C23,売上・仕入!$G:$G,"1"),SUMIFS(売上・仕入!$T:$T,売上・仕入!$C:$C,"SL",売上・仕入!$F:$F,$C23,売上・仕入!$G:$G,"2"),SUMIFS(売上・仕入!$T:$T,売上・仕入!$C:$C,"SL",売上・仕入!$F:$F,$C23,売上・仕入!$G:$G,"3"))</f>
        <v>11000</v>
      </c>
    </row>
    <row r="24" spans="1:6" x14ac:dyDescent="0.4">
      <c r="A24" s="28"/>
      <c r="B24" s="29" t="s">
        <v>3650</v>
      </c>
      <c r="C24" s="30">
        <v>110</v>
      </c>
      <c r="D24" s="98">
        <f>SUMIFS(売上・仕入!$T:$T,売上・仕入!$C:$C,"SL",売上・仕入!$F:$F,$C24,売上・仕入!$G:$G,"1")</f>
        <v>22546254</v>
      </c>
      <c r="E24" s="31" t="s">
        <v>3646</v>
      </c>
      <c r="F24" s="32" t="s">
        <v>3646</v>
      </c>
    </row>
    <row r="25" spans="1:6" x14ac:dyDescent="0.4">
      <c r="A25" s="28"/>
      <c r="B25" s="29" t="s">
        <v>3650</v>
      </c>
      <c r="C25" s="30">
        <v>300</v>
      </c>
      <c r="D25" s="98">
        <f>SUMIFS(売上・仕入!$T:$T,売上・仕入!$C:$C,"SL",売上・仕入!$F:$F,$C25,売上・仕入!$G:$G,"1")</f>
        <v>0</v>
      </c>
      <c r="E25" s="31" t="s">
        <v>3646</v>
      </c>
      <c r="F25" s="32" t="s">
        <v>3646</v>
      </c>
    </row>
    <row r="26" spans="1:6" x14ac:dyDescent="0.4">
      <c r="A26" s="28"/>
      <c r="B26" s="29" t="s">
        <v>3650</v>
      </c>
      <c r="C26" s="30">
        <v>400</v>
      </c>
      <c r="D26" s="98">
        <f>SUMIFS(売上・仕入!$T:$T,売上・仕入!$C:$C,"SL",売上・仕入!$F:$F,$C26,売上・仕入!$G:$G,"1")</f>
        <v>49924319</v>
      </c>
      <c r="E26" s="31" t="s">
        <v>3646</v>
      </c>
      <c r="F26" s="32" t="s">
        <v>3646</v>
      </c>
    </row>
    <row r="27" spans="1:6" x14ac:dyDescent="0.4">
      <c r="A27" s="28"/>
      <c r="B27" s="29" t="s">
        <v>3650</v>
      </c>
      <c r="C27" s="30">
        <v>500</v>
      </c>
      <c r="D27" s="98">
        <f>SUMIFS(売上・仕入!$T:$T,売上・仕入!$C:$C,"SL",売上・仕入!$F:$F,$C27,売上・仕入!$G:$G,"1")</f>
        <v>3935013</v>
      </c>
      <c r="E27" s="31" t="s">
        <v>3646</v>
      </c>
      <c r="F27" s="32" t="s">
        <v>3646</v>
      </c>
    </row>
    <row r="28" spans="1:6" x14ac:dyDescent="0.4">
      <c r="A28" s="33"/>
      <c r="B28" s="34" t="s">
        <v>3650</v>
      </c>
      <c r="C28" s="35">
        <v>800</v>
      </c>
      <c r="D28" s="116">
        <f>SUMIFS(売上・仕入!$T:$T,売上・仕入!$C:$C,"SL",売上・仕入!$F:$F,$C28,売上・仕入!$G:$G,"1")</f>
        <v>1001000</v>
      </c>
      <c r="E28" s="36" t="s">
        <v>3646</v>
      </c>
      <c r="F28" s="37" t="s">
        <v>3646</v>
      </c>
    </row>
    <row r="29" spans="1:6" x14ac:dyDescent="0.4">
      <c r="A29" s="38"/>
      <c r="B29" s="39" t="s">
        <v>3650</v>
      </c>
      <c r="C29" s="40">
        <v>950</v>
      </c>
      <c r="D29" s="41" t="s">
        <v>3646</v>
      </c>
      <c r="E29" s="107">
        <f>SUMIFS(売上・仕入!$T:$T,売上・仕入!$C:$C,"SL",売上・仕入!$F:$F,$C29,売上・仕入!$G:$G,"1")</f>
        <v>236292</v>
      </c>
      <c r="F29" s="42" t="s">
        <v>3646</v>
      </c>
    </row>
    <row r="30" spans="1:6" x14ac:dyDescent="0.4">
      <c r="A30" s="38"/>
      <c r="B30" s="39" t="s">
        <v>3650</v>
      </c>
      <c r="C30" s="40">
        <v>900</v>
      </c>
      <c r="D30" s="41" t="s">
        <v>3646</v>
      </c>
      <c r="E30" s="41" t="s">
        <v>3646</v>
      </c>
      <c r="F30" s="42" t="s">
        <v>3646</v>
      </c>
    </row>
    <row r="31" spans="1:6" x14ac:dyDescent="0.4">
      <c r="A31" s="43"/>
      <c r="B31" s="44" t="s">
        <v>3651</v>
      </c>
      <c r="C31" s="45">
        <v>110</v>
      </c>
      <c r="D31" s="101">
        <f>SUMIFS(売上・仕入!$T:$T,売上・仕入!$C:$C,"PR",売上・仕入!$F:$F,$C31,売上・仕入!$G:$G,"4")</f>
        <v>46673433</v>
      </c>
      <c r="E31" s="46" t="s">
        <v>3652</v>
      </c>
      <c r="F31" s="47" t="s">
        <v>3652</v>
      </c>
    </row>
    <row r="32" spans="1:6" x14ac:dyDescent="0.4">
      <c r="A32" s="43"/>
      <c r="B32" s="44" t="s">
        <v>3651</v>
      </c>
      <c r="C32" s="45">
        <v>300</v>
      </c>
      <c r="D32" s="101">
        <f>SUMIFS(売上・仕入!$T:$T,売上・仕入!$C:$C,"PR",売上・仕入!$F:$F,$C32,売上・仕入!$G:$G,"4")</f>
        <v>81013005</v>
      </c>
      <c r="E32" s="46" t="s">
        <v>3652</v>
      </c>
      <c r="F32" s="47" t="s">
        <v>3652</v>
      </c>
    </row>
    <row r="33" spans="1:8" x14ac:dyDescent="0.4">
      <c r="A33" s="43"/>
      <c r="B33" s="44" t="s">
        <v>3651</v>
      </c>
      <c r="C33" s="45">
        <v>400</v>
      </c>
      <c r="D33" s="101">
        <f>SUMIFS(売上・仕入!$T:$T,売上・仕入!$C:$C,"PR",売上・仕入!$F:$F,$C33,売上・仕入!$G:$G,"4")</f>
        <v>54778139</v>
      </c>
      <c r="E33" s="46" t="s">
        <v>3652</v>
      </c>
      <c r="F33" s="47" t="s">
        <v>3652</v>
      </c>
    </row>
    <row r="34" spans="1:8" x14ac:dyDescent="0.4">
      <c r="A34" s="43"/>
      <c r="B34" s="44" t="s">
        <v>3651</v>
      </c>
      <c r="C34" s="45">
        <v>500</v>
      </c>
      <c r="D34" s="101">
        <f>SUMIFS(売上・仕入!$T:$T,売上・仕入!$C:$C,"PR",売上・仕入!$F:$F,$C34,売上・仕入!$G:$G,"4")</f>
        <v>24882610</v>
      </c>
      <c r="E34" s="46" t="s">
        <v>3652</v>
      </c>
      <c r="F34" s="47" t="s">
        <v>3652</v>
      </c>
    </row>
    <row r="35" spans="1:8" x14ac:dyDescent="0.4">
      <c r="A35" s="43"/>
      <c r="B35" s="44" t="s">
        <v>3651</v>
      </c>
      <c r="C35" s="45">
        <v>800</v>
      </c>
      <c r="D35" s="101">
        <f>SUMIFS(売上・仕入!$T:$T,売上・仕入!$C:$C,"PR",売上・仕入!$F:$F,$C35,売上・仕入!$G:$G,"4")</f>
        <v>70258084</v>
      </c>
      <c r="E35" s="46" t="s">
        <v>3652</v>
      </c>
      <c r="F35" s="47" t="s">
        <v>3652</v>
      </c>
    </row>
    <row r="36" spans="1:8" x14ac:dyDescent="0.4">
      <c r="A36" s="48"/>
      <c r="B36" s="49" t="s">
        <v>3651</v>
      </c>
      <c r="C36" s="50">
        <v>950</v>
      </c>
      <c r="D36" s="51" t="s">
        <v>3646</v>
      </c>
      <c r="E36" s="109">
        <f>SUMIFS(売上・仕入!$T:$T,売上・仕入!$C:$C,"PR",売上・仕入!$F:$F,$C36,売上・仕入!$G:$G,"4")</f>
        <v>0</v>
      </c>
      <c r="F36" s="52" t="s">
        <v>3646</v>
      </c>
    </row>
    <row r="37" spans="1:8" x14ac:dyDescent="0.4">
      <c r="A37" s="48"/>
      <c r="B37" s="49" t="s">
        <v>3651</v>
      </c>
      <c r="C37" s="50">
        <v>900</v>
      </c>
      <c r="D37" s="51" t="s">
        <v>3646</v>
      </c>
      <c r="E37" s="51" t="s">
        <v>3646</v>
      </c>
      <c r="F37" s="115">
        <f>SUMIFS(売上・仕入!$T:$T,売上・仕入!$C:$C,"PR",売上・仕入!$F:$F,$C37,売上・仕入!$G:$G,"4")</f>
        <v>0</v>
      </c>
    </row>
    <row r="38" spans="1:8" x14ac:dyDescent="0.4">
      <c r="A38" s="53"/>
      <c r="B38" s="54" t="s">
        <v>3653</v>
      </c>
      <c r="C38" s="55">
        <v>110</v>
      </c>
      <c r="D38" s="102">
        <f>SUMIFS(売上・仕入!$T:$T,売上・仕入!$C:$C,"PR",売上・仕入!$F:$F,$C38,売上・仕入!$G:$G,"1")</f>
        <v>22505112</v>
      </c>
      <c r="E38" s="56" t="s">
        <v>3652</v>
      </c>
      <c r="F38" s="57" t="s">
        <v>3652</v>
      </c>
    </row>
    <row r="39" spans="1:8" x14ac:dyDescent="0.4">
      <c r="A39" s="53"/>
      <c r="B39" s="54" t="s">
        <v>3653</v>
      </c>
      <c r="C39" s="55">
        <v>300</v>
      </c>
      <c r="D39" s="102">
        <f>SUMIFS(売上・仕入!$T:$T,売上・仕入!$C:$C,"PR",売上・仕入!$F:$F,$C39,売上・仕入!$G:$G,"1")</f>
        <v>0</v>
      </c>
      <c r="E39" s="56" t="s">
        <v>3652</v>
      </c>
      <c r="F39" s="57" t="s">
        <v>3652</v>
      </c>
    </row>
    <row r="40" spans="1:8" ht="18.75" x14ac:dyDescent="0.4">
      <c r="A40" s="53"/>
      <c r="B40" s="54" t="s">
        <v>3653</v>
      </c>
      <c r="C40" s="55">
        <v>400</v>
      </c>
      <c r="D40" s="102">
        <f>SUMIFS(売上・仕入!$T:$T,売上・仕入!$C:$C,"PR",売上・仕入!$F:$F,$C40,売上・仕入!$G:$G,"1")</f>
        <v>41122159</v>
      </c>
      <c r="E40" s="56" t="s">
        <v>3652</v>
      </c>
      <c r="F40" s="57" t="s">
        <v>3652</v>
      </c>
      <c r="H40"/>
    </row>
    <row r="41" spans="1:8" ht="18.75" x14ac:dyDescent="0.4">
      <c r="A41" s="53"/>
      <c r="B41" s="54" t="s">
        <v>3653</v>
      </c>
      <c r="C41" s="55">
        <v>500</v>
      </c>
      <c r="D41" s="102">
        <f>SUMIFS(売上・仕入!$T:$T,売上・仕入!$C:$C,"PR",売上・仕入!$F:$F,$C41,売上・仕入!$G:$G,"1")</f>
        <v>3934700</v>
      </c>
      <c r="E41" s="56" t="s">
        <v>3652</v>
      </c>
      <c r="F41" s="57" t="s">
        <v>3652</v>
      </c>
      <c r="H41"/>
    </row>
    <row r="42" spans="1:8" ht="18.75" x14ac:dyDescent="0.4">
      <c r="A42" s="53"/>
      <c r="B42" s="54" t="s">
        <v>3653</v>
      </c>
      <c r="C42" s="55">
        <v>800</v>
      </c>
      <c r="D42" s="102">
        <f>SUMIFS(売上・仕入!$T:$T,売上・仕入!$C:$C,"PR",売上・仕入!$F:$F,$C42,売上・仕入!$G:$G,"1")</f>
        <v>1001000</v>
      </c>
      <c r="E42" s="56" t="s">
        <v>3652</v>
      </c>
      <c r="F42" s="57" t="s">
        <v>3652</v>
      </c>
      <c r="H42"/>
    </row>
    <row r="43" spans="1:8" ht="18.75" x14ac:dyDescent="0.4">
      <c r="A43" s="58" t="s">
        <v>3654</v>
      </c>
      <c r="B43" s="59" t="s">
        <v>3655</v>
      </c>
      <c r="C43" s="60">
        <v>950</v>
      </c>
      <c r="D43" s="61" t="s">
        <v>3646</v>
      </c>
      <c r="E43" s="108">
        <f>SUMIFS(売上・仕入!$T:$T,売上・仕入!$C:$C,"PR",売上・仕入!$F:$F,$C43,売上・仕入!$G:$G,"1")</f>
        <v>72269092</v>
      </c>
      <c r="F43" s="62" t="s">
        <v>3646</v>
      </c>
      <c r="H43"/>
    </row>
    <row r="44" spans="1:8" ht="18.75" x14ac:dyDescent="0.4">
      <c r="A44" s="58" t="s">
        <v>3649</v>
      </c>
      <c r="B44" s="59" t="s">
        <v>3653</v>
      </c>
      <c r="C44" s="60">
        <v>950</v>
      </c>
      <c r="D44" s="61" t="s">
        <v>3646</v>
      </c>
      <c r="E44" s="108">
        <f>SUM(SUMIFS(売上・仕入!$T:$T,売上・仕入!$C:$C,"PR",売上・仕入!$F:$F,$C44,売上・仕入!$G:$G,"2"),SUMIFS(売上・仕入!$T:$T,売上・仕入!$C:$C,"PR",売上・仕入!$F:$F,$C44,売上・仕入!$G:$G,"3"))</f>
        <v>5422698</v>
      </c>
      <c r="F44" s="62" t="s">
        <v>3646</v>
      </c>
      <c r="H44"/>
    </row>
    <row r="45" spans="1:8" ht="18.75" x14ac:dyDescent="0.4">
      <c r="A45" s="58" t="s">
        <v>3654</v>
      </c>
      <c r="B45" s="59" t="s">
        <v>3653</v>
      </c>
      <c r="C45" s="60">
        <v>900</v>
      </c>
      <c r="D45" s="61" t="s">
        <v>3646</v>
      </c>
      <c r="E45" s="61" t="s">
        <v>3646</v>
      </c>
      <c r="F45" s="117">
        <f>SUMIFS(売上・仕入!$T:$T,売上・仕入!$C:$C,"PR",売上・仕入!$F:$F,$C45,売上・仕入!$G:$G,"1")</f>
        <v>23296945</v>
      </c>
      <c r="H45"/>
    </row>
    <row r="46" spans="1:8" ht="18.75" x14ac:dyDescent="0.4">
      <c r="A46" s="58" t="s">
        <v>3649</v>
      </c>
      <c r="B46" s="59" t="s">
        <v>3653</v>
      </c>
      <c r="C46" s="60">
        <v>900</v>
      </c>
      <c r="D46" s="61" t="s">
        <v>3646</v>
      </c>
      <c r="E46" s="61" t="s">
        <v>3646</v>
      </c>
      <c r="F46" s="117">
        <f>SUM(SUMIFS(売上・仕入!$T:$T,売上・仕入!$C:$C,"PR",売上・仕入!$F:$F,$C46,売上・仕入!$G:$G,"2"),SUMIFS(売上・仕入!$T:$T,売上・仕入!$C:$C,"PR",売上・仕入!$F:$F,$C46,売上・仕入!$G:$G,"3"))</f>
        <v>0</v>
      </c>
      <c r="H46"/>
    </row>
    <row r="47" spans="1:8" ht="18.75" x14ac:dyDescent="0.4">
      <c r="A47" s="63"/>
      <c r="B47" s="64" t="s">
        <v>3656</v>
      </c>
      <c r="C47" s="65" t="s">
        <v>4170</v>
      </c>
      <c r="D47" s="96">
        <f>SUMIFS(在庫_オーノ!H:H,在庫_オーノ!B:B,C47,在庫_オーノ!C:C,"製品")</f>
        <v>22715318</v>
      </c>
      <c r="E47" s="66" t="s">
        <v>3652</v>
      </c>
      <c r="F47" s="67" t="s">
        <v>3652</v>
      </c>
      <c r="H47"/>
    </row>
    <row r="48" spans="1:8" ht="18.75" x14ac:dyDescent="0.4">
      <c r="A48" s="63"/>
      <c r="B48" s="64" t="s">
        <v>3656</v>
      </c>
      <c r="C48" s="65">
        <v>300</v>
      </c>
      <c r="D48" s="96">
        <f>SUMIFS(在庫_オーノ!H:H,在庫_オーノ!B:B,C48,在庫_オーノ!C:C,"製品")</f>
        <v>50000</v>
      </c>
      <c r="E48" s="66" t="s">
        <v>3652</v>
      </c>
      <c r="F48" s="67" t="s">
        <v>3652</v>
      </c>
      <c r="H48"/>
    </row>
    <row r="49" spans="1:8" ht="18.75" x14ac:dyDescent="0.4">
      <c r="A49" s="63"/>
      <c r="B49" s="64" t="s">
        <v>3656</v>
      </c>
      <c r="C49" s="65">
        <v>400</v>
      </c>
      <c r="D49" s="96">
        <f>SUMIFS(在庫_オーノ!H:H,在庫_オーノ!B:B,C49,在庫_オーノ!C:C,"製品")</f>
        <v>33117607</v>
      </c>
      <c r="E49" s="66" t="s">
        <v>3652</v>
      </c>
      <c r="F49" s="67" t="s">
        <v>3652</v>
      </c>
      <c r="H49"/>
    </row>
    <row r="50" spans="1:8" ht="18.75" x14ac:dyDescent="0.4">
      <c r="A50" s="63"/>
      <c r="B50" s="64" t="s">
        <v>3656</v>
      </c>
      <c r="C50" s="65">
        <v>500</v>
      </c>
      <c r="D50" s="96">
        <f>SUMIFS(在庫_オーノ!H:H,在庫_オーノ!B:B,C50,在庫_オーノ!C:C,"製品")</f>
        <v>39467587</v>
      </c>
      <c r="E50" s="66" t="s">
        <v>3652</v>
      </c>
      <c r="F50" s="67" t="s">
        <v>3652</v>
      </c>
      <c r="H50"/>
    </row>
    <row r="51" spans="1:8" ht="18.75" x14ac:dyDescent="0.4">
      <c r="A51" s="63" t="s">
        <v>3648</v>
      </c>
      <c r="B51" s="64" t="s">
        <v>3656</v>
      </c>
      <c r="C51" s="65">
        <v>800</v>
      </c>
      <c r="D51" s="96">
        <f>SUMIFS(在庫_オーノ!H:H,在庫_オーノ!B:B,C51,在庫_オーノ!C:C,"製品")</f>
        <v>23089997</v>
      </c>
      <c r="E51" s="66" t="s">
        <v>3652</v>
      </c>
      <c r="F51" s="67" t="s">
        <v>3652</v>
      </c>
      <c r="H51"/>
    </row>
    <row r="52" spans="1:8" ht="18.75" x14ac:dyDescent="0.4">
      <c r="A52" s="63" t="s">
        <v>3657</v>
      </c>
      <c r="B52" s="64" t="s">
        <v>3656</v>
      </c>
      <c r="C52" s="65">
        <v>800</v>
      </c>
      <c r="D52" s="96">
        <f>SUMIFS(在庫_オーノ!H:H,在庫_オーノ!B:B,C52,在庫_オーノ!C:C,"加工在庫")</f>
        <v>0</v>
      </c>
      <c r="E52" s="66" t="s">
        <v>3652</v>
      </c>
      <c r="F52" s="67" t="s">
        <v>3652</v>
      </c>
      <c r="H52"/>
    </row>
    <row r="53" spans="1:8" ht="18.75" x14ac:dyDescent="0.4">
      <c r="A53" s="68"/>
      <c r="B53" s="69" t="s">
        <v>3656</v>
      </c>
      <c r="C53" s="70">
        <v>950</v>
      </c>
      <c r="D53" s="71" t="s">
        <v>3646</v>
      </c>
      <c r="E53" s="105">
        <f>SUMIFS(在庫_カーペット!H:H,在庫_カーペット!B:B,$C53,在庫_カーペット!C:C,"製品")</f>
        <v>2279812</v>
      </c>
      <c r="F53" s="72" t="s">
        <v>3646</v>
      </c>
      <c r="H53"/>
    </row>
    <row r="54" spans="1:8" ht="18.75" x14ac:dyDescent="0.4">
      <c r="A54" s="68"/>
      <c r="B54" s="69" t="s">
        <v>3656</v>
      </c>
      <c r="C54" s="70">
        <v>900</v>
      </c>
      <c r="D54" s="71" t="s">
        <v>3646</v>
      </c>
      <c r="E54" s="71" t="s">
        <v>3646</v>
      </c>
      <c r="F54" s="113">
        <f ca="1">SUMIFS(在庫_ダスコン!I:I,在庫_ダスコン!C:C,$C54,在庫_ダスコン!D:D,"製品")</f>
        <v>0</v>
      </c>
      <c r="H54"/>
    </row>
    <row r="55" spans="1:8" ht="18.75" x14ac:dyDescent="0.4">
      <c r="A55" s="73"/>
      <c r="B55" s="74" t="s">
        <v>3658</v>
      </c>
      <c r="C55" s="75">
        <v>110</v>
      </c>
      <c r="D55" s="94">
        <f>SUMIFS(在庫_オーノ!H:H,在庫_オーノ!B:B,C55,在庫_オーノ!C:C,"原材料")</f>
        <v>1949449</v>
      </c>
      <c r="E55" s="76" t="s">
        <v>3652</v>
      </c>
      <c r="F55" s="77" t="s">
        <v>3652</v>
      </c>
      <c r="H55"/>
    </row>
    <row r="56" spans="1:8" ht="18.75" x14ac:dyDescent="0.4">
      <c r="A56" s="73"/>
      <c r="B56" s="74" t="s">
        <v>3658</v>
      </c>
      <c r="C56" s="75">
        <v>300</v>
      </c>
      <c r="D56" s="94">
        <f>SUMIFS(在庫_オーノ!H:H,在庫_オーノ!B:B,C56,在庫_オーノ!C:C,"原材料")</f>
        <v>0</v>
      </c>
      <c r="E56" s="76" t="s">
        <v>3652</v>
      </c>
      <c r="F56" s="77" t="s">
        <v>3652</v>
      </c>
      <c r="H56"/>
    </row>
    <row r="57" spans="1:8" ht="18.75" x14ac:dyDescent="0.4">
      <c r="A57" s="73"/>
      <c r="B57" s="74" t="s">
        <v>3658</v>
      </c>
      <c r="C57" s="75">
        <v>400</v>
      </c>
      <c r="D57" s="94">
        <f>SUMIFS(在庫_オーノ!H:H,在庫_オーノ!B:B,C57,在庫_オーノ!C:C,"原材料")</f>
        <v>4414316</v>
      </c>
      <c r="E57" s="76" t="s">
        <v>3652</v>
      </c>
      <c r="F57" s="77" t="s">
        <v>3652</v>
      </c>
      <c r="H57"/>
    </row>
    <row r="58" spans="1:8" ht="18.75" x14ac:dyDescent="0.4">
      <c r="A58" s="73"/>
      <c r="B58" s="74" t="s">
        <v>3658</v>
      </c>
      <c r="C58" s="75">
        <v>500</v>
      </c>
      <c r="D58" s="94">
        <f>SUMIFS(在庫_オーノ!H:H,在庫_オーノ!B:B,C58,在庫_オーノ!C:C,"原材料")</f>
        <v>0</v>
      </c>
      <c r="E58" s="76" t="s">
        <v>3652</v>
      </c>
      <c r="F58" s="77" t="s">
        <v>3652</v>
      </c>
      <c r="H58"/>
    </row>
    <row r="59" spans="1:8" ht="18.75" x14ac:dyDescent="0.4">
      <c r="A59" s="73"/>
      <c r="B59" s="74" t="s">
        <v>3658</v>
      </c>
      <c r="C59" s="75">
        <v>800</v>
      </c>
      <c r="D59" s="95">
        <f>SUMIFS(在庫_オーノ!H:H,在庫_オーノ!B:B,C59,在庫_オーノ!C:C,"原材料")</f>
        <v>0</v>
      </c>
      <c r="E59" s="76" t="s">
        <v>3652</v>
      </c>
      <c r="F59" s="77" t="s">
        <v>3652</v>
      </c>
      <c r="H59"/>
    </row>
    <row r="60" spans="1:8" ht="18.75" x14ac:dyDescent="0.4">
      <c r="A60" s="78"/>
      <c r="B60" s="79" t="s">
        <v>3658</v>
      </c>
      <c r="C60" s="80">
        <v>950</v>
      </c>
      <c r="D60" s="81" t="s">
        <v>3646</v>
      </c>
      <c r="E60" s="103">
        <f>SUMIFS(在庫_カーペット!H:H,在庫_カーペット!B:B,$C60,在庫_カーペット!C:C,"原材料")</f>
        <v>56394505</v>
      </c>
      <c r="F60" s="82" t="s">
        <v>3646</v>
      </c>
      <c r="H60"/>
    </row>
    <row r="61" spans="1:8" ht="18.75" x14ac:dyDescent="0.4">
      <c r="A61" s="78"/>
      <c r="B61" s="79" t="s">
        <v>3658</v>
      </c>
      <c r="C61" s="80">
        <v>900</v>
      </c>
      <c r="D61" s="81" t="s">
        <v>3646</v>
      </c>
      <c r="E61" s="81" t="s">
        <v>3646</v>
      </c>
      <c r="F61" s="110">
        <f>SUMIFS(在庫_ダスコン!H:H,在庫_ダスコン!B:B,C61,在庫_ダスコン!C:C,"原材料")</f>
        <v>44891826</v>
      </c>
      <c r="H61"/>
    </row>
    <row r="62" spans="1:8" ht="18.75" x14ac:dyDescent="0.4">
      <c r="A62" s="83" t="s">
        <v>3659</v>
      </c>
      <c r="B62" s="84" t="s">
        <v>3660</v>
      </c>
      <c r="C62" s="85">
        <v>950</v>
      </c>
      <c r="D62" s="86" t="s">
        <v>3646</v>
      </c>
      <c r="E62" s="104">
        <f>SUMIFS(在庫_カーペット!H:H,在庫_カーペット!B:B,$C62,在庫_カーペット!C:C,"タフト半製品")</f>
        <v>10044646</v>
      </c>
      <c r="F62" s="87" t="s">
        <v>3646</v>
      </c>
      <c r="H62"/>
    </row>
    <row r="63" spans="1:8" ht="18.75" x14ac:dyDescent="0.4">
      <c r="A63" s="83" t="s">
        <v>3661</v>
      </c>
      <c r="B63" s="84" t="s">
        <v>3662</v>
      </c>
      <c r="C63" s="85">
        <v>950</v>
      </c>
      <c r="D63" s="86" t="s">
        <v>3646</v>
      </c>
      <c r="E63" s="104">
        <f>SUMIFS(在庫_カーペット!H:H,在庫_カーペット!B:B,$C63,在庫_カーペット!C:C,"コーティング半製品")</f>
        <v>0</v>
      </c>
      <c r="F63" s="87" t="s">
        <v>3646</v>
      </c>
      <c r="H63"/>
    </row>
    <row r="64" spans="1:8" ht="18.75" x14ac:dyDescent="0.4">
      <c r="A64" s="83" t="s">
        <v>3659</v>
      </c>
      <c r="B64" s="84" t="s">
        <v>3660</v>
      </c>
      <c r="C64" s="85">
        <v>900</v>
      </c>
      <c r="D64" s="86" t="s">
        <v>3646</v>
      </c>
      <c r="E64" s="86" t="s">
        <v>3646</v>
      </c>
      <c r="F64" s="112">
        <f>SUMIFS(在庫_ダスコン!H:H,在庫_ダスコン!B:B,C64,在庫_ダスコン!C:C,"タフト半製品")</f>
        <v>0</v>
      </c>
      <c r="H64"/>
    </row>
    <row r="65" spans="1:8" ht="18.75" x14ac:dyDescent="0.4">
      <c r="A65" s="88" t="s">
        <v>3661</v>
      </c>
      <c r="B65" s="89" t="s">
        <v>3662</v>
      </c>
      <c r="C65" s="90">
        <v>900</v>
      </c>
      <c r="D65" s="91" t="s">
        <v>3646</v>
      </c>
      <c r="E65" s="91" t="s">
        <v>3646</v>
      </c>
      <c r="F65" s="111">
        <f>SUM(SUMIFS(在庫_ダスコン!H:H,在庫_ダスコン!B:B,C65,在庫_ダスコン!C:C,"タフト半製品"),SUMIFS(在庫_ダスコン!H:H,在庫_ダスコン!B:B,C65,在庫_ダスコン!C:C,"コーティング半製品"))</f>
        <v>63557286</v>
      </c>
      <c r="H65"/>
    </row>
    <row r="66" spans="1:8" ht="18.75" x14ac:dyDescent="0.4">
      <c r="H66"/>
    </row>
    <row r="67" spans="1:8" ht="18.75" x14ac:dyDescent="0.4">
      <c r="A67"/>
      <c r="B67"/>
      <c r="H67"/>
    </row>
    <row r="68" spans="1:8" ht="18.75" x14ac:dyDescent="0.4">
      <c r="A68"/>
      <c r="B68"/>
      <c r="H68"/>
    </row>
    <row r="69" spans="1:8" ht="18.75" x14ac:dyDescent="0.4">
      <c r="A69"/>
      <c r="B69"/>
      <c r="H69"/>
    </row>
    <row r="70" spans="1:8" ht="18.75" x14ac:dyDescent="0.4">
      <c r="A70"/>
      <c r="B70"/>
      <c r="H70"/>
    </row>
    <row r="71" spans="1:8" ht="18.75" x14ac:dyDescent="0.4">
      <c r="A71"/>
      <c r="B71"/>
      <c r="H71"/>
    </row>
    <row r="72" spans="1:8" ht="18.75" x14ac:dyDescent="0.4">
      <c r="A72"/>
      <c r="B72"/>
      <c r="H72"/>
    </row>
    <row r="73" spans="1:8" ht="18.75" x14ac:dyDescent="0.4">
      <c r="A73"/>
      <c r="B73"/>
      <c r="H73"/>
    </row>
    <row r="74" spans="1:8" ht="18.75" x14ac:dyDescent="0.4">
      <c r="A74"/>
      <c r="B74"/>
      <c r="H74"/>
    </row>
    <row r="75" spans="1:8" ht="18.75" x14ac:dyDescent="0.4">
      <c r="A75"/>
      <c r="B75"/>
      <c r="H75"/>
    </row>
    <row r="76" spans="1:8" ht="18.75" x14ac:dyDescent="0.4">
      <c r="A76"/>
      <c r="B76"/>
      <c r="H76"/>
    </row>
    <row r="77" spans="1:8" ht="18.75" x14ac:dyDescent="0.4">
      <c r="A77"/>
      <c r="B77"/>
      <c r="H77"/>
    </row>
    <row r="78" spans="1:8" ht="18.75" x14ac:dyDescent="0.4">
      <c r="A78"/>
      <c r="B78"/>
      <c r="H78"/>
    </row>
    <row r="79" spans="1:8" ht="18.75" x14ac:dyDescent="0.4">
      <c r="A79"/>
      <c r="B79"/>
      <c r="H79"/>
    </row>
    <row r="80" spans="1:8" ht="18.75" x14ac:dyDescent="0.4">
      <c r="A80"/>
      <c r="B80"/>
      <c r="H80"/>
    </row>
    <row r="81" spans="1:8" ht="18.75" x14ac:dyDescent="0.4">
      <c r="A81"/>
      <c r="B81"/>
      <c r="H81"/>
    </row>
    <row r="82" spans="1:8" ht="18.75" x14ac:dyDescent="0.4">
      <c r="A82"/>
      <c r="B82"/>
      <c r="H82"/>
    </row>
    <row r="83" spans="1:8" ht="18.75" x14ac:dyDescent="0.4">
      <c r="A83"/>
      <c r="B83"/>
      <c r="H83"/>
    </row>
    <row r="84" spans="1:8" ht="18.75" x14ac:dyDescent="0.4">
      <c r="A84"/>
      <c r="B84"/>
      <c r="H84"/>
    </row>
    <row r="85" spans="1:8" ht="18.75" x14ac:dyDescent="0.4">
      <c r="A85"/>
      <c r="B85"/>
      <c r="H85"/>
    </row>
    <row r="86" spans="1:8" ht="18.75" x14ac:dyDescent="0.4">
      <c r="A86"/>
      <c r="B86"/>
      <c r="H86"/>
    </row>
    <row r="87" spans="1:8" ht="18.75" x14ac:dyDescent="0.4">
      <c r="A87"/>
      <c r="B87"/>
      <c r="H87"/>
    </row>
    <row r="88" spans="1:8" ht="18.75" x14ac:dyDescent="0.4">
      <c r="A88"/>
      <c r="B88"/>
      <c r="H88"/>
    </row>
    <row r="89" spans="1:8" ht="18.75" x14ac:dyDescent="0.4">
      <c r="A89"/>
      <c r="B89"/>
      <c r="H89"/>
    </row>
    <row r="90" spans="1:8" ht="18.75" x14ac:dyDescent="0.4">
      <c r="A90"/>
      <c r="B90"/>
      <c r="H90"/>
    </row>
    <row r="91" spans="1:8" ht="18.75" x14ac:dyDescent="0.4">
      <c r="A91"/>
      <c r="B91"/>
      <c r="H91"/>
    </row>
    <row r="92" spans="1:8" ht="18.75" x14ac:dyDescent="0.4">
      <c r="A92"/>
      <c r="B92"/>
      <c r="H92"/>
    </row>
    <row r="93" spans="1:8" ht="18.75" x14ac:dyDescent="0.4">
      <c r="A93"/>
      <c r="B93"/>
      <c r="H93"/>
    </row>
    <row r="94" spans="1:8" ht="18.75" x14ac:dyDescent="0.4">
      <c r="A94"/>
      <c r="B94"/>
      <c r="H94"/>
    </row>
    <row r="95" spans="1:8" ht="18.75" x14ac:dyDescent="0.4">
      <c r="A95"/>
      <c r="B95"/>
      <c r="H95"/>
    </row>
    <row r="96" spans="1:8" ht="18.75" x14ac:dyDescent="0.4">
      <c r="A96"/>
      <c r="B96"/>
      <c r="H96"/>
    </row>
    <row r="97" spans="1:8" ht="18.75" x14ac:dyDescent="0.4">
      <c r="A97"/>
      <c r="B97"/>
      <c r="H97"/>
    </row>
    <row r="98" spans="1:8" ht="18.75" x14ac:dyDescent="0.4">
      <c r="A98"/>
      <c r="B98"/>
      <c r="H98"/>
    </row>
    <row r="99" spans="1:8" ht="18.75" x14ac:dyDescent="0.4">
      <c r="A99"/>
      <c r="B99"/>
      <c r="H99"/>
    </row>
    <row r="100" spans="1:8" ht="18.75" x14ac:dyDescent="0.4">
      <c r="A100"/>
      <c r="B100"/>
      <c r="H100"/>
    </row>
    <row r="101" spans="1:8" ht="18.75" x14ac:dyDescent="0.4">
      <c r="A101"/>
      <c r="B101"/>
      <c r="H101"/>
    </row>
    <row r="102" spans="1:8" ht="18.75" x14ac:dyDescent="0.4">
      <c r="A102"/>
      <c r="B102"/>
      <c r="H102"/>
    </row>
    <row r="103" spans="1:8" ht="18.75" x14ac:dyDescent="0.4">
      <c r="A103"/>
      <c r="B103"/>
      <c r="H103"/>
    </row>
    <row r="104" spans="1:8" ht="18.75" x14ac:dyDescent="0.4">
      <c r="A104"/>
      <c r="B104"/>
      <c r="H104"/>
    </row>
    <row r="105" spans="1:8" ht="18.75" x14ac:dyDescent="0.4">
      <c r="A105"/>
      <c r="B105"/>
      <c r="H105"/>
    </row>
    <row r="106" spans="1:8" ht="18.75" x14ac:dyDescent="0.4">
      <c r="A106"/>
      <c r="B106"/>
      <c r="H106"/>
    </row>
    <row r="107" spans="1:8" ht="18.75" x14ac:dyDescent="0.4">
      <c r="A107"/>
      <c r="B107"/>
      <c r="H107"/>
    </row>
    <row r="108" spans="1:8" ht="18.75" x14ac:dyDescent="0.4">
      <c r="A108"/>
      <c r="B108"/>
      <c r="H108"/>
    </row>
    <row r="109" spans="1:8" ht="18.75" x14ac:dyDescent="0.4">
      <c r="A109"/>
      <c r="B109"/>
      <c r="H109"/>
    </row>
    <row r="110" spans="1:8" ht="18.75" x14ac:dyDescent="0.4">
      <c r="A110"/>
      <c r="B110"/>
      <c r="H110"/>
    </row>
    <row r="111" spans="1:8" ht="18.75" x14ac:dyDescent="0.4">
      <c r="A111"/>
      <c r="B111"/>
    </row>
    <row r="112" spans="1:8" ht="18.75" x14ac:dyDescent="0.4">
      <c r="A112"/>
      <c r="B112"/>
    </row>
    <row r="113" spans="1:2" ht="18.75" x14ac:dyDescent="0.4">
      <c r="A113"/>
      <c r="B113"/>
    </row>
    <row r="114" spans="1:2" ht="18.75" x14ac:dyDescent="0.4">
      <c r="A114"/>
      <c r="B114"/>
    </row>
    <row r="115" spans="1:2" ht="18.75" x14ac:dyDescent="0.4">
      <c r="A115"/>
      <c r="B115"/>
    </row>
    <row r="116" spans="1:2" ht="18.75" x14ac:dyDescent="0.4">
      <c r="A116"/>
      <c r="B116"/>
    </row>
    <row r="117" spans="1:2" ht="18.75" x14ac:dyDescent="0.4">
      <c r="A117"/>
      <c r="B117"/>
    </row>
    <row r="118" spans="1:2" ht="18.75" x14ac:dyDescent="0.4">
      <c r="A118"/>
      <c r="B118"/>
    </row>
    <row r="119" spans="1:2" ht="18.75" x14ac:dyDescent="0.4">
      <c r="A119"/>
      <c r="B119"/>
    </row>
    <row r="120" spans="1:2" ht="18.75" x14ac:dyDescent="0.4">
      <c r="A120"/>
      <c r="B120"/>
    </row>
    <row r="121" spans="1:2" ht="18.75" x14ac:dyDescent="0.4">
      <c r="A121"/>
      <c r="B121"/>
    </row>
    <row r="122" spans="1:2" ht="18.75" x14ac:dyDescent="0.4">
      <c r="A122"/>
      <c r="B122"/>
    </row>
    <row r="123" spans="1:2" ht="18.75" x14ac:dyDescent="0.4">
      <c r="A123"/>
      <c r="B123"/>
    </row>
    <row r="124" spans="1:2" ht="18.75" x14ac:dyDescent="0.4">
      <c r="A124"/>
      <c r="B124"/>
    </row>
    <row r="125" spans="1:2" ht="18.75" x14ac:dyDescent="0.4">
      <c r="A125"/>
      <c r="B125"/>
    </row>
    <row r="126" spans="1:2" ht="18.75" x14ac:dyDescent="0.4">
      <c r="A126"/>
      <c r="B126"/>
    </row>
    <row r="127" spans="1:2" ht="18.75" x14ac:dyDescent="0.4">
      <c r="A127"/>
      <c r="B127"/>
    </row>
    <row r="128" spans="1:2" ht="18.75" x14ac:dyDescent="0.4">
      <c r="A128"/>
      <c r="B128"/>
    </row>
    <row r="129" spans="1:2" ht="18.75" x14ac:dyDescent="0.4">
      <c r="A129"/>
      <c r="B129"/>
    </row>
    <row r="130" spans="1:2" ht="18.75" x14ac:dyDescent="0.4">
      <c r="A130"/>
      <c r="B130"/>
    </row>
    <row r="131" spans="1:2" ht="18.75" x14ac:dyDescent="0.4">
      <c r="A131"/>
      <c r="B131"/>
    </row>
    <row r="132" spans="1:2" ht="18.75" x14ac:dyDescent="0.4">
      <c r="A132"/>
      <c r="B132"/>
    </row>
    <row r="133" spans="1:2" ht="18.75" x14ac:dyDescent="0.4">
      <c r="A133"/>
      <c r="B133"/>
    </row>
    <row r="134" spans="1:2" ht="18.75" x14ac:dyDescent="0.4">
      <c r="A134"/>
      <c r="B134"/>
    </row>
    <row r="135" spans="1:2" ht="18.75" x14ac:dyDescent="0.4">
      <c r="A135"/>
      <c r="B135"/>
    </row>
    <row r="136" spans="1:2" ht="18.75" x14ac:dyDescent="0.4">
      <c r="A136"/>
      <c r="B136"/>
    </row>
    <row r="137" spans="1:2" ht="18.75" x14ac:dyDescent="0.4">
      <c r="A137"/>
      <c r="B137"/>
    </row>
    <row r="138" spans="1:2" ht="18.75" x14ac:dyDescent="0.4">
      <c r="A138"/>
      <c r="B138"/>
    </row>
    <row r="139" spans="1:2" ht="18.75" x14ac:dyDescent="0.4">
      <c r="A139"/>
      <c r="B139"/>
    </row>
    <row r="140" spans="1:2" ht="18.75" x14ac:dyDescent="0.4">
      <c r="A140"/>
      <c r="B140"/>
    </row>
    <row r="141" spans="1:2" ht="18.75" x14ac:dyDescent="0.4">
      <c r="A141"/>
      <c r="B141"/>
    </row>
    <row r="142" spans="1:2" ht="18.75" x14ac:dyDescent="0.4">
      <c r="A142"/>
      <c r="B142"/>
    </row>
    <row r="143" spans="1:2" ht="18.75" x14ac:dyDescent="0.4">
      <c r="A143"/>
      <c r="B143"/>
    </row>
    <row r="144" spans="1:2" ht="18.75" x14ac:dyDescent="0.4">
      <c r="A144"/>
      <c r="B144"/>
    </row>
    <row r="145" spans="1:2" ht="18.75" x14ac:dyDescent="0.4">
      <c r="A145"/>
      <c r="B145"/>
    </row>
    <row r="146" spans="1:2" ht="18.75" x14ac:dyDescent="0.4">
      <c r="A146"/>
      <c r="B146"/>
    </row>
    <row r="147" spans="1:2" ht="18.75" x14ac:dyDescent="0.4">
      <c r="A147"/>
      <c r="B147"/>
    </row>
    <row r="148" spans="1:2" ht="18.75" x14ac:dyDescent="0.4">
      <c r="A148"/>
      <c r="B148"/>
    </row>
    <row r="149" spans="1:2" ht="18.75" x14ac:dyDescent="0.4">
      <c r="A149"/>
      <c r="B149"/>
    </row>
    <row r="150" spans="1:2" ht="18.75" x14ac:dyDescent="0.4">
      <c r="A150"/>
      <c r="B150"/>
    </row>
    <row r="151" spans="1:2" ht="18.75" x14ac:dyDescent="0.4">
      <c r="A151"/>
      <c r="B151"/>
    </row>
    <row r="152" spans="1:2" ht="18.75" x14ac:dyDescent="0.4">
      <c r="A152"/>
      <c r="B152"/>
    </row>
    <row r="153" spans="1:2" ht="18.75" x14ac:dyDescent="0.4">
      <c r="A153"/>
      <c r="B153"/>
    </row>
    <row r="154" spans="1:2" ht="18.75" x14ac:dyDescent="0.4">
      <c r="A154"/>
      <c r="B154"/>
    </row>
    <row r="155" spans="1:2" ht="18.75" x14ac:dyDescent="0.4">
      <c r="A155"/>
      <c r="B155"/>
    </row>
    <row r="156" spans="1:2" ht="18.75" x14ac:dyDescent="0.4">
      <c r="A156"/>
      <c r="B156"/>
    </row>
    <row r="157" spans="1:2" ht="18.75" x14ac:dyDescent="0.4">
      <c r="A157"/>
      <c r="B157"/>
    </row>
    <row r="158" spans="1:2" ht="18.75" x14ac:dyDescent="0.4">
      <c r="A158"/>
      <c r="B158"/>
    </row>
    <row r="159" spans="1:2" ht="18.75" x14ac:dyDescent="0.4">
      <c r="A159"/>
      <c r="B159"/>
    </row>
    <row r="160" spans="1:2" ht="18.75" x14ac:dyDescent="0.4">
      <c r="A160"/>
      <c r="B160"/>
    </row>
  </sheetData>
  <autoFilter ref="A14:F65" xr:uid="{D62903CE-AAF3-40CF-B797-713549511615}"/>
  <mergeCells count="5">
    <mergeCell ref="A2:C2"/>
    <mergeCell ref="D2:F2"/>
    <mergeCell ref="D4:F4"/>
    <mergeCell ref="D6:F6"/>
    <mergeCell ref="A11:C11"/>
  </mergeCells>
  <phoneticPr fontId="1"/>
  <pageMargins left="0.23622047244094491" right="0.23622047244094491" top="0.74803149606299213" bottom="0.74803149606299213" header="0.31496062992125984" footer="0.31496062992125984"/>
  <pageSetup paperSize="9" scale="14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29-1BAB-4C65-ACD8-B536142C73C7}">
  <sheetPr filterMode="1"/>
  <dimension ref="A1:T3850"/>
  <sheetViews>
    <sheetView workbookViewId="0">
      <selection activeCell="G1" sqref="G1"/>
    </sheetView>
  </sheetViews>
  <sheetFormatPr defaultRowHeight="18.75" x14ac:dyDescent="0.4"/>
  <cols>
    <col min="1" max="1" width="9.5" style="1" bestFit="1" customWidth="1"/>
    <col min="2" max="2" width="5.25" style="1" bestFit="1" customWidth="1"/>
    <col min="3" max="3" width="10.5" style="1" bestFit="1" customWidth="1"/>
    <col min="4" max="4" width="9" style="1"/>
    <col min="5" max="5" width="9.5" bestFit="1" customWidth="1"/>
    <col min="6" max="6" width="7.875" style="1" bestFit="1" customWidth="1"/>
    <col min="7" max="7" width="7.125" bestFit="1" customWidth="1"/>
    <col min="8" max="8" width="9.75" style="1" bestFit="1" customWidth="1"/>
    <col min="9" max="9" width="26.75" bestFit="1" customWidth="1"/>
    <col min="10" max="10" width="9.75" style="1" bestFit="1" customWidth="1"/>
    <col min="11" max="12" width="7.875" style="1" bestFit="1" customWidth="1"/>
    <col min="13" max="13" width="6" style="1" bestFit="1" customWidth="1"/>
    <col min="14" max="14" width="24.375" bestFit="1" customWidth="1"/>
    <col min="15" max="15" width="16.625" bestFit="1" customWidth="1"/>
    <col min="16" max="16" width="16" bestFit="1" customWidth="1"/>
    <col min="17" max="17" width="9.375" bestFit="1" customWidth="1"/>
    <col min="18" max="18" width="7.875" style="1" bestFit="1" customWidth="1"/>
    <col min="19" max="20" width="9.5" bestFit="1" customWidth="1"/>
  </cols>
  <sheetData>
    <row r="1" spans="1:20" x14ac:dyDescent="0.4">
      <c r="A1" s="2" t="s">
        <v>0</v>
      </c>
      <c r="B1" s="2" t="s">
        <v>1</v>
      </c>
      <c r="C1" s="2" t="s">
        <v>4181</v>
      </c>
      <c r="D1" s="2" t="s">
        <v>2</v>
      </c>
      <c r="E1" s="3" t="s">
        <v>3</v>
      </c>
      <c r="F1" s="2" t="s">
        <v>4182</v>
      </c>
      <c r="G1" s="3" t="s">
        <v>4183</v>
      </c>
      <c r="H1" s="2" t="s">
        <v>5</v>
      </c>
      <c r="I1" s="3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2" t="s">
        <v>15</v>
      </c>
      <c r="S1" s="3" t="s">
        <v>16</v>
      </c>
      <c r="T1" s="3" t="s">
        <v>17</v>
      </c>
    </row>
    <row r="2" spans="1:20" hidden="1" x14ac:dyDescent="0.4">
      <c r="A2" s="1" t="s">
        <v>18</v>
      </c>
      <c r="B2" s="1" t="s">
        <v>1453</v>
      </c>
      <c r="C2" s="1" t="s">
        <v>1844</v>
      </c>
      <c r="D2" s="1" t="s">
        <v>1846</v>
      </c>
      <c r="E2">
        <v>20251201</v>
      </c>
      <c r="F2" s="1" t="s">
        <v>1468</v>
      </c>
      <c r="G2">
        <v>4</v>
      </c>
      <c r="H2" s="1" t="s">
        <v>1475</v>
      </c>
      <c r="I2" t="s">
        <v>1855</v>
      </c>
      <c r="J2" s="1" t="s">
        <v>1456</v>
      </c>
      <c r="K2" s="1" t="s">
        <v>1552</v>
      </c>
      <c r="L2" s="1" t="s">
        <v>1713</v>
      </c>
      <c r="M2" s="1" t="s">
        <v>1735</v>
      </c>
      <c r="N2" t="s">
        <v>1924</v>
      </c>
      <c r="O2" t="s">
        <v>2157</v>
      </c>
      <c r="P2" t="s">
        <v>3037</v>
      </c>
      <c r="Q2">
        <v>2.78</v>
      </c>
      <c r="R2" s="1" t="s">
        <v>1718</v>
      </c>
      <c r="S2">
        <v>2876.26</v>
      </c>
      <c r="T2">
        <v>7996</v>
      </c>
    </row>
    <row r="3" spans="1:20" hidden="1" x14ac:dyDescent="0.4">
      <c r="A3" s="1" t="s">
        <v>18</v>
      </c>
      <c r="B3" s="1" t="s">
        <v>1454</v>
      </c>
      <c r="C3" s="1" t="s">
        <v>1844</v>
      </c>
      <c r="D3" s="1" t="s">
        <v>1846</v>
      </c>
      <c r="E3">
        <v>20251201</v>
      </c>
      <c r="F3" s="1" t="s">
        <v>1468</v>
      </c>
      <c r="G3">
        <v>4</v>
      </c>
      <c r="H3" s="1" t="s">
        <v>1475</v>
      </c>
      <c r="I3" t="s">
        <v>1855</v>
      </c>
      <c r="J3" s="1" t="s">
        <v>1456</v>
      </c>
      <c r="K3" s="1" t="s">
        <v>1553</v>
      </c>
      <c r="L3" s="1" t="s">
        <v>1713</v>
      </c>
      <c r="M3" s="1" t="s">
        <v>1736</v>
      </c>
      <c r="N3" t="s">
        <v>1925</v>
      </c>
      <c r="O3" t="s">
        <v>2157</v>
      </c>
      <c r="P3" t="s">
        <v>3038</v>
      </c>
      <c r="Q3">
        <v>1</v>
      </c>
      <c r="R3" s="1" t="s">
        <v>1718</v>
      </c>
      <c r="S3">
        <v>3711</v>
      </c>
      <c r="T3">
        <v>3711</v>
      </c>
    </row>
    <row r="4" spans="1:20" hidden="1" x14ac:dyDescent="0.4">
      <c r="A4" s="1" t="s">
        <v>18</v>
      </c>
      <c r="B4" s="1" t="s">
        <v>1455</v>
      </c>
      <c r="C4" s="1" t="s">
        <v>1844</v>
      </c>
      <c r="D4" s="1" t="s">
        <v>1846</v>
      </c>
      <c r="E4">
        <v>20251201</v>
      </c>
      <c r="F4" s="1" t="s">
        <v>1468</v>
      </c>
      <c r="G4">
        <v>4</v>
      </c>
      <c r="H4" s="1" t="s">
        <v>1475</v>
      </c>
      <c r="I4" t="s">
        <v>1855</v>
      </c>
      <c r="J4" s="1" t="s">
        <v>1456</v>
      </c>
      <c r="K4" s="1" t="s">
        <v>1553</v>
      </c>
      <c r="L4" s="1" t="s">
        <v>1713</v>
      </c>
      <c r="M4" s="1" t="s">
        <v>1736</v>
      </c>
      <c r="N4" t="s">
        <v>1925</v>
      </c>
      <c r="O4" t="s">
        <v>2157</v>
      </c>
      <c r="P4" t="s">
        <v>3038</v>
      </c>
      <c r="Q4">
        <v>4.0199999999999996</v>
      </c>
      <c r="R4" s="1" t="s">
        <v>1839</v>
      </c>
      <c r="S4">
        <v>6313.94</v>
      </c>
      <c r="T4">
        <v>25382</v>
      </c>
    </row>
    <row r="5" spans="1:20" hidden="1" x14ac:dyDescent="0.4">
      <c r="A5" s="1" t="s">
        <v>18</v>
      </c>
      <c r="B5" s="1" t="s">
        <v>1456</v>
      </c>
      <c r="C5" s="1" t="s">
        <v>1844</v>
      </c>
      <c r="D5" s="1" t="s">
        <v>1846</v>
      </c>
      <c r="E5">
        <v>20251201</v>
      </c>
      <c r="F5" s="1" t="s">
        <v>1468</v>
      </c>
      <c r="G5">
        <v>4</v>
      </c>
      <c r="H5" s="1" t="s">
        <v>1475</v>
      </c>
      <c r="I5" t="s">
        <v>1855</v>
      </c>
      <c r="J5" s="1" t="s">
        <v>1456</v>
      </c>
      <c r="K5" s="1" t="s">
        <v>1554</v>
      </c>
      <c r="L5" s="1" t="s">
        <v>1713</v>
      </c>
      <c r="M5" s="1" t="s">
        <v>1737</v>
      </c>
      <c r="N5" t="s">
        <v>1926</v>
      </c>
      <c r="O5" t="s">
        <v>2157</v>
      </c>
      <c r="P5" t="s">
        <v>2157</v>
      </c>
      <c r="Q5">
        <v>11.18</v>
      </c>
      <c r="R5" s="1" t="s">
        <v>1839</v>
      </c>
      <c r="S5">
        <v>10554.39</v>
      </c>
      <c r="T5">
        <v>117998</v>
      </c>
    </row>
    <row r="6" spans="1:20" hidden="1" x14ac:dyDescent="0.4">
      <c r="A6" s="1" t="s">
        <v>19</v>
      </c>
      <c r="B6" s="1" t="s">
        <v>1453</v>
      </c>
      <c r="C6" s="1" t="s">
        <v>1844</v>
      </c>
      <c r="D6" s="1" t="s">
        <v>1846</v>
      </c>
      <c r="E6">
        <v>20251201</v>
      </c>
      <c r="F6" s="1" t="s">
        <v>1468</v>
      </c>
      <c r="G6">
        <v>4</v>
      </c>
      <c r="H6" s="1" t="s">
        <v>1475</v>
      </c>
      <c r="I6" t="s">
        <v>1855</v>
      </c>
      <c r="J6" s="1" t="s">
        <v>1456</v>
      </c>
      <c r="K6" s="1" t="s">
        <v>1555</v>
      </c>
      <c r="L6" s="1" t="s">
        <v>1713</v>
      </c>
      <c r="M6" s="1" t="s">
        <v>1737</v>
      </c>
      <c r="N6" t="s">
        <v>1927</v>
      </c>
      <c r="O6" t="s">
        <v>2157</v>
      </c>
      <c r="P6" t="s">
        <v>2157</v>
      </c>
      <c r="Q6">
        <v>23.24</v>
      </c>
      <c r="R6" s="1" t="s">
        <v>1839</v>
      </c>
      <c r="S6">
        <v>5692.09</v>
      </c>
      <c r="T6">
        <v>132284</v>
      </c>
    </row>
    <row r="7" spans="1:20" hidden="1" x14ac:dyDescent="0.4">
      <c r="A7" s="1" t="s">
        <v>19</v>
      </c>
      <c r="B7" s="1" t="s">
        <v>1454</v>
      </c>
      <c r="C7" s="1" t="s">
        <v>1844</v>
      </c>
      <c r="D7" s="1" t="s">
        <v>1846</v>
      </c>
      <c r="E7">
        <v>20251201</v>
      </c>
      <c r="F7" s="1" t="s">
        <v>1468</v>
      </c>
      <c r="G7">
        <v>4</v>
      </c>
      <c r="H7" s="1" t="s">
        <v>1475</v>
      </c>
      <c r="I7" t="s">
        <v>1855</v>
      </c>
      <c r="J7" s="1" t="s">
        <v>1456</v>
      </c>
      <c r="K7" s="1" t="s">
        <v>1556</v>
      </c>
      <c r="L7" s="1" t="s">
        <v>1713</v>
      </c>
      <c r="M7" s="1" t="s">
        <v>1738</v>
      </c>
      <c r="N7" t="s">
        <v>1928</v>
      </c>
      <c r="O7" t="s">
        <v>2157</v>
      </c>
      <c r="P7" t="s">
        <v>3039</v>
      </c>
      <c r="Q7">
        <v>5.84</v>
      </c>
      <c r="R7" s="1" t="s">
        <v>1839</v>
      </c>
      <c r="S7">
        <v>4948.6400000000003</v>
      </c>
      <c r="T7">
        <v>28900</v>
      </c>
    </row>
    <row r="8" spans="1:20" hidden="1" x14ac:dyDescent="0.4">
      <c r="A8" s="1" t="s">
        <v>20</v>
      </c>
      <c r="B8" s="1" t="s">
        <v>1453</v>
      </c>
      <c r="C8" s="1" t="s">
        <v>1844</v>
      </c>
      <c r="D8" s="1" t="s">
        <v>1846</v>
      </c>
      <c r="E8">
        <v>20251201</v>
      </c>
      <c r="F8" s="1" t="s">
        <v>1468</v>
      </c>
      <c r="G8">
        <v>4</v>
      </c>
      <c r="H8" s="1" t="s">
        <v>1475</v>
      </c>
      <c r="I8" t="s">
        <v>1855</v>
      </c>
      <c r="J8" s="1" t="s">
        <v>1456</v>
      </c>
      <c r="K8" s="1" t="s">
        <v>1557</v>
      </c>
      <c r="L8" s="1" t="s">
        <v>1713</v>
      </c>
      <c r="M8" s="1" t="s">
        <v>1737</v>
      </c>
      <c r="N8" t="s">
        <v>1929</v>
      </c>
      <c r="O8" t="s">
        <v>2157</v>
      </c>
      <c r="P8" t="s">
        <v>2157</v>
      </c>
      <c r="Q8">
        <v>3.34</v>
      </c>
      <c r="R8" s="1" t="s">
        <v>1839</v>
      </c>
      <c r="S8">
        <v>10256.290000000001</v>
      </c>
      <c r="T8">
        <v>34256</v>
      </c>
    </row>
    <row r="9" spans="1:20" hidden="1" x14ac:dyDescent="0.4">
      <c r="A9" s="1" t="s">
        <v>21</v>
      </c>
      <c r="B9" s="1" t="s">
        <v>1453</v>
      </c>
      <c r="C9" s="1" t="s">
        <v>1844</v>
      </c>
      <c r="D9" s="1" t="s">
        <v>1846</v>
      </c>
      <c r="E9">
        <v>20251201</v>
      </c>
      <c r="F9" s="1" t="s">
        <v>1468</v>
      </c>
      <c r="G9">
        <v>4</v>
      </c>
      <c r="H9" s="1" t="s">
        <v>1475</v>
      </c>
      <c r="I9" t="s">
        <v>1855</v>
      </c>
      <c r="J9" s="1" t="s">
        <v>1456</v>
      </c>
      <c r="K9" s="1" t="s">
        <v>1558</v>
      </c>
      <c r="L9" s="1" t="s">
        <v>1713</v>
      </c>
      <c r="M9" s="1" t="s">
        <v>1737</v>
      </c>
      <c r="N9" t="s">
        <v>1930</v>
      </c>
      <c r="O9" t="s">
        <v>2157</v>
      </c>
      <c r="P9" t="s">
        <v>2157</v>
      </c>
      <c r="Q9">
        <v>63.73</v>
      </c>
      <c r="R9" s="1" t="s">
        <v>1839</v>
      </c>
      <c r="S9">
        <v>9199.16</v>
      </c>
      <c r="T9">
        <v>586262</v>
      </c>
    </row>
    <row r="10" spans="1:20" hidden="1" x14ac:dyDescent="0.4">
      <c r="A10" s="1" t="s">
        <v>22</v>
      </c>
      <c r="B10" s="1" t="s">
        <v>1453</v>
      </c>
      <c r="C10" s="1" t="s">
        <v>1844</v>
      </c>
      <c r="D10" s="1" t="s">
        <v>1846</v>
      </c>
      <c r="E10">
        <v>20251201</v>
      </c>
      <c r="F10" s="1" t="s">
        <v>1468</v>
      </c>
      <c r="G10">
        <v>4</v>
      </c>
      <c r="H10" s="1" t="s">
        <v>1475</v>
      </c>
      <c r="I10" t="s">
        <v>1855</v>
      </c>
      <c r="J10" s="1" t="s">
        <v>1456</v>
      </c>
      <c r="K10" s="1" t="s">
        <v>1559</v>
      </c>
      <c r="L10" s="1" t="s">
        <v>1713</v>
      </c>
      <c r="M10" s="1" t="s">
        <v>1739</v>
      </c>
      <c r="N10" t="s">
        <v>1931</v>
      </c>
      <c r="O10" t="s">
        <v>2157</v>
      </c>
      <c r="P10" t="s">
        <v>3040</v>
      </c>
      <c r="Q10">
        <v>81</v>
      </c>
      <c r="R10" s="1" t="s">
        <v>1839</v>
      </c>
      <c r="S10">
        <v>4881.9799999999996</v>
      </c>
      <c r="T10">
        <v>395440</v>
      </c>
    </row>
    <row r="11" spans="1:20" hidden="1" x14ac:dyDescent="0.4">
      <c r="A11" s="1" t="s">
        <v>23</v>
      </c>
      <c r="B11" s="1" t="s">
        <v>1453</v>
      </c>
      <c r="C11" s="1" t="s">
        <v>1844</v>
      </c>
      <c r="D11" s="1" t="s">
        <v>1846</v>
      </c>
      <c r="E11">
        <v>20251202</v>
      </c>
      <c r="F11" s="1" t="s">
        <v>1468</v>
      </c>
      <c r="G11">
        <v>4</v>
      </c>
      <c r="H11" s="1" t="s">
        <v>1475</v>
      </c>
      <c r="I11" t="s">
        <v>1855</v>
      </c>
      <c r="J11" s="1" t="s">
        <v>1456</v>
      </c>
      <c r="K11" s="1" t="s">
        <v>1553</v>
      </c>
      <c r="L11" s="1" t="s">
        <v>1713</v>
      </c>
      <c r="M11" s="1" t="s">
        <v>1736</v>
      </c>
      <c r="N11" t="s">
        <v>1925</v>
      </c>
      <c r="O11" t="s">
        <v>2157</v>
      </c>
      <c r="P11" t="s">
        <v>3038</v>
      </c>
      <c r="Q11">
        <v>44.04</v>
      </c>
      <c r="R11" s="1" t="s">
        <v>1839</v>
      </c>
      <c r="S11">
        <v>5725.07</v>
      </c>
      <c r="T11">
        <v>252132</v>
      </c>
    </row>
    <row r="12" spans="1:20" hidden="1" x14ac:dyDescent="0.4">
      <c r="A12" s="1" t="s">
        <v>23</v>
      </c>
      <c r="B12" s="1" t="s">
        <v>1454</v>
      </c>
      <c r="C12" s="1" t="s">
        <v>1844</v>
      </c>
      <c r="D12" s="1" t="s">
        <v>1846</v>
      </c>
      <c r="E12">
        <v>20251202</v>
      </c>
      <c r="F12" s="1" t="s">
        <v>1468</v>
      </c>
      <c r="G12">
        <v>4</v>
      </c>
      <c r="H12" s="1" t="s">
        <v>1475</v>
      </c>
      <c r="I12" t="s">
        <v>1855</v>
      </c>
      <c r="J12" s="1" t="s">
        <v>1456</v>
      </c>
      <c r="K12" s="1" t="s">
        <v>1553</v>
      </c>
      <c r="L12" s="1" t="s">
        <v>1713</v>
      </c>
      <c r="M12" s="1" t="s">
        <v>1740</v>
      </c>
      <c r="N12" t="s">
        <v>1925</v>
      </c>
      <c r="O12" t="s">
        <v>2157</v>
      </c>
      <c r="P12" t="s">
        <v>3041</v>
      </c>
      <c r="Q12">
        <v>3.3</v>
      </c>
      <c r="R12" s="1" t="s">
        <v>1839</v>
      </c>
      <c r="S12">
        <v>10472.129999999999</v>
      </c>
      <c r="T12">
        <v>34558</v>
      </c>
    </row>
    <row r="13" spans="1:20" hidden="1" x14ac:dyDescent="0.4">
      <c r="A13" s="1" t="s">
        <v>23</v>
      </c>
      <c r="B13" s="1" t="s">
        <v>1455</v>
      </c>
      <c r="C13" s="1" t="s">
        <v>1844</v>
      </c>
      <c r="D13" s="1" t="s">
        <v>1846</v>
      </c>
      <c r="E13">
        <v>20251202</v>
      </c>
      <c r="F13" s="1" t="s">
        <v>1468</v>
      </c>
      <c r="G13">
        <v>4</v>
      </c>
      <c r="H13" s="1" t="s">
        <v>1475</v>
      </c>
      <c r="I13" t="s">
        <v>1855</v>
      </c>
      <c r="J13" s="1" t="s">
        <v>1456</v>
      </c>
      <c r="K13" s="1" t="s">
        <v>1554</v>
      </c>
      <c r="L13" s="1" t="s">
        <v>1713</v>
      </c>
      <c r="M13" s="1" t="s">
        <v>1737</v>
      </c>
      <c r="N13" t="s">
        <v>1926</v>
      </c>
      <c r="O13" t="s">
        <v>2157</v>
      </c>
      <c r="P13" t="s">
        <v>2157</v>
      </c>
      <c r="Q13">
        <v>36.76</v>
      </c>
      <c r="R13" s="1" t="s">
        <v>1839</v>
      </c>
      <c r="S13">
        <v>10675.52</v>
      </c>
      <c r="T13">
        <v>392432</v>
      </c>
    </row>
    <row r="14" spans="1:20" hidden="1" x14ac:dyDescent="0.4">
      <c r="A14" s="1" t="s">
        <v>24</v>
      </c>
      <c r="B14" s="1" t="s">
        <v>1453</v>
      </c>
      <c r="C14" s="1" t="s">
        <v>1844</v>
      </c>
      <c r="D14" s="1" t="s">
        <v>1846</v>
      </c>
      <c r="E14">
        <v>20251202</v>
      </c>
      <c r="F14" s="1" t="s">
        <v>1468</v>
      </c>
      <c r="G14">
        <v>4</v>
      </c>
      <c r="H14" s="1" t="s">
        <v>1475</v>
      </c>
      <c r="I14" t="s">
        <v>1855</v>
      </c>
      <c r="J14" s="1" t="s">
        <v>1456</v>
      </c>
      <c r="K14" s="1" t="s">
        <v>1560</v>
      </c>
      <c r="L14" s="1" t="s">
        <v>1713</v>
      </c>
      <c r="M14" s="1" t="s">
        <v>1740</v>
      </c>
      <c r="N14" t="s">
        <v>1932</v>
      </c>
      <c r="O14" t="s">
        <v>2157</v>
      </c>
      <c r="P14" t="s">
        <v>3041</v>
      </c>
      <c r="Q14">
        <v>8.9700000000000006</v>
      </c>
      <c r="R14" s="1" t="s">
        <v>1839</v>
      </c>
      <c r="S14">
        <v>10022.08</v>
      </c>
      <c r="T14">
        <v>89898</v>
      </c>
    </row>
    <row r="15" spans="1:20" hidden="1" x14ac:dyDescent="0.4">
      <c r="A15" s="1" t="s">
        <v>24</v>
      </c>
      <c r="B15" s="1" t="s">
        <v>1454</v>
      </c>
      <c r="C15" s="1" t="s">
        <v>1844</v>
      </c>
      <c r="D15" s="1" t="s">
        <v>1846</v>
      </c>
      <c r="E15">
        <v>20251202</v>
      </c>
      <c r="F15" s="1" t="s">
        <v>1468</v>
      </c>
      <c r="G15">
        <v>4</v>
      </c>
      <c r="H15" s="1" t="s">
        <v>1475</v>
      </c>
      <c r="I15" t="s">
        <v>1855</v>
      </c>
      <c r="J15" s="1" t="s">
        <v>1456</v>
      </c>
      <c r="K15" s="1" t="s">
        <v>1561</v>
      </c>
      <c r="L15" s="1" t="s">
        <v>1713</v>
      </c>
      <c r="M15" s="1" t="s">
        <v>1737</v>
      </c>
      <c r="N15" t="s">
        <v>1933</v>
      </c>
      <c r="O15" t="s">
        <v>2157</v>
      </c>
      <c r="P15" t="s">
        <v>2157</v>
      </c>
      <c r="Q15">
        <v>6.04</v>
      </c>
      <c r="R15" s="1" t="s">
        <v>1839</v>
      </c>
      <c r="S15">
        <v>10072.85</v>
      </c>
      <c r="T15">
        <v>60840</v>
      </c>
    </row>
    <row r="16" spans="1:20" hidden="1" x14ac:dyDescent="0.4">
      <c r="A16" s="1" t="s">
        <v>24</v>
      </c>
      <c r="B16" s="1" t="s">
        <v>1455</v>
      </c>
      <c r="C16" s="1" t="s">
        <v>1844</v>
      </c>
      <c r="D16" s="1" t="s">
        <v>1846</v>
      </c>
      <c r="E16">
        <v>20251202</v>
      </c>
      <c r="F16" s="1" t="s">
        <v>1468</v>
      </c>
      <c r="G16">
        <v>4</v>
      </c>
      <c r="H16" s="1" t="s">
        <v>1475</v>
      </c>
      <c r="I16" t="s">
        <v>1855</v>
      </c>
      <c r="J16" s="1" t="s">
        <v>1456</v>
      </c>
      <c r="K16" s="1" t="s">
        <v>1562</v>
      </c>
      <c r="L16" s="1" t="s">
        <v>1713</v>
      </c>
      <c r="M16" s="1" t="s">
        <v>1735</v>
      </c>
      <c r="N16" t="s">
        <v>1934</v>
      </c>
      <c r="O16" t="s">
        <v>2157</v>
      </c>
      <c r="P16" t="s">
        <v>3037</v>
      </c>
      <c r="Q16">
        <v>6.4</v>
      </c>
      <c r="R16" s="1" t="s">
        <v>1839</v>
      </c>
      <c r="S16">
        <v>5040</v>
      </c>
      <c r="T16">
        <v>32256</v>
      </c>
    </row>
    <row r="17" spans="1:20" hidden="1" x14ac:dyDescent="0.4">
      <c r="A17" s="1" t="s">
        <v>24</v>
      </c>
      <c r="B17" s="1" t="s">
        <v>1456</v>
      </c>
      <c r="C17" s="1" t="s">
        <v>1844</v>
      </c>
      <c r="D17" s="1" t="s">
        <v>1846</v>
      </c>
      <c r="E17">
        <v>20251202</v>
      </c>
      <c r="F17" s="1" t="s">
        <v>1468</v>
      </c>
      <c r="G17">
        <v>4</v>
      </c>
      <c r="H17" s="1" t="s">
        <v>1475</v>
      </c>
      <c r="I17" t="s">
        <v>1855</v>
      </c>
      <c r="J17" s="1" t="s">
        <v>1456</v>
      </c>
      <c r="K17" s="1" t="s">
        <v>1556</v>
      </c>
      <c r="L17" s="1" t="s">
        <v>1713</v>
      </c>
      <c r="M17" s="1" t="s">
        <v>1738</v>
      </c>
      <c r="N17" t="s">
        <v>1928</v>
      </c>
      <c r="O17" t="s">
        <v>2157</v>
      </c>
      <c r="P17" t="s">
        <v>3039</v>
      </c>
      <c r="Q17">
        <v>1.72</v>
      </c>
      <c r="R17" s="1" t="s">
        <v>1839</v>
      </c>
      <c r="S17">
        <v>6855.82</v>
      </c>
      <c r="T17">
        <v>11792</v>
      </c>
    </row>
    <row r="18" spans="1:20" hidden="1" x14ac:dyDescent="0.4">
      <c r="A18" s="1" t="s">
        <v>25</v>
      </c>
      <c r="B18" s="1" t="s">
        <v>1453</v>
      </c>
      <c r="C18" s="1" t="s">
        <v>1844</v>
      </c>
      <c r="D18" s="1" t="s">
        <v>1846</v>
      </c>
      <c r="E18">
        <v>20251202</v>
      </c>
      <c r="F18" s="1" t="s">
        <v>1468</v>
      </c>
      <c r="G18">
        <v>4</v>
      </c>
      <c r="H18" s="1" t="s">
        <v>1475</v>
      </c>
      <c r="I18" t="s">
        <v>1855</v>
      </c>
      <c r="J18" s="1" t="s">
        <v>1456</v>
      </c>
      <c r="K18" s="1" t="s">
        <v>1557</v>
      </c>
      <c r="L18" s="1" t="s">
        <v>1713</v>
      </c>
      <c r="M18" s="1" t="s">
        <v>1737</v>
      </c>
      <c r="N18" t="s">
        <v>1929</v>
      </c>
      <c r="O18" t="s">
        <v>2157</v>
      </c>
      <c r="P18" t="s">
        <v>2157</v>
      </c>
      <c r="Q18">
        <v>1.08</v>
      </c>
      <c r="R18" s="1" t="s">
        <v>1839</v>
      </c>
      <c r="S18">
        <v>9087.0400000000009</v>
      </c>
      <c r="T18">
        <v>9814</v>
      </c>
    </row>
    <row r="19" spans="1:20" hidden="1" x14ac:dyDescent="0.4">
      <c r="A19" s="1" t="s">
        <v>26</v>
      </c>
      <c r="B19" s="1" t="s">
        <v>1453</v>
      </c>
      <c r="C19" s="1" t="s">
        <v>1844</v>
      </c>
      <c r="D19" s="1" t="s">
        <v>1846</v>
      </c>
      <c r="E19">
        <v>20251202</v>
      </c>
      <c r="F19" s="1" t="s">
        <v>1468</v>
      </c>
      <c r="G19">
        <v>4</v>
      </c>
      <c r="H19" s="1" t="s">
        <v>1475</v>
      </c>
      <c r="I19" t="s">
        <v>1855</v>
      </c>
      <c r="J19" s="1" t="s">
        <v>1456</v>
      </c>
      <c r="K19" s="1" t="s">
        <v>1558</v>
      </c>
      <c r="L19" s="1" t="s">
        <v>1713</v>
      </c>
      <c r="M19" s="1" t="s">
        <v>1737</v>
      </c>
      <c r="N19" t="s">
        <v>1930</v>
      </c>
      <c r="O19" t="s">
        <v>2157</v>
      </c>
      <c r="P19" t="s">
        <v>2157</v>
      </c>
      <c r="Q19">
        <v>21.8</v>
      </c>
      <c r="R19" s="1" t="s">
        <v>1839</v>
      </c>
      <c r="S19">
        <v>9517.85</v>
      </c>
      <c r="T19">
        <v>207489</v>
      </c>
    </row>
    <row r="20" spans="1:20" hidden="1" x14ac:dyDescent="0.4">
      <c r="A20" s="1" t="s">
        <v>27</v>
      </c>
      <c r="B20" s="1" t="s">
        <v>1453</v>
      </c>
      <c r="C20" s="1" t="s">
        <v>1844</v>
      </c>
      <c r="D20" s="1" t="s">
        <v>1846</v>
      </c>
      <c r="E20">
        <v>20251202</v>
      </c>
      <c r="F20" s="1" t="s">
        <v>1468</v>
      </c>
      <c r="G20">
        <v>4</v>
      </c>
      <c r="H20" s="1" t="s">
        <v>1475</v>
      </c>
      <c r="I20" t="s">
        <v>1855</v>
      </c>
      <c r="J20" s="1" t="s">
        <v>1456</v>
      </c>
      <c r="K20" s="1" t="s">
        <v>1555</v>
      </c>
      <c r="L20" s="1" t="s">
        <v>1713</v>
      </c>
      <c r="M20" s="1" t="s">
        <v>1737</v>
      </c>
      <c r="N20" t="s">
        <v>1927</v>
      </c>
      <c r="O20" t="s">
        <v>2157</v>
      </c>
      <c r="P20" t="s">
        <v>2157</v>
      </c>
      <c r="Q20">
        <v>2.1</v>
      </c>
      <c r="R20" s="1" t="s">
        <v>1839</v>
      </c>
      <c r="S20">
        <v>5550.5</v>
      </c>
      <c r="T20">
        <v>11656</v>
      </c>
    </row>
    <row r="21" spans="1:20" hidden="1" x14ac:dyDescent="0.4">
      <c r="A21" s="1" t="s">
        <v>28</v>
      </c>
      <c r="B21" s="1" t="s">
        <v>1453</v>
      </c>
      <c r="C21" s="1" t="s">
        <v>1844</v>
      </c>
      <c r="D21" s="1" t="s">
        <v>1846</v>
      </c>
      <c r="E21">
        <v>20251202</v>
      </c>
      <c r="F21" s="1" t="s">
        <v>1468</v>
      </c>
      <c r="G21">
        <v>4</v>
      </c>
      <c r="H21" s="1" t="s">
        <v>1475</v>
      </c>
      <c r="I21" t="s">
        <v>1855</v>
      </c>
      <c r="J21" s="1" t="s">
        <v>1456</v>
      </c>
      <c r="K21" s="1" t="s">
        <v>1563</v>
      </c>
      <c r="L21" s="1" t="s">
        <v>1713</v>
      </c>
      <c r="M21" s="1" t="s">
        <v>1741</v>
      </c>
      <c r="N21" t="s">
        <v>1935</v>
      </c>
      <c r="O21" t="s">
        <v>2157</v>
      </c>
      <c r="P21" t="s">
        <v>3042</v>
      </c>
      <c r="Q21">
        <v>30</v>
      </c>
      <c r="R21" s="1" t="s">
        <v>1718</v>
      </c>
      <c r="S21">
        <v>9281</v>
      </c>
      <c r="T21">
        <v>278430</v>
      </c>
    </row>
    <row r="22" spans="1:20" hidden="1" x14ac:dyDescent="0.4">
      <c r="A22" s="1" t="s">
        <v>28</v>
      </c>
      <c r="B22" s="1" t="s">
        <v>1454</v>
      </c>
      <c r="C22" s="1" t="s">
        <v>1844</v>
      </c>
      <c r="D22" s="1" t="s">
        <v>1846</v>
      </c>
      <c r="E22">
        <v>20251202</v>
      </c>
      <c r="F22" s="1" t="s">
        <v>1468</v>
      </c>
      <c r="G22">
        <v>4</v>
      </c>
      <c r="H22" s="1" t="s">
        <v>1475</v>
      </c>
      <c r="I22" t="s">
        <v>1855</v>
      </c>
      <c r="J22" s="1" t="s">
        <v>1456</v>
      </c>
      <c r="K22" s="1" t="s">
        <v>1564</v>
      </c>
      <c r="L22" s="1" t="s">
        <v>1713</v>
      </c>
      <c r="M22" s="1" t="s">
        <v>1742</v>
      </c>
      <c r="N22" t="s">
        <v>1936</v>
      </c>
      <c r="O22" t="s">
        <v>2157</v>
      </c>
      <c r="P22" t="s">
        <v>3043</v>
      </c>
      <c r="Q22">
        <v>30</v>
      </c>
      <c r="R22" s="1" t="s">
        <v>1718</v>
      </c>
      <c r="S22">
        <v>15437</v>
      </c>
      <c r="T22">
        <v>463110</v>
      </c>
    </row>
    <row r="23" spans="1:20" hidden="1" x14ac:dyDescent="0.4">
      <c r="A23" s="1" t="s">
        <v>29</v>
      </c>
      <c r="B23" s="1" t="s">
        <v>1453</v>
      </c>
      <c r="C23" s="1" t="s">
        <v>1844</v>
      </c>
      <c r="D23" s="1" t="s">
        <v>1846</v>
      </c>
      <c r="E23">
        <v>20251203</v>
      </c>
      <c r="F23" s="1" t="s">
        <v>1468</v>
      </c>
      <c r="G23">
        <v>4</v>
      </c>
      <c r="H23" s="1" t="s">
        <v>1475</v>
      </c>
      <c r="I23" t="s">
        <v>1855</v>
      </c>
      <c r="J23" s="1" t="s">
        <v>1456</v>
      </c>
      <c r="K23" s="1" t="s">
        <v>1553</v>
      </c>
      <c r="L23" s="1" t="s">
        <v>1713</v>
      </c>
      <c r="M23" s="1" t="s">
        <v>1736</v>
      </c>
      <c r="N23" t="s">
        <v>1925</v>
      </c>
      <c r="O23" t="s">
        <v>2157</v>
      </c>
      <c r="P23" t="s">
        <v>3038</v>
      </c>
      <c r="Q23">
        <v>1</v>
      </c>
      <c r="R23" s="1" t="s">
        <v>1718</v>
      </c>
      <c r="S23">
        <v>7423</v>
      </c>
      <c r="T23">
        <v>7423</v>
      </c>
    </row>
    <row r="24" spans="1:20" hidden="1" x14ac:dyDescent="0.4">
      <c r="A24" s="1" t="s">
        <v>29</v>
      </c>
      <c r="B24" s="1" t="s">
        <v>1454</v>
      </c>
      <c r="C24" s="1" t="s">
        <v>1844</v>
      </c>
      <c r="D24" s="1" t="s">
        <v>1846</v>
      </c>
      <c r="E24">
        <v>20251203</v>
      </c>
      <c r="F24" s="1" t="s">
        <v>1468</v>
      </c>
      <c r="G24">
        <v>4</v>
      </c>
      <c r="H24" s="1" t="s">
        <v>1475</v>
      </c>
      <c r="I24" t="s">
        <v>1855</v>
      </c>
      <c r="J24" s="1" t="s">
        <v>1456</v>
      </c>
      <c r="K24" s="1" t="s">
        <v>1553</v>
      </c>
      <c r="L24" s="1" t="s">
        <v>1713</v>
      </c>
      <c r="M24" s="1" t="s">
        <v>1736</v>
      </c>
      <c r="N24" t="s">
        <v>1925</v>
      </c>
      <c r="O24" t="s">
        <v>2157</v>
      </c>
      <c r="P24" t="s">
        <v>3038</v>
      </c>
      <c r="Q24">
        <v>1.56</v>
      </c>
      <c r="R24" s="1" t="s">
        <v>1839</v>
      </c>
      <c r="S24">
        <v>5498.08</v>
      </c>
      <c r="T24">
        <v>8577</v>
      </c>
    </row>
    <row r="25" spans="1:20" hidden="1" x14ac:dyDescent="0.4">
      <c r="A25" s="1" t="s">
        <v>29</v>
      </c>
      <c r="B25" s="1" t="s">
        <v>1455</v>
      </c>
      <c r="C25" s="1" t="s">
        <v>1844</v>
      </c>
      <c r="D25" s="1" t="s">
        <v>1846</v>
      </c>
      <c r="E25">
        <v>20251203</v>
      </c>
      <c r="F25" s="1" t="s">
        <v>1468</v>
      </c>
      <c r="G25">
        <v>4</v>
      </c>
      <c r="H25" s="1" t="s">
        <v>1475</v>
      </c>
      <c r="I25" t="s">
        <v>1855</v>
      </c>
      <c r="J25" s="1" t="s">
        <v>1456</v>
      </c>
      <c r="K25" s="1" t="s">
        <v>1553</v>
      </c>
      <c r="L25" s="1" t="s">
        <v>1713</v>
      </c>
      <c r="M25" s="1" t="s">
        <v>1740</v>
      </c>
      <c r="N25" t="s">
        <v>1925</v>
      </c>
      <c r="O25" t="s">
        <v>2157</v>
      </c>
      <c r="P25" t="s">
        <v>3041</v>
      </c>
      <c r="Q25">
        <v>0.49</v>
      </c>
      <c r="R25" s="1" t="s">
        <v>1839</v>
      </c>
      <c r="S25">
        <v>9477.56</v>
      </c>
      <c r="T25">
        <v>4644</v>
      </c>
    </row>
    <row r="26" spans="1:20" hidden="1" x14ac:dyDescent="0.4">
      <c r="A26" s="1" t="s">
        <v>29</v>
      </c>
      <c r="B26" s="1" t="s">
        <v>1456</v>
      </c>
      <c r="C26" s="1" t="s">
        <v>1844</v>
      </c>
      <c r="D26" s="1" t="s">
        <v>1846</v>
      </c>
      <c r="E26">
        <v>20251203</v>
      </c>
      <c r="F26" s="1" t="s">
        <v>1468</v>
      </c>
      <c r="G26">
        <v>4</v>
      </c>
      <c r="H26" s="1" t="s">
        <v>1475</v>
      </c>
      <c r="I26" t="s">
        <v>1855</v>
      </c>
      <c r="J26" s="1" t="s">
        <v>1456</v>
      </c>
      <c r="K26" s="1" t="s">
        <v>1554</v>
      </c>
      <c r="L26" s="1" t="s">
        <v>1713</v>
      </c>
      <c r="M26" s="1" t="s">
        <v>1737</v>
      </c>
      <c r="N26" t="s">
        <v>1926</v>
      </c>
      <c r="O26" t="s">
        <v>2157</v>
      </c>
      <c r="P26" t="s">
        <v>2157</v>
      </c>
      <c r="Q26">
        <v>29.02</v>
      </c>
      <c r="R26" s="1" t="s">
        <v>1839</v>
      </c>
      <c r="S26">
        <v>10909.14</v>
      </c>
      <c r="T26">
        <v>316583</v>
      </c>
    </row>
    <row r="27" spans="1:20" hidden="1" x14ac:dyDescent="0.4">
      <c r="A27" s="1" t="s">
        <v>30</v>
      </c>
      <c r="B27" s="1" t="s">
        <v>1453</v>
      </c>
      <c r="C27" s="1" t="s">
        <v>1844</v>
      </c>
      <c r="D27" s="1" t="s">
        <v>1846</v>
      </c>
      <c r="E27">
        <v>20251203</v>
      </c>
      <c r="F27" s="1" t="s">
        <v>1468</v>
      </c>
      <c r="G27">
        <v>4</v>
      </c>
      <c r="H27" s="1" t="s">
        <v>1475</v>
      </c>
      <c r="I27" t="s">
        <v>1855</v>
      </c>
      <c r="J27" s="1" t="s">
        <v>1456</v>
      </c>
      <c r="K27" s="1" t="s">
        <v>1557</v>
      </c>
      <c r="L27" s="1" t="s">
        <v>1713</v>
      </c>
      <c r="M27" s="1" t="s">
        <v>1737</v>
      </c>
      <c r="N27" t="s">
        <v>1929</v>
      </c>
      <c r="O27" t="s">
        <v>2157</v>
      </c>
      <c r="P27" t="s">
        <v>2157</v>
      </c>
      <c r="Q27">
        <v>21.5</v>
      </c>
      <c r="R27" s="1" t="s">
        <v>1839</v>
      </c>
      <c r="S27">
        <v>9311.17</v>
      </c>
      <c r="T27">
        <v>200190</v>
      </c>
    </row>
    <row r="28" spans="1:20" hidden="1" x14ac:dyDescent="0.4">
      <c r="A28" s="1" t="s">
        <v>31</v>
      </c>
      <c r="B28" s="1" t="s">
        <v>1453</v>
      </c>
      <c r="C28" s="1" t="s">
        <v>1844</v>
      </c>
      <c r="D28" s="1" t="s">
        <v>1846</v>
      </c>
      <c r="E28">
        <v>20251203</v>
      </c>
      <c r="F28" s="1" t="s">
        <v>1468</v>
      </c>
      <c r="G28">
        <v>4</v>
      </c>
      <c r="H28" s="1" t="s">
        <v>1475</v>
      </c>
      <c r="I28" t="s">
        <v>1855</v>
      </c>
      <c r="J28" s="1" t="s">
        <v>1456</v>
      </c>
      <c r="K28" s="1" t="s">
        <v>1558</v>
      </c>
      <c r="L28" s="1" t="s">
        <v>1713</v>
      </c>
      <c r="M28" s="1" t="s">
        <v>1737</v>
      </c>
      <c r="N28" t="s">
        <v>1930</v>
      </c>
      <c r="O28" t="s">
        <v>2157</v>
      </c>
      <c r="P28" t="s">
        <v>2157</v>
      </c>
      <c r="Q28">
        <v>3.78</v>
      </c>
      <c r="R28" s="1" t="s">
        <v>1839</v>
      </c>
      <c r="S28">
        <v>8916.41</v>
      </c>
      <c r="T28">
        <v>33704</v>
      </c>
    </row>
    <row r="29" spans="1:20" hidden="1" x14ac:dyDescent="0.4">
      <c r="A29" s="1" t="s">
        <v>32</v>
      </c>
      <c r="B29" s="1" t="s">
        <v>1453</v>
      </c>
      <c r="C29" s="1" t="s">
        <v>1844</v>
      </c>
      <c r="D29" s="1" t="s">
        <v>1846</v>
      </c>
      <c r="E29">
        <v>20251204</v>
      </c>
      <c r="F29" s="1" t="s">
        <v>1468</v>
      </c>
      <c r="G29">
        <v>4</v>
      </c>
      <c r="H29" s="1" t="s">
        <v>1475</v>
      </c>
      <c r="I29" t="s">
        <v>1855</v>
      </c>
      <c r="J29" s="1" t="s">
        <v>1456</v>
      </c>
      <c r="K29" s="1" t="s">
        <v>1553</v>
      </c>
      <c r="L29" s="1" t="s">
        <v>1713</v>
      </c>
      <c r="M29" s="1" t="s">
        <v>1736</v>
      </c>
      <c r="N29" t="s">
        <v>1925</v>
      </c>
      <c r="O29" t="s">
        <v>2157</v>
      </c>
      <c r="P29" t="s">
        <v>3038</v>
      </c>
      <c r="Q29">
        <v>4.3</v>
      </c>
      <c r="R29" s="1" t="s">
        <v>1839</v>
      </c>
      <c r="S29">
        <v>6260.94</v>
      </c>
      <c r="T29">
        <v>26922</v>
      </c>
    </row>
    <row r="30" spans="1:20" hidden="1" x14ac:dyDescent="0.4">
      <c r="A30" s="1" t="s">
        <v>32</v>
      </c>
      <c r="B30" s="1" t="s">
        <v>1454</v>
      </c>
      <c r="C30" s="1" t="s">
        <v>1844</v>
      </c>
      <c r="D30" s="1" t="s">
        <v>1846</v>
      </c>
      <c r="E30">
        <v>20251204</v>
      </c>
      <c r="F30" s="1" t="s">
        <v>1468</v>
      </c>
      <c r="G30">
        <v>4</v>
      </c>
      <c r="H30" s="1" t="s">
        <v>1475</v>
      </c>
      <c r="I30" t="s">
        <v>1855</v>
      </c>
      <c r="J30" s="1" t="s">
        <v>1456</v>
      </c>
      <c r="K30" s="1" t="s">
        <v>1554</v>
      </c>
      <c r="L30" s="1" t="s">
        <v>1713</v>
      </c>
      <c r="M30" s="1" t="s">
        <v>1737</v>
      </c>
      <c r="N30" t="s">
        <v>1926</v>
      </c>
      <c r="O30" t="s">
        <v>2157</v>
      </c>
      <c r="P30" t="s">
        <v>2157</v>
      </c>
      <c r="Q30">
        <v>6.98</v>
      </c>
      <c r="R30" s="1" t="s">
        <v>1839</v>
      </c>
      <c r="S30">
        <v>10967.05</v>
      </c>
      <c r="T30">
        <v>76550</v>
      </c>
    </row>
    <row r="31" spans="1:20" hidden="1" x14ac:dyDescent="0.4">
      <c r="A31" s="1" t="s">
        <v>33</v>
      </c>
      <c r="B31" s="1" t="s">
        <v>1453</v>
      </c>
      <c r="C31" s="1" t="s">
        <v>1844</v>
      </c>
      <c r="D31" s="1" t="s">
        <v>1846</v>
      </c>
      <c r="E31">
        <v>20251204</v>
      </c>
      <c r="F31" s="1" t="s">
        <v>1468</v>
      </c>
      <c r="G31">
        <v>4</v>
      </c>
      <c r="H31" s="1" t="s">
        <v>1475</v>
      </c>
      <c r="I31" t="s">
        <v>1855</v>
      </c>
      <c r="J31" s="1" t="s">
        <v>1456</v>
      </c>
      <c r="K31" s="1" t="s">
        <v>1560</v>
      </c>
      <c r="L31" s="1" t="s">
        <v>1713</v>
      </c>
      <c r="M31" s="1" t="s">
        <v>1740</v>
      </c>
      <c r="N31" t="s">
        <v>1932</v>
      </c>
      <c r="O31" t="s">
        <v>2157</v>
      </c>
      <c r="P31" t="s">
        <v>3041</v>
      </c>
      <c r="Q31">
        <v>8.8000000000000007</v>
      </c>
      <c r="R31" s="1" t="s">
        <v>1839</v>
      </c>
      <c r="S31">
        <v>9993.64</v>
      </c>
      <c r="T31">
        <v>87944</v>
      </c>
    </row>
    <row r="32" spans="1:20" hidden="1" x14ac:dyDescent="0.4">
      <c r="A32" s="1" t="s">
        <v>33</v>
      </c>
      <c r="B32" s="1" t="s">
        <v>1454</v>
      </c>
      <c r="C32" s="1" t="s">
        <v>1844</v>
      </c>
      <c r="D32" s="1" t="s">
        <v>1846</v>
      </c>
      <c r="E32">
        <v>20251204</v>
      </c>
      <c r="F32" s="1" t="s">
        <v>1468</v>
      </c>
      <c r="G32">
        <v>4</v>
      </c>
      <c r="H32" s="1" t="s">
        <v>1475</v>
      </c>
      <c r="I32" t="s">
        <v>1855</v>
      </c>
      <c r="J32" s="1" t="s">
        <v>1456</v>
      </c>
      <c r="K32" s="1" t="s">
        <v>1561</v>
      </c>
      <c r="L32" s="1" t="s">
        <v>1713</v>
      </c>
      <c r="M32" s="1" t="s">
        <v>1737</v>
      </c>
      <c r="N32" t="s">
        <v>1933</v>
      </c>
      <c r="O32" t="s">
        <v>2157</v>
      </c>
      <c r="P32" t="s">
        <v>2157</v>
      </c>
      <c r="Q32">
        <v>4.1399999999999997</v>
      </c>
      <c r="R32" s="1" t="s">
        <v>1839</v>
      </c>
      <c r="S32">
        <v>10020.049999999999</v>
      </c>
      <c r="T32">
        <v>41483</v>
      </c>
    </row>
    <row r="33" spans="1:20" hidden="1" x14ac:dyDescent="0.4">
      <c r="A33" s="1" t="s">
        <v>33</v>
      </c>
      <c r="B33" s="1" t="s">
        <v>1455</v>
      </c>
      <c r="C33" s="1" t="s">
        <v>1844</v>
      </c>
      <c r="D33" s="1" t="s">
        <v>1846</v>
      </c>
      <c r="E33">
        <v>20251204</v>
      </c>
      <c r="F33" s="1" t="s">
        <v>1468</v>
      </c>
      <c r="G33">
        <v>4</v>
      </c>
      <c r="H33" s="1" t="s">
        <v>1475</v>
      </c>
      <c r="I33" t="s">
        <v>1855</v>
      </c>
      <c r="J33" s="1" t="s">
        <v>1456</v>
      </c>
      <c r="K33" s="1" t="s">
        <v>1565</v>
      </c>
      <c r="L33" s="1" t="s">
        <v>1713</v>
      </c>
      <c r="M33" s="1" t="s">
        <v>1743</v>
      </c>
      <c r="N33" t="s">
        <v>1937</v>
      </c>
      <c r="O33" t="s">
        <v>2157</v>
      </c>
      <c r="P33" t="s">
        <v>3044</v>
      </c>
      <c r="Q33">
        <v>3.32</v>
      </c>
      <c r="R33" s="1" t="s">
        <v>1839</v>
      </c>
      <c r="S33">
        <v>6184.94</v>
      </c>
      <c r="T33">
        <v>20534</v>
      </c>
    </row>
    <row r="34" spans="1:20" hidden="1" x14ac:dyDescent="0.4">
      <c r="A34" s="1" t="s">
        <v>34</v>
      </c>
      <c r="B34" s="1" t="s">
        <v>1453</v>
      </c>
      <c r="C34" s="1" t="s">
        <v>1844</v>
      </c>
      <c r="D34" s="1" t="s">
        <v>1846</v>
      </c>
      <c r="E34">
        <v>20251204</v>
      </c>
      <c r="F34" s="1" t="s">
        <v>1468</v>
      </c>
      <c r="G34">
        <v>4</v>
      </c>
      <c r="H34" s="1" t="s">
        <v>1475</v>
      </c>
      <c r="I34" t="s">
        <v>1855</v>
      </c>
      <c r="J34" s="1" t="s">
        <v>1456</v>
      </c>
      <c r="K34" s="1" t="s">
        <v>1557</v>
      </c>
      <c r="L34" s="1" t="s">
        <v>1713</v>
      </c>
      <c r="M34" s="1" t="s">
        <v>1737</v>
      </c>
      <c r="N34" t="s">
        <v>1929</v>
      </c>
      <c r="O34" t="s">
        <v>2157</v>
      </c>
      <c r="P34" t="s">
        <v>2157</v>
      </c>
      <c r="Q34">
        <v>2.16</v>
      </c>
      <c r="R34" s="1" t="s">
        <v>1839</v>
      </c>
      <c r="S34">
        <v>9012.9699999999993</v>
      </c>
      <c r="T34">
        <v>19468</v>
      </c>
    </row>
    <row r="35" spans="1:20" hidden="1" x14ac:dyDescent="0.4">
      <c r="A35" s="1" t="s">
        <v>35</v>
      </c>
      <c r="B35" s="1" t="s">
        <v>1453</v>
      </c>
      <c r="C35" s="1" t="s">
        <v>1844</v>
      </c>
      <c r="D35" s="1" t="s">
        <v>1846</v>
      </c>
      <c r="E35">
        <v>20251204</v>
      </c>
      <c r="F35" s="1" t="s">
        <v>1468</v>
      </c>
      <c r="G35">
        <v>4</v>
      </c>
      <c r="H35" s="1" t="s">
        <v>1475</v>
      </c>
      <c r="I35" t="s">
        <v>1855</v>
      </c>
      <c r="J35" s="1" t="s">
        <v>1456</v>
      </c>
      <c r="K35" s="1" t="s">
        <v>1558</v>
      </c>
      <c r="L35" s="1" t="s">
        <v>1713</v>
      </c>
      <c r="M35" s="1" t="s">
        <v>1737</v>
      </c>
      <c r="N35" t="s">
        <v>1930</v>
      </c>
      <c r="O35" t="s">
        <v>2157</v>
      </c>
      <c r="P35" t="s">
        <v>2157</v>
      </c>
      <c r="Q35">
        <v>14.28</v>
      </c>
      <c r="R35" s="1" t="s">
        <v>1839</v>
      </c>
      <c r="S35">
        <v>9375.36</v>
      </c>
      <c r="T35">
        <v>133880</v>
      </c>
    </row>
    <row r="36" spans="1:20" hidden="1" x14ac:dyDescent="0.4">
      <c r="A36" s="1" t="s">
        <v>36</v>
      </c>
      <c r="B36" s="1" t="s">
        <v>1453</v>
      </c>
      <c r="C36" s="1" t="s">
        <v>1844</v>
      </c>
      <c r="D36" s="1" t="s">
        <v>1846</v>
      </c>
      <c r="E36">
        <v>20251204</v>
      </c>
      <c r="F36" s="1" t="s">
        <v>1468</v>
      </c>
      <c r="G36">
        <v>4</v>
      </c>
      <c r="H36" s="1" t="s">
        <v>1475</v>
      </c>
      <c r="I36" t="s">
        <v>1855</v>
      </c>
      <c r="J36" s="1" t="s">
        <v>1456</v>
      </c>
      <c r="K36" s="1" t="s">
        <v>1566</v>
      </c>
      <c r="L36" s="1" t="s">
        <v>1713</v>
      </c>
      <c r="M36" s="1" t="s">
        <v>1737</v>
      </c>
      <c r="N36" t="s">
        <v>1938</v>
      </c>
      <c r="O36" t="s">
        <v>2157</v>
      </c>
      <c r="P36" t="s">
        <v>2157</v>
      </c>
      <c r="Q36">
        <v>400</v>
      </c>
      <c r="R36" s="1" t="s">
        <v>1718</v>
      </c>
      <c r="S36">
        <v>3121</v>
      </c>
      <c r="T36">
        <v>1248400</v>
      </c>
    </row>
    <row r="37" spans="1:20" hidden="1" x14ac:dyDescent="0.4">
      <c r="A37" s="1" t="s">
        <v>36</v>
      </c>
      <c r="B37" s="1" t="s">
        <v>1454</v>
      </c>
      <c r="C37" s="1" t="s">
        <v>1844</v>
      </c>
      <c r="D37" s="1" t="s">
        <v>1846</v>
      </c>
      <c r="E37">
        <v>20251204</v>
      </c>
      <c r="F37" s="1" t="s">
        <v>1468</v>
      </c>
      <c r="G37">
        <v>4</v>
      </c>
      <c r="H37" s="1" t="s">
        <v>1475</v>
      </c>
      <c r="I37" t="s">
        <v>1855</v>
      </c>
      <c r="J37" s="1" t="s">
        <v>1456</v>
      </c>
      <c r="K37" s="1" t="s">
        <v>1562</v>
      </c>
      <c r="L37" s="1" t="s">
        <v>1713</v>
      </c>
      <c r="M37" s="1" t="s">
        <v>1735</v>
      </c>
      <c r="N37" t="s">
        <v>1939</v>
      </c>
      <c r="O37" t="s">
        <v>2157</v>
      </c>
      <c r="P37" t="s">
        <v>3037</v>
      </c>
      <c r="Q37">
        <v>200</v>
      </c>
      <c r="R37" s="1" t="s">
        <v>1718</v>
      </c>
      <c r="S37">
        <v>2396</v>
      </c>
      <c r="T37">
        <v>479200</v>
      </c>
    </row>
    <row r="38" spans="1:20" hidden="1" x14ac:dyDescent="0.4">
      <c r="A38" s="1" t="s">
        <v>36</v>
      </c>
      <c r="B38" s="1" t="s">
        <v>1455</v>
      </c>
      <c r="C38" s="1" t="s">
        <v>1844</v>
      </c>
      <c r="D38" s="1" t="s">
        <v>1846</v>
      </c>
      <c r="E38">
        <v>20251204</v>
      </c>
      <c r="F38" s="1" t="s">
        <v>1468</v>
      </c>
      <c r="G38">
        <v>4</v>
      </c>
      <c r="H38" s="1" t="s">
        <v>1475</v>
      </c>
      <c r="I38" t="s">
        <v>1855</v>
      </c>
      <c r="J38" s="1" t="s">
        <v>1456</v>
      </c>
      <c r="K38" s="1" t="s">
        <v>1567</v>
      </c>
      <c r="L38" s="1" t="s">
        <v>1713</v>
      </c>
      <c r="M38" s="1" t="s">
        <v>1744</v>
      </c>
      <c r="N38" t="s">
        <v>1940</v>
      </c>
      <c r="O38" t="s">
        <v>2157</v>
      </c>
      <c r="P38" t="s">
        <v>3045</v>
      </c>
      <c r="Q38">
        <v>20</v>
      </c>
      <c r="R38" s="1" t="s">
        <v>1718</v>
      </c>
      <c r="S38">
        <v>9114</v>
      </c>
      <c r="T38">
        <v>182280</v>
      </c>
    </row>
    <row r="39" spans="1:20" hidden="1" x14ac:dyDescent="0.4">
      <c r="A39" s="1" t="s">
        <v>36</v>
      </c>
      <c r="B39" s="1" t="s">
        <v>1456</v>
      </c>
      <c r="C39" s="1" t="s">
        <v>1844</v>
      </c>
      <c r="D39" s="1" t="s">
        <v>1846</v>
      </c>
      <c r="E39">
        <v>20251204</v>
      </c>
      <c r="F39" s="1" t="s">
        <v>1468</v>
      </c>
      <c r="G39">
        <v>4</v>
      </c>
      <c r="H39" s="1" t="s">
        <v>1475</v>
      </c>
      <c r="I39" t="s">
        <v>1855</v>
      </c>
      <c r="J39" s="1" t="s">
        <v>1456</v>
      </c>
      <c r="K39" s="1" t="s">
        <v>1559</v>
      </c>
      <c r="L39" s="1" t="s">
        <v>1713</v>
      </c>
      <c r="M39" s="1" t="s">
        <v>1739</v>
      </c>
      <c r="N39" t="s">
        <v>1931</v>
      </c>
      <c r="O39" t="s">
        <v>2157</v>
      </c>
      <c r="P39" t="s">
        <v>3040</v>
      </c>
      <c r="Q39">
        <v>1</v>
      </c>
      <c r="R39" s="1" t="s">
        <v>1718</v>
      </c>
      <c r="S39">
        <v>13609</v>
      </c>
      <c r="T39">
        <v>13609</v>
      </c>
    </row>
    <row r="40" spans="1:20" hidden="1" x14ac:dyDescent="0.4">
      <c r="A40" s="1" t="s">
        <v>37</v>
      </c>
      <c r="B40" s="1" t="s">
        <v>1453</v>
      </c>
      <c r="C40" s="1" t="s">
        <v>1844</v>
      </c>
      <c r="D40" s="1" t="s">
        <v>1846</v>
      </c>
      <c r="E40">
        <v>20251205</v>
      </c>
      <c r="F40" s="1" t="s">
        <v>1468</v>
      </c>
      <c r="G40">
        <v>4</v>
      </c>
      <c r="H40" s="1" t="s">
        <v>1475</v>
      </c>
      <c r="I40" t="s">
        <v>1855</v>
      </c>
      <c r="J40" s="1" t="s">
        <v>1456</v>
      </c>
      <c r="K40" s="1" t="s">
        <v>1553</v>
      </c>
      <c r="L40" s="1" t="s">
        <v>1713</v>
      </c>
      <c r="M40" s="1" t="s">
        <v>1736</v>
      </c>
      <c r="N40" t="s">
        <v>1925</v>
      </c>
      <c r="O40" t="s">
        <v>2157</v>
      </c>
      <c r="P40" t="s">
        <v>3038</v>
      </c>
      <c r="Q40">
        <v>14.3</v>
      </c>
      <c r="R40" s="1" t="s">
        <v>1839</v>
      </c>
      <c r="S40">
        <v>6644.9</v>
      </c>
      <c r="T40">
        <v>95022</v>
      </c>
    </row>
    <row r="41" spans="1:20" hidden="1" x14ac:dyDescent="0.4">
      <c r="A41" s="1" t="s">
        <v>37</v>
      </c>
      <c r="B41" s="1" t="s">
        <v>1454</v>
      </c>
      <c r="C41" s="1" t="s">
        <v>1844</v>
      </c>
      <c r="D41" s="1" t="s">
        <v>1846</v>
      </c>
      <c r="E41">
        <v>20251205</v>
      </c>
      <c r="F41" s="1" t="s">
        <v>1468</v>
      </c>
      <c r="G41">
        <v>4</v>
      </c>
      <c r="H41" s="1" t="s">
        <v>1475</v>
      </c>
      <c r="I41" t="s">
        <v>1855</v>
      </c>
      <c r="J41" s="1" t="s">
        <v>1456</v>
      </c>
      <c r="K41" s="1" t="s">
        <v>1554</v>
      </c>
      <c r="L41" s="1" t="s">
        <v>1713</v>
      </c>
      <c r="M41" s="1" t="s">
        <v>1737</v>
      </c>
      <c r="N41" t="s">
        <v>1926</v>
      </c>
      <c r="O41" t="s">
        <v>2157</v>
      </c>
      <c r="P41" t="s">
        <v>2157</v>
      </c>
      <c r="Q41">
        <v>45.62</v>
      </c>
      <c r="R41" s="1" t="s">
        <v>1839</v>
      </c>
      <c r="S41">
        <v>10596.98</v>
      </c>
      <c r="T41">
        <v>483434</v>
      </c>
    </row>
    <row r="42" spans="1:20" hidden="1" x14ac:dyDescent="0.4">
      <c r="A42" s="1" t="s">
        <v>38</v>
      </c>
      <c r="B42" s="1" t="s">
        <v>1453</v>
      </c>
      <c r="C42" s="1" t="s">
        <v>1844</v>
      </c>
      <c r="D42" s="1" t="s">
        <v>1846</v>
      </c>
      <c r="E42">
        <v>20251205</v>
      </c>
      <c r="F42" s="1" t="s">
        <v>1468</v>
      </c>
      <c r="G42">
        <v>4</v>
      </c>
      <c r="H42" s="1" t="s">
        <v>1475</v>
      </c>
      <c r="I42" t="s">
        <v>1855</v>
      </c>
      <c r="J42" s="1" t="s">
        <v>1456</v>
      </c>
      <c r="K42" s="1" t="s">
        <v>1560</v>
      </c>
      <c r="L42" s="1" t="s">
        <v>1713</v>
      </c>
      <c r="M42" s="1" t="s">
        <v>1740</v>
      </c>
      <c r="N42" t="s">
        <v>1932</v>
      </c>
      <c r="O42" t="s">
        <v>2157</v>
      </c>
      <c r="P42" t="s">
        <v>3041</v>
      </c>
      <c r="Q42">
        <v>1.04</v>
      </c>
      <c r="R42" s="1" t="s">
        <v>1839</v>
      </c>
      <c r="S42">
        <v>9621.16</v>
      </c>
      <c r="T42">
        <v>10006</v>
      </c>
    </row>
    <row r="43" spans="1:20" hidden="1" x14ac:dyDescent="0.4">
      <c r="A43" s="1" t="s">
        <v>38</v>
      </c>
      <c r="B43" s="1" t="s">
        <v>1454</v>
      </c>
      <c r="C43" s="1" t="s">
        <v>1844</v>
      </c>
      <c r="D43" s="1" t="s">
        <v>1846</v>
      </c>
      <c r="E43">
        <v>20251205</v>
      </c>
      <c r="F43" s="1" t="s">
        <v>1468</v>
      </c>
      <c r="G43">
        <v>4</v>
      </c>
      <c r="H43" s="1" t="s">
        <v>1475</v>
      </c>
      <c r="I43" t="s">
        <v>1855</v>
      </c>
      <c r="J43" s="1" t="s">
        <v>1456</v>
      </c>
      <c r="K43" s="1" t="s">
        <v>1555</v>
      </c>
      <c r="L43" s="1" t="s">
        <v>1713</v>
      </c>
      <c r="M43" s="1" t="s">
        <v>1737</v>
      </c>
      <c r="N43" t="s">
        <v>1927</v>
      </c>
      <c r="O43" t="s">
        <v>2157</v>
      </c>
      <c r="P43" t="s">
        <v>2157</v>
      </c>
      <c r="Q43">
        <v>4.72</v>
      </c>
      <c r="R43" s="1" t="s">
        <v>1839</v>
      </c>
      <c r="S43">
        <v>5551.7</v>
      </c>
      <c r="T43">
        <v>26204</v>
      </c>
    </row>
    <row r="44" spans="1:20" hidden="1" x14ac:dyDescent="0.4">
      <c r="A44" s="1" t="s">
        <v>38</v>
      </c>
      <c r="B44" s="1" t="s">
        <v>1455</v>
      </c>
      <c r="C44" s="1" t="s">
        <v>1844</v>
      </c>
      <c r="D44" s="1" t="s">
        <v>1846</v>
      </c>
      <c r="E44">
        <v>20251205</v>
      </c>
      <c r="F44" s="1" t="s">
        <v>1468</v>
      </c>
      <c r="G44">
        <v>4</v>
      </c>
      <c r="H44" s="1" t="s">
        <v>1475</v>
      </c>
      <c r="I44" t="s">
        <v>1855</v>
      </c>
      <c r="J44" s="1" t="s">
        <v>1456</v>
      </c>
      <c r="K44" s="1" t="s">
        <v>1561</v>
      </c>
      <c r="L44" s="1" t="s">
        <v>1713</v>
      </c>
      <c r="M44" s="1" t="s">
        <v>1737</v>
      </c>
      <c r="N44" t="s">
        <v>1933</v>
      </c>
      <c r="O44" t="s">
        <v>2157</v>
      </c>
      <c r="P44" t="s">
        <v>2157</v>
      </c>
      <c r="Q44">
        <v>2.7</v>
      </c>
      <c r="R44" s="1" t="s">
        <v>1839</v>
      </c>
      <c r="S44">
        <v>10079.26</v>
      </c>
      <c r="T44">
        <v>27214</v>
      </c>
    </row>
    <row r="45" spans="1:20" hidden="1" x14ac:dyDescent="0.4">
      <c r="A45" s="1" t="s">
        <v>38</v>
      </c>
      <c r="B45" s="1" t="s">
        <v>1456</v>
      </c>
      <c r="C45" s="1" t="s">
        <v>1844</v>
      </c>
      <c r="D45" s="1" t="s">
        <v>1846</v>
      </c>
      <c r="E45">
        <v>20251205</v>
      </c>
      <c r="F45" s="1" t="s">
        <v>1468</v>
      </c>
      <c r="G45">
        <v>4</v>
      </c>
      <c r="H45" s="1" t="s">
        <v>1475</v>
      </c>
      <c r="I45" t="s">
        <v>1855</v>
      </c>
      <c r="J45" s="1" t="s">
        <v>1456</v>
      </c>
      <c r="K45" s="1" t="s">
        <v>1562</v>
      </c>
      <c r="L45" s="1" t="s">
        <v>1713</v>
      </c>
      <c r="M45" s="1" t="s">
        <v>1735</v>
      </c>
      <c r="N45" t="s">
        <v>1934</v>
      </c>
      <c r="O45" t="s">
        <v>2157</v>
      </c>
      <c r="P45" t="s">
        <v>3037</v>
      </c>
      <c r="Q45">
        <v>29.81</v>
      </c>
      <c r="R45" s="1" t="s">
        <v>1839</v>
      </c>
      <c r="S45">
        <v>5235.03</v>
      </c>
      <c r="T45">
        <v>156056</v>
      </c>
    </row>
    <row r="46" spans="1:20" hidden="1" x14ac:dyDescent="0.4">
      <c r="A46" s="1" t="s">
        <v>39</v>
      </c>
      <c r="B46" s="1" t="s">
        <v>1453</v>
      </c>
      <c r="C46" s="1" t="s">
        <v>1844</v>
      </c>
      <c r="D46" s="1" t="s">
        <v>1846</v>
      </c>
      <c r="E46">
        <v>20251205</v>
      </c>
      <c r="F46" s="1" t="s">
        <v>1468</v>
      </c>
      <c r="G46">
        <v>4</v>
      </c>
      <c r="H46" s="1" t="s">
        <v>1475</v>
      </c>
      <c r="I46" t="s">
        <v>1855</v>
      </c>
      <c r="J46" s="1" t="s">
        <v>1456</v>
      </c>
      <c r="K46" s="1" t="s">
        <v>1558</v>
      </c>
      <c r="L46" s="1" t="s">
        <v>1713</v>
      </c>
      <c r="M46" s="1" t="s">
        <v>1737</v>
      </c>
      <c r="N46" t="s">
        <v>1930</v>
      </c>
      <c r="O46" t="s">
        <v>2157</v>
      </c>
      <c r="P46" t="s">
        <v>2157</v>
      </c>
      <c r="Q46">
        <v>10.28</v>
      </c>
      <c r="R46" s="1" t="s">
        <v>1839</v>
      </c>
      <c r="S46">
        <v>8931.7199999999993</v>
      </c>
      <c r="T46">
        <v>91818</v>
      </c>
    </row>
    <row r="47" spans="1:20" hidden="1" x14ac:dyDescent="0.4">
      <c r="A47" s="1" t="s">
        <v>40</v>
      </c>
      <c r="B47" s="1" t="s">
        <v>1453</v>
      </c>
      <c r="C47" s="1" t="s">
        <v>1844</v>
      </c>
      <c r="D47" s="1" t="s">
        <v>1846</v>
      </c>
      <c r="E47">
        <v>20251208</v>
      </c>
      <c r="F47" s="1" t="s">
        <v>1468</v>
      </c>
      <c r="G47">
        <v>4</v>
      </c>
      <c r="H47" s="1" t="s">
        <v>1475</v>
      </c>
      <c r="I47" t="s">
        <v>1855</v>
      </c>
      <c r="J47" s="1" t="s">
        <v>1456</v>
      </c>
      <c r="K47" s="1" t="s">
        <v>1554</v>
      </c>
      <c r="L47" s="1" t="s">
        <v>1713</v>
      </c>
      <c r="M47" s="1" t="s">
        <v>1737</v>
      </c>
      <c r="N47" t="s">
        <v>1926</v>
      </c>
      <c r="O47" t="s">
        <v>2157</v>
      </c>
      <c r="P47" t="s">
        <v>2157</v>
      </c>
      <c r="Q47">
        <v>14.64</v>
      </c>
      <c r="R47" s="1" t="s">
        <v>1839</v>
      </c>
      <c r="S47">
        <v>10518.99</v>
      </c>
      <c r="T47">
        <v>153998</v>
      </c>
    </row>
    <row r="48" spans="1:20" hidden="1" x14ac:dyDescent="0.4">
      <c r="A48" s="1" t="s">
        <v>41</v>
      </c>
      <c r="B48" s="1" t="s">
        <v>1453</v>
      </c>
      <c r="C48" s="1" t="s">
        <v>1844</v>
      </c>
      <c r="D48" s="1" t="s">
        <v>1846</v>
      </c>
      <c r="E48">
        <v>20251208</v>
      </c>
      <c r="F48" s="1" t="s">
        <v>1468</v>
      </c>
      <c r="G48">
        <v>4</v>
      </c>
      <c r="H48" s="1" t="s">
        <v>1475</v>
      </c>
      <c r="I48" t="s">
        <v>1855</v>
      </c>
      <c r="J48" s="1" t="s">
        <v>1456</v>
      </c>
      <c r="K48" s="1" t="s">
        <v>1558</v>
      </c>
      <c r="L48" s="1" t="s">
        <v>1713</v>
      </c>
      <c r="M48" s="1" t="s">
        <v>1737</v>
      </c>
      <c r="N48" t="s">
        <v>1930</v>
      </c>
      <c r="O48" t="s">
        <v>2157</v>
      </c>
      <c r="P48" t="s">
        <v>2157</v>
      </c>
      <c r="Q48">
        <v>31.11</v>
      </c>
      <c r="R48" s="1" t="s">
        <v>1839</v>
      </c>
      <c r="S48">
        <v>9129.35</v>
      </c>
      <c r="T48">
        <v>284014</v>
      </c>
    </row>
    <row r="49" spans="1:20" hidden="1" x14ac:dyDescent="0.4">
      <c r="A49" s="1" t="s">
        <v>42</v>
      </c>
      <c r="B49" s="1" t="s">
        <v>1453</v>
      </c>
      <c r="C49" s="1" t="s">
        <v>1844</v>
      </c>
      <c r="D49" s="1" t="s">
        <v>1846</v>
      </c>
      <c r="E49">
        <v>20251209</v>
      </c>
      <c r="F49" s="1" t="s">
        <v>1468</v>
      </c>
      <c r="G49">
        <v>4</v>
      </c>
      <c r="H49" s="1" t="s">
        <v>1475</v>
      </c>
      <c r="I49" t="s">
        <v>1855</v>
      </c>
      <c r="J49" s="1" t="s">
        <v>1456</v>
      </c>
      <c r="K49" s="1" t="s">
        <v>1553</v>
      </c>
      <c r="L49" s="1" t="s">
        <v>1713</v>
      </c>
      <c r="M49" s="1" t="s">
        <v>1736</v>
      </c>
      <c r="N49" t="s">
        <v>1925</v>
      </c>
      <c r="O49" t="s">
        <v>2157</v>
      </c>
      <c r="P49" t="s">
        <v>3038</v>
      </c>
      <c r="Q49">
        <v>57.48</v>
      </c>
      <c r="R49" s="1" t="s">
        <v>1839</v>
      </c>
      <c r="S49">
        <v>9549.83</v>
      </c>
      <c r="T49">
        <v>548924</v>
      </c>
    </row>
    <row r="50" spans="1:20" hidden="1" x14ac:dyDescent="0.4">
      <c r="A50" s="1" t="s">
        <v>43</v>
      </c>
      <c r="B50" s="1" t="s">
        <v>1453</v>
      </c>
      <c r="C50" s="1" t="s">
        <v>1844</v>
      </c>
      <c r="D50" s="1" t="s">
        <v>1846</v>
      </c>
      <c r="E50">
        <v>20251209</v>
      </c>
      <c r="F50" s="1" t="s">
        <v>1468</v>
      </c>
      <c r="G50">
        <v>4</v>
      </c>
      <c r="H50" s="1" t="s">
        <v>1475</v>
      </c>
      <c r="I50" t="s">
        <v>1855</v>
      </c>
      <c r="J50" s="1" t="s">
        <v>1456</v>
      </c>
      <c r="K50" s="1" t="s">
        <v>1557</v>
      </c>
      <c r="L50" s="1" t="s">
        <v>1713</v>
      </c>
      <c r="M50" s="1" t="s">
        <v>1737</v>
      </c>
      <c r="N50" t="s">
        <v>1929</v>
      </c>
      <c r="O50" t="s">
        <v>2157</v>
      </c>
      <c r="P50" t="s">
        <v>2157</v>
      </c>
      <c r="Q50">
        <v>8.8000000000000007</v>
      </c>
      <c r="R50" s="1" t="s">
        <v>1839</v>
      </c>
      <c r="S50">
        <v>8975.23</v>
      </c>
      <c r="T50">
        <v>78982</v>
      </c>
    </row>
    <row r="51" spans="1:20" hidden="1" x14ac:dyDescent="0.4">
      <c r="A51" s="1" t="s">
        <v>44</v>
      </c>
      <c r="B51" s="1" t="s">
        <v>1453</v>
      </c>
      <c r="C51" s="1" t="s">
        <v>1844</v>
      </c>
      <c r="D51" s="1" t="s">
        <v>1846</v>
      </c>
      <c r="E51">
        <v>20251209</v>
      </c>
      <c r="F51" s="1" t="s">
        <v>1468</v>
      </c>
      <c r="G51">
        <v>4</v>
      </c>
      <c r="H51" s="1" t="s">
        <v>1475</v>
      </c>
      <c r="I51" t="s">
        <v>1855</v>
      </c>
      <c r="J51" s="1" t="s">
        <v>1456</v>
      </c>
      <c r="K51" s="1" t="s">
        <v>1568</v>
      </c>
      <c r="L51" s="1" t="s">
        <v>1713</v>
      </c>
      <c r="M51" s="1" t="s">
        <v>1737</v>
      </c>
      <c r="N51" t="s">
        <v>1941</v>
      </c>
      <c r="O51" t="s">
        <v>2157</v>
      </c>
      <c r="P51" t="s">
        <v>2157</v>
      </c>
      <c r="Q51">
        <v>23.82</v>
      </c>
      <c r="R51" s="1" t="s">
        <v>1839</v>
      </c>
      <c r="S51">
        <v>12173.47</v>
      </c>
      <c r="T51">
        <v>289972</v>
      </c>
    </row>
    <row r="52" spans="1:20" hidden="1" x14ac:dyDescent="0.4">
      <c r="A52" s="1" t="s">
        <v>45</v>
      </c>
      <c r="B52" s="1" t="s">
        <v>1453</v>
      </c>
      <c r="C52" s="1" t="s">
        <v>1844</v>
      </c>
      <c r="D52" s="1" t="s">
        <v>1846</v>
      </c>
      <c r="E52">
        <v>20251209</v>
      </c>
      <c r="F52" s="1" t="s">
        <v>1468</v>
      </c>
      <c r="G52">
        <v>4</v>
      </c>
      <c r="H52" s="1" t="s">
        <v>1475</v>
      </c>
      <c r="I52" t="s">
        <v>1855</v>
      </c>
      <c r="J52" s="1" t="s">
        <v>1456</v>
      </c>
      <c r="K52" s="1" t="s">
        <v>1558</v>
      </c>
      <c r="L52" s="1" t="s">
        <v>1713</v>
      </c>
      <c r="M52" s="1" t="s">
        <v>1737</v>
      </c>
      <c r="N52" t="s">
        <v>1930</v>
      </c>
      <c r="O52" t="s">
        <v>2157</v>
      </c>
      <c r="P52" t="s">
        <v>2157</v>
      </c>
      <c r="Q52">
        <v>4</v>
      </c>
      <c r="R52" s="1" t="s">
        <v>1839</v>
      </c>
      <c r="S52">
        <v>8916</v>
      </c>
      <c r="T52">
        <v>35664</v>
      </c>
    </row>
    <row r="53" spans="1:20" hidden="1" x14ac:dyDescent="0.4">
      <c r="A53" s="1" t="s">
        <v>46</v>
      </c>
      <c r="B53" s="1" t="s">
        <v>1453</v>
      </c>
      <c r="C53" s="1" t="s">
        <v>1844</v>
      </c>
      <c r="D53" s="1" t="s">
        <v>1846</v>
      </c>
      <c r="E53">
        <v>20251209</v>
      </c>
      <c r="F53" s="1" t="s">
        <v>1468</v>
      </c>
      <c r="G53">
        <v>4</v>
      </c>
      <c r="H53" s="1" t="s">
        <v>1475</v>
      </c>
      <c r="I53" t="s">
        <v>1855</v>
      </c>
      <c r="J53" s="1" t="s">
        <v>1456</v>
      </c>
      <c r="K53" s="1" t="s">
        <v>1569</v>
      </c>
      <c r="L53" s="1" t="s">
        <v>1713</v>
      </c>
      <c r="M53" s="1" t="s">
        <v>1742</v>
      </c>
      <c r="N53" t="s">
        <v>1942</v>
      </c>
      <c r="O53" t="s">
        <v>2157</v>
      </c>
      <c r="P53" t="s">
        <v>3043</v>
      </c>
      <c r="Q53">
        <v>60</v>
      </c>
      <c r="R53" s="1" t="s">
        <v>1718</v>
      </c>
      <c r="S53">
        <v>12796</v>
      </c>
      <c r="T53">
        <v>767760</v>
      </c>
    </row>
    <row r="54" spans="1:20" hidden="1" x14ac:dyDescent="0.4">
      <c r="A54" s="1" t="s">
        <v>46</v>
      </c>
      <c r="B54" s="1" t="s">
        <v>1454</v>
      </c>
      <c r="C54" s="1" t="s">
        <v>1844</v>
      </c>
      <c r="D54" s="1" t="s">
        <v>1846</v>
      </c>
      <c r="E54">
        <v>20251209</v>
      </c>
      <c r="F54" s="1" t="s">
        <v>1468</v>
      </c>
      <c r="G54">
        <v>4</v>
      </c>
      <c r="H54" s="1" t="s">
        <v>1475</v>
      </c>
      <c r="I54" t="s">
        <v>1855</v>
      </c>
      <c r="J54" s="1" t="s">
        <v>1456</v>
      </c>
      <c r="K54" s="1" t="s">
        <v>1570</v>
      </c>
      <c r="L54" s="1" t="s">
        <v>1713</v>
      </c>
      <c r="M54" s="1" t="s">
        <v>1741</v>
      </c>
      <c r="N54" t="s">
        <v>1943</v>
      </c>
      <c r="O54" t="s">
        <v>2157</v>
      </c>
      <c r="P54" t="s">
        <v>3042</v>
      </c>
      <c r="Q54">
        <v>5</v>
      </c>
      <c r="R54" s="1" t="s">
        <v>1718</v>
      </c>
      <c r="S54">
        <v>5450</v>
      </c>
      <c r="T54">
        <v>27250</v>
      </c>
    </row>
    <row r="55" spans="1:20" hidden="1" x14ac:dyDescent="0.4">
      <c r="A55" s="1" t="s">
        <v>47</v>
      </c>
      <c r="B55" s="1" t="s">
        <v>1453</v>
      </c>
      <c r="C55" s="1" t="s">
        <v>1844</v>
      </c>
      <c r="D55" s="1" t="s">
        <v>1846</v>
      </c>
      <c r="E55">
        <v>20251209</v>
      </c>
      <c r="F55" s="1" t="s">
        <v>1468</v>
      </c>
      <c r="G55">
        <v>4</v>
      </c>
      <c r="H55" s="1" t="s">
        <v>1475</v>
      </c>
      <c r="I55" t="s">
        <v>1855</v>
      </c>
      <c r="J55" s="1" t="s">
        <v>1456</v>
      </c>
      <c r="K55" s="1" t="s">
        <v>1554</v>
      </c>
      <c r="L55" s="1" t="s">
        <v>1713</v>
      </c>
      <c r="M55" s="1" t="s">
        <v>1737</v>
      </c>
      <c r="N55" t="s">
        <v>1926</v>
      </c>
      <c r="O55" t="s">
        <v>2157</v>
      </c>
      <c r="P55" t="s">
        <v>2157</v>
      </c>
      <c r="Q55">
        <v>1.08</v>
      </c>
      <c r="R55" s="1" t="s">
        <v>1839</v>
      </c>
      <c r="S55">
        <v>10497.23</v>
      </c>
      <c r="T55">
        <v>11337</v>
      </c>
    </row>
    <row r="56" spans="1:20" hidden="1" x14ac:dyDescent="0.4">
      <c r="A56" s="1" t="s">
        <v>48</v>
      </c>
      <c r="B56" s="1" t="s">
        <v>1453</v>
      </c>
      <c r="C56" s="1" t="s">
        <v>1844</v>
      </c>
      <c r="D56" s="1" t="s">
        <v>1846</v>
      </c>
      <c r="E56">
        <v>20251209</v>
      </c>
      <c r="F56" s="1" t="s">
        <v>1468</v>
      </c>
      <c r="G56">
        <v>4</v>
      </c>
      <c r="H56" s="1" t="s">
        <v>1475</v>
      </c>
      <c r="I56" t="s">
        <v>1855</v>
      </c>
      <c r="J56" s="1" t="s">
        <v>1456</v>
      </c>
      <c r="K56" s="1" t="s">
        <v>1563</v>
      </c>
      <c r="L56" s="1" t="s">
        <v>1713</v>
      </c>
      <c r="M56" s="1" t="s">
        <v>1741</v>
      </c>
      <c r="N56" t="s">
        <v>1935</v>
      </c>
      <c r="O56" t="s">
        <v>2157</v>
      </c>
      <c r="P56" t="s">
        <v>3042</v>
      </c>
      <c r="Q56">
        <v>100</v>
      </c>
      <c r="R56" s="1" t="s">
        <v>1718</v>
      </c>
      <c r="S56">
        <v>2932</v>
      </c>
      <c r="T56">
        <v>293200</v>
      </c>
    </row>
    <row r="57" spans="1:20" hidden="1" x14ac:dyDescent="0.4">
      <c r="A57" s="1" t="s">
        <v>48</v>
      </c>
      <c r="B57" s="1" t="s">
        <v>1454</v>
      </c>
      <c r="C57" s="1" t="s">
        <v>1844</v>
      </c>
      <c r="D57" s="1" t="s">
        <v>1846</v>
      </c>
      <c r="E57">
        <v>20251209</v>
      </c>
      <c r="F57" s="1" t="s">
        <v>1468</v>
      </c>
      <c r="G57">
        <v>4</v>
      </c>
      <c r="H57" s="1" t="s">
        <v>1475</v>
      </c>
      <c r="I57" t="s">
        <v>1855</v>
      </c>
      <c r="J57" s="1" t="s">
        <v>1456</v>
      </c>
      <c r="K57" s="1" t="s">
        <v>1563</v>
      </c>
      <c r="L57" s="1" t="s">
        <v>1713</v>
      </c>
      <c r="M57" s="1" t="s">
        <v>1741</v>
      </c>
      <c r="N57" t="s">
        <v>1935</v>
      </c>
      <c r="O57" t="s">
        <v>2157</v>
      </c>
      <c r="P57" t="s">
        <v>3042</v>
      </c>
      <c r="Q57">
        <v>100</v>
      </c>
      <c r="R57" s="1" t="s">
        <v>1718</v>
      </c>
      <c r="S57">
        <v>5624</v>
      </c>
      <c r="T57">
        <v>562400</v>
      </c>
    </row>
    <row r="58" spans="1:20" hidden="1" x14ac:dyDescent="0.4">
      <c r="A58" s="1" t="s">
        <v>49</v>
      </c>
      <c r="B58" s="1" t="s">
        <v>1453</v>
      </c>
      <c r="C58" s="1" t="s">
        <v>1844</v>
      </c>
      <c r="D58" s="1" t="s">
        <v>1846</v>
      </c>
      <c r="E58">
        <v>20251210</v>
      </c>
      <c r="F58" s="1" t="s">
        <v>1468</v>
      </c>
      <c r="G58">
        <v>4</v>
      </c>
      <c r="H58" s="1" t="s">
        <v>1475</v>
      </c>
      <c r="I58" t="s">
        <v>1855</v>
      </c>
      <c r="J58" s="1" t="s">
        <v>1456</v>
      </c>
      <c r="K58" s="1" t="s">
        <v>1553</v>
      </c>
      <c r="L58" s="1" t="s">
        <v>1713</v>
      </c>
      <c r="M58" s="1" t="s">
        <v>1736</v>
      </c>
      <c r="N58" t="s">
        <v>1925</v>
      </c>
      <c r="O58" t="s">
        <v>2157</v>
      </c>
      <c r="P58" t="s">
        <v>3038</v>
      </c>
      <c r="Q58">
        <v>18.239999999999998</v>
      </c>
      <c r="R58" s="1" t="s">
        <v>1839</v>
      </c>
      <c r="S58">
        <v>6063.82</v>
      </c>
      <c r="T58">
        <v>110604</v>
      </c>
    </row>
    <row r="59" spans="1:20" hidden="1" x14ac:dyDescent="0.4">
      <c r="A59" s="1" t="s">
        <v>49</v>
      </c>
      <c r="B59" s="1" t="s">
        <v>1454</v>
      </c>
      <c r="C59" s="1" t="s">
        <v>1844</v>
      </c>
      <c r="D59" s="1" t="s">
        <v>1846</v>
      </c>
      <c r="E59">
        <v>20251210</v>
      </c>
      <c r="F59" s="1" t="s">
        <v>1468</v>
      </c>
      <c r="G59">
        <v>4</v>
      </c>
      <c r="H59" s="1" t="s">
        <v>1475</v>
      </c>
      <c r="I59" t="s">
        <v>1855</v>
      </c>
      <c r="J59" s="1" t="s">
        <v>1456</v>
      </c>
      <c r="K59" s="1" t="s">
        <v>1554</v>
      </c>
      <c r="L59" s="1" t="s">
        <v>1713</v>
      </c>
      <c r="M59" s="1" t="s">
        <v>1737</v>
      </c>
      <c r="N59" t="s">
        <v>1926</v>
      </c>
      <c r="O59" t="s">
        <v>2157</v>
      </c>
      <c r="P59" t="s">
        <v>2157</v>
      </c>
      <c r="Q59">
        <v>41.1</v>
      </c>
      <c r="R59" s="1" t="s">
        <v>1839</v>
      </c>
      <c r="S59">
        <v>10864.97</v>
      </c>
      <c r="T59">
        <v>446550</v>
      </c>
    </row>
    <row r="60" spans="1:20" hidden="1" x14ac:dyDescent="0.4">
      <c r="A60" s="1" t="s">
        <v>50</v>
      </c>
      <c r="B60" s="1" t="s">
        <v>1453</v>
      </c>
      <c r="C60" s="1" t="s">
        <v>1844</v>
      </c>
      <c r="D60" s="1" t="s">
        <v>1846</v>
      </c>
      <c r="E60">
        <v>20251210</v>
      </c>
      <c r="F60" s="1" t="s">
        <v>1468</v>
      </c>
      <c r="G60">
        <v>4</v>
      </c>
      <c r="H60" s="1" t="s">
        <v>1475</v>
      </c>
      <c r="I60" t="s">
        <v>1855</v>
      </c>
      <c r="J60" s="1" t="s">
        <v>1456</v>
      </c>
      <c r="K60" s="1" t="s">
        <v>1555</v>
      </c>
      <c r="L60" s="1" t="s">
        <v>1713</v>
      </c>
      <c r="M60" s="1" t="s">
        <v>1737</v>
      </c>
      <c r="N60" t="s">
        <v>1927</v>
      </c>
      <c r="O60" t="s">
        <v>2157</v>
      </c>
      <c r="P60" t="s">
        <v>2157</v>
      </c>
      <c r="Q60">
        <v>21.28</v>
      </c>
      <c r="R60" s="1" t="s">
        <v>1839</v>
      </c>
      <c r="S60">
        <v>6167.49</v>
      </c>
      <c r="T60">
        <v>131244</v>
      </c>
    </row>
    <row r="61" spans="1:20" hidden="1" x14ac:dyDescent="0.4">
      <c r="A61" s="1" t="s">
        <v>50</v>
      </c>
      <c r="B61" s="1" t="s">
        <v>1454</v>
      </c>
      <c r="C61" s="1" t="s">
        <v>1844</v>
      </c>
      <c r="D61" s="1" t="s">
        <v>1846</v>
      </c>
      <c r="E61">
        <v>20251210</v>
      </c>
      <c r="F61" s="1" t="s">
        <v>1468</v>
      </c>
      <c r="G61">
        <v>4</v>
      </c>
      <c r="H61" s="1" t="s">
        <v>1475</v>
      </c>
      <c r="I61" t="s">
        <v>1855</v>
      </c>
      <c r="J61" s="1" t="s">
        <v>1456</v>
      </c>
      <c r="K61" s="1" t="s">
        <v>1562</v>
      </c>
      <c r="L61" s="1" t="s">
        <v>1713</v>
      </c>
      <c r="M61" s="1" t="s">
        <v>1735</v>
      </c>
      <c r="N61" t="s">
        <v>1934</v>
      </c>
      <c r="O61" t="s">
        <v>2157</v>
      </c>
      <c r="P61" t="s">
        <v>3037</v>
      </c>
      <c r="Q61">
        <v>49.36</v>
      </c>
      <c r="R61" s="1" t="s">
        <v>1839</v>
      </c>
      <c r="S61">
        <v>5031.2</v>
      </c>
      <c r="T61">
        <v>248340</v>
      </c>
    </row>
    <row r="62" spans="1:20" hidden="1" x14ac:dyDescent="0.4">
      <c r="A62" s="1" t="s">
        <v>51</v>
      </c>
      <c r="B62" s="1" t="s">
        <v>1453</v>
      </c>
      <c r="C62" s="1" t="s">
        <v>1844</v>
      </c>
      <c r="D62" s="1" t="s">
        <v>1846</v>
      </c>
      <c r="E62">
        <v>20251210</v>
      </c>
      <c r="F62" s="1" t="s">
        <v>1468</v>
      </c>
      <c r="G62">
        <v>4</v>
      </c>
      <c r="H62" s="1" t="s">
        <v>1475</v>
      </c>
      <c r="I62" t="s">
        <v>1855</v>
      </c>
      <c r="J62" s="1" t="s">
        <v>1456</v>
      </c>
      <c r="K62" s="1" t="s">
        <v>1558</v>
      </c>
      <c r="L62" s="1" t="s">
        <v>1713</v>
      </c>
      <c r="M62" s="1" t="s">
        <v>1737</v>
      </c>
      <c r="N62" t="s">
        <v>1930</v>
      </c>
      <c r="O62" t="s">
        <v>2157</v>
      </c>
      <c r="P62" t="s">
        <v>2157</v>
      </c>
      <c r="Q62">
        <v>73.28</v>
      </c>
      <c r="R62" s="1" t="s">
        <v>1839</v>
      </c>
      <c r="S62">
        <v>9157.2900000000009</v>
      </c>
      <c r="T62">
        <v>671046</v>
      </c>
    </row>
    <row r="63" spans="1:20" hidden="1" x14ac:dyDescent="0.4">
      <c r="A63" s="1" t="s">
        <v>52</v>
      </c>
      <c r="B63" s="1" t="s">
        <v>1453</v>
      </c>
      <c r="C63" s="1" t="s">
        <v>1844</v>
      </c>
      <c r="D63" s="1" t="s">
        <v>1846</v>
      </c>
      <c r="E63">
        <v>20251210</v>
      </c>
      <c r="F63" s="1" t="s">
        <v>1468</v>
      </c>
      <c r="G63">
        <v>4</v>
      </c>
      <c r="H63" s="1" t="s">
        <v>1475</v>
      </c>
      <c r="I63" t="s">
        <v>1855</v>
      </c>
      <c r="J63" s="1" t="s">
        <v>1456</v>
      </c>
      <c r="K63" s="1" t="s">
        <v>1571</v>
      </c>
      <c r="L63" s="1" t="s">
        <v>1713</v>
      </c>
      <c r="M63" s="1" t="s">
        <v>1741</v>
      </c>
      <c r="N63" t="s">
        <v>1944</v>
      </c>
      <c r="O63" t="s">
        <v>2157</v>
      </c>
      <c r="P63" t="s">
        <v>3042</v>
      </c>
      <c r="Q63">
        <v>40</v>
      </c>
      <c r="R63" s="1" t="s">
        <v>1718</v>
      </c>
      <c r="S63">
        <v>5517</v>
      </c>
      <c r="T63">
        <v>220680</v>
      </c>
    </row>
    <row r="64" spans="1:20" hidden="1" x14ac:dyDescent="0.4">
      <c r="A64" s="1" t="s">
        <v>52</v>
      </c>
      <c r="B64" s="1" t="s">
        <v>1454</v>
      </c>
      <c r="C64" s="1" t="s">
        <v>1844</v>
      </c>
      <c r="D64" s="1" t="s">
        <v>1846</v>
      </c>
      <c r="E64">
        <v>20251210</v>
      </c>
      <c r="F64" s="1" t="s">
        <v>1468</v>
      </c>
      <c r="G64">
        <v>4</v>
      </c>
      <c r="H64" s="1" t="s">
        <v>1475</v>
      </c>
      <c r="I64" t="s">
        <v>1855</v>
      </c>
      <c r="J64" s="1" t="s">
        <v>1456</v>
      </c>
      <c r="K64" s="1" t="s">
        <v>1559</v>
      </c>
      <c r="L64" s="1" t="s">
        <v>1713</v>
      </c>
      <c r="M64" s="1" t="s">
        <v>1739</v>
      </c>
      <c r="N64" t="s">
        <v>1931</v>
      </c>
      <c r="O64" t="s">
        <v>2157</v>
      </c>
      <c r="P64" t="s">
        <v>3040</v>
      </c>
      <c r="Q64">
        <v>1</v>
      </c>
      <c r="R64" s="1" t="s">
        <v>1718</v>
      </c>
      <c r="S64">
        <v>4836</v>
      </c>
      <c r="T64">
        <v>4836</v>
      </c>
    </row>
    <row r="65" spans="1:20" hidden="1" x14ac:dyDescent="0.4">
      <c r="A65" s="1" t="s">
        <v>52</v>
      </c>
      <c r="B65" s="1" t="s">
        <v>1455</v>
      </c>
      <c r="C65" s="1" t="s">
        <v>1844</v>
      </c>
      <c r="D65" s="1" t="s">
        <v>1846</v>
      </c>
      <c r="E65">
        <v>20251210</v>
      </c>
      <c r="F65" s="1" t="s">
        <v>1468</v>
      </c>
      <c r="G65">
        <v>4</v>
      </c>
      <c r="H65" s="1" t="s">
        <v>1475</v>
      </c>
      <c r="I65" t="s">
        <v>1855</v>
      </c>
      <c r="J65" s="1" t="s">
        <v>1456</v>
      </c>
      <c r="K65" s="1" t="s">
        <v>1559</v>
      </c>
      <c r="L65" s="1" t="s">
        <v>1713</v>
      </c>
      <c r="M65" s="1" t="s">
        <v>1743</v>
      </c>
      <c r="N65" t="s">
        <v>1931</v>
      </c>
      <c r="O65" t="s">
        <v>2157</v>
      </c>
      <c r="P65" t="s">
        <v>3044</v>
      </c>
      <c r="Q65">
        <v>3</v>
      </c>
      <c r="R65" s="1" t="s">
        <v>1718</v>
      </c>
      <c r="S65">
        <v>2460</v>
      </c>
      <c r="T65">
        <v>7380</v>
      </c>
    </row>
    <row r="66" spans="1:20" hidden="1" x14ac:dyDescent="0.4">
      <c r="A66" s="1" t="s">
        <v>53</v>
      </c>
      <c r="B66" s="1" t="s">
        <v>1453</v>
      </c>
      <c r="C66" s="1" t="s">
        <v>1844</v>
      </c>
      <c r="D66" s="1" t="s">
        <v>1846</v>
      </c>
      <c r="E66">
        <v>20251211</v>
      </c>
      <c r="F66" s="1" t="s">
        <v>1468</v>
      </c>
      <c r="G66">
        <v>4</v>
      </c>
      <c r="H66" s="1" t="s">
        <v>1475</v>
      </c>
      <c r="I66" t="s">
        <v>1855</v>
      </c>
      <c r="J66" s="1" t="s">
        <v>1456</v>
      </c>
      <c r="K66" s="1" t="s">
        <v>1553</v>
      </c>
      <c r="L66" s="1" t="s">
        <v>1713</v>
      </c>
      <c r="M66" s="1" t="s">
        <v>1736</v>
      </c>
      <c r="N66" t="s">
        <v>1925</v>
      </c>
      <c r="O66" t="s">
        <v>2157</v>
      </c>
      <c r="P66" t="s">
        <v>3038</v>
      </c>
      <c r="Q66">
        <v>1</v>
      </c>
      <c r="R66" s="1" t="s">
        <v>1718</v>
      </c>
      <c r="S66">
        <v>3711</v>
      </c>
      <c r="T66">
        <v>3711</v>
      </c>
    </row>
    <row r="67" spans="1:20" hidden="1" x14ac:dyDescent="0.4">
      <c r="A67" s="1" t="s">
        <v>53</v>
      </c>
      <c r="B67" s="1" t="s">
        <v>1454</v>
      </c>
      <c r="C67" s="1" t="s">
        <v>1844</v>
      </c>
      <c r="D67" s="1" t="s">
        <v>1846</v>
      </c>
      <c r="E67">
        <v>20251211</v>
      </c>
      <c r="F67" s="1" t="s">
        <v>1468</v>
      </c>
      <c r="G67">
        <v>4</v>
      </c>
      <c r="H67" s="1" t="s">
        <v>1475</v>
      </c>
      <c r="I67" t="s">
        <v>1855</v>
      </c>
      <c r="J67" s="1" t="s">
        <v>1456</v>
      </c>
      <c r="K67" s="1" t="s">
        <v>1553</v>
      </c>
      <c r="L67" s="1" t="s">
        <v>1713</v>
      </c>
      <c r="M67" s="1" t="s">
        <v>1736</v>
      </c>
      <c r="N67" t="s">
        <v>1925</v>
      </c>
      <c r="O67" t="s">
        <v>2157</v>
      </c>
      <c r="P67" t="s">
        <v>3038</v>
      </c>
      <c r="Q67">
        <v>9.14</v>
      </c>
      <c r="R67" s="1" t="s">
        <v>1839</v>
      </c>
      <c r="S67">
        <v>6754.16</v>
      </c>
      <c r="T67">
        <v>61733</v>
      </c>
    </row>
    <row r="68" spans="1:20" hidden="1" x14ac:dyDescent="0.4">
      <c r="A68" s="1" t="s">
        <v>53</v>
      </c>
      <c r="B68" s="1" t="s">
        <v>1455</v>
      </c>
      <c r="C68" s="1" t="s">
        <v>1844</v>
      </c>
      <c r="D68" s="1" t="s">
        <v>1846</v>
      </c>
      <c r="E68">
        <v>20251211</v>
      </c>
      <c r="F68" s="1" t="s">
        <v>1468</v>
      </c>
      <c r="G68">
        <v>4</v>
      </c>
      <c r="H68" s="1" t="s">
        <v>1475</v>
      </c>
      <c r="I68" t="s">
        <v>1855</v>
      </c>
      <c r="J68" s="1" t="s">
        <v>1456</v>
      </c>
      <c r="K68" s="1" t="s">
        <v>1554</v>
      </c>
      <c r="L68" s="1" t="s">
        <v>1713</v>
      </c>
      <c r="M68" s="1" t="s">
        <v>1737</v>
      </c>
      <c r="N68" t="s">
        <v>1926</v>
      </c>
      <c r="O68" t="s">
        <v>2157</v>
      </c>
      <c r="P68" t="s">
        <v>2157</v>
      </c>
      <c r="Q68">
        <v>64.13</v>
      </c>
      <c r="R68" s="1" t="s">
        <v>1839</v>
      </c>
      <c r="S68">
        <v>10839.5</v>
      </c>
      <c r="T68">
        <v>695137</v>
      </c>
    </row>
    <row r="69" spans="1:20" hidden="1" x14ac:dyDescent="0.4">
      <c r="A69" s="1" t="s">
        <v>54</v>
      </c>
      <c r="B69" s="1" t="s">
        <v>1453</v>
      </c>
      <c r="C69" s="1" t="s">
        <v>1844</v>
      </c>
      <c r="D69" s="1" t="s">
        <v>1846</v>
      </c>
      <c r="E69">
        <v>20251211</v>
      </c>
      <c r="F69" s="1" t="s">
        <v>1468</v>
      </c>
      <c r="G69">
        <v>4</v>
      </c>
      <c r="H69" s="1" t="s">
        <v>1475</v>
      </c>
      <c r="I69" t="s">
        <v>1855</v>
      </c>
      <c r="J69" s="1" t="s">
        <v>1456</v>
      </c>
      <c r="K69" s="1" t="s">
        <v>1560</v>
      </c>
      <c r="L69" s="1" t="s">
        <v>1713</v>
      </c>
      <c r="M69" s="1" t="s">
        <v>1740</v>
      </c>
      <c r="N69" t="s">
        <v>1932</v>
      </c>
      <c r="O69" t="s">
        <v>2157</v>
      </c>
      <c r="P69" t="s">
        <v>3041</v>
      </c>
      <c r="Q69">
        <v>1.34</v>
      </c>
      <c r="R69" s="1" t="s">
        <v>1839</v>
      </c>
      <c r="S69">
        <v>9740.2999999999993</v>
      </c>
      <c r="T69">
        <v>13052</v>
      </c>
    </row>
    <row r="70" spans="1:20" hidden="1" x14ac:dyDescent="0.4">
      <c r="A70" s="1" t="s">
        <v>54</v>
      </c>
      <c r="B70" s="1" t="s">
        <v>1454</v>
      </c>
      <c r="C70" s="1" t="s">
        <v>1844</v>
      </c>
      <c r="D70" s="1" t="s">
        <v>1846</v>
      </c>
      <c r="E70">
        <v>20251211</v>
      </c>
      <c r="F70" s="1" t="s">
        <v>1468</v>
      </c>
      <c r="G70">
        <v>4</v>
      </c>
      <c r="H70" s="1" t="s">
        <v>1475</v>
      </c>
      <c r="I70" t="s">
        <v>1855</v>
      </c>
      <c r="J70" s="1" t="s">
        <v>1456</v>
      </c>
      <c r="K70" s="1" t="s">
        <v>1561</v>
      </c>
      <c r="L70" s="1" t="s">
        <v>1713</v>
      </c>
      <c r="M70" s="1" t="s">
        <v>1737</v>
      </c>
      <c r="N70" t="s">
        <v>1933</v>
      </c>
      <c r="O70" t="s">
        <v>2157</v>
      </c>
      <c r="P70" t="s">
        <v>2157</v>
      </c>
      <c r="Q70">
        <v>6.7</v>
      </c>
      <c r="R70" s="1" t="s">
        <v>1839</v>
      </c>
      <c r="S70">
        <v>10044.18</v>
      </c>
      <c r="T70">
        <v>67296</v>
      </c>
    </row>
    <row r="71" spans="1:20" hidden="1" x14ac:dyDescent="0.4">
      <c r="A71" s="1" t="s">
        <v>55</v>
      </c>
      <c r="B71" s="1" t="s">
        <v>1453</v>
      </c>
      <c r="C71" s="1" t="s">
        <v>1844</v>
      </c>
      <c r="D71" s="1" t="s">
        <v>1846</v>
      </c>
      <c r="E71">
        <v>20251211</v>
      </c>
      <c r="F71" s="1" t="s">
        <v>1468</v>
      </c>
      <c r="G71">
        <v>4</v>
      </c>
      <c r="H71" s="1" t="s">
        <v>1475</v>
      </c>
      <c r="I71" t="s">
        <v>1855</v>
      </c>
      <c r="J71" s="1" t="s">
        <v>1456</v>
      </c>
      <c r="K71" s="1" t="s">
        <v>1557</v>
      </c>
      <c r="L71" s="1" t="s">
        <v>1713</v>
      </c>
      <c r="M71" s="1" t="s">
        <v>1737</v>
      </c>
      <c r="N71" t="s">
        <v>1929</v>
      </c>
      <c r="O71" t="s">
        <v>2157</v>
      </c>
      <c r="P71" t="s">
        <v>2157</v>
      </c>
      <c r="Q71">
        <v>3.32</v>
      </c>
      <c r="R71" s="1" t="s">
        <v>1839</v>
      </c>
      <c r="S71">
        <v>9035.5499999999993</v>
      </c>
      <c r="T71">
        <v>29998</v>
      </c>
    </row>
    <row r="72" spans="1:20" hidden="1" x14ac:dyDescent="0.4">
      <c r="A72" s="1" t="s">
        <v>56</v>
      </c>
      <c r="B72" s="1" t="s">
        <v>1453</v>
      </c>
      <c r="C72" s="1" t="s">
        <v>1844</v>
      </c>
      <c r="D72" s="1" t="s">
        <v>1846</v>
      </c>
      <c r="E72">
        <v>20251211</v>
      </c>
      <c r="F72" s="1" t="s">
        <v>1468</v>
      </c>
      <c r="G72">
        <v>4</v>
      </c>
      <c r="H72" s="1" t="s">
        <v>1475</v>
      </c>
      <c r="I72" t="s">
        <v>1855</v>
      </c>
      <c r="J72" s="1" t="s">
        <v>1456</v>
      </c>
      <c r="K72" s="1" t="s">
        <v>1558</v>
      </c>
      <c r="L72" s="1" t="s">
        <v>1713</v>
      </c>
      <c r="M72" s="1" t="s">
        <v>1737</v>
      </c>
      <c r="N72" t="s">
        <v>1930</v>
      </c>
      <c r="O72" t="s">
        <v>2157</v>
      </c>
      <c r="P72" t="s">
        <v>2157</v>
      </c>
      <c r="Q72">
        <v>16.46</v>
      </c>
      <c r="R72" s="1" t="s">
        <v>1839</v>
      </c>
      <c r="S72">
        <v>9513.86</v>
      </c>
      <c r="T72">
        <v>156598</v>
      </c>
    </row>
    <row r="73" spans="1:20" hidden="1" x14ac:dyDescent="0.4">
      <c r="A73" s="1" t="s">
        <v>57</v>
      </c>
      <c r="B73" s="1" t="s">
        <v>1453</v>
      </c>
      <c r="C73" s="1" t="s">
        <v>1844</v>
      </c>
      <c r="D73" s="1" t="s">
        <v>1846</v>
      </c>
      <c r="E73">
        <v>20251211</v>
      </c>
      <c r="F73" s="1" t="s">
        <v>1468</v>
      </c>
      <c r="G73">
        <v>4</v>
      </c>
      <c r="H73" s="1" t="s">
        <v>1475</v>
      </c>
      <c r="I73" t="s">
        <v>1855</v>
      </c>
      <c r="J73" s="1" t="s">
        <v>1456</v>
      </c>
      <c r="K73" s="1" t="s">
        <v>1571</v>
      </c>
      <c r="L73" s="1" t="s">
        <v>1713</v>
      </c>
      <c r="M73" s="1" t="s">
        <v>1741</v>
      </c>
      <c r="N73" t="s">
        <v>1944</v>
      </c>
      <c r="O73" t="s">
        <v>2157</v>
      </c>
      <c r="P73" t="s">
        <v>3042</v>
      </c>
      <c r="Q73">
        <v>30</v>
      </c>
      <c r="R73" s="1" t="s">
        <v>1718</v>
      </c>
      <c r="S73">
        <v>14364</v>
      </c>
      <c r="T73">
        <v>430920</v>
      </c>
    </row>
    <row r="74" spans="1:20" hidden="1" x14ac:dyDescent="0.4">
      <c r="A74" s="1" t="s">
        <v>58</v>
      </c>
      <c r="B74" s="1" t="s">
        <v>1453</v>
      </c>
      <c r="C74" s="1" t="s">
        <v>1844</v>
      </c>
      <c r="D74" s="1" t="s">
        <v>1846</v>
      </c>
      <c r="E74">
        <v>20251212</v>
      </c>
      <c r="F74" s="1" t="s">
        <v>1468</v>
      </c>
      <c r="G74">
        <v>4</v>
      </c>
      <c r="H74" s="1" t="s">
        <v>1475</v>
      </c>
      <c r="I74" t="s">
        <v>1855</v>
      </c>
      <c r="J74" s="1" t="s">
        <v>1456</v>
      </c>
      <c r="K74" s="1" t="s">
        <v>1553</v>
      </c>
      <c r="L74" s="1" t="s">
        <v>1713</v>
      </c>
      <c r="M74" s="1" t="s">
        <v>1736</v>
      </c>
      <c r="N74" t="s">
        <v>1925</v>
      </c>
      <c r="O74" t="s">
        <v>2157</v>
      </c>
      <c r="P74" t="s">
        <v>3038</v>
      </c>
      <c r="Q74">
        <v>28.64</v>
      </c>
      <c r="R74" s="1" t="s">
        <v>1839</v>
      </c>
      <c r="S74">
        <v>7444.7</v>
      </c>
      <c r="T74">
        <v>213216</v>
      </c>
    </row>
    <row r="75" spans="1:20" hidden="1" x14ac:dyDescent="0.4">
      <c r="A75" s="1" t="s">
        <v>58</v>
      </c>
      <c r="B75" s="1" t="s">
        <v>1454</v>
      </c>
      <c r="C75" s="1" t="s">
        <v>1844</v>
      </c>
      <c r="D75" s="1" t="s">
        <v>1846</v>
      </c>
      <c r="E75">
        <v>20251212</v>
      </c>
      <c r="F75" s="1" t="s">
        <v>1468</v>
      </c>
      <c r="G75">
        <v>4</v>
      </c>
      <c r="H75" s="1" t="s">
        <v>1475</v>
      </c>
      <c r="I75" t="s">
        <v>1855</v>
      </c>
      <c r="J75" s="1" t="s">
        <v>1456</v>
      </c>
      <c r="K75" s="1" t="s">
        <v>1553</v>
      </c>
      <c r="L75" s="1" t="s">
        <v>1713</v>
      </c>
      <c r="M75" s="1" t="s">
        <v>1740</v>
      </c>
      <c r="N75" t="s">
        <v>1925</v>
      </c>
      <c r="O75" t="s">
        <v>2157</v>
      </c>
      <c r="P75" t="s">
        <v>3041</v>
      </c>
      <c r="Q75">
        <v>2</v>
      </c>
      <c r="R75" s="1" t="s">
        <v>1718</v>
      </c>
      <c r="S75">
        <v>6520</v>
      </c>
      <c r="T75">
        <v>13040</v>
      </c>
    </row>
    <row r="76" spans="1:20" hidden="1" x14ac:dyDescent="0.4">
      <c r="A76" s="1" t="s">
        <v>58</v>
      </c>
      <c r="B76" s="1" t="s">
        <v>1455</v>
      </c>
      <c r="C76" s="1" t="s">
        <v>1844</v>
      </c>
      <c r="D76" s="1" t="s">
        <v>1846</v>
      </c>
      <c r="E76">
        <v>20251212</v>
      </c>
      <c r="F76" s="1" t="s">
        <v>1468</v>
      </c>
      <c r="G76">
        <v>4</v>
      </c>
      <c r="H76" s="1" t="s">
        <v>1475</v>
      </c>
      <c r="I76" t="s">
        <v>1855</v>
      </c>
      <c r="J76" s="1" t="s">
        <v>1456</v>
      </c>
      <c r="K76" s="1" t="s">
        <v>1553</v>
      </c>
      <c r="L76" s="1" t="s">
        <v>1713</v>
      </c>
      <c r="M76" s="1" t="s">
        <v>1740</v>
      </c>
      <c r="N76" t="s">
        <v>1925</v>
      </c>
      <c r="O76" t="s">
        <v>2157</v>
      </c>
      <c r="P76" t="s">
        <v>3041</v>
      </c>
      <c r="Q76">
        <v>24.3</v>
      </c>
      <c r="R76" s="1" t="s">
        <v>1839</v>
      </c>
      <c r="S76">
        <v>9478.11</v>
      </c>
      <c r="T76">
        <v>230318</v>
      </c>
    </row>
    <row r="77" spans="1:20" hidden="1" x14ac:dyDescent="0.4">
      <c r="A77" s="1" t="s">
        <v>58</v>
      </c>
      <c r="B77" s="1" t="s">
        <v>1456</v>
      </c>
      <c r="C77" s="1" t="s">
        <v>1844</v>
      </c>
      <c r="D77" s="1" t="s">
        <v>1846</v>
      </c>
      <c r="E77">
        <v>20251212</v>
      </c>
      <c r="F77" s="1" t="s">
        <v>1468</v>
      </c>
      <c r="G77">
        <v>4</v>
      </c>
      <c r="H77" s="1" t="s">
        <v>1475</v>
      </c>
      <c r="I77" t="s">
        <v>1855</v>
      </c>
      <c r="J77" s="1" t="s">
        <v>1456</v>
      </c>
      <c r="K77" s="1" t="s">
        <v>1554</v>
      </c>
      <c r="L77" s="1" t="s">
        <v>1713</v>
      </c>
      <c r="M77" s="1" t="s">
        <v>1737</v>
      </c>
      <c r="N77" t="s">
        <v>1926</v>
      </c>
      <c r="O77" t="s">
        <v>2157</v>
      </c>
      <c r="P77" t="s">
        <v>2157</v>
      </c>
      <c r="Q77">
        <v>36.31</v>
      </c>
      <c r="R77" s="1" t="s">
        <v>1839</v>
      </c>
      <c r="S77">
        <v>10686.57</v>
      </c>
      <c r="T77">
        <v>388029</v>
      </c>
    </row>
    <row r="78" spans="1:20" hidden="1" x14ac:dyDescent="0.4">
      <c r="A78" s="1" t="s">
        <v>59</v>
      </c>
      <c r="B78" s="1" t="s">
        <v>1453</v>
      </c>
      <c r="C78" s="1" t="s">
        <v>1844</v>
      </c>
      <c r="D78" s="1" t="s">
        <v>1846</v>
      </c>
      <c r="E78">
        <v>20251212</v>
      </c>
      <c r="F78" s="1" t="s">
        <v>1468</v>
      </c>
      <c r="G78">
        <v>4</v>
      </c>
      <c r="H78" s="1" t="s">
        <v>1475</v>
      </c>
      <c r="I78" t="s">
        <v>1855</v>
      </c>
      <c r="J78" s="1" t="s">
        <v>1456</v>
      </c>
      <c r="K78" s="1" t="s">
        <v>1560</v>
      </c>
      <c r="L78" s="1" t="s">
        <v>1713</v>
      </c>
      <c r="M78" s="1" t="s">
        <v>1740</v>
      </c>
      <c r="N78" t="s">
        <v>1932</v>
      </c>
      <c r="O78" t="s">
        <v>2157</v>
      </c>
      <c r="P78" t="s">
        <v>3041</v>
      </c>
      <c r="Q78">
        <v>1.23</v>
      </c>
      <c r="R78" s="1" t="s">
        <v>1839</v>
      </c>
      <c r="S78">
        <v>9686.18</v>
      </c>
      <c r="T78">
        <v>11914</v>
      </c>
    </row>
    <row r="79" spans="1:20" hidden="1" x14ac:dyDescent="0.4">
      <c r="A79" s="1" t="s">
        <v>59</v>
      </c>
      <c r="B79" s="1" t="s">
        <v>1454</v>
      </c>
      <c r="C79" s="1" t="s">
        <v>1844</v>
      </c>
      <c r="D79" s="1" t="s">
        <v>1846</v>
      </c>
      <c r="E79">
        <v>20251212</v>
      </c>
      <c r="F79" s="1" t="s">
        <v>1468</v>
      </c>
      <c r="G79">
        <v>4</v>
      </c>
      <c r="H79" s="1" t="s">
        <v>1475</v>
      </c>
      <c r="I79" t="s">
        <v>1855</v>
      </c>
      <c r="J79" s="1" t="s">
        <v>1456</v>
      </c>
      <c r="K79" s="1" t="s">
        <v>1561</v>
      </c>
      <c r="L79" s="1" t="s">
        <v>1713</v>
      </c>
      <c r="M79" s="1" t="s">
        <v>1737</v>
      </c>
      <c r="N79" t="s">
        <v>1933</v>
      </c>
      <c r="O79" t="s">
        <v>2157</v>
      </c>
      <c r="P79" t="s">
        <v>2157</v>
      </c>
      <c r="Q79">
        <v>6.62</v>
      </c>
      <c r="R79" s="1" t="s">
        <v>1839</v>
      </c>
      <c r="S79">
        <v>10020.25</v>
      </c>
      <c r="T79">
        <v>66334</v>
      </c>
    </row>
    <row r="80" spans="1:20" hidden="1" x14ac:dyDescent="0.4">
      <c r="A80" s="1" t="s">
        <v>60</v>
      </c>
      <c r="B80" s="1" t="s">
        <v>1453</v>
      </c>
      <c r="C80" s="1" t="s">
        <v>1844</v>
      </c>
      <c r="D80" s="1" t="s">
        <v>1846</v>
      </c>
      <c r="E80">
        <v>20251212</v>
      </c>
      <c r="F80" s="1" t="s">
        <v>1468</v>
      </c>
      <c r="G80">
        <v>4</v>
      </c>
      <c r="H80" s="1" t="s">
        <v>1475</v>
      </c>
      <c r="I80" t="s">
        <v>1855</v>
      </c>
      <c r="J80" s="1" t="s">
        <v>1456</v>
      </c>
      <c r="K80" s="1" t="s">
        <v>1557</v>
      </c>
      <c r="L80" s="1" t="s">
        <v>1713</v>
      </c>
      <c r="M80" s="1" t="s">
        <v>1737</v>
      </c>
      <c r="N80" t="s">
        <v>1929</v>
      </c>
      <c r="O80" t="s">
        <v>2157</v>
      </c>
      <c r="P80" t="s">
        <v>2157</v>
      </c>
      <c r="Q80">
        <v>23.36</v>
      </c>
      <c r="R80" s="1" t="s">
        <v>1839</v>
      </c>
      <c r="S80">
        <v>8986.91</v>
      </c>
      <c r="T80">
        <v>209934</v>
      </c>
    </row>
    <row r="81" spans="1:20" hidden="1" x14ac:dyDescent="0.4">
      <c r="A81" s="1" t="s">
        <v>61</v>
      </c>
      <c r="B81" s="1" t="s">
        <v>1453</v>
      </c>
      <c r="C81" s="1" t="s">
        <v>1844</v>
      </c>
      <c r="D81" s="1" t="s">
        <v>1846</v>
      </c>
      <c r="E81">
        <v>20251212</v>
      </c>
      <c r="F81" s="1" t="s">
        <v>1468</v>
      </c>
      <c r="G81">
        <v>4</v>
      </c>
      <c r="H81" s="1" t="s">
        <v>1475</v>
      </c>
      <c r="I81" t="s">
        <v>1855</v>
      </c>
      <c r="J81" s="1" t="s">
        <v>1456</v>
      </c>
      <c r="K81" s="1" t="s">
        <v>1572</v>
      </c>
      <c r="L81" s="1" t="s">
        <v>1713</v>
      </c>
      <c r="M81" s="1" t="s">
        <v>1736</v>
      </c>
      <c r="N81" t="s">
        <v>1945</v>
      </c>
      <c r="O81" t="s">
        <v>2157</v>
      </c>
      <c r="P81" t="s">
        <v>3038</v>
      </c>
      <c r="Q81">
        <v>3.32</v>
      </c>
      <c r="R81" s="1" t="s">
        <v>1839</v>
      </c>
      <c r="S81">
        <v>6466.87</v>
      </c>
      <c r="T81">
        <v>21470</v>
      </c>
    </row>
    <row r="82" spans="1:20" hidden="1" x14ac:dyDescent="0.4">
      <c r="A82" s="1" t="s">
        <v>62</v>
      </c>
      <c r="B82" s="1" t="s">
        <v>1453</v>
      </c>
      <c r="C82" s="1" t="s">
        <v>1844</v>
      </c>
      <c r="D82" s="1" t="s">
        <v>1846</v>
      </c>
      <c r="E82">
        <v>20251212</v>
      </c>
      <c r="F82" s="1" t="s">
        <v>1468</v>
      </c>
      <c r="G82">
        <v>4</v>
      </c>
      <c r="H82" s="1" t="s">
        <v>1475</v>
      </c>
      <c r="I82" t="s">
        <v>1855</v>
      </c>
      <c r="J82" s="1" t="s">
        <v>1456</v>
      </c>
      <c r="K82" s="1" t="s">
        <v>1558</v>
      </c>
      <c r="L82" s="1" t="s">
        <v>1713</v>
      </c>
      <c r="M82" s="1" t="s">
        <v>1737</v>
      </c>
      <c r="N82" t="s">
        <v>1930</v>
      </c>
      <c r="O82" t="s">
        <v>2157</v>
      </c>
      <c r="P82" t="s">
        <v>2157</v>
      </c>
      <c r="Q82">
        <v>16.760000000000002</v>
      </c>
      <c r="R82" s="1" t="s">
        <v>1839</v>
      </c>
      <c r="S82">
        <v>8916.11</v>
      </c>
      <c r="T82">
        <v>149434</v>
      </c>
    </row>
    <row r="83" spans="1:20" hidden="1" x14ac:dyDescent="0.4">
      <c r="A83" s="1" t="s">
        <v>63</v>
      </c>
      <c r="B83" s="1" t="s">
        <v>1453</v>
      </c>
      <c r="C83" s="1" t="s">
        <v>1844</v>
      </c>
      <c r="D83" s="1" t="s">
        <v>1846</v>
      </c>
      <c r="E83">
        <v>20251212</v>
      </c>
      <c r="F83" s="1" t="s">
        <v>1468</v>
      </c>
      <c r="G83">
        <v>4</v>
      </c>
      <c r="H83" s="1" t="s">
        <v>1475</v>
      </c>
      <c r="I83" t="s">
        <v>1855</v>
      </c>
      <c r="J83" s="1" t="s">
        <v>1456</v>
      </c>
      <c r="K83" s="1" t="s">
        <v>1573</v>
      </c>
      <c r="L83" s="1" t="s">
        <v>1713</v>
      </c>
      <c r="M83" s="1" t="s">
        <v>1741</v>
      </c>
      <c r="N83" t="s">
        <v>1946</v>
      </c>
      <c r="O83" t="s">
        <v>2157</v>
      </c>
      <c r="P83" t="s">
        <v>3042</v>
      </c>
      <c r="Q83">
        <v>400</v>
      </c>
      <c r="R83" s="1" t="s">
        <v>1718</v>
      </c>
      <c r="S83">
        <v>2852</v>
      </c>
      <c r="T83">
        <v>1140800</v>
      </c>
    </row>
    <row r="84" spans="1:20" hidden="1" x14ac:dyDescent="0.4">
      <c r="A84" s="1" t="s">
        <v>63</v>
      </c>
      <c r="B84" s="1" t="s">
        <v>1454</v>
      </c>
      <c r="C84" s="1" t="s">
        <v>1844</v>
      </c>
      <c r="D84" s="1" t="s">
        <v>1846</v>
      </c>
      <c r="E84">
        <v>20251212</v>
      </c>
      <c r="F84" s="1" t="s">
        <v>1468</v>
      </c>
      <c r="G84">
        <v>4</v>
      </c>
      <c r="H84" s="1" t="s">
        <v>1475</v>
      </c>
      <c r="I84" t="s">
        <v>1855</v>
      </c>
      <c r="J84" s="1" t="s">
        <v>1456</v>
      </c>
      <c r="K84" s="1" t="s">
        <v>1559</v>
      </c>
      <c r="L84" s="1" t="s">
        <v>1713</v>
      </c>
      <c r="M84" s="1" t="s">
        <v>1739</v>
      </c>
      <c r="N84" t="s">
        <v>1931</v>
      </c>
      <c r="O84" t="s">
        <v>2157</v>
      </c>
      <c r="P84" t="s">
        <v>3040</v>
      </c>
      <c r="Q84">
        <v>2</v>
      </c>
      <c r="R84" s="1" t="s">
        <v>1718</v>
      </c>
      <c r="S84">
        <v>8166</v>
      </c>
      <c r="T84">
        <v>16332</v>
      </c>
    </row>
    <row r="85" spans="1:20" hidden="1" x14ac:dyDescent="0.4">
      <c r="A85" s="1" t="s">
        <v>63</v>
      </c>
      <c r="B85" s="1" t="s">
        <v>1455</v>
      </c>
      <c r="C85" s="1" t="s">
        <v>1844</v>
      </c>
      <c r="D85" s="1" t="s">
        <v>1846</v>
      </c>
      <c r="E85">
        <v>20251212</v>
      </c>
      <c r="F85" s="1" t="s">
        <v>1468</v>
      </c>
      <c r="G85">
        <v>4</v>
      </c>
      <c r="H85" s="1" t="s">
        <v>1475</v>
      </c>
      <c r="I85" t="s">
        <v>1855</v>
      </c>
      <c r="J85" s="1" t="s">
        <v>1456</v>
      </c>
      <c r="K85" s="1" t="s">
        <v>1570</v>
      </c>
      <c r="L85" s="1" t="s">
        <v>1713</v>
      </c>
      <c r="M85" s="1" t="s">
        <v>1744</v>
      </c>
      <c r="N85" t="s">
        <v>1943</v>
      </c>
      <c r="O85" t="s">
        <v>2157</v>
      </c>
      <c r="P85" t="s">
        <v>3045</v>
      </c>
      <c r="Q85">
        <v>10</v>
      </c>
      <c r="R85" s="1" t="s">
        <v>1718</v>
      </c>
      <c r="S85">
        <v>16304</v>
      </c>
      <c r="T85">
        <v>163040</v>
      </c>
    </row>
    <row r="86" spans="1:20" hidden="1" x14ac:dyDescent="0.4">
      <c r="A86" s="1" t="s">
        <v>64</v>
      </c>
      <c r="B86" s="1" t="s">
        <v>1453</v>
      </c>
      <c r="C86" s="1" t="s">
        <v>1844</v>
      </c>
      <c r="D86" s="1" t="s">
        <v>1846</v>
      </c>
      <c r="E86">
        <v>20251212</v>
      </c>
      <c r="F86" s="1" t="s">
        <v>1468</v>
      </c>
      <c r="G86">
        <v>4</v>
      </c>
      <c r="H86" s="1" t="s">
        <v>1475</v>
      </c>
      <c r="I86" t="s">
        <v>1855</v>
      </c>
      <c r="J86" s="1" t="s">
        <v>1456</v>
      </c>
      <c r="K86" s="1" t="s">
        <v>1574</v>
      </c>
      <c r="L86" s="1" t="s">
        <v>1713</v>
      </c>
      <c r="M86" s="1" t="s">
        <v>1737</v>
      </c>
      <c r="N86" t="s">
        <v>1947</v>
      </c>
      <c r="O86" t="s">
        <v>2157</v>
      </c>
      <c r="P86" t="s">
        <v>2157</v>
      </c>
      <c r="Q86">
        <v>0.38</v>
      </c>
      <c r="R86" s="1" t="s">
        <v>1839</v>
      </c>
      <c r="S86">
        <v>12002</v>
      </c>
      <c r="T86">
        <v>4560</v>
      </c>
    </row>
    <row r="87" spans="1:20" hidden="1" x14ac:dyDescent="0.4">
      <c r="A87" s="1" t="s">
        <v>64</v>
      </c>
      <c r="B87" s="1" t="s">
        <v>1454</v>
      </c>
      <c r="C87" s="1" t="s">
        <v>1844</v>
      </c>
      <c r="D87" s="1" t="s">
        <v>1846</v>
      </c>
      <c r="E87">
        <v>20251212</v>
      </c>
      <c r="F87" s="1" t="s">
        <v>1468</v>
      </c>
      <c r="G87">
        <v>4</v>
      </c>
      <c r="H87" s="1" t="s">
        <v>1475</v>
      </c>
      <c r="I87" t="s">
        <v>1855</v>
      </c>
      <c r="J87" s="1" t="s">
        <v>1456</v>
      </c>
      <c r="K87" s="1" t="s">
        <v>1574</v>
      </c>
      <c r="L87" s="1" t="s">
        <v>1713</v>
      </c>
      <c r="M87" s="1" t="s">
        <v>1737</v>
      </c>
      <c r="N87" t="s">
        <v>1947</v>
      </c>
      <c r="O87" t="s">
        <v>2157</v>
      </c>
      <c r="P87" t="s">
        <v>2157</v>
      </c>
      <c r="Q87">
        <v>0.38</v>
      </c>
      <c r="R87" s="1" t="s">
        <v>1839</v>
      </c>
      <c r="S87">
        <v>12002</v>
      </c>
      <c r="T87">
        <v>4560</v>
      </c>
    </row>
    <row r="88" spans="1:20" hidden="1" x14ac:dyDescent="0.4">
      <c r="A88" s="1" t="s">
        <v>64</v>
      </c>
      <c r="B88" s="1" t="s">
        <v>1455</v>
      </c>
      <c r="C88" s="1" t="s">
        <v>1844</v>
      </c>
      <c r="D88" s="1" t="s">
        <v>1846</v>
      </c>
      <c r="E88">
        <v>20251212</v>
      </c>
      <c r="F88" s="1" t="s">
        <v>1468</v>
      </c>
      <c r="G88">
        <v>4</v>
      </c>
      <c r="H88" s="1" t="s">
        <v>1475</v>
      </c>
      <c r="I88" t="s">
        <v>1855</v>
      </c>
      <c r="J88" s="1" t="s">
        <v>1456</v>
      </c>
      <c r="K88" s="1" t="s">
        <v>1574</v>
      </c>
      <c r="L88" s="1" t="s">
        <v>1713</v>
      </c>
      <c r="M88" s="1" t="s">
        <v>1737</v>
      </c>
      <c r="N88" t="s">
        <v>1947</v>
      </c>
      <c r="O88" t="s">
        <v>2157</v>
      </c>
      <c r="P88" t="s">
        <v>2157</v>
      </c>
      <c r="Q88">
        <v>0.96</v>
      </c>
      <c r="R88" s="1" t="s">
        <v>1839</v>
      </c>
      <c r="S88">
        <v>12001.04</v>
      </c>
      <c r="T88">
        <v>11520</v>
      </c>
    </row>
    <row r="89" spans="1:20" hidden="1" x14ac:dyDescent="0.4">
      <c r="A89" s="1" t="s">
        <v>65</v>
      </c>
      <c r="B89" s="1" t="s">
        <v>1453</v>
      </c>
      <c r="C89" s="1" t="s">
        <v>1844</v>
      </c>
      <c r="D89" s="1" t="s">
        <v>1846</v>
      </c>
      <c r="E89">
        <v>20251215</v>
      </c>
      <c r="F89" s="1" t="s">
        <v>1468</v>
      </c>
      <c r="G89">
        <v>4</v>
      </c>
      <c r="H89" s="1" t="s">
        <v>1475</v>
      </c>
      <c r="I89" t="s">
        <v>1855</v>
      </c>
      <c r="J89" s="1" t="s">
        <v>1456</v>
      </c>
      <c r="K89" s="1" t="s">
        <v>1553</v>
      </c>
      <c r="L89" s="1" t="s">
        <v>1713</v>
      </c>
      <c r="M89" s="1" t="s">
        <v>1736</v>
      </c>
      <c r="N89" t="s">
        <v>1925</v>
      </c>
      <c r="O89" t="s">
        <v>2157</v>
      </c>
      <c r="P89" t="s">
        <v>3038</v>
      </c>
      <c r="Q89">
        <v>30.3</v>
      </c>
      <c r="R89" s="1" t="s">
        <v>1839</v>
      </c>
      <c r="S89">
        <v>6472.25</v>
      </c>
      <c r="T89">
        <v>196109</v>
      </c>
    </row>
    <row r="90" spans="1:20" hidden="1" x14ac:dyDescent="0.4">
      <c r="A90" s="1" t="s">
        <v>65</v>
      </c>
      <c r="B90" s="1" t="s">
        <v>1454</v>
      </c>
      <c r="C90" s="1" t="s">
        <v>1844</v>
      </c>
      <c r="D90" s="1" t="s">
        <v>1846</v>
      </c>
      <c r="E90">
        <v>20251215</v>
      </c>
      <c r="F90" s="1" t="s">
        <v>1468</v>
      </c>
      <c r="G90">
        <v>4</v>
      </c>
      <c r="H90" s="1" t="s">
        <v>1475</v>
      </c>
      <c r="I90" t="s">
        <v>1855</v>
      </c>
      <c r="J90" s="1" t="s">
        <v>1456</v>
      </c>
      <c r="K90" s="1" t="s">
        <v>1553</v>
      </c>
      <c r="L90" s="1" t="s">
        <v>1713</v>
      </c>
      <c r="M90" s="1" t="s">
        <v>1740</v>
      </c>
      <c r="N90" t="s">
        <v>1925</v>
      </c>
      <c r="O90" t="s">
        <v>2157</v>
      </c>
      <c r="P90" t="s">
        <v>3041</v>
      </c>
      <c r="Q90">
        <v>3.12</v>
      </c>
      <c r="R90" s="1" t="s">
        <v>1839</v>
      </c>
      <c r="S90">
        <v>9478.2099999999991</v>
      </c>
      <c r="T90">
        <v>29572</v>
      </c>
    </row>
    <row r="91" spans="1:20" hidden="1" x14ac:dyDescent="0.4">
      <c r="A91" s="1" t="s">
        <v>65</v>
      </c>
      <c r="B91" s="1" t="s">
        <v>1455</v>
      </c>
      <c r="C91" s="1" t="s">
        <v>1844</v>
      </c>
      <c r="D91" s="1" t="s">
        <v>1846</v>
      </c>
      <c r="E91">
        <v>20251215</v>
      </c>
      <c r="F91" s="1" t="s">
        <v>1468</v>
      </c>
      <c r="G91">
        <v>4</v>
      </c>
      <c r="H91" s="1" t="s">
        <v>1475</v>
      </c>
      <c r="I91" t="s">
        <v>1855</v>
      </c>
      <c r="J91" s="1" t="s">
        <v>1456</v>
      </c>
      <c r="K91" s="1" t="s">
        <v>1554</v>
      </c>
      <c r="L91" s="1" t="s">
        <v>1713</v>
      </c>
      <c r="M91" s="1" t="s">
        <v>1737</v>
      </c>
      <c r="N91" t="s">
        <v>1926</v>
      </c>
      <c r="O91" t="s">
        <v>2157</v>
      </c>
      <c r="P91" t="s">
        <v>2157</v>
      </c>
      <c r="Q91">
        <v>16.43</v>
      </c>
      <c r="R91" s="1" t="s">
        <v>1839</v>
      </c>
      <c r="S91">
        <v>10497.21</v>
      </c>
      <c r="T91">
        <v>172469</v>
      </c>
    </row>
    <row r="92" spans="1:20" hidden="1" x14ac:dyDescent="0.4">
      <c r="A92" s="1" t="s">
        <v>66</v>
      </c>
      <c r="B92" s="1" t="s">
        <v>1453</v>
      </c>
      <c r="C92" s="1" t="s">
        <v>1844</v>
      </c>
      <c r="D92" s="1" t="s">
        <v>1846</v>
      </c>
      <c r="E92">
        <v>20251215</v>
      </c>
      <c r="F92" s="1" t="s">
        <v>1468</v>
      </c>
      <c r="G92">
        <v>4</v>
      </c>
      <c r="H92" s="1" t="s">
        <v>1475</v>
      </c>
      <c r="I92" t="s">
        <v>1855</v>
      </c>
      <c r="J92" s="1" t="s">
        <v>1456</v>
      </c>
      <c r="K92" s="1" t="s">
        <v>1561</v>
      </c>
      <c r="L92" s="1" t="s">
        <v>1713</v>
      </c>
      <c r="M92" s="1" t="s">
        <v>1737</v>
      </c>
      <c r="N92" t="s">
        <v>1933</v>
      </c>
      <c r="O92" t="s">
        <v>2157</v>
      </c>
      <c r="P92" t="s">
        <v>2157</v>
      </c>
      <c r="Q92">
        <v>5.58</v>
      </c>
      <c r="R92" s="1" t="s">
        <v>1839</v>
      </c>
      <c r="S92">
        <v>10048.75</v>
      </c>
      <c r="T92">
        <v>56072</v>
      </c>
    </row>
    <row r="93" spans="1:20" hidden="1" x14ac:dyDescent="0.4">
      <c r="A93" s="1" t="s">
        <v>66</v>
      </c>
      <c r="B93" s="1" t="s">
        <v>1454</v>
      </c>
      <c r="C93" s="1" t="s">
        <v>1844</v>
      </c>
      <c r="D93" s="1" t="s">
        <v>1846</v>
      </c>
      <c r="E93">
        <v>20251215</v>
      </c>
      <c r="F93" s="1" t="s">
        <v>1468</v>
      </c>
      <c r="G93">
        <v>4</v>
      </c>
      <c r="H93" s="1" t="s">
        <v>1475</v>
      </c>
      <c r="I93" t="s">
        <v>1855</v>
      </c>
      <c r="J93" s="1" t="s">
        <v>1456</v>
      </c>
      <c r="K93" s="1" t="s">
        <v>1565</v>
      </c>
      <c r="L93" s="1" t="s">
        <v>1713</v>
      </c>
      <c r="M93" s="1" t="s">
        <v>1743</v>
      </c>
      <c r="N93" t="s">
        <v>1937</v>
      </c>
      <c r="O93" t="s">
        <v>2157</v>
      </c>
      <c r="P93" t="s">
        <v>3044</v>
      </c>
      <c r="Q93">
        <v>3.38</v>
      </c>
      <c r="R93" s="1" t="s">
        <v>1839</v>
      </c>
      <c r="S93">
        <v>6167.46</v>
      </c>
      <c r="T93">
        <v>20846</v>
      </c>
    </row>
    <row r="94" spans="1:20" hidden="1" x14ac:dyDescent="0.4">
      <c r="A94" s="1" t="s">
        <v>67</v>
      </c>
      <c r="B94" s="1" t="s">
        <v>1453</v>
      </c>
      <c r="C94" s="1" t="s">
        <v>1844</v>
      </c>
      <c r="D94" s="1" t="s">
        <v>1846</v>
      </c>
      <c r="E94">
        <v>20251215</v>
      </c>
      <c r="F94" s="1" t="s">
        <v>1468</v>
      </c>
      <c r="G94">
        <v>4</v>
      </c>
      <c r="H94" s="1" t="s">
        <v>1475</v>
      </c>
      <c r="I94" t="s">
        <v>1855</v>
      </c>
      <c r="J94" s="1" t="s">
        <v>1456</v>
      </c>
      <c r="K94" s="1" t="s">
        <v>1557</v>
      </c>
      <c r="L94" s="1" t="s">
        <v>1713</v>
      </c>
      <c r="M94" s="1" t="s">
        <v>1737</v>
      </c>
      <c r="N94" t="s">
        <v>1929</v>
      </c>
      <c r="O94" t="s">
        <v>2157</v>
      </c>
      <c r="P94" t="s">
        <v>2157</v>
      </c>
      <c r="Q94">
        <v>38.74</v>
      </c>
      <c r="R94" s="1" t="s">
        <v>1839</v>
      </c>
      <c r="S94">
        <v>9521.3799999999992</v>
      </c>
      <c r="T94">
        <v>368858</v>
      </c>
    </row>
    <row r="95" spans="1:20" hidden="1" x14ac:dyDescent="0.4">
      <c r="A95" s="1" t="s">
        <v>68</v>
      </c>
      <c r="B95" s="1" t="s">
        <v>1453</v>
      </c>
      <c r="C95" s="1" t="s">
        <v>1844</v>
      </c>
      <c r="D95" s="1" t="s">
        <v>1846</v>
      </c>
      <c r="E95">
        <v>20251215</v>
      </c>
      <c r="F95" s="1" t="s">
        <v>1468</v>
      </c>
      <c r="G95">
        <v>4</v>
      </c>
      <c r="H95" s="1" t="s">
        <v>1475</v>
      </c>
      <c r="I95" t="s">
        <v>1855</v>
      </c>
      <c r="J95" s="1" t="s">
        <v>1456</v>
      </c>
      <c r="K95" s="1" t="s">
        <v>1568</v>
      </c>
      <c r="L95" s="1" t="s">
        <v>1713</v>
      </c>
      <c r="M95" s="1" t="s">
        <v>1737</v>
      </c>
      <c r="N95" t="s">
        <v>1941</v>
      </c>
      <c r="O95" t="s">
        <v>2157</v>
      </c>
      <c r="P95" t="s">
        <v>2157</v>
      </c>
      <c r="Q95">
        <v>21.6</v>
      </c>
      <c r="R95" s="1" t="s">
        <v>1839</v>
      </c>
      <c r="S95">
        <v>12036.12</v>
      </c>
      <c r="T95">
        <v>259980</v>
      </c>
    </row>
    <row r="96" spans="1:20" hidden="1" x14ac:dyDescent="0.4">
      <c r="A96" s="1" t="s">
        <v>69</v>
      </c>
      <c r="B96" s="1" t="s">
        <v>1453</v>
      </c>
      <c r="C96" s="1" t="s">
        <v>1844</v>
      </c>
      <c r="D96" s="1" t="s">
        <v>1846</v>
      </c>
      <c r="E96">
        <v>20251215</v>
      </c>
      <c r="F96" s="1" t="s">
        <v>1468</v>
      </c>
      <c r="G96">
        <v>4</v>
      </c>
      <c r="H96" s="1" t="s">
        <v>1475</v>
      </c>
      <c r="I96" t="s">
        <v>1855</v>
      </c>
      <c r="J96" s="1" t="s">
        <v>1456</v>
      </c>
      <c r="K96" s="1" t="s">
        <v>1558</v>
      </c>
      <c r="L96" s="1" t="s">
        <v>1713</v>
      </c>
      <c r="M96" s="1" t="s">
        <v>1737</v>
      </c>
      <c r="N96" t="s">
        <v>1930</v>
      </c>
      <c r="O96" t="s">
        <v>2157</v>
      </c>
      <c r="P96" t="s">
        <v>2157</v>
      </c>
      <c r="Q96">
        <v>4</v>
      </c>
      <c r="R96" s="1" t="s">
        <v>1839</v>
      </c>
      <c r="S96">
        <v>9736</v>
      </c>
      <c r="T96">
        <v>38944</v>
      </c>
    </row>
    <row r="97" spans="1:20" hidden="1" x14ac:dyDescent="0.4">
      <c r="A97" s="1" t="s">
        <v>70</v>
      </c>
      <c r="B97" s="1" t="s">
        <v>1453</v>
      </c>
      <c r="C97" s="1" t="s">
        <v>1844</v>
      </c>
      <c r="D97" s="1" t="s">
        <v>1846</v>
      </c>
      <c r="E97">
        <v>20251215</v>
      </c>
      <c r="F97" s="1" t="s">
        <v>1468</v>
      </c>
      <c r="G97">
        <v>4</v>
      </c>
      <c r="H97" s="1" t="s">
        <v>1475</v>
      </c>
      <c r="I97" t="s">
        <v>1855</v>
      </c>
      <c r="J97" s="1" t="s">
        <v>1456</v>
      </c>
      <c r="K97" s="1" t="s">
        <v>1575</v>
      </c>
      <c r="L97" s="1" t="s">
        <v>1713</v>
      </c>
      <c r="M97" s="1" t="s">
        <v>1735</v>
      </c>
      <c r="N97" t="s">
        <v>1948</v>
      </c>
      <c r="O97" t="s">
        <v>2157</v>
      </c>
      <c r="P97" t="s">
        <v>3037</v>
      </c>
      <c r="Q97">
        <v>240</v>
      </c>
      <c r="R97" s="1" t="s">
        <v>1718</v>
      </c>
      <c r="S97">
        <v>3934</v>
      </c>
      <c r="T97">
        <v>944160</v>
      </c>
    </row>
    <row r="98" spans="1:20" hidden="1" x14ac:dyDescent="0.4">
      <c r="A98" s="1" t="s">
        <v>70</v>
      </c>
      <c r="B98" s="1" t="s">
        <v>1454</v>
      </c>
      <c r="C98" s="1" t="s">
        <v>1844</v>
      </c>
      <c r="D98" s="1" t="s">
        <v>1846</v>
      </c>
      <c r="E98">
        <v>20251215</v>
      </c>
      <c r="F98" s="1" t="s">
        <v>1468</v>
      </c>
      <c r="G98">
        <v>4</v>
      </c>
      <c r="H98" s="1" t="s">
        <v>1475</v>
      </c>
      <c r="I98" t="s">
        <v>1855</v>
      </c>
      <c r="J98" s="1" t="s">
        <v>1456</v>
      </c>
      <c r="K98" s="1" t="s">
        <v>1575</v>
      </c>
      <c r="L98" s="1" t="s">
        <v>1713</v>
      </c>
      <c r="M98" s="1" t="s">
        <v>1735</v>
      </c>
      <c r="N98" t="s">
        <v>1948</v>
      </c>
      <c r="O98" t="s">
        <v>2157</v>
      </c>
      <c r="P98" t="s">
        <v>3037</v>
      </c>
      <c r="Q98">
        <v>170</v>
      </c>
      <c r="R98" s="1" t="s">
        <v>1718</v>
      </c>
      <c r="S98">
        <v>11979</v>
      </c>
      <c r="T98">
        <v>2036430</v>
      </c>
    </row>
    <row r="99" spans="1:20" hidden="1" x14ac:dyDescent="0.4">
      <c r="A99" s="1" t="s">
        <v>71</v>
      </c>
      <c r="B99" s="1" t="s">
        <v>1453</v>
      </c>
      <c r="C99" s="1" t="s">
        <v>1844</v>
      </c>
      <c r="D99" s="1" t="s">
        <v>1846</v>
      </c>
      <c r="E99">
        <v>20251216</v>
      </c>
      <c r="F99" s="1" t="s">
        <v>1468</v>
      </c>
      <c r="G99">
        <v>4</v>
      </c>
      <c r="H99" s="1" t="s">
        <v>1475</v>
      </c>
      <c r="I99" t="s">
        <v>1855</v>
      </c>
      <c r="J99" s="1" t="s">
        <v>1456</v>
      </c>
      <c r="K99" s="1" t="s">
        <v>1552</v>
      </c>
      <c r="L99" s="1" t="s">
        <v>1713</v>
      </c>
      <c r="M99" s="1" t="s">
        <v>1735</v>
      </c>
      <c r="N99" t="s">
        <v>1924</v>
      </c>
      <c r="O99" t="s">
        <v>2157</v>
      </c>
      <c r="P99" t="s">
        <v>3037</v>
      </c>
      <c r="Q99">
        <v>15.38</v>
      </c>
      <c r="R99" s="1" t="s">
        <v>1718</v>
      </c>
      <c r="S99">
        <v>2875.95</v>
      </c>
      <c r="T99">
        <v>44232</v>
      </c>
    </row>
    <row r="100" spans="1:20" hidden="1" x14ac:dyDescent="0.4">
      <c r="A100" s="1" t="s">
        <v>71</v>
      </c>
      <c r="B100" s="1" t="s">
        <v>1454</v>
      </c>
      <c r="C100" s="1" t="s">
        <v>1844</v>
      </c>
      <c r="D100" s="1" t="s">
        <v>1846</v>
      </c>
      <c r="E100">
        <v>20251216</v>
      </c>
      <c r="F100" s="1" t="s">
        <v>1468</v>
      </c>
      <c r="G100">
        <v>4</v>
      </c>
      <c r="H100" s="1" t="s">
        <v>1475</v>
      </c>
      <c r="I100" t="s">
        <v>1855</v>
      </c>
      <c r="J100" s="1" t="s">
        <v>1456</v>
      </c>
      <c r="K100" s="1" t="s">
        <v>1553</v>
      </c>
      <c r="L100" s="1" t="s">
        <v>1713</v>
      </c>
      <c r="M100" s="1" t="s">
        <v>1745</v>
      </c>
      <c r="N100" t="s">
        <v>1925</v>
      </c>
      <c r="O100" t="s">
        <v>2157</v>
      </c>
      <c r="P100" t="s">
        <v>3046</v>
      </c>
      <c r="Q100">
        <v>2.6</v>
      </c>
      <c r="R100" s="1" t="s">
        <v>1839</v>
      </c>
      <c r="S100">
        <v>9714.6200000000008</v>
      </c>
      <c r="T100">
        <v>25258</v>
      </c>
    </row>
    <row r="101" spans="1:20" hidden="1" x14ac:dyDescent="0.4">
      <c r="A101" s="1" t="s">
        <v>71</v>
      </c>
      <c r="B101" s="1" t="s">
        <v>1455</v>
      </c>
      <c r="C101" s="1" t="s">
        <v>1844</v>
      </c>
      <c r="D101" s="1" t="s">
        <v>1846</v>
      </c>
      <c r="E101">
        <v>20251216</v>
      </c>
      <c r="F101" s="1" t="s">
        <v>1468</v>
      </c>
      <c r="G101">
        <v>4</v>
      </c>
      <c r="H101" s="1" t="s">
        <v>1475</v>
      </c>
      <c r="I101" t="s">
        <v>1855</v>
      </c>
      <c r="J101" s="1" t="s">
        <v>1456</v>
      </c>
      <c r="K101" s="1" t="s">
        <v>1553</v>
      </c>
      <c r="L101" s="1" t="s">
        <v>1713</v>
      </c>
      <c r="M101" s="1" t="s">
        <v>1736</v>
      </c>
      <c r="N101" t="s">
        <v>1925</v>
      </c>
      <c r="O101" t="s">
        <v>2157</v>
      </c>
      <c r="P101" t="s">
        <v>3038</v>
      </c>
      <c r="Q101">
        <v>9.66</v>
      </c>
      <c r="R101" s="1" t="s">
        <v>1839</v>
      </c>
      <c r="S101">
        <v>6177.23</v>
      </c>
      <c r="T101">
        <v>59672</v>
      </c>
    </row>
    <row r="102" spans="1:20" hidden="1" x14ac:dyDescent="0.4">
      <c r="A102" s="1" t="s">
        <v>72</v>
      </c>
      <c r="B102" s="1" t="s">
        <v>1453</v>
      </c>
      <c r="C102" s="1" t="s">
        <v>1844</v>
      </c>
      <c r="D102" s="1" t="s">
        <v>1846</v>
      </c>
      <c r="E102">
        <v>20251216</v>
      </c>
      <c r="F102" s="1" t="s">
        <v>1468</v>
      </c>
      <c r="G102">
        <v>4</v>
      </c>
      <c r="H102" s="1" t="s">
        <v>1475</v>
      </c>
      <c r="I102" t="s">
        <v>1855</v>
      </c>
      <c r="J102" s="1" t="s">
        <v>1456</v>
      </c>
      <c r="K102" s="1" t="s">
        <v>1560</v>
      </c>
      <c r="L102" s="1" t="s">
        <v>1713</v>
      </c>
      <c r="M102" s="1" t="s">
        <v>1740</v>
      </c>
      <c r="N102" t="s">
        <v>1932</v>
      </c>
      <c r="O102" t="s">
        <v>2157</v>
      </c>
      <c r="P102" t="s">
        <v>3041</v>
      </c>
      <c r="Q102">
        <v>1.34</v>
      </c>
      <c r="R102" s="1" t="s">
        <v>1839</v>
      </c>
      <c r="S102">
        <v>9740.2999999999993</v>
      </c>
      <c r="T102">
        <v>13052</v>
      </c>
    </row>
    <row r="103" spans="1:20" hidden="1" x14ac:dyDescent="0.4">
      <c r="A103" s="1" t="s">
        <v>72</v>
      </c>
      <c r="B103" s="1" t="s">
        <v>1454</v>
      </c>
      <c r="C103" s="1" t="s">
        <v>1844</v>
      </c>
      <c r="D103" s="1" t="s">
        <v>1846</v>
      </c>
      <c r="E103">
        <v>20251216</v>
      </c>
      <c r="F103" s="1" t="s">
        <v>1468</v>
      </c>
      <c r="G103">
        <v>4</v>
      </c>
      <c r="H103" s="1" t="s">
        <v>1475</v>
      </c>
      <c r="I103" t="s">
        <v>1855</v>
      </c>
      <c r="J103" s="1" t="s">
        <v>1456</v>
      </c>
      <c r="K103" s="1" t="s">
        <v>1555</v>
      </c>
      <c r="L103" s="1" t="s">
        <v>1713</v>
      </c>
      <c r="M103" s="1" t="s">
        <v>1737</v>
      </c>
      <c r="N103" t="s">
        <v>1927</v>
      </c>
      <c r="O103" t="s">
        <v>2157</v>
      </c>
      <c r="P103" t="s">
        <v>2157</v>
      </c>
      <c r="Q103">
        <v>5.36</v>
      </c>
      <c r="R103" s="1" t="s">
        <v>1839</v>
      </c>
      <c r="S103">
        <v>5550.75</v>
      </c>
      <c r="T103">
        <v>29752</v>
      </c>
    </row>
    <row r="104" spans="1:20" hidden="1" x14ac:dyDescent="0.4">
      <c r="A104" s="1" t="s">
        <v>73</v>
      </c>
      <c r="B104" s="1" t="s">
        <v>1453</v>
      </c>
      <c r="C104" s="1" t="s">
        <v>1844</v>
      </c>
      <c r="D104" s="1" t="s">
        <v>1846</v>
      </c>
      <c r="E104">
        <v>20251216</v>
      </c>
      <c r="F104" s="1" t="s">
        <v>1468</v>
      </c>
      <c r="G104">
        <v>4</v>
      </c>
      <c r="H104" s="1" t="s">
        <v>1475</v>
      </c>
      <c r="I104" t="s">
        <v>1855</v>
      </c>
      <c r="J104" s="1" t="s">
        <v>1456</v>
      </c>
      <c r="K104" s="1" t="s">
        <v>1558</v>
      </c>
      <c r="L104" s="1" t="s">
        <v>1713</v>
      </c>
      <c r="M104" s="1" t="s">
        <v>1737</v>
      </c>
      <c r="N104" t="s">
        <v>1930</v>
      </c>
      <c r="O104" t="s">
        <v>2157</v>
      </c>
      <c r="P104" t="s">
        <v>2157</v>
      </c>
      <c r="Q104">
        <v>96.53</v>
      </c>
      <c r="R104" s="1" t="s">
        <v>1839</v>
      </c>
      <c r="S104">
        <v>8992.44</v>
      </c>
      <c r="T104">
        <v>868040</v>
      </c>
    </row>
    <row r="105" spans="1:20" hidden="1" x14ac:dyDescent="0.4">
      <c r="A105" s="1" t="s">
        <v>74</v>
      </c>
      <c r="B105" s="1" t="s">
        <v>1453</v>
      </c>
      <c r="C105" s="1" t="s">
        <v>1844</v>
      </c>
      <c r="D105" s="1" t="s">
        <v>1731</v>
      </c>
      <c r="E105">
        <v>20251203</v>
      </c>
      <c r="F105" s="1" t="s">
        <v>1468</v>
      </c>
      <c r="G105">
        <v>3</v>
      </c>
      <c r="H105" s="1" t="s">
        <v>1475</v>
      </c>
      <c r="I105" t="s">
        <v>1855</v>
      </c>
      <c r="J105" s="1" t="s">
        <v>1456</v>
      </c>
      <c r="K105" s="1" t="s">
        <v>1559</v>
      </c>
      <c r="L105" s="1" t="s">
        <v>1714</v>
      </c>
      <c r="M105" s="1" t="s">
        <v>1743</v>
      </c>
      <c r="N105" t="s">
        <v>1931</v>
      </c>
      <c r="O105" t="s">
        <v>2158</v>
      </c>
      <c r="P105" t="s">
        <v>3044</v>
      </c>
      <c r="Q105">
        <v>8.8800000000000008</v>
      </c>
      <c r="R105" s="1" t="s">
        <v>1839</v>
      </c>
      <c r="S105">
        <v>1238.8</v>
      </c>
      <c r="T105">
        <v>11000</v>
      </c>
    </row>
    <row r="106" spans="1:20" hidden="1" x14ac:dyDescent="0.4">
      <c r="A106" s="1" t="s">
        <v>75</v>
      </c>
      <c r="B106" s="1" t="s">
        <v>1453</v>
      </c>
      <c r="C106" s="1" t="s">
        <v>1844</v>
      </c>
      <c r="D106" s="1" t="s">
        <v>1846</v>
      </c>
      <c r="E106">
        <v>20251217</v>
      </c>
      <c r="F106" s="1" t="s">
        <v>1468</v>
      </c>
      <c r="G106">
        <v>4</v>
      </c>
      <c r="H106" s="1" t="s">
        <v>1475</v>
      </c>
      <c r="I106" t="s">
        <v>1855</v>
      </c>
      <c r="J106" s="1" t="s">
        <v>1456</v>
      </c>
      <c r="K106" s="1" t="s">
        <v>1553</v>
      </c>
      <c r="L106" s="1" t="s">
        <v>1713</v>
      </c>
      <c r="M106" s="1" t="s">
        <v>1736</v>
      </c>
      <c r="N106" t="s">
        <v>1925</v>
      </c>
      <c r="O106" t="s">
        <v>2157</v>
      </c>
      <c r="P106" t="s">
        <v>3038</v>
      </c>
      <c r="Q106">
        <v>24</v>
      </c>
      <c r="R106" s="1" t="s">
        <v>1839</v>
      </c>
      <c r="S106">
        <v>6181.3</v>
      </c>
      <c r="T106">
        <v>148351</v>
      </c>
    </row>
    <row r="107" spans="1:20" hidden="1" x14ac:dyDescent="0.4">
      <c r="A107" s="1" t="s">
        <v>75</v>
      </c>
      <c r="B107" s="1" t="s">
        <v>1454</v>
      </c>
      <c r="C107" s="1" t="s">
        <v>1844</v>
      </c>
      <c r="D107" s="1" t="s">
        <v>1846</v>
      </c>
      <c r="E107">
        <v>20251217</v>
      </c>
      <c r="F107" s="1" t="s">
        <v>1468</v>
      </c>
      <c r="G107">
        <v>4</v>
      </c>
      <c r="H107" s="1" t="s">
        <v>1475</v>
      </c>
      <c r="I107" t="s">
        <v>1855</v>
      </c>
      <c r="J107" s="1" t="s">
        <v>1456</v>
      </c>
      <c r="K107" s="1" t="s">
        <v>1553</v>
      </c>
      <c r="L107" s="1" t="s">
        <v>1713</v>
      </c>
      <c r="M107" s="1" t="s">
        <v>1740</v>
      </c>
      <c r="N107" t="s">
        <v>1925</v>
      </c>
      <c r="O107" t="s">
        <v>2157</v>
      </c>
      <c r="P107" t="s">
        <v>3041</v>
      </c>
      <c r="Q107">
        <v>14.62</v>
      </c>
      <c r="R107" s="1" t="s">
        <v>1839</v>
      </c>
      <c r="S107">
        <v>9702.4699999999993</v>
      </c>
      <c r="T107">
        <v>141850</v>
      </c>
    </row>
    <row r="108" spans="1:20" hidden="1" x14ac:dyDescent="0.4">
      <c r="A108" s="1" t="s">
        <v>75</v>
      </c>
      <c r="B108" s="1" t="s">
        <v>1455</v>
      </c>
      <c r="C108" s="1" t="s">
        <v>1844</v>
      </c>
      <c r="D108" s="1" t="s">
        <v>1846</v>
      </c>
      <c r="E108">
        <v>20251217</v>
      </c>
      <c r="F108" s="1" t="s">
        <v>1468</v>
      </c>
      <c r="G108">
        <v>4</v>
      </c>
      <c r="H108" s="1" t="s">
        <v>1475</v>
      </c>
      <c r="I108" t="s">
        <v>1855</v>
      </c>
      <c r="J108" s="1" t="s">
        <v>1456</v>
      </c>
      <c r="K108" s="1" t="s">
        <v>1554</v>
      </c>
      <c r="L108" s="1" t="s">
        <v>1713</v>
      </c>
      <c r="M108" s="1" t="s">
        <v>1737</v>
      </c>
      <c r="N108" t="s">
        <v>1926</v>
      </c>
      <c r="O108" t="s">
        <v>2157</v>
      </c>
      <c r="P108" t="s">
        <v>2157</v>
      </c>
      <c r="Q108">
        <v>61.8</v>
      </c>
      <c r="R108" s="1" t="s">
        <v>1839</v>
      </c>
      <c r="S108">
        <v>10868.55</v>
      </c>
      <c r="T108">
        <v>671676</v>
      </c>
    </row>
    <row r="109" spans="1:20" hidden="1" x14ac:dyDescent="0.4">
      <c r="A109" s="1" t="s">
        <v>76</v>
      </c>
      <c r="B109" s="1" t="s">
        <v>1453</v>
      </c>
      <c r="C109" s="1" t="s">
        <v>1844</v>
      </c>
      <c r="D109" s="1" t="s">
        <v>1846</v>
      </c>
      <c r="E109">
        <v>20251217</v>
      </c>
      <c r="F109" s="1" t="s">
        <v>1468</v>
      </c>
      <c r="G109">
        <v>4</v>
      </c>
      <c r="H109" s="1" t="s">
        <v>1475</v>
      </c>
      <c r="I109" t="s">
        <v>1855</v>
      </c>
      <c r="J109" s="1" t="s">
        <v>1456</v>
      </c>
      <c r="K109" s="1" t="s">
        <v>1555</v>
      </c>
      <c r="L109" s="1" t="s">
        <v>1713</v>
      </c>
      <c r="M109" s="1" t="s">
        <v>1737</v>
      </c>
      <c r="N109" t="s">
        <v>1927</v>
      </c>
      <c r="O109" t="s">
        <v>2157</v>
      </c>
      <c r="P109" t="s">
        <v>2157</v>
      </c>
      <c r="Q109">
        <v>3.32</v>
      </c>
      <c r="R109" s="1" t="s">
        <v>1839</v>
      </c>
      <c r="S109">
        <v>6539.16</v>
      </c>
      <c r="T109">
        <v>21710</v>
      </c>
    </row>
    <row r="110" spans="1:20" hidden="1" x14ac:dyDescent="0.4">
      <c r="A110" s="1" t="s">
        <v>77</v>
      </c>
      <c r="B110" s="1" t="s">
        <v>1453</v>
      </c>
      <c r="C110" s="1" t="s">
        <v>1844</v>
      </c>
      <c r="D110" s="1" t="s">
        <v>1846</v>
      </c>
      <c r="E110">
        <v>20251217</v>
      </c>
      <c r="F110" s="1" t="s">
        <v>1468</v>
      </c>
      <c r="G110">
        <v>4</v>
      </c>
      <c r="H110" s="1" t="s">
        <v>1475</v>
      </c>
      <c r="I110" t="s">
        <v>1855</v>
      </c>
      <c r="J110" s="1" t="s">
        <v>1456</v>
      </c>
      <c r="K110" s="1" t="s">
        <v>1557</v>
      </c>
      <c r="L110" s="1" t="s">
        <v>1713</v>
      </c>
      <c r="M110" s="1" t="s">
        <v>1737</v>
      </c>
      <c r="N110" t="s">
        <v>1929</v>
      </c>
      <c r="O110" t="s">
        <v>2157</v>
      </c>
      <c r="P110" t="s">
        <v>2157</v>
      </c>
      <c r="Q110">
        <v>19.7</v>
      </c>
      <c r="R110" s="1" t="s">
        <v>1839</v>
      </c>
      <c r="S110">
        <v>9004.17</v>
      </c>
      <c r="T110">
        <v>177382</v>
      </c>
    </row>
    <row r="111" spans="1:20" hidden="1" x14ac:dyDescent="0.4">
      <c r="A111" s="1" t="s">
        <v>78</v>
      </c>
      <c r="B111" s="1" t="s">
        <v>1453</v>
      </c>
      <c r="C111" s="1" t="s">
        <v>1844</v>
      </c>
      <c r="D111" s="1" t="s">
        <v>1846</v>
      </c>
      <c r="E111">
        <v>20251217</v>
      </c>
      <c r="F111" s="1" t="s">
        <v>1468</v>
      </c>
      <c r="G111">
        <v>4</v>
      </c>
      <c r="H111" s="1" t="s">
        <v>1475</v>
      </c>
      <c r="I111" t="s">
        <v>1855</v>
      </c>
      <c r="J111" s="1" t="s">
        <v>1456</v>
      </c>
      <c r="K111" s="1" t="s">
        <v>1558</v>
      </c>
      <c r="L111" s="1" t="s">
        <v>1713</v>
      </c>
      <c r="M111" s="1" t="s">
        <v>1737</v>
      </c>
      <c r="N111" t="s">
        <v>1930</v>
      </c>
      <c r="O111" t="s">
        <v>2157</v>
      </c>
      <c r="P111" t="s">
        <v>2157</v>
      </c>
      <c r="Q111">
        <v>8.32</v>
      </c>
      <c r="R111" s="1" t="s">
        <v>1839</v>
      </c>
      <c r="S111">
        <v>8916.11</v>
      </c>
      <c r="T111">
        <v>74182</v>
      </c>
    </row>
    <row r="112" spans="1:20" hidden="1" x14ac:dyDescent="0.4">
      <c r="A112" s="1" t="s">
        <v>79</v>
      </c>
      <c r="B112" s="1" t="s">
        <v>1453</v>
      </c>
      <c r="C112" s="1" t="s">
        <v>1844</v>
      </c>
      <c r="D112" s="1" t="s">
        <v>1846</v>
      </c>
      <c r="E112">
        <v>20251217</v>
      </c>
      <c r="F112" s="1" t="s">
        <v>1468</v>
      </c>
      <c r="G112">
        <v>4</v>
      </c>
      <c r="H112" s="1" t="s">
        <v>1475</v>
      </c>
      <c r="I112" t="s">
        <v>1855</v>
      </c>
      <c r="J112" s="1" t="s">
        <v>1456</v>
      </c>
      <c r="K112" s="1" t="s">
        <v>1564</v>
      </c>
      <c r="L112" s="1" t="s">
        <v>1713</v>
      </c>
      <c r="M112" s="1" t="s">
        <v>1742</v>
      </c>
      <c r="N112" t="s">
        <v>1936</v>
      </c>
      <c r="O112" t="s">
        <v>2157</v>
      </c>
      <c r="P112" t="s">
        <v>3043</v>
      </c>
      <c r="Q112">
        <v>150</v>
      </c>
      <c r="R112" s="1" t="s">
        <v>1718</v>
      </c>
      <c r="S112">
        <v>5613</v>
      </c>
      <c r="T112">
        <v>841950</v>
      </c>
    </row>
    <row r="113" spans="1:20" hidden="1" x14ac:dyDescent="0.4">
      <c r="A113" s="1" t="s">
        <v>79</v>
      </c>
      <c r="B113" s="1" t="s">
        <v>1454</v>
      </c>
      <c r="C113" s="1" t="s">
        <v>1844</v>
      </c>
      <c r="D113" s="1" t="s">
        <v>1846</v>
      </c>
      <c r="E113">
        <v>20251217</v>
      </c>
      <c r="F113" s="1" t="s">
        <v>1468</v>
      </c>
      <c r="G113">
        <v>4</v>
      </c>
      <c r="H113" s="1" t="s">
        <v>1475</v>
      </c>
      <c r="I113" t="s">
        <v>1855</v>
      </c>
      <c r="J113" s="1" t="s">
        <v>1456</v>
      </c>
      <c r="K113" s="1" t="s">
        <v>1570</v>
      </c>
      <c r="L113" s="1" t="s">
        <v>1713</v>
      </c>
      <c r="M113" s="1" t="s">
        <v>1742</v>
      </c>
      <c r="N113" t="s">
        <v>1943</v>
      </c>
      <c r="O113" t="s">
        <v>2157</v>
      </c>
      <c r="P113" t="s">
        <v>3043</v>
      </c>
      <c r="Q113">
        <v>2</v>
      </c>
      <c r="R113" s="1" t="s">
        <v>1718</v>
      </c>
      <c r="S113">
        <v>11036</v>
      </c>
      <c r="T113">
        <v>22072</v>
      </c>
    </row>
    <row r="114" spans="1:20" hidden="1" x14ac:dyDescent="0.4">
      <c r="A114" s="1" t="s">
        <v>80</v>
      </c>
      <c r="B114" s="1" t="s">
        <v>1453</v>
      </c>
      <c r="C114" s="1" t="s">
        <v>1844</v>
      </c>
      <c r="D114" s="1" t="s">
        <v>1846</v>
      </c>
      <c r="E114">
        <v>20251218</v>
      </c>
      <c r="F114" s="1" t="s">
        <v>1468</v>
      </c>
      <c r="G114">
        <v>4</v>
      </c>
      <c r="H114" s="1" t="s">
        <v>1475</v>
      </c>
      <c r="I114" t="s">
        <v>1855</v>
      </c>
      <c r="J114" s="1" t="s">
        <v>1456</v>
      </c>
      <c r="K114" s="1" t="s">
        <v>1553</v>
      </c>
      <c r="L114" s="1" t="s">
        <v>1713</v>
      </c>
      <c r="M114" s="1" t="s">
        <v>1736</v>
      </c>
      <c r="N114" t="s">
        <v>1925</v>
      </c>
      <c r="O114" t="s">
        <v>2157</v>
      </c>
      <c r="P114" t="s">
        <v>3038</v>
      </c>
      <c r="Q114">
        <v>19.420000000000002</v>
      </c>
      <c r="R114" s="1" t="s">
        <v>1839</v>
      </c>
      <c r="S114">
        <v>6511.39</v>
      </c>
      <c r="T114">
        <v>126451</v>
      </c>
    </row>
    <row r="115" spans="1:20" hidden="1" x14ac:dyDescent="0.4">
      <c r="A115" s="1" t="s">
        <v>80</v>
      </c>
      <c r="B115" s="1" t="s">
        <v>1454</v>
      </c>
      <c r="C115" s="1" t="s">
        <v>1844</v>
      </c>
      <c r="D115" s="1" t="s">
        <v>1846</v>
      </c>
      <c r="E115">
        <v>20251218</v>
      </c>
      <c r="F115" s="1" t="s">
        <v>1468</v>
      </c>
      <c r="G115">
        <v>4</v>
      </c>
      <c r="H115" s="1" t="s">
        <v>1475</v>
      </c>
      <c r="I115" t="s">
        <v>1855</v>
      </c>
      <c r="J115" s="1" t="s">
        <v>1456</v>
      </c>
      <c r="K115" s="1" t="s">
        <v>1553</v>
      </c>
      <c r="L115" s="1" t="s">
        <v>1713</v>
      </c>
      <c r="M115" s="1" t="s">
        <v>1740</v>
      </c>
      <c r="N115" t="s">
        <v>1925</v>
      </c>
      <c r="O115" t="s">
        <v>2157</v>
      </c>
      <c r="P115" t="s">
        <v>3041</v>
      </c>
      <c r="Q115">
        <v>6</v>
      </c>
      <c r="R115" s="1" t="s">
        <v>1718</v>
      </c>
      <c r="S115">
        <v>6520</v>
      </c>
      <c r="T115">
        <v>39120</v>
      </c>
    </row>
    <row r="116" spans="1:20" hidden="1" x14ac:dyDescent="0.4">
      <c r="A116" s="1" t="s">
        <v>80</v>
      </c>
      <c r="B116" s="1" t="s">
        <v>1455</v>
      </c>
      <c r="C116" s="1" t="s">
        <v>1844</v>
      </c>
      <c r="D116" s="1" t="s">
        <v>1846</v>
      </c>
      <c r="E116">
        <v>20251218</v>
      </c>
      <c r="F116" s="1" t="s">
        <v>1468</v>
      </c>
      <c r="G116">
        <v>4</v>
      </c>
      <c r="H116" s="1" t="s">
        <v>1475</v>
      </c>
      <c r="I116" t="s">
        <v>1855</v>
      </c>
      <c r="J116" s="1" t="s">
        <v>1456</v>
      </c>
      <c r="K116" s="1" t="s">
        <v>1553</v>
      </c>
      <c r="L116" s="1" t="s">
        <v>1713</v>
      </c>
      <c r="M116" s="1" t="s">
        <v>1740</v>
      </c>
      <c r="N116" t="s">
        <v>1925</v>
      </c>
      <c r="O116" t="s">
        <v>2157</v>
      </c>
      <c r="P116" t="s">
        <v>3041</v>
      </c>
      <c r="Q116">
        <v>2.2000000000000002</v>
      </c>
      <c r="R116" s="1" t="s">
        <v>1839</v>
      </c>
      <c r="S116">
        <v>9478.19</v>
      </c>
      <c r="T116">
        <v>20852</v>
      </c>
    </row>
    <row r="117" spans="1:20" hidden="1" x14ac:dyDescent="0.4">
      <c r="A117" s="1" t="s">
        <v>80</v>
      </c>
      <c r="B117" s="1" t="s">
        <v>1456</v>
      </c>
      <c r="C117" s="1" t="s">
        <v>1844</v>
      </c>
      <c r="D117" s="1" t="s">
        <v>1846</v>
      </c>
      <c r="E117">
        <v>20251218</v>
      </c>
      <c r="F117" s="1" t="s">
        <v>1468</v>
      </c>
      <c r="G117">
        <v>4</v>
      </c>
      <c r="H117" s="1" t="s">
        <v>1475</v>
      </c>
      <c r="I117" t="s">
        <v>1855</v>
      </c>
      <c r="J117" s="1" t="s">
        <v>1456</v>
      </c>
      <c r="K117" s="1" t="s">
        <v>1554</v>
      </c>
      <c r="L117" s="1" t="s">
        <v>1713</v>
      </c>
      <c r="M117" s="1" t="s">
        <v>1737</v>
      </c>
      <c r="N117" t="s">
        <v>1926</v>
      </c>
      <c r="O117" t="s">
        <v>2157</v>
      </c>
      <c r="P117" t="s">
        <v>2157</v>
      </c>
      <c r="Q117">
        <v>59.62</v>
      </c>
      <c r="R117" s="1" t="s">
        <v>1839</v>
      </c>
      <c r="S117">
        <v>10807.67</v>
      </c>
      <c r="T117">
        <v>644353</v>
      </c>
    </row>
    <row r="118" spans="1:20" hidden="1" x14ac:dyDescent="0.4">
      <c r="A118" s="1" t="s">
        <v>81</v>
      </c>
      <c r="B118" s="1" t="s">
        <v>1453</v>
      </c>
      <c r="C118" s="1" t="s">
        <v>1844</v>
      </c>
      <c r="D118" s="1" t="s">
        <v>1846</v>
      </c>
      <c r="E118">
        <v>20251218</v>
      </c>
      <c r="F118" s="1" t="s">
        <v>1468</v>
      </c>
      <c r="G118">
        <v>4</v>
      </c>
      <c r="H118" s="1" t="s">
        <v>1475</v>
      </c>
      <c r="I118" t="s">
        <v>1855</v>
      </c>
      <c r="J118" s="1" t="s">
        <v>1456</v>
      </c>
      <c r="K118" s="1" t="s">
        <v>1555</v>
      </c>
      <c r="L118" s="1" t="s">
        <v>1713</v>
      </c>
      <c r="M118" s="1" t="s">
        <v>1737</v>
      </c>
      <c r="N118" t="s">
        <v>1927</v>
      </c>
      <c r="O118" t="s">
        <v>2157</v>
      </c>
      <c r="P118" t="s">
        <v>2157</v>
      </c>
      <c r="Q118">
        <v>1.66</v>
      </c>
      <c r="R118" s="1" t="s">
        <v>1839</v>
      </c>
      <c r="S118">
        <v>6539.16</v>
      </c>
      <c r="T118">
        <v>10855</v>
      </c>
    </row>
    <row r="119" spans="1:20" hidden="1" x14ac:dyDescent="0.4">
      <c r="A119" s="1" t="s">
        <v>81</v>
      </c>
      <c r="B119" s="1" t="s">
        <v>1454</v>
      </c>
      <c r="C119" s="1" t="s">
        <v>1844</v>
      </c>
      <c r="D119" s="1" t="s">
        <v>1846</v>
      </c>
      <c r="E119">
        <v>20251218</v>
      </c>
      <c r="F119" s="1" t="s">
        <v>1468</v>
      </c>
      <c r="G119">
        <v>4</v>
      </c>
      <c r="H119" s="1" t="s">
        <v>1475</v>
      </c>
      <c r="I119" t="s">
        <v>1855</v>
      </c>
      <c r="J119" s="1" t="s">
        <v>1456</v>
      </c>
      <c r="K119" s="1" t="s">
        <v>1561</v>
      </c>
      <c r="L119" s="1" t="s">
        <v>1713</v>
      </c>
      <c r="M119" s="1" t="s">
        <v>1737</v>
      </c>
      <c r="N119" t="s">
        <v>1933</v>
      </c>
      <c r="O119" t="s">
        <v>2157</v>
      </c>
      <c r="P119" t="s">
        <v>2157</v>
      </c>
      <c r="Q119">
        <v>2.69</v>
      </c>
      <c r="R119" s="1" t="s">
        <v>1839</v>
      </c>
      <c r="S119">
        <v>10019.709999999999</v>
      </c>
      <c r="T119">
        <v>26953</v>
      </c>
    </row>
    <row r="120" spans="1:20" hidden="1" x14ac:dyDescent="0.4">
      <c r="A120" s="1" t="s">
        <v>82</v>
      </c>
      <c r="B120" s="1" t="s">
        <v>1453</v>
      </c>
      <c r="C120" s="1" t="s">
        <v>1844</v>
      </c>
      <c r="D120" s="1" t="s">
        <v>1846</v>
      </c>
      <c r="E120">
        <v>20251218</v>
      </c>
      <c r="F120" s="1" t="s">
        <v>1468</v>
      </c>
      <c r="G120">
        <v>4</v>
      </c>
      <c r="H120" s="1" t="s">
        <v>1475</v>
      </c>
      <c r="I120" t="s">
        <v>1855</v>
      </c>
      <c r="J120" s="1" t="s">
        <v>1456</v>
      </c>
      <c r="K120" s="1" t="s">
        <v>1557</v>
      </c>
      <c r="L120" s="1" t="s">
        <v>1713</v>
      </c>
      <c r="M120" s="1" t="s">
        <v>1737</v>
      </c>
      <c r="N120" t="s">
        <v>1929</v>
      </c>
      <c r="O120" t="s">
        <v>2157</v>
      </c>
      <c r="P120" t="s">
        <v>2157</v>
      </c>
      <c r="Q120">
        <v>15.28</v>
      </c>
      <c r="R120" s="1" t="s">
        <v>1839</v>
      </c>
      <c r="S120">
        <v>9185.08</v>
      </c>
      <c r="T120">
        <v>140348</v>
      </c>
    </row>
    <row r="121" spans="1:20" hidden="1" x14ac:dyDescent="0.4">
      <c r="A121" s="1" t="s">
        <v>83</v>
      </c>
      <c r="B121" s="1" t="s">
        <v>1453</v>
      </c>
      <c r="C121" s="1" t="s">
        <v>1844</v>
      </c>
      <c r="D121" s="1" t="s">
        <v>1846</v>
      </c>
      <c r="E121">
        <v>20251218</v>
      </c>
      <c r="F121" s="1" t="s">
        <v>1468</v>
      </c>
      <c r="G121">
        <v>4</v>
      </c>
      <c r="H121" s="1" t="s">
        <v>1475</v>
      </c>
      <c r="I121" t="s">
        <v>1855</v>
      </c>
      <c r="J121" s="1" t="s">
        <v>1456</v>
      </c>
      <c r="K121" s="1" t="s">
        <v>1558</v>
      </c>
      <c r="L121" s="1" t="s">
        <v>1713</v>
      </c>
      <c r="M121" s="1" t="s">
        <v>1737</v>
      </c>
      <c r="N121" t="s">
        <v>1930</v>
      </c>
      <c r="O121" t="s">
        <v>2157</v>
      </c>
      <c r="P121" t="s">
        <v>2157</v>
      </c>
      <c r="Q121">
        <v>11.46</v>
      </c>
      <c r="R121" s="1" t="s">
        <v>1839</v>
      </c>
      <c r="S121">
        <v>9202.1</v>
      </c>
      <c r="T121">
        <v>105456</v>
      </c>
    </row>
    <row r="122" spans="1:20" hidden="1" x14ac:dyDescent="0.4">
      <c r="A122" s="1" t="s">
        <v>84</v>
      </c>
      <c r="B122" s="1" t="s">
        <v>1453</v>
      </c>
      <c r="C122" s="1" t="s">
        <v>1844</v>
      </c>
      <c r="D122" s="1" t="s">
        <v>1846</v>
      </c>
      <c r="E122">
        <v>20251218</v>
      </c>
      <c r="F122" s="1" t="s">
        <v>1468</v>
      </c>
      <c r="G122">
        <v>4</v>
      </c>
      <c r="H122" s="1" t="s">
        <v>1475</v>
      </c>
      <c r="I122" t="s">
        <v>1855</v>
      </c>
      <c r="J122" s="1" t="s">
        <v>1456</v>
      </c>
      <c r="K122" s="1" t="s">
        <v>1571</v>
      </c>
      <c r="L122" s="1" t="s">
        <v>1713</v>
      </c>
      <c r="M122" s="1" t="s">
        <v>1741</v>
      </c>
      <c r="N122" t="s">
        <v>1944</v>
      </c>
      <c r="O122" t="s">
        <v>2157</v>
      </c>
      <c r="P122" t="s">
        <v>3042</v>
      </c>
      <c r="Q122">
        <v>200</v>
      </c>
      <c r="R122" s="1" t="s">
        <v>1718</v>
      </c>
      <c r="S122">
        <v>2700</v>
      </c>
      <c r="T122">
        <v>540000</v>
      </c>
    </row>
    <row r="123" spans="1:20" hidden="1" x14ac:dyDescent="0.4">
      <c r="A123" s="1" t="s">
        <v>84</v>
      </c>
      <c r="B123" s="1" t="s">
        <v>1454</v>
      </c>
      <c r="C123" s="1" t="s">
        <v>1844</v>
      </c>
      <c r="D123" s="1" t="s">
        <v>1846</v>
      </c>
      <c r="E123">
        <v>20251218</v>
      </c>
      <c r="F123" s="1" t="s">
        <v>1468</v>
      </c>
      <c r="G123">
        <v>4</v>
      </c>
      <c r="H123" s="1" t="s">
        <v>1475</v>
      </c>
      <c r="I123" t="s">
        <v>1855</v>
      </c>
      <c r="J123" s="1" t="s">
        <v>1456</v>
      </c>
      <c r="K123" s="1" t="s">
        <v>1570</v>
      </c>
      <c r="L123" s="1" t="s">
        <v>1713</v>
      </c>
      <c r="M123" s="1" t="s">
        <v>1744</v>
      </c>
      <c r="N123" t="s">
        <v>1943</v>
      </c>
      <c r="O123" t="s">
        <v>2157</v>
      </c>
      <c r="P123" t="s">
        <v>3045</v>
      </c>
      <c r="Q123">
        <v>2</v>
      </c>
      <c r="R123" s="1" t="s">
        <v>1718</v>
      </c>
      <c r="S123">
        <v>19822</v>
      </c>
      <c r="T123">
        <v>39644</v>
      </c>
    </row>
    <row r="124" spans="1:20" hidden="1" x14ac:dyDescent="0.4">
      <c r="A124" s="1" t="s">
        <v>85</v>
      </c>
      <c r="B124" s="1" t="s">
        <v>1453</v>
      </c>
      <c r="C124" s="1" t="s">
        <v>1844</v>
      </c>
      <c r="D124" s="1" t="s">
        <v>1846</v>
      </c>
      <c r="E124">
        <v>20251218</v>
      </c>
      <c r="F124" s="1" t="s">
        <v>1468</v>
      </c>
      <c r="G124">
        <v>4</v>
      </c>
      <c r="H124" s="1" t="s">
        <v>1475</v>
      </c>
      <c r="I124" t="s">
        <v>1855</v>
      </c>
      <c r="J124" s="1" t="s">
        <v>1456</v>
      </c>
      <c r="K124" s="1" t="s">
        <v>1570</v>
      </c>
      <c r="L124" s="1" t="s">
        <v>1713</v>
      </c>
      <c r="M124" s="1" t="s">
        <v>1742</v>
      </c>
      <c r="N124" t="s">
        <v>1943</v>
      </c>
      <c r="O124" t="s">
        <v>2157</v>
      </c>
      <c r="P124" t="s">
        <v>3043</v>
      </c>
      <c r="Q124">
        <v>10</v>
      </c>
      <c r="R124" s="1" t="s">
        <v>1718</v>
      </c>
      <c r="S124">
        <v>16304</v>
      </c>
      <c r="T124">
        <v>163040</v>
      </c>
    </row>
    <row r="125" spans="1:20" hidden="1" x14ac:dyDescent="0.4">
      <c r="A125" s="1" t="s">
        <v>86</v>
      </c>
      <c r="B125" s="1" t="s">
        <v>1453</v>
      </c>
      <c r="C125" s="1" t="s">
        <v>1844</v>
      </c>
      <c r="D125" s="1" t="s">
        <v>1846</v>
      </c>
      <c r="E125">
        <v>20251219</v>
      </c>
      <c r="F125" s="1" t="s">
        <v>1468</v>
      </c>
      <c r="G125">
        <v>4</v>
      </c>
      <c r="H125" s="1" t="s">
        <v>1475</v>
      </c>
      <c r="I125" t="s">
        <v>1855</v>
      </c>
      <c r="J125" s="1" t="s">
        <v>1456</v>
      </c>
      <c r="K125" s="1" t="s">
        <v>1552</v>
      </c>
      <c r="L125" s="1" t="s">
        <v>1713</v>
      </c>
      <c r="M125" s="1" t="s">
        <v>1735</v>
      </c>
      <c r="N125" t="s">
        <v>1924</v>
      </c>
      <c r="O125" t="s">
        <v>2157</v>
      </c>
      <c r="P125" t="s">
        <v>3037</v>
      </c>
      <c r="Q125">
        <v>15.82</v>
      </c>
      <c r="R125" s="1" t="s">
        <v>1718</v>
      </c>
      <c r="S125">
        <v>3497.98</v>
      </c>
      <c r="T125">
        <v>55338</v>
      </c>
    </row>
    <row r="126" spans="1:20" hidden="1" x14ac:dyDescent="0.4">
      <c r="A126" s="1" t="s">
        <v>86</v>
      </c>
      <c r="B126" s="1" t="s">
        <v>1454</v>
      </c>
      <c r="C126" s="1" t="s">
        <v>1844</v>
      </c>
      <c r="D126" s="1" t="s">
        <v>1846</v>
      </c>
      <c r="E126">
        <v>20251219</v>
      </c>
      <c r="F126" s="1" t="s">
        <v>1468</v>
      </c>
      <c r="G126">
        <v>4</v>
      </c>
      <c r="H126" s="1" t="s">
        <v>1475</v>
      </c>
      <c r="I126" t="s">
        <v>1855</v>
      </c>
      <c r="J126" s="1" t="s">
        <v>1456</v>
      </c>
      <c r="K126" s="1" t="s">
        <v>1553</v>
      </c>
      <c r="L126" s="1" t="s">
        <v>1713</v>
      </c>
      <c r="M126" s="1" t="s">
        <v>1745</v>
      </c>
      <c r="N126" t="s">
        <v>1925</v>
      </c>
      <c r="O126" t="s">
        <v>2157</v>
      </c>
      <c r="P126" t="s">
        <v>3046</v>
      </c>
      <c r="Q126">
        <v>1.44</v>
      </c>
      <c r="R126" s="1" t="s">
        <v>1839</v>
      </c>
      <c r="S126">
        <v>8563.89</v>
      </c>
      <c r="T126">
        <v>12332</v>
      </c>
    </row>
    <row r="127" spans="1:20" hidden="1" x14ac:dyDescent="0.4">
      <c r="A127" s="1" t="s">
        <v>86</v>
      </c>
      <c r="B127" s="1" t="s">
        <v>1455</v>
      </c>
      <c r="C127" s="1" t="s">
        <v>1844</v>
      </c>
      <c r="D127" s="1" t="s">
        <v>1846</v>
      </c>
      <c r="E127">
        <v>20251219</v>
      </c>
      <c r="F127" s="1" t="s">
        <v>1468</v>
      </c>
      <c r="G127">
        <v>4</v>
      </c>
      <c r="H127" s="1" t="s">
        <v>1475</v>
      </c>
      <c r="I127" t="s">
        <v>1855</v>
      </c>
      <c r="J127" s="1" t="s">
        <v>1456</v>
      </c>
      <c r="K127" s="1" t="s">
        <v>1553</v>
      </c>
      <c r="L127" s="1" t="s">
        <v>1713</v>
      </c>
      <c r="M127" s="1" t="s">
        <v>1736</v>
      </c>
      <c r="N127" t="s">
        <v>1925</v>
      </c>
      <c r="O127" t="s">
        <v>2157</v>
      </c>
      <c r="P127" t="s">
        <v>3038</v>
      </c>
      <c r="Q127">
        <v>8.08</v>
      </c>
      <c r="R127" s="1" t="s">
        <v>1839</v>
      </c>
      <c r="S127">
        <v>6716.09</v>
      </c>
      <c r="T127">
        <v>54266</v>
      </c>
    </row>
    <row r="128" spans="1:20" hidden="1" x14ac:dyDescent="0.4">
      <c r="A128" s="1" t="s">
        <v>86</v>
      </c>
      <c r="B128" s="1" t="s">
        <v>1456</v>
      </c>
      <c r="C128" s="1" t="s">
        <v>1844</v>
      </c>
      <c r="D128" s="1" t="s">
        <v>1846</v>
      </c>
      <c r="E128">
        <v>20251219</v>
      </c>
      <c r="F128" s="1" t="s">
        <v>1468</v>
      </c>
      <c r="G128">
        <v>4</v>
      </c>
      <c r="H128" s="1" t="s">
        <v>1475</v>
      </c>
      <c r="I128" t="s">
        <v>1855</v>
      </c>
      <c r="J128" s="1" t="s">
        <v>1456</v>
      </c>
      <c r="K128" s="1" t="s">
        <v>1553</v>
      </c>
      <c r="L128" s="1" t="s">
        <v>1713</v>
      </c>
      <c r="M128" s="1" t="s">
        <v>1740</v>
      </c>
      <c r="N128" t="s">
        <v>1925</v>
      </c>
      <c r="O128" t="s">
        <v>2157</v>
      </c>
      <c r="P128" t="s">
        <v>3041</v>
      </c>
      <c r="Q128">
        <v>12.64</v>
      </c>
      <c r="R128" s="1" t="s">
        <v>1839</v>
      </c>
      <c r="S128">
        <v>9996.84</v>
      </c>
      <c r="T128">
        <v>126360</v>
      </c>
    </row>
    <row r="129" spans="1:20" hidden="1" x14ac:dyDescent="0.4">
      <c r="A129" s="1" t="s">
        <v>86</v>
      </c>
      <c r="B129" s="1" t="s">
        <v>1457</v>
      </c>
      <c r="C129" s="1" t="s">
        <v>1844</v>
      </c>
      <c r="D129" s="1" t="s">
        <v>1846</v>
      </c>
      <c r="E129">
        <v>20251219</v>
      </c>
      <c r="F129" s="1" t="s">
        <v>1468</v>
      </c>
      <c r="G129">
        <v>4</v>
      </c>
      <c r="H129" s="1" t="s">
        <v>1475</v>
      </c>
      <c r="I129" t="s">
        <v>1855</v>
      </c>
      <c r="J129" s="1" t="s">
        <v>1456</v>
      </c>
      <c r="K129" s="1" t="s">
        <v>1553</v>
      </c>
      <c r="L129" s="1" t="s">
        <v>1713</v>
      </c>
      <c r="M129" s="1" t="s">
        <v>1746</v>
      </c>
      <c r="N129" t="s">
        <v>1925</v>
      </c>
      <c r="O129" t="s">
        <v>2157</v>
      </c>
      <c r="P129" t="s">
        <v>3047</v>
      </c>
      <c r="Q129">
        <v>4.32</v>
      </c>
      <c r="R129" s="1" t="s">
        <v>1839</v>
      </c>
      <c r="S129">
        <v>10637.04</v>
      </c>
      <c r="T129">
        <v>45952</v>
      </c>
    </row>
    <row r="130" spans="1:20" hidden="1" x14ac:dyDescent="0.4">
      <c r="A130" s="1" t="s">
        <v>86</v>
      </c>
      <c r="B130" s="1" t="s">
        <v>1458</v>
      </c>
      <c r="C130" s="1" t="s">
        <v>1844</v>
      </c>
      <c r="D130" s="1" t="s">
        <v>1846</v>
      </c>
      <c r="E130">
        <v>20251219</v>
      </c>
      <c r="F130" s="1" t="s">
        <v>1468</v>
      </c>
      <c r="G130">
        <v>4</v>
      </c>
      <c r="H130" s="1" t="s">
        <v>1475</v>
      </c>
      <c r="I130" t="s">
        <v>1855</v>
      </c>
      <c r="J130" s="1" t="s">
        <v>1456</v>
      </c>
      <c r="K130" s="1" t="s">
        <v>1554</v>
      </c>
      <c r="L130" s="1" t="s">
        <v>1713</v>
      </c>
      <c r="M130" s="1" t="s">
        <v>1737</v>
      </c>
      <c r="N130" t="s">
        <v>1926</v>
      </c>
      <c r="O130" t="s">
        <v>2157</v>
      </c>
      <c r="P130" t="s">
        <v>2157</v>
      </c>
      <c r="Q130">
        <v>50.3</v>
      </c>
      <c r="R130" s="1" t="s">
        <v>1839</v>
      </c>
      <c r="S130">
        <v>10835.81</v>
      </c>
      <c r="T130">
        <v>545041</v>
      </c>
    </row>
    <row r="131" spans="1:20" hidden="1" x14ac:dyDescent="0.4">
      <c r="A131" s="1" t="s">
        <v>87</v>
      </c>
      <c r="B131" s="1" t="s">
        <v>1453</v>
      </c>
      <c r="C131" s="1" t="s">
        <v>1844</v>
      </c>
      <c r="D131" s="1" t="s">
        <v>1846</v>
      </c>
      <c r="E131">
        <v>20251219</v>
      </c>
      <c r="F131" s="1" t="s">
        <v>1468</v>
      </c>
      <c r="G131">
        <v>4</v>
      </c>
      <c r="H131" s="1" t="s">
        <v>1475</v>
      </c>
      <c r="I131" t="s">
        <v>1855</v>
      </c>
      <c r="J131" s="1" t="s">
        <v>1456</v>
      </c>
      <c r="K131" s="1" t="s">
        <v>1555</v>
      </c>
      <c r="L131" s="1" t="s">
        <v>1713</v>
      </c>
      <c r="M131" s="1" t="s">
        <v>1737</v>
      </c>
      <c r="N131" t="s">
        <v>1927</v>
      </c>
      <c r="O131" t="s">
        <v>2157</v>
      </c>
      <c r="P131" t="s">
        <v>2157</v>
      </c>
      <c r="Q131">
        <v>3.96</v>
      </c>
      <c r="R131" s="1" t="s">
        <v>1839</v>
      </c>
      <c r="S131">
        <v>6379.3</v>
      </c>
      <c r="T131">
        <v>25262</v>
      </c>
    </row>
    <row r="132" spans="1:20" hidden="1" x14ac:dyDescent="0.4">
      <c r="A132" s="1" t="s">
        <v>88</v>
      </c>
      <c r="B132" s="1" t="s">
        <v>1453</v>
      </c>
      <c r="C132" s="1" t="s">
        <v>1844</v>
      </c>
      <c r="D132" s="1" t="s">
        <v>1846</v>
      </c>
      <c r="E132">
        <v>20251219</v>
      </c>
      <c r="F132" s="1" t="s">
        <v>1468</v>
      </c>
      <c r="G132">
        <v>4</v>
      </c>
      <c r="H132" s="1" t="s">
        <v>1475</v>
      </c>
      <c r="I132" t="s">
        <v>1855</v>
      </c>
      <c r="J132" s="1" t="s">
        <v>1456</v>
      </c>
      <c r="K132" s="1" t="s">
        <v>1557</v>
      </c>
      <c r="L132" s="1" t="s">
        <v>1713</v>
      </c>
      <c r="M132" s="1" t="s">
        <v>1737</v>
      </c>
      <c r="N132" t="s">
        <v>1929</v>
      </c>
      <c r="O132" t="s">
        <v>2157</v>
      </c>
      <c r="P132" t="s">
        <v>2157</v>
      </c>
      <c r="Q132">
        <v>18.88</v>
      </c>
      <c r="R132" s="1" t="s">
        <v>1839</v>
      </c>
      <c r="S132">
        <v>9561.76</v>
      </c>
      <c r="T132">
        <v>180526</v>
      </c>
    </row>
    <row r="133" spans="1:20" hidden="1" x14ac:dyDescent="0.4">
      <c r="A133" s="1" t="s">
        <v>89</v>
      </c>
      <c r="B133" s="1" t="s">
        <v>1453</v>
      </c>
      <c r="C133" s="1" t="s">
        <v>1844</v>
      </c>
      <c r="D133" s="1" t="s">
        <v>1846</v>
      </c>
      <c r="E133">
        <v>20251219</v>
      </c>
      <c r="F133" s="1" t="s">
        <v>1468</v>
      </c>
      <c r="G133">
        <v>4</v>
      </c>
      <c r="H133" s="1" t="s">
        <v>1475</v>
      </c>
      <c r="I133" t="s">
        <v>1855</v>
      </c>
      <c r="J133" s="1" t="s">
        <v>1456</v>
      </c>
      <c r="K133" s="1" t="s">
        <v>1572</v>
      </c>
      <c r="L133" s="1" t="s">
        <v>1713</v>
      </c>
      <c r="M133" s="1" t="s">
        <v>1736</v>
      </c>
      <c r="N133" t="s">
        <v>1945</v>
      </c>
      <c r="O133" t="s">
        <v>2157</v>
      </c>
      <c r="P133" t="s">
        <v>3038</v>
      </c>
      <c r="Q133">
        <v>4.4800000000000004</v>
      </c>
      <c r="R133" s="1" t="s">
        <v>1839</v>
      </c>
      <c r="S133">
        <v>6211.17</v>
      </c>
      <c r="T133">
        <v>27826</v>
      </c>
    </row>
    <row r="134" spans="1:20" hidden="1" x14ac:dyDescent="0.4">
      <c r="A134" s="1" t="s">
        <v>89</v>
      </c>
      <c r="B134" s="1" t="s">
        <v>1454</v>
      </c>
      <c r="C134" s="1" t="s">
        <v>1844</v>
      </c>
      <c r="D134" s="1" t="s">
        <v>1846</v>
      </c>
      <c r="E134">
        <v>20251219</v>
      </c>
      <c r="F134" s="1" t="s">
        <v>1468</v>
      </c>
      <c r="G134">
        <v>4</v>
      </c>
      <c r="H134" s="1" t="s">
        <v>1475</v>
      </c>
      <c r="I134" t="s">
        <v>1855</v>
      </c>
      <c r="J134" s="1" t="s">
        <v>1456</v>
      </c>
      <c r="K134" s="1" t="s">
        <v>1568</v>
      </c>
      <c r="L134" s="1" t="s">
        <v>1713</v>
      </c>
      <c r="M134" s="1" t="s">
        <v>1737</v>
      </c>
      <c r="N134" t="s">
        <v>1941</v>
      </c>
      <c r="O134" t="s">
        <v>2157</v>
      </c>
      <c r="P134" t="s">
        <v>2157</v>
      </c>
      <c r="Q134">
        <v>1.36</v>
      </c>
      <c r="R134" s="1" t="s">
        <v>1839</v>
      </c>
      <c r="S134">
        <v>12035.3</v>
      </c>
      <c r="T134">
        <v>16368</v>
      </c>
    </row>
    <row r="135" spans="1:20" hidden="1" x14ac:dyDescent="0.4">
      <c r="A135" s="1" t="s">
        <v>89</v>
      </c>
      <c r="B135" s="1" t="s">
        <v>1455</v>
      </c>
      <c r="C135" s="1" t="s">
        <v>1844</v>
      </c>
      <c r="D135" s="1" t="s">
        <v>1846</v>
      </c>
      <c r="E135">
        <v>20251219</v>
      </c>
      <c r="F135" s="1" t="s">
        <v>1468</v>
      </c>
      <c r="G135">
        <v>4</v>
      </c>
      <c r="H135" s="1" t="s">
        <v>1475</v>
      </c>
      <c r="I135" t="s">
        <v>1855</v>
      </c>
      <c r="J135" s="1" t="s">
        <v>1456</v>
      </c>
      <c r="K135" s="1" t="s">
        <v>1576</v>
      </c>
      <c r="L135" s="1" t="s">
        <v>1713</v>
      </c>
      <c r="M135" s="1" t="s">
        <v>1747</v>
      </c>
      <c r="N135" t="s">
        <v>1949</v>
      </c>
      <c r="O135" t="s">
        <v>2157</v>
      </c>
      <c r="P135" t="s">
        <v>3048</v>
      </c>
      <c r="Q135">
        <v>20</v>
      </c>
      <c r="R135" s="1" t="s">
        <v>1718</v>
      </c>
      <c r="S135">
        <v>5613</v>
      </c>
      <c r="T135">
        <v>112260</v>
      </c>
    </row>
    <row r="136" spans="1:20" hidden="1" x14ac:dyDescent="0.4">
      <c r="A136" s="1" t="s">
        <v>89</v>
      </c>
      <c r="B136" s="1" t="s">
        <v>1456</v>
      </c>
      <c r="C136" s="1" t="s">
        <v>1844</v>
      </c>
      <c r="D136" s="1" t="s">
        <v>1846</v>
      </c>
      <c r="E136">
        <v>20251219</v>
      </c>
      <c r="F136" s="1" t="s">
        <v>1468</v>
      </c>
      <c r="G136">
        <v>4</v>
      </c>
      <c r="H136" s="1" t="s">
        <v>1475</v>
      </c>
      <c r="I136" t="s">
        <v>1855</v>
      </c>
      <c r="J136" s="1" t="s">
        <v>1456</v>
      </c>
      <c r="K136" s="1" t="s">
        <v>1576</v>
      </c>
      <c r="L136" s="1" t="s">
        <v>1713</v>
      </c>
      <c r="M136" s="1" t="s">
        <v>1747</v>
      </c>
      <c r="N136" t="s">
        <v>1949</v>
      </c>
      <c r="O136" t="s">
        <v>2157</v>
      </c>
      <c r="P136" t="s">
        <v>3048</v>
      </c>
      <c r="Q136">
        <v>20</v>
      </c>
      <c r="R136" s="1" t="s">
        <v>1718</v>
      </c>
      <c r="S136">
        <v>11005</v>
      </c>
      <c r="T136">
        <v>220100</v>
      </c>
    </row>
    <row r="137" spans="1:20" hidden="1" x14ac:dyDescent="0.4">
      <c r="A137" s="1" t="s">
        <v>90</v>
      </c>
      <c r="B137" s="1" t="s">
        <v>1453</v>
      </c>
      <c r="C137" s="1" t="s">
        <v>1844</v>
      </c>
      <c r="D137" s="1" t="s">
        <v>1846</v>
      </c>
      <c r="E137">
        <v>20251219</v>
      </c>
      <c r="F137" s="1" t="s">
        <v>1468</v>
      </c>
      <c r="G137">
        <v>4</v>
      </c>
      <c r="H137" s="1" t="s">
        <v>1475</v>
      </c>
      <c r="I137" t="s">
        <v>1855</v>
      </c>
      <c r="J137" s="1" t="s">
        <v>1456</v>
      </c>
      <c r="K137" s="1" t="s">
        <v>1558</v>
      </c>
      <c r="L137" s="1" t="s">
        <v>1713</v>
      </c>
      <c r="M137" s="1" t="s">
        <v>1737</v>
      </c>
      <c r="N137" t="s">
        <v>1930</v>
      </c>
      <c r="O137" t="s">
        <v>2157</v>
      </c>
      <c r="P137" t="s">
        <v>2157</v>
      </c>
      <c r="Q137">
        <v>16.600000000000001</v>
      </c>
      <c r="R137" s="1" t="s">
        <v>1839</v>
      </c>
      <c r="S137">
        <v>9340.19</v>
      </c>
      <c r="T137">
        <v>155047</v>
      </c>
    </row>
    <row r="138" spans="1:20" hidden="1" x14ac:dyDescent="0.4">
      <c r="A138" s="1" t="s">
        <v>91</v>
      </c>
      <c r="B138" s="1" t="s">
        <v>1453</v>
      </c>
      <c r="C138" s="1" t="s">
        <v>1844</v>
      </c>
      <c r="D138" s="1" t="s">
        <v>1846</v>
      </c>
      <c r="E138">
        <v>20251219</v>
      </c>
      <c r="F138" s="1" t="s">
        <v>1468</v>
      </c>
      <c r="G138">
        <v>4</v>
      </c>
      <c r="H138" s="1" t="s">
        <v>1475</v>
      </c>
      <c r="I138" t="s">
        <v>1855</v>
      </c>
      <c r="J138" s="1" t="s">
        <v>1456</v>
      </c>
      <c r="K138" s="1" t="s">
        <v>1559</v>
      </c>
      <c r="L138" s="1" t="s">
        <v>1713</v>
      </c>
      <c r="M138" s="1" t="s">
        <v>1739</v>
      </c>
      <c r="N138" t="s">
        <v>1931</v>
      </c>
      <c r="O138" t="s">
        <v>2157</v>
      </c>
      <c r="P138" t="s">
        <v>3040</v>
      </c>
      <c r="Q138">
        <v>2</v>
      </c>
      <c r="R138" s="1" t="s">
        <v>1718</v>
      </c>
      <c r="S138">
        <v>4836</v>
      </c>
      <c r="T138">
        <v>9672</v>
      </c>
    </row>
    <row r="139" spans="1:20" hidden="1" x14ac:dyDescent="0.4">
      <c r="A139" s="1" t="s">
        <v>91</v>
      </c>
      <c r="B139" s="1" t="s">
        <v>1454</v>
      </c>
      <c r="C139" s="1" t="s">
        <v>1844</v>
      </c>
      <c r="D139" s="1" t="s">
        <v>1846</v>
      </c>
      <c r="E139">
        <v>20251219</v>
      </c>
      <c r="F139" s="1" t="s">
        <v>1468</v>
      </c>
      <c r="G139">
        <v>4</v>
      </c>
      <c r="H139" s="1" t="s">
        <v>1475</v>
      </c>
      <c r="I139" t="s">
        <v>1855</v>
      </c>
      <c r="J139" s="1" t="s">
        <v>1456</v>
      </c>
      <c r="K139" s="1" t="s">
        <v>1570</v>
      </c>
      <c r="L139" s="1" t="s">
        <v>1713</v>
      </c>
      <c r="M139" s="1" t="s">
        <v>1744</v>
      </c>
      <c r="N139" t="s">
        <v>1943</v>
      </c>
      <c r="O139" t="s">
        <v>2157</v>
      </c>
      <c r="P139" t="s">
        <v>3045</v>
      </c>
      <c r="Q139">
        <v>10</v>
      </c>
      <c r="R139" s="1" t="s">
        <v>1718</v>
      </c>
      <c r="S139">
        <v>1146</v>
      </c>
      <c r="T139">
        <v>11460</v>
      </c>
    </row>
    <row r="140" spans="1:20" hidden="1" x14ac:dyDescent="0.4">
      <c r="A140" s="1" t="s">
        <v>92</v>
      </c>
      <c r="B140" s="1" t="s">
        <v>1453</v>
      </c>
      <c r="C140" s="1" t="s">
        <v>1844</v>
      </c>
      <c r="D140" s="1" t="s">
        <v>1846</v>
      </c>
      <c r="E140">
        <v>20251222</v>
      </c>
      <c r="F140" s="1" t="s">
        <v>1468</v>
      </c>
      <c r="G140">
        <v>4</v>
      </c>
      <c r="H140" s="1" t="s">
        <v>1475</v>
      </c>
      <c r="I140" t="s">
        <v>1855</v>
      </c>
      <c r="J140" s="1" t="s">
        <v>1456</v>
      </c>
      <c r="K140" s="1" t="s">
        <v>1553</v>
      </c>
      <c r="L140" s="1" t="s">
        <v>1713</v>
      </c>
      <c r="M140" s="1" t="s">
        <v>1736</v>
      </c>
      <c r="N140" t="s">
        <v>1925</v>
      </c>
      <c r="O140" t="s">
        <v>2157</v>
      </c>
      <c r="P140" t="s">
        <v>3038</v>
      </c>
      <c r="Q140">
        <v>89.92</v>
      </c>
      <c r="R140" s="1" t="s">
        <v>1839</v>
      </c>
      <c r="S140">
        <v>5899.24</v>
      </c>
      <c r="T140">
        <v>530459</v>
      </c>
    </row>
    <row r="141" spans="1:20" hidden="1" x14ac:dyDescent="0.4">
      <c r="A141" s="1" t="s">
        <v>92</v>
      </c>
      <c r="B141" s="1" t="s">
        <v>1454</v>
      </c>
      <c r="C141" s="1" t="s">
        <v>1844</v>
      </c>
      <c r="D141" s="1" t="s">
        <v>1846</v>
      </c>
      <c r="E141">
        <v>20251222</v>
      </c>
      <c r="F141" s="1" t="s">
        <v>1468</v>
      </c>
      <c r="G141">
        <v>4</v>
      </c>
      <c r="H141" s="1" t="s">
        <v>1475</v>
      </c>
      <c r="I141" t="s">
        <v>1855</v>
      </c>
      <c r="J141" s="1" t="s">
        <v>1456</v>
      </c>
      <c r="K141" s="1" t="s">
        <v>1554</v>
      </c>
      <c r="L141" s="1" t="s">
        <v>1713</v>
      </c>
      <c r="M141" s="1" t="s">
        <v>1737</v>
      </c>
      <c r="N141" t="s">
        <v>1926</v>
      </c>
      <c r="O141" t="s">
        <v>2157</v>
      </c>
      <c r="P141" t="s">
        <v>2157</v>
      </c>
      <c r="Q141">
        <v>41.51</v>
      </c>
      <c r="R141" s="1" t="s">
        <v>1839</v>
      </c>
      <c r="S141">
        <v>10820.8</v>
      </c>
      <c r="T141">
        <v>449171</v>
      </c>
    </row>
    <row r="142" spans="1:20" hidden="1" x14ac:dyDescent="0.4">
      <c r="A142" s="1" t="s">
        <v>93</v>
      </c>
      <c r="B142" s="1" t="s">
        <v>1453</v>
      </c>
      <c r="C142" s="1" t="s">
        <v>1844</v>
      </c>
      <c r="D142" s="1" t="s">
        <v>1846</v>
      </c>
      <c r="E142">
        <v>20251222</v>
      </c>
      <c r="F142" s="1" t="s">
        <v>1468</v>
      </c>
      <c r="G142">
        <v>4</v>
      </c>
      <c r="H142" s="1" t="s">
        <v>1475</v>
      </c>
      <c r="I142" t="s">
        <v>1855</v>
      </c>
      <c r="J142" s="1" t="s">
        <v>1456</v>
      </c>
      <c r="K142" s="1" t="s">
        <v>1561</v>
      </c>
      <c r="L142" s="1" t="s">
        <v>1713</v>
      </c>
      <c r="M142" s="1" t="s">
        <v>1737</v>
      </c>
      <c r="N142" t="s">
        <v>1933</v>
      </c>
      <c r="O142" t="s">
        <v>2157</v>
      </c>
      <c r="P142" t="s">
        <v>2157</v>
      </c>
      <c r="Q142">
        <v>6.1</v>
      </c>
      <c r="R142" s="1" t="s">
        <v>1839</v>
      </c>
      <c r="S142">
        <v>10072.14</v>
      </c>
      <c r="T142">
        <v>61440</v>
      </c>
    </row>
    <row r="143" spans="1:20" hidden="1" x14ac:dyDescent="0.4">
      <c r="A143" s="1" t="s">
        <v>94</v>
      </c>
      <c r="B143" s="1" t="s">
        <v>1453</v>
      </c>
      <c r="C143" s="1" t="s">
        <v>1844</v>
      </c>
      <c r="D143" s="1" t="s">
        <v>1846</v>
      </c>
      <c r="E143">
        <v>20251222</v>
      </c>
      <c r="F143" s="1" t="s">
        <v>1468</v>
      </c>
      <c r="G143">
        <v>4</v>
      </c>
      <c r="H143" s="1" t="s">
        <v>1475</v>
      </c>
      <c r="I143" t="s">
        <v>1855</v>
      </c>
      <c r="J143" s="1" t="s">
        <v>1456</v>
      </c>
      <c r="K143" s="1" t="s">
        <v>1558</v>
      </c>
      <c r="L143" s="1" t="s">
        <v>1713</v>
      </c>
      <c r="M143" s="1" t="s">
        <v>1737</v>
      </c>
      <c r="N143" t="s">
        <v>1930</v>
      </c>
      <c r="O143" t="s">
        <v>2157</v>
      </c>
      <c r="P143" t="s">
        <v>2157</v>
      </c>
      <c r="Q143">
        <v>30.69</v>
      </c>
      <c r="R143" s="1" t="s">
        <v>1839</v>
      </c>
      <c r="S143">
        <v>9022.94</v>
      </c>
      <c r="T143">
        <v>276914</v>
      </c>
    </row>
    <row r="144" spans="1:20" hidden="1" x14ac:dyDescent="0.4">
      <c r="A144" s="1" t="s">
        <v>95</v>
      </c>
      <c r="B144" s="1" t="s">
        <v>1453</v>
      </c>
      <c r="C144" s="1" t="s">
        <v>1844</v>
      </c>
      <c r="D144" s="1" t="s">
        <v>1846</v>
      </c>
      <c r="E144">
        <v>20251222</v>
      </c>
      <c r="F144" s="1" t="s">
        <v>1468</v>
      </c>
      <c r="G144">
        <v>4</v>
      </c>
      <c r="H144" s="1" t="s">
        <v>1475</v>
      </c>
      <c r="I144" t="s">
        <v>1855</v>
      </c>
      <c r="J144" s="1" t="s">
        <v>1456</v>
      </c>
      <c r="K144" s="1" t="s">
        <v>1573</v>
      </c>
      <c r="L144" s="1" t="s">
        <v>1713</v>
      </c>
      <c r="M144" s="1" t="s">
        <v>1741</v>
      </c>
      <c r="N144" t="s">
        <v>1946</v>
      </c>
      <c r="O144" t="s">
        <v>2157</v>
      </c>
      <c r="P144" t="s">
        <v>3042</v>
      </c>
      <c r="Q144">
        <v>30</v>
      </c>
      <c r="R144" s="1" t="s">
        <v>1718</v>
      </c>
      <c r="S144">
        <v>10898</v>
      </c>
      <c r="T144">
        <v>326940</v>
      </c>
    </row>
    <row r="145" spans="1:20" hidden="1" x14ac:dyDescent="0.4">
      <c r="A145" s="1" t="s">
        <v>95</v>
      </c>
      <c r="B145" s="1" t="s">
        <v>1454</v>
      </c>
      <c r="C145" s="1" t="s">
        <v>1844</v>
      </c>
      <c r="D145" s="1" t="s">
        <v>1846</v>
      </c>
      <c r="E145">
        <v>20251222</v>
      </c>
      <c r="F145" s="1" t="s">
        <v>1468</v>
      </c>
      <c r="G145">
        <v>4</v>
      </c>
      <c r="H145" s="1" t="s">
        <v>1475</v>
      </c>
      <c r="I145" t="s">
        <v>1855</v>
      </c>
      <c r="J145" s="1" t="s">
        <v>1456</v>
      </c>
      <c r="K145" s="1" t="s">
        <v>1570</v>
      </c>
      <c r="L145" s="1" t="s">
        <v>1713</v>
      </c>
      <c r="M145" s="1" t="s">
        <v>1741</v>
      </c>
      <c r="N145" t="s">
        <v>1943</v>
      </c>
      <c r="O145" t="s">
        <v>2157</v>
      </c>
      <c r="P145" t="s">
        <v>3042</v>
      </c>
      <c r="Q145">
        <v>30</v>
      </c>
      <c r="R145" s="1" t="s">
        <v>1718</v>
      </c>
      <c r="S145">
        <v>16304</v>
      </c>
      <c r="T145">
        <v>489120</v>
      </c>
    </row>
    <row r="146" spans="1:20" hidden="1" x14ac:dyDescent="0.4">
      <c r="A146" s="1" t="s">
        <v>96</v>
      </c>
      <c r="B146" s="1" t="s">
        <v>1453</v>
      </c>
      <c r="C146" s="1" t="s">
        <v>1844</v>
      </c>
      <c r="D146" s="1" t="s">
        <v>1846</v>
      </c>
      <c r="E146">
        <v>20251222</v>
      </c>
      <c r="F146" s="1" t="s">
        <v>1468</v>
      </c>
      <c r="G146">
        <v>4</v>
      </c>
      <c r="H146" s="1" t="s">
        <v>1475</v>
      </c>
      <c r="I146" t="s">
        <v>1855</v>
      </c>
      <c r="J146" s="1" t="s">
        <v>1456</v>
      </c>
      <c r="K146" s="1" t="s">
        <v>1562</v>
      </c>
      <c r="L146" s="1" t="s">
        <v>1713</v>
      </c>
      <c r="M146" s="1" t="s">
        <v>1735</v>
      </c>
      <c r="N146" t="s">
        <v>1939</v>
      </c>
      <c r="O146" t="s">
        <v>2157</v>
      </c>
      <c r="P146" t="s">
        <v>3037</v>
      </c>
      <c r="Q146">
        <v>200</v>
      </c>
      <c r="R146" s="1" t="s">
        <v>1718</v>
      </c>
      <c r="S146">
        <v>2815</v>
      </c>
      <c r="T146">
        <v>563000</v>
      </c>
    </row>
    <row r="147" spans="1:20" hidden="1" x14ac:dyDescent="0.4">
      <c r="A147" s="1" t="s">
        <v>96</v>
      </c>
      <c r="B147" s="1" t="s">
        <v>1454</v>
      </c>
      <c r="C147" s="1" t="s">
        <v>1844</v>
      </c>
      <c r="D147" s="1" t="s">
        <v>1846</v>
      </c>
      <c r="E147">
        <v>20251222</v>
      </c>
      <c r="F147" s="1" t="s">
        <v>1468</v>
      </c>
      <c r="G147">
        <v>4</v>
      </c>
      <c r="H147" s="1" t="s">
        <v>1475</v>
      </c>
      <c r="I147" t="s">
        <v>1855</v>
      </c>
      <c r="J147" s="1" t="s">
        <v>1456</v>
      </c>
      <c r="K147" s="1" t="s">
        <v>1573</v>
      </c>
      <c r="L147" s="1" t="s">
        <v>1713</v>
      </c>
      <c r="M147" s="1" t="s">
        <v>1741</v>
      </c>
      <c r="N147" t="s">
        <v>1946</v>
      </c>
      <c r="O147" t="s">
        <v>2157</v>
      </c>
      <c r="P147" t="s">
        <v>3042</v>
      </c>
      <c r="Q147">
        <v>1</v>
      </c>
      <c r="R147" s="1" t="s">
        <v>1718</v>
      </c>
      <c r="S147">
        <v>5544</v>
      </c>
      <c r="T147">
        <v>5544</v>
      </c>
    </row>
    <row r="148" spans="1:20" hidden="1" x14ac:dyDescent="0.4">
      <c r="A148" s="1" t="s">
        <v>96</v>
      </c>
      <c r="B148" s="1" t="s">
        <v>1455</v>
      </c>
      <c r="C148" s="1" t="s">
        <v>1844</v>
      </c>
      <c r="D148" s="1" t="s">
        <v>1846</v>
      </c>
      <c r="E148">
        <v>20251222</v>
      </c>
      <c r="F148" s="1" t="s">
        <v>1468</v>
      </c>
      <c r="G148">
        <v>4</v>
      </c>
      <c r="H148" s="1" t="s">
        <v>1475</v>
      </c>
      <c r="I148" t="s">
        <v>1855</v>
      </c>
      <c r="J148" s="1" t="s">
        <v>1456</v>
      </c>
      <c r="K148" s="1" t="s">
        <v>1570</v>
      </c>
      <c r="L148" s="1" t="s">
        <v>1713</v>
      </c>
      <c r="M148" s="1" t="s">
        <v>1741</v>
      </c>
      <c r="N148" t="s">
        <v>1943</v>
      </c>
      <c r="O148" t="s">
        <v>2157</v>
      </c>
      <c r="P148" t="s">
        <v>3042</v>
      </c>
      <c r="Q148">
        <v>26</v>
      </c>
      <c r="R148" s="1" t="s">
        <v>1718</v>
      </c>
      <c r="S148">
        <v>10865</v>
      </c>
      <c r="T148">
        <v>282490</v>
      </c>
    </row>
    <row r="149" spans="1:20" hidden="1" x14ac:dyDescent="0.4">
      <c r="A149" s="1" t="s">
        <v>97</v>
      </c>
      <c r="B149" s="1" t="s">
        <v>1453</v>
      </c>
      <c r="C149" s="1" t="s">
        <v>1844</v>
      </c>
      <c r="D149" s="1" t="s">
        <v>1846</v>
      </c>
      <c r="E149">
        <v>20251223</v>
      </c>
      <c r="F149" s="1" t="s">
        <v>1468</v>
      </c>
      <c r="G149">
        <v>4</v>
      </c>
      <c r="H149" s="1" t="s">
        <v>1475</v>
      </c>
      <c r="I149" t="s">
        <v>1855</v>
      </c>
      <c r="J149" s="1" t="s">
        <v>1456</v>
      </c>
      <c r="K149" s="1" t="s">
        <v>1553</v>
      </c>
      <c r="L149" s="1" t="s">
        <v>1713</v>
      </c>
      <c r="M149" s="1" t="s">
        <v>1736</v>
      </c>
      <c r="N149" t="s">
        <v>1925</v>
      </c>
      <c r="O149" t="s">
        <v>2157</v>
      </c>
      <c r="P149" t="s">
        <v>3038</v>
      </c>
      <c r="Q149">
        <v>2.56</v>
      </c>
      <c r="R149" s="1" t="s">
        <v>1839</v>
      </c>
      <c r="S149">
        <v>6778.91</v>
      </c>
      <c r="T149">
        <v>17354</v>
      </c>
    </row>
    <row r="150" spans="1:20" hidden="1" x14ac:dyDescent="0.4">
      <c r="A150" s="1" t="s">
        <v>97</v>
      </c>
      <c r="B150" s="1" t="s">
        <v>1454</v>
      </c>
      <c r="C150" s="1" t="s">
        <v>1844</v>
      </c>
      <c r="D150" s="1" t="s">
        <v>1846</v>
      </c>
      <c r="E150">
        <v>20251223</v>
      </c>
      <c r="F150" s="1" t="s">
        <v>1468</v>
      </c>
      <c r="G150">
        <v>4</v>
      </c>
      <c r="H150" s="1" t="s">
        <v>1475</v>
      </c>
      <c r="I150" t="s">
        <v>1855</v>
      </c>
      <c r="J150" s="1" t="s">
        <v>1456</v>
      </c>
      <c r="K150" s="1" t="s">
        <v>1553</v>
      </c>
      <c r="L150" s="1" t="s">
        <v>1713</v>
      </c>
      <c r="M150" s="1" t="s">
        <v>1740</v>
      </c>
      <c r="N150" t="s">
        <v>1925</v>
      </c>
      <c r="O150" t="s">
        <v>2157</v>
      </c>
      <c r="P150" t="s">
        <v>3041</v>
      </c>
      <c r="Q150">
        <v>0.8</v>
      </c>
      <c r="R150" s="1" t="s">
        <v>1839</v>
      </c>
      <c r="S150">
        <v>9477.5</v>
      </c>
      <c r="T150">
        <v>7582</v>
      </c>
    </row>
    <row r="151" spans="1:20" hidden="1" x14ac:dyDescent="0.4">
      <c r="A151" s="1" t="s">
        <v>97</v>
      </c>
      <c r="B151" s="1" t="s">
        <v>1455</v>
      </c>
      <c r="C151" s="1" t="s">
        <v>1844</v>
      </c>
      <c r="D151" s="1" t="s">
        <v>1846</v>
      </c>
      <c r="E151">
        <v>20251223</v>
      </c>
      <c r="F151" s="1" t="s">
        <v>1468</v>
      </c>
      <c r="G151">
        <v>4</v>
      </c>
      <c r="H151" s="1" t="s">
        <v>1475</v>
      </c>
      <c r="I151" t="s">
        <v>1855</v>
      </c>
      <c r="J151" s="1" t="s">
        <v>1456</v>
      </c>
      <c r="K151" s="1" t="s">
        <v>1554</v>
      </c>
      <c r="L151" s="1" t="s">
        <v>1713</v>
      </c>
      <c r="M151" s="1" t="s">
        <v>1737</v>
      </c>
      <c r="N151" t="s">
        <v>1926</v>
      </c>
      <c r="O151" t="s">
        <v>2157</v>
      </c>
      <c r="P151" t="s">
        <v>2157</v>
      </c>
      <c r="Q151">
        <v>14.23</v>
      </c>
      <c r="R151" s="1" t="s">
        <v>1839</v>
      </c>
      <c r="S151">
        <v>10497.05</v>
      </c>
      <c r="T151">
        <v>149373</v>
      </c>
    </row>
    <row r="152" spans="1:20" hidden="1" x14ac:dyDescent="0.4">
      <c r="A152" s="1" t="s">
        <v>98</v>
      </c>
      <c r="B152" s="1" t="s">
        <v>1453</v>
      </c>
      <c r="C152" s="1" t="s">
        <v>1844</v>
      </c>
      <c r="D152" s="1" t="s">
        <v>1846</v>
      </c>
      <c r="E152">
        <v>20251223</v>
      </c>
      <c r="F152" s="1" t="s">
        <v>1468</v>
      </c>
      <c r="G152">
        <v>4</v>
      </c>
      <c r="H152" s="1" t="s">
        <v>1475</v>
      </c>
      <c r="I152" t="s">
        <v>1855</v>
      </c>
      <c r="J152" s="1" t="s">
        <v>1456</v>
      </c>
      <c r="K152" s="1" t="s">
        <v>1560</v>
      </c>
      <c r="L152" s="1" t="s">
        <v>1713</v>
      </c>
      <c r="M152" s="1" t="s">
        <v>1740</v>
      </c>
      <c r="N152" t="s">
        <v>1932</v>
      </c>
      <c r="O152" t="s">
        <v>2157</v>
      </c>
      <c r="P152" t="s">
        <v>3041</v>
      </c>
      <c r="Q152">
        <v>2.2599999999999998</v>
      </c>
      <c r="R152" s="1" t="s">
        <v>1839</v>
      </c>
      <c r="S152">
        <v>9692.0400000000009</v>
      </c>
      <c r="T152">
        <v>21904</v>
      </c>
    </row>
    <row r="153" spans="1:20" hidden="1" x14ac:dyDescent="0.4">
      <c r="A153" s="1" t="s">
        <v>98</v>
      </c>
      <c r="B153" s="1" t="s">
        <v>1454</v>
      </c>
      <c r="C153" s="1" t="s">
        <v>1844</v>
      </c>
      <c r="D153" s="1" t="s">
        <v>1846</v>
      </c>
      <c r="E153">
        <v>20251223</v>
      </c>
      <c r="F153" s="1" t="s">
        <v>1468</v>
      </c>
      <c r="G153">
        <v>4</v>
      </c>
      <c r="H153" s="1" t="s">
        <v>1475</v>
      </c>
      <c r="I153" t="s">
        <v>1855</v>
      </c>
      <c r="J153" s="1" t="s">
        <v>1456</v>
      </c>
      <c r="K153" s="1" t="s">
        <v>1555</v>
      </c>
      <c r="L153" s="1" t="s">
        <v>1713</v>
      </c>
      <c r="M153" s="1" t="s">
        <v>1737</v>
      </c>
      <c r="N153" t="s">
        <v>1927</v>
      </c>
      <c r="O153" t="s">
        <v>2157</v>
      </c>
      <c r="P153" t="s">
        <v>2157</v>
      </c>
      <c r="Q153">
        <v>7.78</v>
      </c>
      <c r="R153" s="1" t="s">
        <v>1839</v>
      </c>
      <c r="S153">
        <v>6394.35</v>
      </c>
      <c r="T153">
        <v>49748</v>
      </c>
    </row>
    <row r="154" spans="1:20" hidden="1" x14ac:dyDescent="0.4">
      <c r="A154" s="1" t="s">
        <v>98</v>
      </c>
      <c r="B154" s="1" t="s">
        <v>1455</v>
      </c>
      <c r="C154" s="1" t="s">
        <v>1844</v>
      </c>
      <c r="D154" s="1" t="s">
        <v>1846</v>
      </c>
      <c r="E154">
        <v>20251223</v>
      </c>
      <c r="F154" s="1" t="s">
        <v>1468</v>
      </c>
      <c r="G154">
        <v>4</v>
      </c>
      <c r="H154" s="1" t="s">
        <v>1475</v>
      </c>
      <c r="I154" t="s">
        <v>1855</v>
      </c>
      <c r="J154" s="1" t="s">
        <v>1456</v>
      </c>
      <c r="K154" s="1" t="s">
        <v>1561</v>
      </c>
      <c r="L154" s="1" t="s">
        <v>1713</v>
      </c>
      <c r="M154" s="1" t="s">
        <v>1737</v>
      </c>
      <c r="N154" t="s">
        <v>1933</v>
      </c>
      <c r="O154" t="s">
        <v>2157</v>
      </c>
      <c r="P154" t="s">
        <v>2157</v>
      </c>
      <c r="Q154">
        <v>1.99</v>
      </c>
      <c r="R154" s="1" t="s">
        <v>1839</v>
      </c>
      <c r="S154">
        <v>10140.209999999999</v>
      </c>
      <c r="T154">
        <v>20179</v>
      </c>
    </row>
    <row r="155" spans="1:20" hidden="1" x14ac:dyDescent="0.4">
      <c r="A155" s="1" t="s">
        <v>98</v>
      </c>
      <c r="B155" s="1" t="s">
        <v>1456</v>
      </c>
      <c r="C155" s="1" t="s">
        <v>1844</v>
      </c>
      <c r="D155" s="1" t="s">
        <v>1846</v>
      </c>
      <c r="E155">
        <v>20251223</v>
      </c>
      <c r="F155" s="1" t="s">
        <v>1468</v>
      </c>
      <c r="G155">
        <v>4</v>
      </c>
      <c r="H155" s="1" t="s">
        <v>1475</v>
      </c>
      <c r="I155" t="s">
        <v>1855</v>
      </c>
      <c r="J155" s="1" t="s">
        <v>1456</v>
      </c>
      <c r="K155" s="1" t="s">
        <v>1556</v>
      </c>
      <c r="L155" s="1" t="s">
        <v>1713</v>
      </c>
      <c r="M155" s="1" t="s">
        <v>1738</v>
      </c>
      <c r="N155" t="s">
        <v>1928</v>
      </c>
      <c r="O155" t="s">
        <v>2157</v>
      </c>
      <c r="P155" t="s">
        <v>3039</v>
      </c>
      <c r="Q155">
        <v>18.3</v>
      </c>
      <c r="R155" s="1" t="s">
        <v>1839</v>
      </c>
      <c r="S155">
        <v>5665.91</v>
      </c>
      <c r="T155">
        <v>103686</v>
      </c>
    </row>
    <row r="156" spans="1:20" hidden="1" x14ac:dyDescent="0.4">
      <c r="A156" s="1" t="s">
        <v>99</v>
      </c>
      <c r="B156" s="1" t="s">
        <v>1453</v>
      </c>
      <c r="C156" s="1" t="s">
        <v>1844</v>
      </c>
      <c r="D156" s="1" t="s">
        <v>1846</v>
      </c>
      <c r="E156">
        <v>20251223</v>
      </c>
      <c r="F156" s="1" t="s">
        <v>1468</v>
      </c>
      <c r="G156">
        <v>4</v>
      </c>
      <c r="H156" s="1" t="s">
        <v>1475</v>
      </c>
      <c r="I156" t="s">
        <v>1855</v>
      </c>
      <c r="J156" s="1" t="s">
        <v>1456</v>
      </c>
      <c r="K156" s="1" t="s">
        <v>1558</v>
      </c>
      <c r="L156" s="1" t="s">
        <v>1713</v>
      </c>
      <c r="M156" s="1" t="s">
        <v>1737</v>
      </c>
      <c r="N156" t="s">
        <v>1930</v>
      </c>
      <c r="O156" t="s">
        <v>2157</v>
      </c>
      <c r="P156" t="s">
        <v>2157</v>
      </c>
      <c r="Q156">
        <v>33.4</v>
      </c>
      <c r="R156" s="1" t="s">
        <v>1839</v>
      </c>
      <c r="S156">
        <v>9019.17</v>
      </c>
      <c r="T156">
        <v>301240</v>
      </c>
    </row>
    <row r="157" spans="1:20" hidden="1" x14ac:dyDescent="0.4">
      <c r="A157" s="1" t="s">
        <v>100</v>
      </c>
      <c r="B157" s="1" t="s">
        <v>1453</v>
      </c>
      <c r="C157" s="1" t="s">
        <v>1844</v>
      </c>
      <c r="D157" s="1" t="s">
        <v>1846</v>
      </c>
      <c r="E157">
        <v>20251223</v>
      </c>
      <c r="F157" s="1" t="s">
        <v>1468</v>
      </c>
      <c r="G157">
        <v>4</v>
      </c>
      <c r="H157" s="1" t="s">
        <v>1475</v>
      </c>
      <c r="I157" t="s">
        <v>1855</v>
      </c>
      <c r="J157" s="1" t="s">
        <v>1456</v>
      </c>
      <c r="K157" s="1" t="s">
        <v>1575</v>
      </c>
      <c r="L157" s="1" t="s">
        <v>1713</v>
      </c>
      <c r="M157" s="1" t="s">
        <v>1735</v>
      </c>
      <c r="N157" t="s">
        <v>1948</v>
      </c>
      <c r="O157" t="s">
        <v>2157</v>
      </c>
      <c r="P157" t="s">
        <v>3037</v>
      </c>
      <c r="Q157">
        <v>350</v>
      </c>
      <c r="R157" s="1" t="s">
        <v>1718</v>
      </c>
      <c r="S157">
        <v>7649</v>
      </c>
      <c r="T157">
        <v>2677150</v>
      </c>
    </row>
    <row r="158" spans="1:20" hidden="1" x14ac:dyDescent="0.4">
      <c r="A158" s="1" t="s">
        <v>100</v>
      </c>
      <c r="B158" s="1" t="s">
        <v>1454</v>
      </c>
      <c r="C158" s="1" t="s">
        <v>1844</v>
      </c>
      <c r="D158" s="1" t="s">
        <v>1846</v>
      </c>
      <c r="E158">
        <v>20251223</v>
      </c>
      <c r="F158" s="1" t="s">
        <v>1468</v>
      </c>
      <c r="G158">
        <v>4</v>
      </c>
      <c r="H158" s="1" t="s">
        <v>1475</v>
      </c>
      <c r="I158" t="s">
        <v>1855</v>
      </c>
      <c r="J158" s="1" t="s">
        <v>1456</v>
      </c>
      <c r="K158" s="1" t="s">
        <v>1570</v>
      </c>
      <c r="L158" s="1" t="s">
        <v>1713</v>
      </c>
      <c r="M158" s="1" t="s">
        <v>1742</v>
      </c>
      <c r="N158" t="s">
        <v>1943</v>
      </c>
      <c r="O158" t="s">
        <v>2157</v>
      </c>
      <c r="P158" t="s">
        <v>3043</v>
      </c>
      <c r="Q158">
        <v>1</v>
      </c>
      <c r="R158" s="1" t="s">
        <v>1718</v>
      </c>
      <c r="S158">
        <v>18371</v>
      </c>
      <c r="T158">
        <v>18371</v>
      </c>
    </row>
    <row r="159" spans="1:20" hidden="1" x14ac:dyDescent="0.4">
      <c r="A159" s="1" t="s">
        <v>100</v>
      </c>
      <c r="B159" s="1" t="s">
        <v>1455</v>
      </c>
      <c r="C159" s="1" t="s">
        <v>1844</v>
      </c>
      <c r="D159" s="1" t="s">
        <v>1846</v>
      </c>
      <c r="E159">
        <v>20251223</v>
      </c>
      <c r="F159" s="1" t="s">
        <v>1468</v>
      </c>
      <c r="G159">
        <v>4</v>
      </c>
      <c r="H159" s="1" t="s">
        <v>1475</v>
      </c>
      <c r="I159" t="s">
        <v>1855</v>
      </c>
      <c r="J159" s="1" t="s">
        <v>1456</v>
      </c>
      <c r="K159" s="1" t="s">
        <v>1570</v>
      </c>
      <c r="L159" s="1" t="s">
        <v>1713</v>
      </c>
      <c r="M159" s="1" t="s">
        <v>1741</v>
      </c>
      <c r="N159" t="s">
        <v>1943</v>
      </c>
      <c r="O159" t="s">
        <v>2157</v>
      </c>
      <c r="P159" t="s">
        <v>3042</v>
      </c>
      <c r="Q159">
        <v>5</v>
      </c>
      <c r="R159" s="1" t="s">
        <v>1718</v>
      </c>
      <c r="S159">
        <v>5450</v>
      </c>
      <c r="T159">
        <v>27250</v>
      </c>
    </row>
    <row r="160" spans="1:20" hidden="1" x14ac:dyDescent="0.4">
      <c r="A160" s="1" t="s">
        <v>101</v>
      </c>
      <c r="B160" s="1" t="s">
        <v>1453</v>
      </c>
      <c r="C160" s="1" t="s">
        <v>1844</v>
      </c>
      <c r="D160" s="1" t="s">
        <v>1731</v>
      </c>
      <c r="E160">
        <v>20251223</v>
      </c>
      <c r="F160" s="1" t="s">
        <v>1468</v>
      </c>
      <c r="G160">
        <v>4</v>
      </c>
      <c r="H160" s="1" t="s">
        <v>1475</v>
      </c>
      <c r="I160" t="s">
        <v>1855</v>
      </c>
      <c r="J160" s="1" t="s">
        <v>1456</v>
      </c>
      <c r="K160" s="1" t="s">
        <v>1577</v>
      </c>
      <c r="L160" s="1" t="s">
        <v>1713</v>
      </c>
      <c r="M160" s="1" t="s">
        <v>1737</v>
      </c>
      <c r="N160" t="s">
        <v>1950</v>
      </c>
      <c r="O160" t="s">
        <v>2157</v>
      </c>
      <c r="P160" t="s">
        <v>2157</v>
      </c>
      <c r="Q160">
        <v>3.36</v>
      </c>
      <c r="R160" s="1" t="s">
        <v>1839</v>
      </c>
      <c r="S160">
        <v>1200</v>
      </c>
      <c r="T160">
        <v>4032</v>
      </c>
    </row>
    <row r="161" spans="1:20" hidden="1" x14ac:dyDescent="0.4">
      <c r="A161" s="1" t="s">
        <v>102</v>
      </c>
      <c r="B161" s="1" t="s">
        <v>1453</v>
      </c>
      <c r="C161" s="1" t="s">
        <v>1844</v>
      </c>
      <c r="D161" s="1" t="s">
        <v>1846</v>
      </c>
      <c r="E161">
        <v>20251224</v>
      </c>
      <c r="F161" s="1" t="s">
        <v>1468</v>
      </c>
      <c r="G161">
        <v>4</v>
      </c>
      <c r="H161" s="1" t="s">
        <v>1475</v>
      </c>
      <c r="I161" t="s">
        <v>1855</v>
      </c>
      <c r="J161" s="1" t="s">
        <v>1456</v>
      </c>
      <c r="K161" s="1" t="s">
        <v>1553</v>
      </c>
      <c r="L161" s="1" t="s">
        <v>1713</v>
      </c>
      <c r="M161" s="1" t="s">
        <v>1736</v>
      </c>
      <c r="N161" t="s">
        <v>1925</v>
      </c>
      <c r="O161" t="s">
        <v>2157</v>
      </c>
      <c r="P161" t="s">
        <v>3038</v>
      </c>
      <c r="Q161">
        <v>9.76</v>
      </c>
      <c r="R161" s="1" t="s">
        <v>1839</v>
      </c>
      <c r="S161">
        <v>6506.15</v>
      </c>
      <c r="T161">
        <v>63500</v>
      </c>
    </row>
    <row r="162" spans="1:20" hidden="1" x14ac:dyDescent="0.4">
      <c r="A162" s="1" t="s">
        <v>102</v>
      </c>
      <c r="B162" s="1" t="s">
        <v>1454</v>
      </c>
      <c r="C162" s="1" t="s">
        <v>1844</v>
      </c>
      <c r="D162" s="1" t="s">
        <v>1846</v>
      </c>
      <c r="E162">
        <v>20251224</v>
      </c>
      <c r="F162" s="1" t="s">
        <v>1468</v>
      </c>
      <c r="G162">
        <v>4</v>
      </c>
      <c r="H162" s="1" t="s">
        <v>1475</v>
      </c>
      <c r="I162" t="s">
        <v>1855</v>
      </c>
      <c r="J162" s="1" t="s">
        <v>1456</v>
      </c>
      <c r="K162" s="1" t="s">
        <v>1554</v>
      </c>
      <c r="L162" s="1" t="s">
        <v>1713</v>
      </c>
      <c r="M162" s="1" t="s">
        <v>1737</v>
      </c>
      <c r="N162" t="s">
        <v>1926</v>
      </c>
      <c r="O162" t="s">
        <v>2157</v>
      </c>
      <c r="P162" t="s">
        <v>2157</v>
      </c>
      <c r="Q162">
        <v>23.96</v>
      </c>
      <c r="R162" s="1" t="s">
        <v>1839</v>
      </c>
      <c r="S162">
        <v>10517.12</v>
      </c>
      <c r="T162">
        <v>251990</v>
      </c>
    </row>
    <row r="163" spans="1:20" hidden="1" x14ac:dyDescent="0.4">
      <c r="A163" s="1" t="s">
        <v>103</v>
      </c>
      <c r="B163" s="1" t="s">
        <v>1453</v>
      </c>
      <c r="C163" s="1" t="s">
        <v>1844</v>
      </c>
      <c r="D163" s="1" t="s">
        <v>1846</v>
      </c>
      <c r="E163">
        <v>20251224</v>
      </c>
      <c r="F163" s="1" t="s">
        <v>1468</v>
      </c>
      <c r="G163">
        <v>4</v>
      </c>
      <c r="H163" s="1" t="s">
        <v>1475</v>
      </c>
      <c r="I163" t="s">
        <v>1855</v>
      </c>
      <c r="J163" s="1" t="s">
        <v>1456</v>
      </c>
      <c r="K163" s="1" t="s">
        <v>1561</v>
      </c>
      <c r="L163" s="1" t="s">
        <v>1713</v>
      </c>
      <c r="M163" s="1" t="s">
        <v>1737</v>
      </c>
      <c r="N163" t="s">
        <v>1933</v>
      </c>
      <c r="O163" t="s">
        <v>2157</v>
      </c>
      <c r="P163" t="s">
        <v>2157</v>
      </c>
      <c r="Q163">
        <v>8.2799999999999994</v>
      </c>
      <c r="R163" s="1" t="s">
        <v>1839</v>
      </c>
      <c r="S163">
        <v>10058.459999999999</v>
      </c>
      <c r="T163">
        <v>83284</v>
      </c>
    </row>
    <row r="164" spans="1:20" hidden="1" x14ac:dyDescent="0.4">
      <c r="A164" s="1" t="s">
        <v>104</v>
      </c>
      <c r="B164" s="1" t="s">
        <v>1453</v>
      </c>
      <c r="C164" s="1" t="s">
        <v>1844</v>
      </c>
      <c r="D164" s="1" t="s">
        <v>1846</v>
      </c>
      <c r="E164">
        <v>20251224</v>
      </c>
      <c r="F164" s="1" t="s">
        <v>1468</v>
      </c>
      <c r="G164">
        <v>4</v>
      </c>
      <c r="H164" s="1" t="s">
        <v>1475</v>
      </c>
      <c r="I164" t="s">
        <v>1855</v>
      </c>
      <c r="J164" s="1" t="s">
        <v>1456</v>
      </c>
      <c r="K164" s="1" t="s">
        <v>1557</v>
      </c>
      <c r="L164" s="1" t="s">
        <v>1713</v>
      </c>
      <c r="M164" s="1" t="s">
        <v>1737</v>
      </c>
      <c r="N164" t="s">
        <v>1929</v>
      </c>
      <c r="O164" t="s">
        <v>2157</v>
      </c>
      <c r="P164" t="s">
        <v>2157</v>
      </c>
      <c r="Q164">
        <v>2.7</v>
      </c>
      <c r="R164" s="1" t="s">
        <v>1839</v>
      </c>
      <c r="S164">
        <v>9117.0400000000009</v>
      </c>
      <c r="T164">
        <v>24616</v>
      </c>
    </row>
    <row r="165" spans="1:20" hidden="1" x14ac:dyDescent="0.4">
      <c r="A165" s="1" t="s">
        <v>105</v>
      </c>
      <c r="B165" s="1" t="s">
        <v>1453</v>
      </c>
      <c r="C165" s="1" t="s">
        <v>1844</v>
      </c>
      <c r="D165" s="1" t="s">
        <v>1846</v>
      </c>
      <c r="E165">
        <v>20251224</v>
      </c>
      <c r="F165" s="1" t="s">
        <v>1468</v>
      </c>
      <c r="G165">
        <v>4</v>
      </c>
      <c r="H165" s="1" t="s">
        <v>1475</v>
      </c>
      <c r="I165" t="s">
        <v>1855</v>
      </c>
      <c r="J165" s="1" t="s">
        <v>1456</v>
      </c>
      <c r="K165" s="1" t="s">
        <v>1558</v>
      </c>
      <c r="L165" s="1" t="s">
        <v>1713</v>
      </c>
      <c r="M165" s="1" t="s">
        <v>1737</v>
      </c>
      <c r="N165" t="s">
        <v>1930</v>
      </c>
      <c r="O165" t="s">
        <v>2157</v>
      </c>
      <c r="P165" t="s">
        <v>2157</v>
      </c>
      <c r="Q165">
        <v>14.81</v>
      </c>
      <c r="R165" s="1" t="s">
        <v>1839</v>
      </c>
      <c r="S165">
        <v>9691.09</v>
      </c>
      <c r="T165">
        <v>143525</v>
      </c>
    </row>
    <row r="166" spans="1:20" hidden="1" x14ac:dyDescent="0.4">
      <c r="A166" s="1" t="s">
        <v>106</v>
      </c>
      <c r="B166" s="1" t="s">
        <v>1453</v>
      </c>
      <c r="C166" s="1" t="s">
        <v>1844</v>
      </c>
      <c r="D166" s="1" t="s">
        <v>1846</v>
      </c>
      <c r="E166">
        <v>20251224</v>
      </c>
      <c r="F166" s="1" t="s">
        <v>1468</v>
      </c>
      <c r="G166">
        <v>4</v>
      </c>
      <c r="H166" s="1" t="s">
        <v>1475</v>
      </c>
      <c r="I166" t="s">
        <v>1855</v>
      </c>
      <c r="J166" s="1" t="s">
        <v>1456</v>
      </c>
      <c r="K166" s="1" t="s">
        <v>1574</v>
      </c>
      <c r="L166" s="1" t="s">
        <v>1713</v>
      </c>
      <c r="M166" s="1" t="s">
        <v>1737</v>
      </c>
      <c r="N166" t="s">
        <v>1947</v>
      </c>
      <c r="O166" t="s">
        <v>2157</v>
      </c>
      <c r="P166" t="s">
        <v>2157</v>
      </c>
      <c r="Q166">
        <v>0.56999999999999995</v>
      </c>
      <c r="R166" s="1" t="s">
        <v>1839</v>
      </c>
      <c r="S166">
        <v>12001.5</v>
      </c>
      <c r="T166">
        <v>6840</v>
      </c>
    </row>
    <row r="167" spans="1:20" hidden="1" x14ac:dyDescent="0.4">
      <c r="A167" s="1" t="s">
        <v>106</v>
      </c>
      <c r="B167" s="1" t="s">
        <v>1454</v>
      </c>
      <c r="C167" s="1" t="s">
        <v>1844</v>
      </c>
      <c r="D167" s="1" t="s">
        <v>1846</v>
      </c>
      <c r="E167">
        <v>20251224</v>
      </c>
      <c r="F167" s="1" t="s">
        <v>1468</v>
      </c>
      <c r="G167">
        <v>4</v>
      </c>
      <c r="H167" s="1" t="s">
        <v>1475</v>
      </c>
      <c r="I167" t="s">
        <v>1855</v>
      </c>
      <c r="J167" s="1" t="s">
        <v>1456</v>
      </c>
      <c r="K167" s="1" t="s">
        <v>1574</v>
      </c>
      <c r="L167" s="1" t="s">
        <v>1713</v>
      </c>
      <c r="M167" s="1" t="s">
        <v>1737</v>
      </c>
      <c r="N167" t="s">
        <v>1947</v>
      </c>
      <c r="O167" t="s">
        <v>2157</v>
      </c>
      <c r="P167" t="s">
        <v>2157</v>
      </c>
      <c r="Q167">
        <v>0.56999999999999995</v>
      </c>
      <c r="R167" s="1" t="s">
        <v>1839</v>
      </c>
      <c r="S167">
        <v>12001.5</v>
      </c>
      <c r="T167">
        <v>6840</v>
      </c>
    </row>
    <row r="168" spans="1:20" hidden="1" x14ac:dyDescent="0.4">
      <c r="A168" s="1" t="s">
        <v>106</v>
      </c>
      <c r="B168" s="1" t="s">
        <v>1455</v>
      </c>
      <c r="C168" s="1" t="s">
        <v>1844</v>
      </c>
      <c r="D168" s="1" t="s">
        <v>1846</v>
      </c>
      <c r="E168">
        <v>20251224</v>
      </c>
      <c r="F168" s="1" t="s">
        <v>1468</v>
      </c>
      <c r="G168">
        <v>4</v>
      </c>
      <c r="H168" s="1" t="s">
        <v>1475</v>
      </c>
      <c r="I168" t="s">
        <v>1855</v>
      </c>
      <c r="J168" s="1" t="s">
        <v>1456</v>
      </c>
      <c r="K168" s="1" t="s">
        <v>1574</v>
      </c>
      <c r="L168" s="1" t="s">
        <v>1713</v>
      </c>
      <c r="M168" s="1" t="s">
        <v>1737</v>
      </c>
      <c r="N168" t="s">
        <v>1947</v>
      </c>
      <c r="O168" t="s">
        <v>2157</v>
      </c>
      <c r="P168" t="s">
        <v>2157</v>
      </c>
      <c r="Q168">
        <v>1.44</v>
      </c>
      <c r="R168" s="1" t="s">
        <v>1839</v>
      </c>
      <c r="S168">
        <v>12000.6</v>
      </c>
      <c r="T168">
        <v>17280</v>
      </c>
    </row>
    <row r="169" spans="1:20" hidden="1" x14ac:dyDescent="0.4">
      <c r="A169" s="1" t="s">
        <v>107</v>
      </c>
      <c r="B169" s="1" t="s">
        <v>1453</v>
      </c>
      <c r="C169" s="1" t="s">
        <v>1844</v>
      </c>
      <c r="D169" s="1" t="s">
        <v>1846</v>
      </c>
      <c r="E169">
        <v>20251224</v>
      </c>
      <c r="F169" s="1" t="s">
        <v>1468</v>
      </c>
      <c r="G169">
        <v>4</v>
      </c>
      <c r="H169" s="1" t="s">
        <v>1475</v>
      </c>
      <c r="I169" t="s">
        <v>1855</v>
      </c>
      <c r="J169" s="1" t="s">
        <v>1456</v>
      </c>
      <c r="K169" s="1" t="s">
        <v>1566</v>
      </c>
      <c r="L169" s="1" t="s">
        <v>1713</v>
      </c>
      <c r="M169" s="1" t="s">
        <v>1737</v>
      </c>
      <c r="N169" t="s">
        <v>1938</v>
      </c>
      <c r="O169" t="s">
        <v>2157</v>
      </c>
      <c r="P169" t="s">
        <v>2157</v>
      </c>
      <c r="Q169">
        <v>256</v>
      </c>
      <c r="R169" s="1" t="s">
        <v>1718</v>
      </c>
      <c r="S169">
        <v>6107</v>
      </c>
      <c r="T169">
        <v>1563392</v>
      </c>
    </row>
    <row r="170" spans="1:20" hidden="1" x14ac:dyDescent="0.4">
      <c r="A170" s="1" t="s">
        <v>108</v>
      </c>
      <c r="B170" s="1" t="s">
        <v>1453</v>
      </c>
      <c r="C170" s="1" t="s">
        <v>1844</v>
      </c>
      <c r="D170" s="1" t="s">
        <v>1846</v>
      </c>
      <c r="E170">
        <v>20251224</v>
      </c>
      <c r="F170" s="1" t="s">
        <v>1468</v>
      </c>
      <c r="G170">
        <v>4</v>
      </c>
      <c r="H170" s="1" t="s">
        <v>1475</v>
      </c>
      <c r="I170" t="s">
        <v>1855</v>
      </c>
      <c r="J170" s="1" t="s">
        <v>1456</v>
      </c>
      <c r="K170" s="1" t="s">
        <v>1578</v>
      </c>
      <c r="L170" s="1" t="s">
        <v>1713</v>
      </c>
      <c r="M170" s="1" t="s">
        <v>1748</v>
      </c>
      <c r="N170" t="s">
        <v>1951</v>
      </c>
      <c r="O170" t="s">
        <v>2159</v>
      </c>
      <c r="P170" t="s">
        <v>3049</v>
      </c>
      <c r="Q170">
        <v>2.0299999999999998</v>
      </c>
      <c r="R170" s="1" t="s">
        <v>1839</v>
      </c>
      <c r="S170">
        <v>2096</v>
      </c>
      <c r="T170">
        <v>4254</v>
      </c>
    </row>
    <row r="171" spans="1:20" hidden="1" x14ac:dyDescent="0.4">
      <c r="A171" s="1" t="s">
        <v>109</v>
      </c>
      <c r="B171" s="1" t="s">
        <v>1453</v>
      </c>
      <c r="C171" s="1" t="s">
        <v>1844</v>
      </c>
      <c r="D171" s="1" t="s">
        <v>1847</v>
      </c>
      <c r="E171">
        <v>20251224</v>
      </c>
      <c r="F171" s="1" t="s">
        <v>1468</v>
      </c>
      <c r="G171">
        <v>4</v>
      </c>
      <c r="H171" s="1" t="s">
        <v>1475</v>
      </c>
      <c r="I171" t="s">
        <v>1855</v>
      </c>
      <c r="J171" s="1" t="s">
        <v>1456</v>
      </c>
      <c r="K171" s="1" t="s">
        <v>1578</v>
      </c>
      <c r="L171" s="1" t="s">
        <v>1713</v>
      </c>
      <c r="M171" s="1" t="s">
        <v>1748</v>
      </c>
      <c r="N171" t="s">
        <v>1951</v>
      </c>
      <c r="O171" t="s">
        <v>2159</v>
      </c>
      <c r="P171" t="s">
        <v>3049</v>
      </c>
      <c r="Q171">
        <v>-2.0299999999999998</v>
      </c>
      <c r="R171" s="1" t="s">
        <v>1839</v>
      </c>
      <c r="S171">
        <v>2096</v>
      </c>
      <c r="T171">
        <v>-4254</v>
      </c>
    </row>
    <row r="172" spans="1:20" hidden="1" x14ac:dyDescent="0.4">
      <c r="A172" s="1" t="s">
        <v>110</v>
      </c>
      <c r="B172" s="1" t="s">
        <v>1453</v>
      </c>
      <c r="C172" s="1" t="s">
        <v>1844</v>
      </c>
      <c r="D172" s="1" t="s">
        <v>1846</v>
      </c>
      <c r="E172">
        <v>20251224</v>
      </c>
      <c r="F172" s="1" t="s">
        <v>1468</v>
      </c>
      <c r="G172">
        <v>4</v>
      </c>
      <c r="H172" s="1" t="s">
        <v>1475</v>
      </c>
      <c r="I172" t="s">
        <v>1855</v>
      </c>
      <c r="J172" s="1" t="s">
        <v>1456</v>
      </c>
      <c r="K172" s="1" t="s">
        <v>1578</v>
      </c>
      <c r="L172" s="1" t="s">
        <v>1713</v>
      </c>
      <c r="M172" s="1" t="s">
        <v>1748</v>
      </c>
      <c r="N172" t="s">
        <v>1951</v>
      </c>
      <c r="O172" t="s">
        <v>2160</v>
      </c>
      <c r="P172" t="s">
        <v>3049</v>
      </c>
      <c r="Q172">
        <v>2.0299999999999998</v>
      </c>
      <c r="R172" s="1" t="s">
        <v>1839</v>
      </c>
      <c r="S172">
        <v>2096</v>
      </c>
      <c r="T172">
        <v>4254</v>
      </c>
    </row>
    <row r="173" spans="1:20" hidden="1" x14ac:dyDescent="0.4">
      <c r="A173" s="1" t="s">
        <v>111</v>
      </c>
      <c r="B173" s="1" t="s">
        <v>1453</v>
      </c>
      <c r="C173" s="1" t="s">
        <v>1844</v>
      </c>
      <c r="D173" s="1" t="s">
        <v>1846</v>
      </c>
      <c r="E173">
        <v>20251225</v>
      </c>
      <c r="F173" s="1" t="s">
        <v>1468</v>
      </c>
      <c r="G173">
        <v>4</v>
      </c>
      <c r="H173" s="1" t="s">
        <v>1475</v>
      </c>
      <c r="I173" t="s">
        <v>1855</v>
      </c>
      <c r="J173" s="1" t="s">
        <v>1456</v>
      </c>
      <c r="K173" s="1" t="s">
        <v>1553</v>
      </c>
      <c r="L173" s="1" t="s">
        <v>1713</v>
      </c>
      <c r="M173" s="1" t="s">
        <v>1736</v>
      </c>
      <c r="N173" t="s">
        <v>1925</v>
      </c>
      <c r="O173" t="s">
        <v>2157</v>
      </c>
      <c r="P173" t="s">
        <v>3038</v>
      </c>
      <c r="Q173">
        <v>1.04</v>
      </c>
      <c r="R173" s="1" t="s">
        <v>1839</v>
      </c>
      <c r="S173">
        <v>5498.08</v>
      </c>
      <c r="T173">
        <v>5718</v>
      </c>
    </row>
    <row r="174" spans="1:20" hidden="1" x14ac:dyDescent="0.4">
      <c r="A174" s="1" t="s">
        <v>111</v>
      </c>
      <c r="B174" s="1" t="s">
        <v>1454</v>
      </c>
      <c r="C174" s="1" t="s">
        <v>1844</v>
      </c>
      <c r="D174" s="1" t="s">
        <v>1846</v>
      </c>
      <c r="E174">
        <v>20251225</v>
      </c>
      <c r="F174" s="1" t="s">
        <v>1468</v>
      </c>
      <c r="G174">
        <v>4</v>
      </c>
      <c r="H174" s="1" t="s">
        <v>1475</v>
      </c>
      <c r="I174" t="s">
        <v>1855</v>
      </c>
      <c r="J174" s="1" t="s">
        <v>1456</v>
      </c>
      <c r="K174" s="1" t="s">
        <v>1553</v>
      </c>
      <c r="L174" s="1" t="s">
        <v>1713</v>
      </c>
      <c r="M174" s="1" t="s">
        <v>1740</v>
      </c>
      <c r="N174" t="s">
        <v>1925</v>
      </c>
      <c r="O174" t="s">
        <v>2157</v>
      </c>
      <c r="P174" t="s">
        <v>3041</v>
      </c>
      <c r="Q174">
        <v>2</v>
      </c>
      <c r="R174" s="1" t="s">
        <v>1718</v>
      </c>
      <c r="S174">
        <v>6520</v>
      </c>
      <c r="T174">
        <v>13040</v>
      </c>
    </row>
    <row r="175" spans="1:20" hidden="1" x14ac:dyDescent="0.4">
      <c r="A175" s="1" t="s">
        <v>111</v>
      </c>
      <c r="B175" s="1" t="s">
        <v>1455</v>
      </c>
      <c r="C175" s="1" t="s">
        <v>1844</v>
      </c>
      <c r="D175" s="1" t="s">
        <v>1846</v>
      </c>
      <c r="E175">
        <v>20251225</v>
      </c>
      <c r="F175" s="1" t="s">
        <v>1468</v>
      </c>
      <c r="G175">
        <v>4</v>
      </c>
      <c r="H175" s="1" t="s">
        <v>1475</v>
      </c>
      <c r="I175" t="s">
        <v>1855</v>
      </c>
      <c r="J175" s="1" t="s">
        <v>1456</v>
      </c>
      <c r="K175" s="1" t="s">
        <v>1554</v>
      </c>
      <c r="L175" s="1" t="s">
        <v>1713</v>
      </c>
      <c r="M175" s="1" t="s">
        <v>1737</v>
      </c>
      <c r="N175" t="s">
        <v>1926</v>
      </c>
      <c r="O175" t="s">
        <v>2157</v>
      </c>
      <c r="P175" t="s">
        <v>2157</v>
      </c>
      <c r="Q175">
        <v>2.7</v>
      </c>
      <c r="R175" s="1" t="s">
        <v>1839</v>
      </c>
      <c r="S175">
        <v>10497.04</v>
      </c>
      <c r="T175">
        <v>28342</v>
      </c>
    </row>
    <row r="176" spans="1:20" hidden="1" x14ac:dyDescent="0.4">
      <c r="A176" s="1" t="s">
        <v>112</v>
      </c>
      <c r="B176" s="1" t="s">
        <v>1453</v>
      </c>
      <c r="C176" s="1" t="s">
        <v>1844</v>
      </c>
      <c r="D176" s="1" t="s">
        <v>1846</v>
      </c>
      <c r="E176">
        <v>20251225</v>
      </c>
      <c r="F176" s="1" t="s">
        <v>1468</v>
      </c>
      <c r="G176">
        <v>4</v>
      </c>
      <c r="H176" s="1" t="s">
        <v>1475</v>
      </c>
      <c r="I176" t="s">
        <v>1855</v>
      </c>
      <c r="J176" s="1" t="s">
        <v>1456</v>
      </c>
      <c r="K176" s="1" t="s">
        <v>1561</v>
      </c>
      <c r="L176" s="1" t="s">
        <v>1713</v>
      </c>
      <c r="M176" s="1" t="s">
        <v>1737</v>
      </c>
      <c r="N176" t="s">
        <v>1933</v>
      </c>
      <c r="O176" t="s">
        <v>2157</v>
      </c>
      <c r="P176" t="s">
        <v>2157</v>
      </c>
      <c r="Q176">
        <v>4.0199999999999996</v>
      </c>
      <c r="R176" s="1" t="s">
        <v>1839</v>
      </c>
      <c r="S176">
        <v>10019.91</v>
      </c>
      <c r="T176">
        <v>40280</v>
      </c>
    </row>
    <row r="177" spans="1:20" hidden="1" x14ac:dyDescent="0.4">
      <c r="A177" s="1" t="s">
        <v>113</v>
      </c>
      <c r="B177" s="1" t="s">
        <v>1453</v>
      </c>
      <c r="C177" s="1" t="s">
        <v>1844</v>
      </c>
      <c r="D177" s="1" t="s">
        <v>1846</v>
      </c>
      <c r="E177">
        <v>20251225</v>
      </c>
      <c r="F177" s="1" t="s">
        <v>1468</v>
      </c>
      <c r="G177">
        <v>4</v>
      </c>
      <c r="H177" s="1" t="s">
        <v>1475</v>
      </c>
      <c r="I177" t="s">
        <v>1855</v>
      </c>
      <c r="J177" s="1" t="s">
        <v>1456</v>
      </c>
      <c r="K177" s="1" t="s">
        <v>1558</v>
      </c>
      <c r="L177" s="1" t="s">
        <v>1713</v>
      </c>
      <c r="M177" s="1" t="s">
        <v>1737</v>
      </c>
      <c r="N177" t="s">
        <v>1930</v>
      </c>
      <c r="O177" t="s">
        <v>2157</v>
      </c>
      <c r="P177" t="s">
        <v>2157</v>
      </c>
      <c r="Q177">
        <v>13.5</v>
      </c>
      <c r="R177" s="1" t="s">
        <v>1839</v>
      </c>
      <c r="S177">
        <v>9413.6299999999992</v>
      </c>
      <c r="T177">
        <v>127084</v>
      </c>
    </row>
    <row r="178" spans="1:20" hidden="1" x14ac:dyDescent="0.4">
      <c r="A178" s="1" t="s">
        <v>114</v>
      </c>
      <c r="B178" s="1" t="s">
        <v>1453</v>
      </c>
      <c r="C178" s="1" t="s">
        <v>1844</v>
      </c>
      <c r="D178" s="1" t="s">
        <v>1846</v>
      </c>
      <c r="E178">
        <v>20251225</v>
      </c>
      <c r="F178" s="1" t="s">
        <v>1468</v>
      </c>
      <c r="G178">
        <v>4</v>
      </c>
      <c r="H178" s="1" t="s">
        <v>1475</v>
      </c>
      <c r="I178" t="s">
        <v>1855</v>
      </c>
      <c r="J178" s="1" t="s">
        <v>1456</v>
      </c>
      <c r="K178" s="1" t="s">
        <v>1571</v>
      </c>
      <c r="L178" s="1" t="s">
        <v>1713</v>
      </c>
      <c r="M178" s="1" t="s">
        <v>1741</v>
      </c>
      <c r="N178" t="s">
        <v>1944</v>
      </c>
      <c r="O178" t="s">
        <v>2157</v>
      </c>
      <c r="P178" t="s">
        <v>3042</v>
      </c>
      <c r="Q178">
        <v>200</v>
      </c>
      <c r="R178" s="1" t="s">
        <v>1718</v>
      </c>
      <c r="S178">
        <v>2226</v>
      </c>
      <c r="T178">
        <v>445200</v>
      </c>
    </row>
    <row r="179" spans="1:20" hidden="1" x14ac:dyDescent="0.4">
      <c r="A179" s="1" t="s">
        <v>114</v>
      </c>
      <c r="B179" s="1" t="s">
        <v>1454</v>
      </c>
      <c r="C179" s="1" t="s">
        <v>1844</v>
      </c>
      <c r="D179" s="1" t="s">
        <v>1846</v>
      </c>
      <c r="E179">
        <v>20251225</v>
      </c>
      <c r="F179" s="1" t="s">
        <v>1468</v>
      </c>
      <c r="G179">
        <v>4</v>
      </c>
      <c r="H179" s="1" t="s">
        <v>1475</v>
      </c>
      <c r="I179" t="s">
        <v>1855</v>
      </c>
      <c r="J179" s="1" t="s">
        <v>1456</v>
      </c>
      <c r="K179" s="1" t="s">
        <v>1570</v>
      </c>
      <c r="L179" s="1" t="s">
        <v>1713</v>
      </c>
      <c r="M179" s="1" t="s">
        <v>1742</v>
      </c>
      <c r="N179" t="s">
        <v>1943</v>
      </c>
      <c r="O179" t="s">
        <v>2157</v>
      </c>
      <c r="P179" t="s">
        <v>3043</v>
      </c>
      <c r="Q179">
        <v>4</v>
      </c>
      <c r="R179" s="1" t="s">
        <v>1718</v>
      </c>
      <c r="S179">
        <v>11036</v>
      </c>
      <c r="T179">
        <v>44144</v>
      </c>
    </row>
    <row r="180" spans="1:20" hidden="1" x14ac:dyDescent="0.4">
      <c r="A180" s="1" t="s">
        <v>115</v>
      </c>
      <c r="B180" s="1" t="s">
        <v>1453</v>
      </c>
      <c r="C180" s="1" t="s">
        <v>1844</v>
      </c>
      <c r="D180" s="1" t="s">
        <v>1846</v>
      </c>
      <c r="E180">
        <v>20251225</v>
      </c>
      <c r="F180" s="1" t="s">
        <v>1468</v>
      </c>
      <c r="G180">
        <v>4</v>
      </c>
      <c r="H180" s="1" t="s">
        <v>1475</v>
      </c>
      <c r="I180" t="s">
        <v>1855</v>
      </c>
      <c r="J180" s="1" t="s">
        <v>1456</v>
      </c>
      <c r="K180" s="1" t="s">
        <v>1573</v>
      </c>
      <c r="L180" s="1" t="s">
        <v>1713</v>
      </c>
      <c r="M180" s="1" t="s">
        <v>1741</v>
      </c>
      <c r="N180" t="s">
        <v>1946</v>
      </c>
      <c r="O180" t="s">
        <v>2157</v>
      </c>
      <c r="P180" t="s">
        <v>3042</v>
      </c>
      <c r="Q180">
        <v>84</v>
      </c>
      <c r="R180" s="1" t="s">
        <v>1718</v>
      </c>
      <c r="S180">
        <v>16251</v>
      </c>
      <c r="T180">
        <v>1365084</v>
      </c>
    </row>
    <row r="181" spans="1:20" hidden="1" x14ac:dyDescent="0.4">
      <c r="A181" s="1" t="s">
        <v>116</v>
      </c>
      <c r="B181" s="1" t="s">
        <v>1453</v>
      </c>
      <c r="C181" s="1" t="s">
        <v>1844</v>
      </c>
      <c r="D181" s="1" t="s">
        <v>1846</v>
      </c>
      <c r="E181">
        <v>20251225</v>
      </c>
      <c r="F181" s="1" t="s">
        <v>1468</v>
      </c>
      <c r="G181">
        <v>4</v>
      </c>
      <c r="H181" s="1" t="s">
        <v>1475</v>
      </c>
      <c r="I181" t="s">
        <v>1855</v>
      </c>
      <c r="J181" s="1" t="s">
        <v>1456</v>
      </c>
      <c r="K181" s="1" t="s">
        <v>1562</v>
      </c>
      <c r="L181" s="1" t="s">
        <v>1713</v>
      </c>
      <c r="M181" s="1" t="s">
        <v>1735</v>
      </c>
      <c r="N181" t="s">
        <v>1939</v>
      </c>
      <c r="O181" t="s">
        <v>2157</v>
      </c>
      <c r="P181" t="s">
        <v>3037</v>
      </c>
      <c r="Q181">
        <v>100</v>
      </c>
      <c r="R181" s="1" t="s">
        <v>1718</v>
      </c>
      <c r="S181">
        <v>5504</v>
      </c>
      <c r="T181">
        <v>550400</v>
      </c>
    </row>
    <row r="182" spans="1:20" hidden="1" x14ac:dyDescent="0.4">
      <c r="A182" s="1" t="s">
        <v>116</v>
      </c>
      <c r="B182" s="1" t="s">
        <v>1454</v>
      </c>
      <c r="C182" s="1" t="s">
        <v>1844</v>
      </c>
      <c r="D182" s="1" t="s">
        <v>1846</v>
      </c>
      <c r="E182">
        <v>20251225</v>
      </c>
      <c r="F182" s="1" t="s">
        <v>1468</v>
      </c>
      <c r="G182">
        <v>4</v>
      </c>
      <c r="H182" s="1" t="s">
        <v>1475</v>
      </c>
      <c r="I182" t="s">
        <v>1855</v>
      </c>
      <c r="J182" s="1" t="s">
        <v>1456</v>
      </c>
      <c r="K182" s="1" t="s">
        <v>1573</v>
      </c>
      <c r="L182" s="1" t="s">
        <v>1713</v>
      </c>
      <c r="M182" s="1" t="s">
        <v>1741</v>
      </c>
      <c r="N182" t="s">
        <v>1946</v>
      </c>
      <c r="O182" t="s">
        <v>2157</v>
      </c>
      <c r="P182" t="s">
        <v>3042</v>
      </c>
      <c r="Q182">
        <v>90</v>
      </c>
      <c r="R182" s="1" t="s">
        <v>1718</v>
      </c>
      <c r="S182">
        <v>8168</v>
      </c>
      <c r="T182">
        <v>735120</v>
      </c>
    </row>
    <row r="183" spans="1:20" hidden="1" x14ac:dyDescent="0.4">
      <c r="A183" s="1" t="s">
        <v>117</v>
      </c>
      <c r="B183" s="1" t="s">
        <v>1453</v>
      </c>
      <c r="C183" s="1" t="s">
        <v>1844</v>
      </c>
      <c r="D183" s="1" t="s">
        <v>1846</v>
      </c>
      <c r="E183">
        <v>20251225</v>
      </c>
      <c r="F183" s="1" t="s">
        <v>1468</v>
      </c>
      <c r="G183">
        <v>4</v>
      </c>
      <c r="H183" s="1" t="s">
        <v>1475</v>
      </c>
      <c r="I183" t="s">
        <v>1855</v>
      </c>
      <c r="J183" s="1" t="s">
        <v>1456</v>
      </c>
      <c r="K183" s="1" t="s">
        <v>1570</v>
      </c>
      <c r="L183" s="1" t="s">
        <v>1713</v>
      </c>
      <c r="M183" s="1" t="s">
        <v>1741</v>
      </c>
      <c r="N183" t="s">
        <v>1943</v>
      </c>
      <c r="O183" t="s">
        <v>2157</v>
      </c>
      <c r="P183" t="s">
        <v>3042</v>
      </c>
      <c r="Q183">
        <v>25</v>
      </c>
      <c r="R183" s="1" t="s">
        <v>1718</v>
      </c>
      <c r="S183">
        <v>5450</v>
      </c>
      <c r="T183">
        <v>136250</v>
      </c>
    </row>
    <row r="184" spans="1:20" hidden="1" x14ac:dyDescent="0.4">
      <c r="A184" s="1" t="s">
        <v>118</v>
      </c>
      <c r="B184" s="1" t="s">
        <v>1453</v>
      </c>
      <c r="C184" s="1" t="s">
        <v>1845</v>
      </c>
      <c r="D184" s="1" t="s">
        <v>1731</v>
      </c>
      <c r="E184">
        <v>20251203</v>
      </c>
      <c r="F184" s="1" t="s">
        <v>1468</v>
      </c>
      <c r="G184">
        <v>1</v>
      </c>
      <c r="H184" s="1" t="s">
        <v>1475</v>
      </c>
      <c r="I184" t="s">
        <v>1855</v>
      </c>
      <c r="J184" s="1" t="s">
        <v>1459</v>
      </c>
      <c r="K184" s="1" t="s">
        <v>1579</v>
      </c>
      <c r="L184" s="1" t="s">
        <v>1715</v>
      </c>
      <c r="M184" s="1" t="s">
        <v>1749</v>
      </c>
      <c r="N184" t="s">
        <v>1952</v>
      </c>
      <c r="O184" t="s">
        <v>2161</v>
      </c>
      <c r="P184" t="s">
        <v>3050</v>
      </c>
      <c r="Q184">
        <v>508</v>
      </c>
      <c r="R184" s="1" t="s">
        <v>1463</v>
      </c>
      <c r="S184">
        <v>833</v>
      </c>
      <c r="T184">
        <v>423164</v>
      </c>
    </row>
    <row r="185" spans="1:20" hidden="1" x14ac:dyDescent="0.4">
      <c r="A185" s="1" t="s">
        <v>118</v>
      </c>
      <c r="B185" s="1" t="s">
        <v>1454</v>
      </c>
      <c r="C185" s="1" t="s">
        <v>1845</v>
      </c>
      <c r="D185" s="1" t="s">
        <v>1731</v>
      </c>
      <c r="E185">
        <v>20251203</v>
      </c>
      <c r="F185" s="1" t="s">
        <v>1468</v>
      </c>
      <c r="G185">
        <v>1</v>
      </c>
      <c r="H185" s="1" t="s">
        <v>1475</v>
      </c>
      <c r="I185" t="s">
        <v>1855</v>
      </c>
      <c r="J185" s="1" t="s">
        <v>1459</v>
      </c>
      <c r="K185" s="1" t="s">
        <v>1579</v>
      </c>
      <c r="L185" s="1" t="s">
        <v>1715</v>
      </c>
      <c r="M185" s="1" t="s">
        <v>1749</v>
      </c>
      <c r="N185" t="s">
        <v>1953</v>
      </c>
      <c r="O185" t="s">
        <v>2161</v>
      </c>
      <c r="P185" t="s">
        <v>3051</v>
      </c>
      <c r="Q185">
        <v>1417</v>
      </c>
      <c r="R185" s="1" t="s">
        <v>1463</v>
      </c>
      <c r="S185">
        <v>833</v>
      </c>
      <c r="T185">
        <v>1180361</v>
      </c>
    </row>
    <row r="186" spans="1:20" hidden="1" x14ac:dyDescent="0.4">
      <c r="A186" s="1" t="s">
        <v>118</v>
      </c>
      <c r="B186" s="1" t="s">
        <v>1455</v>
      </c>
      <c r="C186" s="1" t="s">
        <v>1845</v>
      </c>
      <c r="D186" s="1" t="s">
        <v>1731</v>
      </c>
      <c r="E186">
        <v>20251203</v>
      </c>
      <c r="F186" s="1" t="s">
        <v>1468</v>
      </c>
      <c r="G186">
        <v>1</v>
      </c>
      <c r="H186" s="1" t="s">
        <v>1475</v>
      </c>
      <c r="I186" t="s">
        <v>1855</v>
      </c>
      <c r="J186" s="1" t="s">
        <v>1459</v>
      </c>
      <c r="K186" s="1" t="s">
        <v>1579</v>
      </c>
      <c r="L186" s="1" t="s">
        <v>1715</v>
      </c>
      <c r="M186" s="1" t="s">
        <v>1749</v>
      </c>
      <c r="N186" t="s">
        <v>1953</v>
      </c>
      <c r="O186" t="s">
        <v>2161</v>
      </c>
      <c r="P186" t="s">
        <v>3052</v>
      </c>
      <c r="Q186">
        <v>372</v>
      </c>
      <c r="R186" s="1" t="s">
        <v>1463</v>
      </c>
      <c r="S186">
        <v>833</v>
      </c>
      <c r="T186">
        <v>309876</v>
      </c>
    </row>
    <row r="187" spans="1:20" hidden="1" x14ac:dyDescent="0.4">
      <c r="A187" s="1" t="s">
        <v>118</v>
      </c>
      <c r="B187" s="1" t="s">
        <v>1456</v>
      </c>
      <c r="C187" s="1" t="s">
        <v>1845</v>
      </c>
      <c r="D187" s="1" t="s">
        <v>1731</v>
      </c>
      <c r="E187">
        <v>20251203</v>
      </c>
      <c r="F187" s="1" t="s">
        <v>1468</v>
      </c>
      <c r="G187">
        <v>1</v>
      </c>
      <c r="H187" s="1" t="s">
        <v>1475</v>
      </c>
      <c r="I187" t="s">
        <v>1855</v>
      </c>
      <c r="J187" s="1" t="s">
        <v>1459</v>
      </c>
      <c r="K187" s="1" t="s">
        <v>1579</v>
      </c>
      <c r="L187" s="1" t="s">
        <v>1715</v>
      </c>
      <c r="M187" s="1" t="s">
        <v>1749</v>
      </c>
      <c r="N187" t="s">
        <v>1953</v>
      </c>
      <c r="O187" t="s">
        <v>2161</v>
      </c>
      <c r="P187" t="s">
        <v>3053</v>
      </c>
      <c r="Q187">
        <v>2033</v>
      </c>
      <c r="R187" s="1" t="s">
        <v>1463</v>
      </c>
      <c r="S187">
        <v>833</v>
      </c>
      <c r="T187">
        <v>1693489</v>
      </c>
    </row>
    <row r="188" spans="1:20" hidden="1" x14ac:dyDescent="0.4">
      <c r="A188" s="1" t="s">
        <v>119</v>
      </c>
      <c r="B188" s="1" t="s">
        <v>1453</v>
      </c>
      <c r="C188" s="1" t="s">
        <v>1845</v>
      </c>
      <c r="D188" s="1" t="s">
        <v>1731</v>
      </c>
      <c r="E188">
        <v>20251208</v>
      </c>
      <c r="F188" s="1" t="s">
        <v>1468</v>
      </c>
      <c r="G188">
        <v>1</v>
      </c>
      <c r="H188" s="1" t="s">
        <v>1475</v>
      </c>
      <c r="I188" t="s">
        <v>1855</v>
      </c>
      <c r="J188" s="1" t="s">
        <v>1456</v>
      </c>
      <c r="K188" s="1" t="s">
        <v>1561</v>
      </c>
      <c r="L188" s="1" t="s">
        <v>1716</v>
      </c>
      <c r="M188" s="1" t="s">
        <v>1749</v>
      </c>
      <c r="N188" t="s">
        <v>1954</v>
      </c>
      <c r="O188" t="s">
        <v>2162</v>
      </c>
      <c r="P188" t="s">
        <v>3054</v>
      </c>
      <c r="Q188">
        <v>723.2</v>
      </c>
      <c r="R188" s="1" t="s">
        <v>1463</v>
      </c>
      <c r="S188">
        <v>1516.99</v>
      </c>
      <c r="T188">
        <v>1097094</v>
      </c>
    </row>
    <row r="189" spans="1:20" hidden="1" x14ac:dyDescent="0.4">
      <c r="A189" s="1" t="s">
        <v>119</v>
      </c>
      <c r="B189" s="1" t="s">
        <v>1454</v>
      </c>
      <c r="C189" s="1" t="s">
        <v>1845</v>
      </c>
      <c r="D189" s="1" t="s">
        <v>1731</v>
      </c>
      <c r="E189">
        <v>20251208</v>
      </c>
      <c r="F189" s="1" t="s">
        <v>1468</v>
      </c>
      <c r="G189">
        <v>1</v>
      </c>
      <c r="H189" s="1" t="s">
        <v>1475</v>
      </c>
      <c r="I189" t="s">
        <v>1855</v>
      </c>
      <c r="J189" s="1" t="s">
        <v>1456</v>
      </c>
      <c r="K189" s="1" t="s">
        <v>1561</v>
      </c>
      <c r="L189" s="1" t="s">
        <v>1716</v>
      </c>
      <c r="M189" s="1" t="s">
        <v>1749</v>
      </c>
      <c r="N189" t="s">
        <v>1954</v>
      </c>
      <c r="O189" t="s">
        <v>2162</v>
      </c>
      <c r="P189" t="s">
        <v>3055</v>
      </c>
      <c r="Q189">
        <v>522.70000000000005</v>
      </c>
      <c r="R189" s="1" t="s">
        <v>1463</v>
      </c>
      <c r="S189">
        <v>1516.99</v>
      </c>
      <c r="T189">
        <v>792935</v>
      </c>
    </row>
    <row r="190" spans="1:20" hidden="1" x14ac:dyDescent="0.4">
      <c r="A190" s="1" t="s">
        <v>119</v>
      </c>
      <c r="B190" s="1" t="s">
        <v>1455</v>
      </c>
      <c r="C190" s="1" t="s">
        <v>1845</v>
      </c>
      <c r="D190" s="1" t="s">
        <v>1731</v>
      </c>
      <c r="E190">
        <v>20251208</v>
      </c>
      <c r="F190" s="1" t="s">
        <v>1468</v>
      </c>
      <c r="G190">
        <v>1</v>
      </c>
      <c r="H190" s="1" t="s">
        <v>1475</v>
      </c>
      <c r="I190" t="s">
        <v>1855</v>
      </c>
      <c r="J190" s="1" t="s">
        <v>1456</v>
      </c>
      <c r="K190" s="1" t="s">
        <v>1561</v>
      </c>
      <c r="L190" s="1" t="s">
        <v>1716</v>
      </c>
      <c r="M190" s="1" t="s">
        <v>1749</v>
      </c>
      <c r="N190" t="s">
        <v>1954</v>
      </c>
      <c r="O190" t="s">
        <v>2162</v>
      </c>
      <c r="P190" t="s">
        <v>3056</v>
      </c>
      <c r="Q190">
        <v>523.79999999999995</v>
      </c>
      <c r="R190" s="1" t="s">
        <v>1463</v>
      </c>
      <c r="S190">
        <v>1516.99</v>
      </c>
      <c r="T190">
        <v>794604</v>
      </c>
    </row>
    <row r="191" spans="1:20" hidden="1" x14ac:dyDescent="0.4">
      <c r="A191" s="1" t="s">
        <v>119</v>
      </c>
      <c r="B191" s="1" t="s">
        <v>1456</v>
      </c>
      <c r="C191" s="1" t="s">
        <v>1845</v>
      </c>
      <c r="D191" s="1" t="s">
        <v>1731</v>
      </c>
      <c r="E191">
        <v>20251208</v>
      </c>
      <c r="F191" s="1" t="s">
        <v>1468</v>
      </c>
      <c r="G191">
        <v>1</v>
      </c>
      <c r="H191" s="1" t="s">
        <v>1475</v>
      </c>
      <c r="I191" t="s">
        <v>1855</v>
      </c>
      <c r="J191" s="1" t="s">
        <v>1456</v>
      </c>
      <c r="K191" s="1" t="s">
        <v>1561</v>
      </c>
      <c r="L191" s="1" t="s">
        <v>1716</v>
      </c>
      <c r="M191" s="1" t="s">
        <v>1749</v>
      </c>
      <c r="N191" t="s">
        <v>1954</v>
      </c>
      <c r="O191" t="s">
        <v>2162</v>
      </c>
      <c r="P191" t="s">
        <v>3057</v>
      </c>
      <c r="Q191">
        <v>308.39999999999998</v>
      </c>
      <c r="R191" s="1" t="s">
        <v>1463</v>
      </c>
      <c r="S191">
        <v>1516.99</v>
      </c>
      <c r="T191">
        <v>467842</v>
      </c>
    </row>
    <row r="192" spans="1:20" hidden="1" x14ac:dyDescent="0.4">
      <c r="A192" s="1" t="s">
        <v>119</v>
      </c>
      <c r="B192" s="1" t="s">
        <v>1457</v>
      </c>
      <c r="C192" s="1" t="s">
        <v>1845</v>
      </c>
      <c r="D192" s="1" t="s">
        <v>1731</v>
      </c>
      <c r="E192">
        <v>20251208</v>
      </c>
      <c r="F192" s="1" t="s">
        <v>1468</v>
      </c>
      <c r="G192">
        <v>1</v>
      </c>
      <c r="H192" s="1" t="s">
        <v>1475</v>
      </c>
      <c r="I192" t="s">
        <v>1855</v>
      </c>
      <c r="J192" s="1" t="s">
        <v>1456</v>
      </c>
      <c r="K192" s="1" t="s">
        <v>1580</v>
      </c>
      <c r="L192" s="1" t="s">
        <v>1716</v>
      </c>
      <c r="M192" s="1" t="s">
        <v>1749</v>
      </c>
      <c r="N192" t="s">
        <v>1955</v>
      </c>
      <c r="O192" t="s">
        <v>2162</v>
      </c>
      <c r="P192" t="s">
        <v>3058</v>
      </c>
      <c r="Q192">
        <v>308.89999999999998</v>
      </c>
      <c r="R192" s="1" t="s">
        <v>1463</v>
      </c>
      <c r="S192">
        <v>1516.99</v>
      </c>
      <c r="T192">
        <v>468601</v>
      </c>
    </row>
    <row r="193" spans="1:20" hidden="1" x14ac:dyDescent="0.4">
      <c r="A193" s="1" t="s">
        <v>119</v>
      </c>
      <c r="B193" s="1" t="s">
        <v>1458</v>
      </c>
      <c r="C193" s="1" t="s">
        <v>1845</v>
      </c>
      <c r="D193" s="1" t="s">
        <v>1731</v>
      </c>
      <c r="E193">
        <v>20251208</v>
      </c>
      <c r="F193" s="1" t="s">
        <v>1468</v>
      </c>
      <c r="G193">
        <v>1</v>
      </c>
      <c r="H193" s="1" t="s">
        <v>1475</v>
      </c>
      <c r="I193" t="s">
        <v>1855</v>
      </c>
      <c r="J193" s="1" t="s">
        <v>1456</v>
      </c>
      <c r="K193" s="1" t="s">
        <v>1580</v>
      </c>
      <c r="L193" s="1" t="s">
        <v>1716</v>
      </c>
      <c r="M193" s="1" t="s">
        <v>1749</v>
      </c>
      <c r="N193" t="s">
        <v>1955</v>
      </c>
      <c r="O193" t="s">
        <v>2162</v>
      </c>
      <c r="P193" t="s">
        <v>3059</v>
      </c>
      <c r="Q193">
        <v>519</v>
      </c>
      <c r="R193" s="1" t="s">
        <v>1463</v>
      </c>
      <c r="S193">
        <v>1517</v>
      </c>
      <c r="T193">
        <v>787323</v>
      </c>
    </row>
    <row r="194" spans="1:20" hidden="1" x14ac:dyDescent="0.4">
      <c r="A194" s="1" t="s">
        <v>120</v>
      </c>
      <c r="B194" s="1" t="s">
        <v>1453</v>
      </c>
      <c r="C194" s="1" t="s">
        <v>1845</v>
      </c>
      <c r="D194" s="1" t="s">
        <v>1731</v>
      </c>
      <c r="E194">
        <v>20251210</v>
      </c>
      <c r="F194" s="1" t="s">
        <v>1468</v>
      </c>
      <c r="G194">
        <v>1</v>
      </c>
      <c r="H194" s="1" t="s">
        <v>1475</v>
      </c>
      <c r="I194" t="s">
        <v>1855</v>
      </c>
      <c r="J194" s="1" t="s">
        <v>1459</v>
      </c>
      <c r="K194" s="1" t="s">
        <v>1579</v>
      </c>
      <c r="L194" s="1" t="s">
        <v>1715</v>
      </c>
      <c r="M194" s="1" t="s">
        <v>1749</v>
      </c>
      <c r="N194" t="s">
        <v>1953</v>
      </c>
      <c r="O194" t="s">
        <v>2161</v>
      </c>
      <c r="P194" t="s">
        <v>3051</v>
      </c>
      <c r="Q194">
        <v>2362</v>
      </c>
      <c r="R194" s="1" t="s">
        <v>1463</v>
      </c>
      <c r="S194">
        <v>833</v>
      </c>
      <c r="T194">
        <v>1967546</v>
      </c>
    </row>
    <row r="195" spans="1:20" hidden="1" x14ac:dyDescent="0.4">
      <c r="A195" s="1" t="s">
        <v>120</v>
      </c>
      <c r="B195" s="1" t="s">
        <v>1454</v>
      </c>
      <c r="C195" s="1" t="s">
        <v>1845</v>
      </c>
      <c r="D195" s="1" t="s">
        <v>1731</v>
      </c>
      <c r="E195">
        <v>20251210</v>
      </c>
      <c r="F195" s="1" t="s">
        <v>1468</v>
      </c>
      <c r="G195">
        <v>1</v>
      </c>
      <c r="H195" s="1" t="s">
        <v>1475</v>
      </c>
      <c r="I195" t="s">
        <v>1855</v>
      </c>
      <c r="J195" s="1" t="s">
        <v>1459</v>
      </c>
      <c r="K195" s="1" t="s">
        <v>1579</v>
      </c>
      <c r="L195" s="1" t="s">
        <v>1715</v>
      </c>
      <c r="M195" s="1" t="s">
        <v>1749</v>
      </c>
      <c r="N195" t="s">
        <v>1953</v>
      </c>
      <c r="O195" t="s">
        <v>2161</v>
      </c>
      <c r="P195" t="s">
        <v>3052</v>
      </c>
      <c r="Q195">
        <v>372</v>
      </c>
      <c r="R195" s="1" t="s">
        <v>1463</v>
      </c>
      <c r="S195">
        <v>833</v>
      </c>
      <c r="T195">
        <v>309876</v>
      </c>
    </row>
    <row r="196" spans="1:20" hidden="1" x14ac:dyDescent="0.4">
      <c r="A196" s="1" t="s">
        <v>120</v>
      </c>
      <c r="B196" s="1" t="s">
        <v>1455</v>
      </c>
      <c r="C196" s="1" t="s">
        <v>1845</v>
      </c>
      <c r="D196" s="1" t="s">
        <v>1731</v>
      </c>
      <c r="E196">
        <v>20251210</v>
      </c>
      <c r="F196" s="1" t="s">
        <v>1468</v>
      </c>
      <c r="G196">
        <v>1</v>
      </c>
      <c r="H196" s="1" t="s">
        <v>1475</v>
      </c>
      <c r="I196" t="s">
        <v>1855</v>
      </c>
      <c r="J196" s="1" t="s">
        <v>1459</v>
      </c>
      <c r="K196" s="1" t="s">
        <v>1579</v>
      </c>
      <c r="L196" s="1" t="s">
        <v>1715</v>
      </c>
      <c r="M196" s="1" t="s">
        <v>1749</v>
      </c>
      <c r="N196" t="s">
        <v>1953</v>
      </c>
      <c r="O196" t="s">
        <v>2161</v>
      </c>
      <c r="P196" t="s">
        <v>3053</v>
      </c>
      <c r="Q196">
        <v>1624</v>
      </c>
      <c r="R196" s="1" t="s">
        <v>1463</v>
      </c>
      <c r="S196">
        <v>833</v>
      </c>
      <c r="T196">
        <v>1352792</v>
      </c>
    </row>
    <row r="197" spans="1:20" hidden="1" x14ac:dyDescent="0.4">
      <c r="A197" s="1" t="s">
        <v>121</v>
      </c>
      <c r="B197" s="1" t="s">
        <v>1453</v>
      </c>
      <c r="C197" s="1" t="s">
        <v>1845</v>
      </c>
      <c r="D197" s="1" t="s">
        <v>1731</v>
      </c>
      <c r="E197">
        <v>20251215</v>
      </c>
      <c r="F197" s="1" t="s">
        <v>1468</v>
      </c>
      <c r="G197">
        <v>1</v>
      </c>
      <c r="H197" s="1" t="s">
        <v>1475</v>
      </c>
      <c r="I197" t="s">
        <v>1855</v>
      </c>
      <c r="J197" s="1" t="s">
        <v>1459</v>
      </c>
      <c r="K197" s="1" t="s">
        <v>1581</v>
      </c>
      <c r="L197" s="1" t="s">
        <v>1717</v>
      </c>
      <c r="M197" s="1" t="s">
        <v>1749</v>
      </c>
      <c r="N197" t="s">
        <v>1956</v>
      </c>
      <c r="O197" t="s">
        <v>2163</v>
      </c>
      <c r="P197" t="s">
        <v>2157</v>
      </c>
      <c r="Q197">
        <v>2000</v>
      </c>
      <c r="R197" s="1" t="s">
        <v>1463</v>
      </c>
      <c r="S197">
        <v>280</v>
      </c>
      <c r="T197">
        <v>560000</v>
      </c>
    </row>
    <row r="198" spans="1:20" hidden="1" x14ac:dyDescent="0.4">
      <c r="A198" s="1" t="s">
        <v>122</v>
      </c>
      <c r="B198" s="1" t="s">
        <v>1453</v>
      </c>
      <c r="C198" s="1" t="s">
        <v>1845</v>
      </c>
      <c r="D198" s="1" t="s">
        <v>1731</v>
      </c>
      <c r="E198">
        <v>20251217</v>
      </c>
      <c r="F198" s="1" t="s">
        <v>1468</v>
      </c>
      <c r="G198">
        <v>1</v>
      </c>
      <c r="H198" s="1" t="s">
        <v>1475</v>
      </c>
      <c r="I198" t="s">
        <v>1855</v>
      </c>
      <c r="J198" s="1" t="s">
        <v>1459</v>
      </c>
      <c r="K198" s="1" t="s">
        <v>1579</v>
      </c>
      <c r="L198" s="1" t="s">
        <v>1715</v>
      </c>
      <c r="M198" s="1" t="s">
        <v>1749</v>
      </c>
      <c r="N198" t="s">
        <v>1953</v>
      </c>
      <c r="O198" t="s">
        <v>2161</v>
      </c>
      <c r="P198" t="s">
        <v>3051</v>
      </c>
      <c r="Q198">
        <v>1890</v>
      </c>
      <c r="R198" s="1" t="s">
        <v>1463</v>
      </c>
      <c r="S198">
        <v>833</v>
      </c>
      <c r="T198">
        <v>1574370</v>
      </c>
    </row>
    <row r="199" spans="1:20" hidden="1" x14ac:dyDescent="0.4">
      <c r="A199" s="1" t="s">
        <v>122</v>
      </c>
      <c r="B199" s="1" t="s">
        <v>1454</v>
      </c>
      <c r="C199" s="1" t="s">
        <v>1845</v>
      </c>
      <c r="D199" s="1" t="s">
        <v>1731</v>
      </c>
      <c r="E199">
        <v>20251217</v>
      </c>
      <c r="F199" s="1" t="s">
        <v>1468</v>
      </c>
      <c r="G199">
        <v>1</v>
      </c>
      <c r="H199" s="1" t="s">
        <v>1475</v>
      </c>
      <c r="I199" t="s">
        <v>1855</v>
      </c>
      <c r="J199" s="1" t="s">
        <v>1459</v>
      </c>
      <c r="K199" s="1" t="s">
        <v>1579</v>
      </c>
      <c r="L199" s="1" t="s">
        <v>1715</v>
      </c>
      <c r="M199" s="1" t="s">
        <v>1749</v>
      </c>
      <c r="N199" t="s">
        <v>1953</v>
      </c>
      <c r="O199" t="s">
        <v>2161</v>
      </c>
      <c r="P199" t="s">
        <v>3052</v>
      </c>
      <c r="Q199">
        <v>372</v>
      </c>
      <c r="R199" s="1" t="s">
        <v>1463</v>
      </c>
      <c r="S199">
        <v>833</v>
      </c>
      <c r="T199">
        <v>309876</v>
      </c>
    </row>
    <row r="200" spans="1:20" hidden="1" x14ac:dyDescent="0.4">
      <c r="A200" s="1" t="s">
        <v>122</v>
      </c>
      <c r="B200" s="1" t="s">
        <v>1455</v>
      </c>
      <c r="C200" s="1" t="s">
        <v>1845</v>
      </c>
      <c r="D200" s="1" t="s">
        <v>1731</v>
      </c>
      <c r="E200">
        <v>20251217</v>
      </c>
      <c r="F200" s="1" t="s">
        <v>1468</v>
      </c>
      <c r="G200">
        <v>1</v>
      </c>
      <c r="H200" s="1" t="s">
        <v>1475</v>
      </c>
      <c r="I200" t="s">
        <v>1855</v>
      </c>
      <c r="J200" s="1" t="s">
        <v>1459</v>
      </c>
      <c r="K200" s="1" t="s">
        <v>1579</v>
      </c>
      <c r="L200" s="1" t="s">
        <v>1715</v>
      </c>
      <c r="M200" s="1" t="s">
        <v>1749</v>
      </c>
      <c r="N200" t="s">
        <v>1953</v>
      </c>
      <c r="O200" t="s">
        <v>2161</v>
      </c>
      <c r="P200" t="s">
        <v>3053</v>
      </c>
      <c r="Q200">
        <v>2094</v>
      </c>
      <c r="R200" s="1" t="s">
        <v>1463</v>
      </c>
      <c r="S200">
        <v>833</v>
      </c>
      <c r="T200">
        <v>1744302</v>
      </c>
    </row>
    <row r="201" spans="1:20" hidden="1" x14ac:dyDescent="0.4">
      <c r="A201" s="1" t="s">
        <v>123</v>
      </c>
      <c r="B201" s="1" t="s">
        <v>1453</v>
      </c>
      <c r="C201" s="1" t="s">
        <v>1845</v>
      </c>
      <c r="D201" s="1" t="s">
        <v>1731</v>
      </c>
      <c r="E201">
        <v>20251223</v>
      </c>
      <c r="F201" s="1" t="s">
        <v>1468</v>
      </c>
      <c r="G201">
        <v>1</v>
      </c>
      <c r="H201" s="1" t="s">
        <v>1475</v>
      </c>
      <c r="I201" t="s">
        <v>1855</v>
      </c>
      <c r="J201" s="1" t="s">
        <v>1456</v>
      </c>
      <c r="K201" s="1" t="s">
        <v>1561</v>
      </c>
      <c r="L201" s="1" t="s">
        <v>1716</v>
      </c>
      <c r="M201" s="1" t="s">
        <v>1749</v>
      </c>
      <c r="N201" t="s">
        <v>1954</v>
      </c>
      <c r="O201" t="s">
        <v>2162</v>
      </c>
      <c r="P201" t="s">
        <v>3060</v>
      </c>
      <c r="Q201">
        <v>1031</v>
      </c>
      <c r="R201" s="1" t="s">
        <v>1463</v>
      </c>
      <c r="S201">
        <v>1517</v>
      </c>
      <c r="T201">
        <v>1564027</v>
      </c>
    </row>
    <row r="202" spans="1:20" hidden="1" x14ac:dyDescent="0.4">
      <c r="A202" s="1" t="s">
        <v>124</v>
      </c>
      <c r="B202" s="1" t="s">
        <v>1453</v>
      </c>
      <c r="C202" s="1" t="s">
        <v>1845</v>
      </c>
      <c r="D202" s="1" t="s">
        <v>1731</v>
      </c>
      <c r="E202">
        <v>20251224</v>
      </c>
      <c r="F202" s="1" t="s">
        <v>1468</v>
      </c>
      <c r="G202">
        <v>1</v>
      </c>
      <c r="H202" s="1" t="s">
        <v>1475</v>
      </c>
      <c r="I202" t="s">
        <v>1855</v>
      </c>
      <c r="J202" s="1" t="s">
        <v>1459</v>
      </c>
      <c r="K202" s="1" t="s">
        <v>1579</v>
      </c>
      <c r="L202" s="1" t="s">
        <v>1715</v>
      </c>
      <c r="M202" s="1" t="s">
        <v>1749</v>
      </c>
      <c r="N202" t="s">
        <v>1952</v>
      </c>
      <c r="O202" t="s">
        <v>2161</v>
      </c>
      <c r="P202" t="s">
        <v>3050</v>
      </c>
      <c r="Q202">
        <v>508</v>
      </c>
      <c r="R202" s="1" t="s">
        <v>1463</v>
      </c>
      <c r="S202">
        <v>833</v>
      </c>
      <c r="T202">
        <v>423164</v>
      </c>
    </row>
    <row r="203" spans="1:20" hidden="1" x14ac:dyDescent="0.4">
      <c r="A203" s="1" t="s">
        <v>124</v>
      </c>
      <c r="B203" s="1" t="s">
        <v>1454</v>
      </c>
      <c r="C203" s="1" t="s">
        <v>1845</v>
      </c>
      <c r="D203" s="1" t="s">
        <v>1731</v>
      </c>
      <c r="E203">
        <v>20251224</v>
      </c>
      <c r="F203" s="1" t="s">
        <v>1468</v>
      </c>
      <c r="G203">
        <v>1</v>
      </c>
      <c r="H203" s="1" t="s">
        <v>1475</v>
      </c>
      <c r="I203" t="s">
        <v>1855</v>
      </c>
      <c r="J203" s="1" t="s">
        <v>1459</v>
      </c>
      <c r="K203" s="1" t="s">
        <v>1579</v>
      </c>
      <c r="L203" s="1" t="s">
        <v>1715</v>
      </c>
      <c r="M203" s="1" t="s">
        <v>1749</v>
      </c>
      <c r="N203" t="s">
        <v>1953</v>
      </c>
      <c r="O203" t="s">
        <v>2161</v>
      </c>
      <c r="P203" t="s">
        <v>3051</v>
      </c>
      <c r="Q203">
        <v>2362</v>
      </c>
      <c r="R203" s="1" t="s">
        <v>1463</v>
      </c>
      <c r="S203">
        <v>833</v>
      </c>
      <c r="T203">
        <v>1967546</v>
      </c>
    </row>
    <row r="204" spans="1:20" hidden="1" x14ac:dyDescent="0.4">
      <c r="A204" s="1" t="s">
        <v>124</v>
      </c>
      <c r="B204" s="1" t="s">
        <v>1455</v>
      </c>
      <c r="C204" s="1" t="s">
        <v>1845</v>
      </c>
      <c r="D204" s="1" t="s">
        <v>1731</v>
      </c>
      <c r="E204">
        <v>20251224</v>
      </c>
      <c r="F204" s="1" t="s">
        <v>1468</v>
      </c>
      <c r="G204">
        <v>1</v>
      </c>
      <c r="H204" s="1" t="s">
        <v>1475</v>
      </c>
      <c r="I204" t="s">
        <v>1855</v>
      </c>
      <c r="J204" s="1" t="s">
        <v>1459</v>
      </c>
      <c r="K204" s="1" t="s">
        <v>1579</v>
      </c>
      <c r="L204" s="1" t="s">
        <v>1715</v>
      </c>
      <c r="M204" s="1" t="s">
        <v>1749</v>
      </c>
      <c r="N204" t="s">
        <v>1953</v>
      </c>
      <c r="O204" t="s">
        <v>2161</v>
      </c>
      <c r="P204" t="s">
        <v>3052</v>
      </c>
      <c r="Q204">
        <v>372</v>
      </c>
      <c r="R204" s="1" t="s">
        <v>1463</v>
      </c>
      <c r="S204">
        <v>833</v>
      </c>
      <c r="T204">
        <v>309876</v>
      </c>
    </row>
    <row r="205" spans="1:20" hidden="1" x14ac:dyDescent="0.4">
      <c r="A205" s="1" t="s">
        <v>124</v>
      </c>
      <c r="B205" s="1" t="s">
        <v>1456</v>
      </c>
      <c r="C205" s="1" t="s">
        <v>1845</v>
      </c>
      <c r="D205" s="1" t="s">
        <v>1731</v>
      </c>
      <c r="E205">
        <v>20251224</v>
      </c>
      <c r="F205" s="1" t="s">
        <v>1468</v>
      </c>
      <c r="G205">
        <v>1</v>
      </c>
      <c r="H205" s="1" t="s">
        <v>1475</v>
      </c>
      <c r="I205" t="s">
        <v>1855</v>
      </c>
      <c r="J205" s="1" t="s">
        <v>1459</v>
      </c>
      <c r="K205" s="1" t="s">
        <v>1579</v>
      </c>
      <c r="L205" s="1" t="s">
        <v>1715</v>
      </c>
      <c r="M205" s="1" t="s">
        <v>1749</v>
      </c>
      <c r="N205" t="s">
        <v>1953</v>
      </c>
      <c r="O205" t="s">
        <v>2161</v>
      </c>
      <c r="P205" t="s">
        <v>3053</v>
      </c>
      <c r="Q205">
        <v>1075</v>
      </c>
      <c r="R205" s="1" t="s">
        <v>1463</v>
      </c>
      <c r="S205">
        <v>833</v>
      </c>
      <c r="T205">
        <v>895475</v>
      </c>
    </row>
    <row r="206" spans="1:20" hidden="1" x14ac:dyDescent="0.4">
      <c r="A206" s="1" t="s">
        <v>125</v>
      </c>
      <c r="B206" s="1" t="s">
        <v>1453</v>
      </c>
      <c r="C206" s="1" t="s">
        <v>1845</v>
      </c>
      <c r="D206" s="1" t="s">
        <v>1731</v>
      </c>
      <c r="E206">
        <v>20251225</v>
      </c>
      <c r="F206" s="1" t="s">
        <v>1468</v>
      </c>
      <c r="G206">
        <v>1</v>
      </c>
      <c r="H206" s="1" t="s">
        <v>1475</v>
      </c>
      <c r="I206" t="s">
        <v>1855</v>
      </c>
      <c r="J206" s="1" t="s">
        <v>1456</v>
      </c>
      <c r="K206" s="1" t="s">
        <v>1561</v>
      </c>
      <c r="L206" s="1" t="s">
        <v>1716</v>
      </c>
      <c r="M206" s="1" t="s">
        <v>1749</v>
      </c>
      <c r="N206" t="s">
        <v>1954</v>
      </c>
      <c r="O206" t="s">
        <v>2162</v>
      </c>
      <c r="P206" t="s">
        <v>3061</v>
      </c>
      <c r="Q206">
        <v>998</v>
      </c>
      <c r="R206" s="1" t="s">
        <v>1463</v>
      </c>
      <c r="S206">
        <v>1517</v>
      </c>
      <c r="T206">
        <v>1513966</v>
      </c>
    </row>
    <row r="207" spans="1:20" hidden="1" x14ac:dyDescent="0.4">
      <c r="A207" s="1" t="s">
        <v>125</v>
      </c>
      <c r="B207" s="1" t="s">
        <v>1454</v>
      </c>
      <c r="C207" s="1" t="s">
        <v>1845</v>
      </c>
      <c r="D207" s="1" t="s">
        <v>1731</v>
      </c>
      <c r="E207">
        <v>20251225</v>
      </c>
      <c r="F207" s="1" t="s">
        <v>1468</v>
      </c>
      <c r="G207">
        <v>1</v>
      </c>
      <c r="H207" s="1" t="s">
        <v>1475</v>
      </c>
      <c r="I207" t="s">
        <v>1855</v>
      </c>
      <c r="J207" s="1" t="s">
        <v>1456</v>
      </c>
      <c r="K207" s="1" t="s">
        <v>1561</v>
      </c>
      <c r="L207" s="1" t="s">
        <v>1716</v>
      </c>
      <c r="M207" s="1" t="s">
        <v>1749</v>
      </c>
      <c r="N207" t="s">
        <v>1954</v>
      </c>
      <c r="O207" t="s">
        <v>2162</v>
      </c>
      <c r="P207" t="s">
        <v>3062</v>
      </c>
      <c r="Q207">
        <v>520</v>
      </c>
      <c r="R207" s="1" t="s">
        <v>1463</v>
      </c>
      <c r="S207">
        <v>1517</v>
      </c>
      <c r="T207">
        <v>788840</v>
      </c>
    </row>
    <row r="208" spans="1:20" x14ac:dyDescent="0.4">
      <c r="A208" s="1" t="s">
        <v>126</v>
      </c>
      <c r="B208" s="1" t="s">
        <v>1453</v>
      </c>
      <c r="C208" s="1" t="s">
        <v>1844</v>
      </c>
      <c r="D208" s="1" t="s">
        <v>1731</v>
      </c>
      <c r="E208">
        <v>20251202</v>
      </c>
      <c r="F208" s="1" t="s">
        <v>1469</v>
      </c>
      <c r="G208">
        <v>4</v>
      </c>
      <c r="H208" s="1" t="s">
        <v>1475</v>
      </c>
      <c r="I208" t="s">
        <v>1855</v>
      </c>
      <c r="J208" s="1" t="s">
        <v>1544</v>
      </c>
      <c r="K208" s="1" t="s">
        <v>1582</v>
      </c>
      <c r="L208" s="1" t="s">
        <v>1718</v>
      </c>
      <c r="M208" s="1" t="s">
        <v>1750</v>
      </c>
      <c r="N208" t="s">
        <v>1957</v>
      </c>
      <c r="O208" t="s">
        <v>2164</v>
      </c>
      <c r="P208" t="s">
        <v>3063</v>
      </c>
      <c r="Q208">
        <v>109.92</v>
      </c>
      <c r="R208" s="1" t="s">
        <v>1839</v>
      </c>
      <c r="S208">
        <v>1481</v>
      </c>
      <c r="T208">
        <v>162791</v>
      </c>
    </row>
    <row r="209" spans="1:20" x14ac:dyDescent="0.4">
      <c r="A209" s="1" t="s">
        <v>126</v>
      </c>
      <c r="B209" s="1" t="s">
        <v>1454</v>
      </c>
      <c r="C209" s="1" t="s">
        <v>1844</v>
      </c>
      <c r="D209" s="1" t="s">
        <v>1731</v>
      </c>
      <c r="E209">
        <v>20251202</v>
      </c>
      <c r="F209" s="1" t="s">
        <v>1469</v>
      </c>
      <c r="G209">
        <v>4</v>
      </c>
      <c r="H209" s="1" t="s">
        <v>1475</v>
      </c>
      <c r="I209" t="s">
        <v>1855</v>
      </c>
      <c r="J209" s="1" t="s">
        <v>1544</v>
      </c>
      <c r="K209" s="1" t="s">
        <v>1582</v>
      </c>
      <c r="L209" s="1" t="s">
        <v>1718</v>
      </c>
      <c r="M209" s="1" t="s">
        <v>1750</v>
      </c>
      <c r="N209" t="s">
        <v>1957</v>
      </c>
      <c r="O209" t="s">
        <v>2164</v>
      </c>
      <c r="P209" t="s">
        <v>3063</v>
      </c>
      <c r="Q209">
        <v>99</v>
      </c>
      <c r="R209" s="1" t="s">
        <v>1839</v>
      </c>
      <c r="S209">
        <v>1481</v>
      </c>
      <c r="T209">
        <v>146619</v>
      </c>
    </row>
    <row r="210" spans="1:20" x14ac:dyDescent="0.4">
      <c r="A210" s="1" t="s">
        <v>126</v>
      </c>
      <c r="B210" s="1" t="s">
        <v>1455</v>
      </c>
      <c r="C210" s="1" t="s">
        <v>1844</v>
      </c>
      <c r="D210" s="1" t="s">
        <v>1731</v>
      </c>
      <c r="E210">
        <v>20251202</v>
      </c>
      <c r="F210" s="1" t="s">
        <v>1469</v>
      </c>
      <c r="G210">
        <v>4</v>
      </c>
      <c r="H210" s="1" t="s">
        <v>1475</v>
      </c>
      <c r="I210" t="s">
        <v>1855</v>
      </c>
      <c r="J210" s="1" t="s">
        <v>1544</v>
      </c>
      <c r="K210" s="1" t="s">
        <v>1582</v>
      </c>
      <c r="L210" s="1" t="s">
        <v>1718</v>
      </c>
      <c r="M210" s="1" t="s">
        <v>1750</v>
      </c>
      <c r="N210" t="s">
        <v>1957</v>
      </c>
      <c r="O210" t="s">
        <v>2164</v>
      </c>
      <c r="P210" t="s">
        <v>3063</v>
      </c>
      <c r="Q210">
        <v>111.02</v>
      </c>
      <c r="R210" s="1" t="s">
        <v>1839</v>
      </c>
      <c r="S210">
        <v>1481</v>
      </c>
      <c r="T210">
        <v>164420</v>
      </c>
    </row>
    <row r="211" spans="1:20" x14ac:dyDescent="0.4">
      <c r="A211" s="1" t="s">
        <v>126</v>
      </c>
      <c r="B211" s="1" t="s">
        <v>1456</v>
      </c>
      <c r="C211" s="1" t="s">
        <v>1844</v>
      </c>
      <c r="D211" s="1" t="s">
        <v>1731</v>
      </c>
      <c r="E211">
        <v>20251202</v>
      </c>
      <c r="F211" s="1" t="s">
        <v>1469</v>
      </c>
      <c r="G211">
        <v>4</v>
      </c>
      <c r="H211" s="1" t="s">
        <v>1475</v>
      </c>
      <c r="I211" t="s">
        <v>1855</v>
      </c>
      <c r="J211" s="1" t="s">
        <v>1544</v>
      </c>
      <c r="K211" s="1" t="s">
        <v>1582</v>
      </c>
      <c r="L211" s="1" t="s">
        <v>1718</v>
      </c>
      <c r="M211" s="1" t="s">
        <v>1750</v>
      </c>
      <c r="N211" t="s">
        <v>1957</v>
      </c>
      <c r="O211" t="s">
        <v>2164</v>
      </c>
      <c r="P211" t="s">
        <v>3063</v>
      </c>
      <c r="Q211">
        <v>72.8</v>
      </c>
      <c r="R211" s="1" t="s">
        <v>1839</v>
      </c>
      <c r="S211">
        <v>1481</v>
      </c>
      <c r="T211">
        <v>107816</v>
      </c>
    </row>
    <row r="212" spans="1:20" x14ac:dyDescent="0.4">
      <c r="A212" s="1" t="s">
        <v>126</v>
      </c>
      <c r="B212" s="1" t="s">
        <v>1457</v>
      </c>
      <c r="C212" s="1" t="s">
        <v>1844</v>
      </c>
      <c r="D212" s="1" t="s">
        <v>1731</v>
      </c>
      <c r="E212">
        <v>20251202</v>
      </c>
      <c r="F212" s="1" t="s">
        <v>1469</v>
      </c>
      <c r="G212">
        <v>4</v>
      </c>
      <c r="H212" s="1" t="s">
        <v>1475</v>
      </c>
      <c r="I212" t="s">
        <v>1855</v>
      </c>
      <c r="J212" s="1" t="s">
        <v>1544</v>
      </c>
      <c r="K212" s="1" t="s">
        <v>1582</v>
      </c>
      <c r="L212" s="1" t="s">
        <v>1718</v>
      </c>
      <c r="M212" s="1" t="s">
        <v>1750</v>
      </c>
      <c r="N212" t="s">
        <v>1957</v>
      </c>
      <c r="O212" t="s">
        <v>2164</v>
      </c>
      <c r="P212" t="s">
        <v>3063</v>
      </c>
      <c r="Q212">
        <v>107.38</v>
      </c>
      <c r="R212" s="1" t="s">
        <v>1839</v>
      </c>
      <c r="S212">
        <v>1481</v>
      </c>
      <c r="T212">
        <v>159029</v>
      </c>
    </row>
    <row r="213" spans="1:20" x14ac:dyDescent="0.4">
      <c r="A213" s="1" t="s">
        <v>127</v>
      </c>
      <c r="B213" s="1" t="s">
        <v>1453</v>
      </c>
      <c r="C213" s="1" t="s">
        <v>1844</v>
      </c>
      <c r="D213" s="1" t="s">
        <v>1731</v>
      </c>
      <c r="E213">
        <v>20251203</v>
      </c>
      <c r="F213" s="1" t="s">
        <v>1469</v>
      </c>
      <c r="G213">
        <v>4</v>
      </c>
      <c r="H213" s="1" t="s">
        <v>1475</v>
      </c>
      <c r="I213" t="s">
        <v>1855</v>
      </c>
      <c r="J213" s="1" t="s">
        <v>1544</v>
      </c>
      <c r="K213" s="1" t="s">
        <v>1583</v>
      </c>
      <c r="L213" s="1" t="s">
        <v>1718</v>
      </c>
      <c r="M213" s="1" t="s">
        <v>1751</v>
      </c>
      <c r="N213" t="s">
        <v>1958</v>
      </c>
      <c r="O213" t="s">
        <v>2164</v>
      </c>
      <c r="P213" t="s">
        <v>3064</v>
      </c>
      <c r="Q213">
        <v>109.2</v>
      </c>
      <c r="R213" s="1" t="s">
        <v>1839</v>
      </c>
      <c r="S213">
        <v>2026</v>
      </c>
      <c r="T213">
        <v>221239</v>
      </c>
    </row>
    <row r="214" spans="1:20" x14ac:dyDescent="0.4">
      <c r="A214" s="1" t="s">
        <v>127</v>
      </c>
      <c r="B214" s="1" t="s">
        <v>1454</v>
      </c>
      <c r="C214" s="1" t="s">
        <v>1844</v>
      </c>
      <c r="D214" s="1" t="s">
        <v>1731</v>
      </c>
      <c r="E214">
        <v>20251203</v>
      </c>
      <c r="F214" s="1" t="s">
        <v>1469</v>
      </c>
      <c r="G214">
        <v>4</v>
      </c>
      <c r="H214" s="1" t="s">
        <v>1475</v>
      </c>
      <c r="I214" t="s">
        <v>1855</v>
      </c>
      <c r="J214" s="1" t="s">
        <v>1544</v>
      </c>
      <c r="K214" s="1" t="s">
        <v>1583</v>
      </c>
      <c r="L214" s="1" t="s">
        <v>1718</v>
      </c>
      <c r="M214" s="1" t="s">
        <v>1751</v>
      </c>
      <c r="N214" t="s">
        <v>1958</v>
      </c>
      <c r="O214" t="s">
        <v>2164</v>
      </c>
      <c r="P214" t="s">
        <v>3064</v>
      </c>
      <c r="Q214">
        <v>109.2</v>
      </c>
      <c r="R214" s="1" t="s">
        <v>1839</v>
      </c>
      <c r="S214">
        <v>2026</v>
      </c>
      <c r="T214">
        <v>221239</v>
      </c>
    </row>
    <row r="215" spans="1:20" x14ac:dyDescent="0.4">
      <c r="A215" s="1" t="s">
        <v>127</v>
      </c>
      <c r="B215" s="1" t="s">
        <v>1455</v>
      </c>
      <c r="C215" s="1" t="s">
        <v>1844</v>
      </c>
      <c r="D215" s="1" t="s">
        <v>1731</v>
      </c>
      <c r="E215">
        <v>20251203</v>
      </c>
      <c r="F215" s="1" t="s">
        <v>1469</v>
      </c>
      <c r="G215">
        <v>4</v>
      </c>
      <c r="H215" s="1" t="s">
        <v>1475</v>
      </c>
      <c r="I215" t="s">
        <v>1855</v>
      </c>
      <c r="J215" s="1" t="s">
        <v>1544</v>
      </c>
      <c r="K215" s="1" t="s">
        <v>1583</v>
      </c>
      <c r="L215" s="1" t="s">
        <v>1718</v>
      </c>
      <c r="M215" s="1" t="s">
        <v>1751</v>
      </c>
      <c r="N215" t="s">
        <v>1958</v>
      </c>
      <c r="O215" t="s">
        <v>2164</v>
      </c>
      <c r="P215" t="s">
        <v>3064</v>
      </c>
      <c r="Q215">
        <v>111.02</v>
      </c>
      <c r="R215" s="1" t="s">
        <v>1839</v>
      </c>
      <c r="S215">
        <v>2026</v>
      </c>
      <c r="T215">
        <v>224926</v>
      </c>
    </row>
    <row r="216" spans="1:20" x14ac:dyDescent="0.4">
      <c r="A216" s="1" t="s">
        <v>127</v>
      </c>
      <c r="B216" s="1" t="s">
        <v>1456</v>
      </c>
      <c r="C216" s="1" t="s">
        <v>1844</v>
      </c>
      <c r="D216" s="1" t="s">
        <v>1731</v>
      </c>
      <c r="E216">
        <v>20251203</v>
      </c>
      <c r="F216" s="1" t="s">
        <v>1469</v>
      </c>
      <c r="G216">
        <v>4</v>
      </c>
      <c r="H216" s="1" t="s">
        <v>1475</v>
      </c>
      <c r="I216" t="s">
        <v>1855</v>
      </c>
      <c r="J216" s="1" t="s">
        <v>1544</v>
      </c>
      <c r="K216" s="1" t="s">
        <v>1583</v>
      </c>
      <c r="L216" s="1" t="s">
        <v>1718</v>
      </c>
      <c r="M216" s="1" t="s">
        <v>1751</v>
      </c>
      <c r="N216" t="s">
        <v>1958</v>
      </c>
      <c r="O216" t="s">
        <v>2164</v>
      </c>
      <c r="P216" t="s">
        <v>3064</v>
      </c>
      <c r="Q216">
        <v>112.84</v>
      </c>
      <c r="R216" s="1" t="s">
        <v>1839</v>
      </c>
      <c r="S216">
        <v>2026</v>
      </c>
      <c r="T216">
        <v>228613</v>
      </c>
    </row>
    <row r="217" spans="1:20" x14ac:dyDescent="0.4">
      <c r="A217" s="1" t="s">
        <v>127</v>
      </c>
      <c r="B217" s="1" t="s">
        <v>1457</v>
      </c>
      <c r="C217" s="1" t="s">
        <v>1844</v>
      </c>
      <c r="D217" s="1" t="s">
        <v>1731</v>
      </c>
      <c r="E217">
        <v>20251203</v>
      </c>
      <c r="F217" s="1" t="s">
        <v>1469</v>
      </c>
      <c r="G217">
        <v>4</v>
      </c>
      <c r="H217" s="1" t="s">
        <v>1475</v>
      </c>
      <c r="I217" t="s">
        <v>1855</v>
      </c>
      <c r="J217" s="1" t="s">
        <v>1544</v>
      </c>
      <c r="K217" s="1" t="s">
        <v>1583</v>
      </c>
      <c r="L217" s="1" t="s">
        <v>1718</v>
      </c>
      <c r="M217" s="1" t="s">
        <v>1751</v>
      </c>
      <c r="N217" t="s">
        <v>1958</v>
      </c>
      <c r="O217" t="s">
        <v>2164</v>
      </c>
      <c r="P217" t="s">
        <v>3064</v>
      </c>
      <c r="Q217">
        <v>122.66</v>
      </c>
      <c r="R217" s="1" t="s">
        <v>1839</v>
      </c>
      <c r="S217">
        <v>2026</v>
      </c>
      <c r="T217">
        <v>248509</v>
      </c>
    </row>
    <row r="218" spans="1:20" x14ac:dyDescent="0.4">
      <c r="A218" s="1" t="s">
        <v>127</v>
      </c>
      <c r="B218" s="1" t="s">
        <v>1458</v>
      </c>
      <c r="C218" s="1" t="s">
        <v>1844</v>
      </c>
      <c r="D218" s="1" t="s">
        <v>1731</v>
      </c>
      <c r="E218">
        <v>20251203</v>
      </c>
      <c r="F218" s="1" t="s">
        <v>1469</v>
      </c>
      <c r="G218">
        <v>4</v>
      </c>
      <c r="H218" s="1" t="s">
        <v>1475</v>
      </c>
      <c r="I218" t="s">
        <v>1855</v>
      </c>
      <c r="J218" s="1" t="s">
        <v>1544</v>
      </c>
      <c r="K218" s="1" t="s">
        <v>1583</v>
      </c>
      <c r="L218" s="1" t="s">
        <v>1718</v>
      </c>
      <c r="M218" s="1" t="s">
        <v>1751</v>
      </c>
      <c r="N218" t="s">
        <v>1958</v>
      </c>
      <c r="O218" t="s">
        <v>2164</v>
      </c>
      <c r="P218" t="s">
        <v>3064</v>
      </c>
      <c r="Q218">
        <v>112.84</v>
      </c>
      <c r="R218" s="1" t="s">
        <v>1839</v>
      </c>
      <c r="S218">
        <v>2026</v>
      </c>
      <c r="T218">
        <v>228613</v>
      </c>
    </row>
    <row r="219" spans="1:20" x14ac:dyDescent="0.4">
      <c r="A219" s="1" t="s">
        <v>127</v>
      </c>
      <c r="B219" s="1" t="s">
        <v>1459</v>
      </c>
      <c r="C219" s="1" t="s">
        <v>1844</v>
      </c>
      <c r="D219" s="1" t="s">
        <v>1731</v>
      </c>
      <c r="E219">
        <v>20251203</v>
      </c>
      <c r="F219" s="1" t="s">
        <v>1469</v>
      </c>
      <c r="G219">
        <v>4</v>
      </c>
      <c r="H219" s="1" t="s">
        <v>1475</v>
      </c>
      <c r="I219" t="s">
        <v>1855</v>
      </c>
      <c r="J219" s="1" t="s">
        <v>1544</v>
      </c>
      <c r="K219" s="1" t="s">
        <v>1583</v>
      </c>
      <c r="L219" s="1" t="s">
        <v>1718</v>
      </c>
      <c r="M219" s="1" t="s">
        <v>1751</v>
      </c>
      <c r="N219" t="s">
        <v>1958</v>
      </c>
      <c r="O219" t="s">
        <v>2164</v>
      </c>
      <c r="P219" t="s">
        <v>3064</v>
      </c>
      <c r="Q219">
        <v>103.37</v>
      </c>
      <c r="R219" s="1" t="s">
        <v>1839</v>
      </c>
      <c r="S219">
        <v>2026</v>
      </c>
      <c r="T219">
        <v>209427</v>
      </c>
    </row>
    <row r="220" spans="1:20" x14ac:dyDescent="0.4">
      <c r="A220" s="1" t="s">
        <v>127</v>
      </c>
      <c r="B220" s="1" t="s">
        <v>1460</v>
      </c>
      <c r="C220" s="1" t="s">
        <v>1844</v>
      </c>
      <c r="D220" s="1" t="s">
        <v>1731</v>
      </c>
      <c r="E220">
        <v>20251203</v>
      </c>
      <c r="F220" s="1" t="s">
        <v>1469</v>
      </c>
      <c r="G220">
        <v>4</v>
      </c>
      <c r="H220" s="1" t="s">
        <v>1475</v>
      </c>
      <c r="I220" t="s">
        <v>1855</v>
      </c>
      <c r="J220" s="1" t="s">
        <v>1544</v>
      </c>
      <c r="K220" s="1" t="s">
        <v>1583</v>
      </c>
      <c r="L220" s="1" t="s">
        <v>1718</v>
      </c>
      <c r="M220" s="1" t="s">
        <v>1751</v>
      </c>
      <c r="N220" t="s">
        <v>1958</v>
      </c>
      <c r="O220" t="s">
        <v>2164</v>
      </c>
      <c r="P220" t="s">
        <v>3064</v>
      </c>
      <c r="Q220">
        <v>109.2</v>
      </c>
      <c r="R220" s="1" t="s">
        <v>1839</v>
      </c>
      <c r="S220">
        <v>2026</v>
      </c>
      <c r="T220">
        <v>221239</v>
      </c>
    </row>
    <row r="221" spans="1:20" x14ac:dyDescent="0.4">
      <c r="A221" s="1" t="s">
        <v>127</v>
      </c>
      <c r="B221" s="1" t="s">
        <v>1461</v>
      </c>
      <c r="C221" s="1" t="s">
        <v>1844</v>
      </c>
      <c r="D221" s="1" t="s">
        <v>1731</v>
      </c>
      <c r="E221">
        <v>20251203</v>
      </c>
      <c r="F221" s="1" t="s">
        <v>1469</v>
      </c>
      <c r="G221">
        <v>4</v>
      </c>
      <c r="H221" s="1" t="s">
        <v>1475</v>
      </c>
      <c r="I221" t="s">
        <v>1855</v>
      </c>
      <c r="J221" s="1" t="s">
        <v>1544</v>
      </c>
      <c r="K221" s="1" t="s">
        <v>1583</v>
      </c>
      <c r="L221" s="1" t="s">
        <v>1718</v>
      </c>
      <c r="M221" s="1" t="s">
        <v>1751</v>
      </c>
      <c r="N221" t="s">
        <v>1958</v>
      </c>
      <c r="O221" t="s">
        <v>2164</v>
      </c>
      <c r="P221" t="s">
        <v>3064</v>
      </c>
      <c r="Q221">
        <v>112.84</v>
      </c>
      <c r="R221" s="1" t="s">
        <v>1839</v>
      </c>
      <c r="S221">
        <v>2026</v>
      </c>
      <c r="T221">
        <v>228613</v>
      </c>
    </row>
    <row r="222" spans="1:20" x14ac:dyDescent="0.4">
      <c r="A222" s="1" t="s">
        <v>127</v>
      </c>
      <c r="B222" s="1" t="s">
        <v>1462</v>
      </c>
      <c r="C222" s="1" t="s">
        <v>1844</v>
      </c>
      <c r="D222" s="1" t="s">
        <v>1731</v>
      </c>
      <c r="E222">
        <v>20251203</v>
      </c>
      <c r="F222" s="1" t="s">
        <v>1469</v>
      </c>
      <c r="G222">
        <v>4</v>
      </c>
      <c r="H222" s="1" t="s">
        <v>1475</v>
      </c>
      <c r="I222" t="s">
        <v>1855</v>
      </c>
      <c r="J222" s="1" t="s">
        <v>1544</v>
      </c>
      <c r="K222" s="1" t="s">
        <v>1583</v>
      </c>
      <c r="L222" s="1" t="s">
        <v>1718</v>
      </c>
      <c r="M222" s="1" t="s">
        <v>1751</v>
      </c>
      <c r="N222" t="s">
        <v>1958</v>
      </c>
      <c r="O222" t="s">
        <v>2164</v>
      </c>
      <c r="P222" t="s">
        <v>3064</v>
      </c>
      <c r="Q222">
        <v>109.2</v>
      </c>
      <c r="R222" s="1" t="s">
        <v>1839</v>
      </c>
      <c r="S222">
        <v>2026</v>
      </c>
      <c r="T222">
        <v>221239</v>
      </c>
    </row>
    <row r="223" spans="1:20" x14ac:dyDescent="0.4">
      <c r="A223" s="1" t="s">
        <v>128</v>
      </c>
      <c r="B223" s="1" t="s">
        <v>1453</v>
      </c>
      <c r="C223" s="1" t="s">
        <v>1844</v>
      </c>
      <c r="D223" s="1" t="s">
        <v>1846</v>
      </c>
      <c r="E223">
        <v>20251204</v>
      </c>
      <c r="F223" s="1" t="s">
        <v>1469</v>
      </c>
      <c r="G223">
        <v>4</v>
      </c>
      <c r="H223" s="1" t="s">
        <v>1475</v>
      </c>
      <c r="I223" t="s">
        <v>1855</v>
      </c>
      <c r="J223" s="1" t="s">
        <v>1544</v>
      </c>
      <c r="K223" s="1" t="s">
        <v>1584</v>
      </c>
      <c r="L223" s="1" t="s">
        <v>1718</v>
      </c>
      <c r="M223" s="1" t="s">
        <v>1752</v>
      </c>
      <c r="N223" t="s">
        <v>1959</v>
      </c>
      <c r="O223" t="s">
        <v>2164</v>
      </c>
      <c r="P223" t="s">
        <v>3065</v>
      </c>
      <c r="Q223">
        <v>80.08</v>
      </c>
      <c r="R223" s="1" t="s">
        <v>1839</v>
      </c>
      <c r="S223">
        <v>2381</v>
      </c>
      <c r="T223">
        <v>190670</v>
      </c>
    </row>
    <row r="224" spans="1:20" x14ac:dyDescent="0.4">
      <c r="A224" s="1" t="s">
        <v>128</v>
      </c>
      <c r="B224" s="1" t="s">
        <v>1454</v>
      </c>
      <c r="C224" s="1" t="s">
        <v>1844</v>
      </c>
      <c r="D224" s="1" t="s">
        <v>1846</v>
      </c>
      <c r="E224">
        <v>20251204</v>
      </c>
      <c r="F224" s="1" t="s">
        <v>1469</v>
      </c>
      <c r="G224">
        <v>4</v>
      </c>
      <c r="H224" s="1" t="s">
        <v>1475</v>
      </c>
      <c r="I224" t="s">
        <v>1855</v>
      </c>
      <c r="J224" s="1" t="s">
        <v>1544</v>
      </c>
      <c r="K224" s="1" t="s">
        <v>1584</v>
      </c>
      <c r="L224" s="1" t="s">
        <v>1718</v>
      </c>
      <c r="M224" s="1" t="s">
        <v>1752</v>
      </c>
      <c r="N224" t="s">
        <v>1959</v>
      </c>
      <c r="O224" t="s">
        <v>2164</v>
      </c>
      <c r="P224" t="s">
        <v>3065</v>
      </c>
      <c r="Q224">
        <v>84.44</v>
      </c>
      <c r="R224" s="1" t="s">
        <v>1839</v>
      </c>
      <c r="S224">
        <v>2381</v>
      </c>
      <c r="T224">
        <v>201051</v>
      </c>
    </row>
    <row r="225" spans="1:20" x14ac:dyDescent="0.4">
      <c r="A225" s="1" t="s">
        <v>128</v>
      </c>
      <c r="B225" s="1" t="s">
        <v>1455</v>
      </c>
      <c r="C225" s="1" t="s">
        <v>1844</v>
      </c>
      <c r="D225" s="1" t="s">
        <v>1846</v>
      </c>
      <c r="E225">
        <v>20251204</v>
      </c>
      <c r="F225" s="1" t="s">
        <v>1469</v>
      </c>
      <c r="G225">
        <v>4</v>
      </c>
      <c r="H225" s="1" t="s">
        <v>1475</v>
      </c>
      <c r="I225" t="s">
        <v>1855</v>
      </c>
      <c r="J225" s="1" t="s">
        <v>1544</v>
      </c>
      <c r="K225" s="1" t="s">
        <v>1584</v>
      </c>
      <c r="L225" s="1" t="s">
        <v>1718</v>
      </c>
      <c r="M225" s="1" t="s">
        <v>1752</v>
      </c>
      <c r="N225" t="s">
        <v>1959</v>
      </c>
      <c r="O225" t="s">
        <v>2164</v>
      </c>
      <c r="P225" t="s">
        <v>3065</v>
      </c>
      <c r="Q225">
        <v>98.28</v>
      </c>
      <c r="R225" s="1" t="s">
        <v>1839</v>
      </c>
      <c r="S225">
        <v>2381</v>
      </c>
      <c r="T225">
        <v>234004</v>
      </c>
    </row>
    <row r="226" spans="1:20" x14ac:dyDescent="0.4">
      <c r="A226" s="1" t="s">
        <v>128</v>
      </c>
      <c r="B226" s="1" t="s">
        <v>1456</v>
      </c>
      <c r="C226" s="1" t="s">
        <v>1844</v>
      </c>
      <c r="D226" s="1" t="s">
        <v>1846</v>
      </c>
      <c r="E226">
        <v>20251204</v>
      </c>
      <c r="F226" s="1" t="s">
        <v>1469</v>
      </c>
      <c r="G226">
        <v>4</v>
      </c>
      <c r="H226" s="1" t="s">
        <v>1475</v>
      </c>
      <c r="I226" t="s">
        <v>1855</v>
      </c>
      <c r="J226" s="1" t="s">
        <v>1544</v>
      </c>
      <c r="K226" s="1" t="s">
        <v>1584</v>
      </c>
      <c r="L226" s="1" t="s">
        <v>1718</v>
      </c>
      <c r="M226" s="1" t="s">
        <v>1752</v>
      </c>
      <c r="N226" t="s">
        <v>1959</v>
      </c>
      <c r="O226" t="s">
        <v>2164</v>
      </c>
      <c r="P226" t="s">
        <v>3065</v>
      </c>
      <c r="Q226">
        <v>98.28</v>
      </c>
      <c r="R226" s="1" t="s">
        <v>1839</v>
      </c>
      <c r="S226">
        <v>2381</v>
      </c>
      <c r="T226">
        <v>234004</v>
      </c>
    </row>
    <row r="227" spans="1:20" x14ac:dyDescent="0.4">
      <c r="A227" s="1" t="s">
        <v>128</v>
      </c>
      <c r="B227" s="1" t="s">
        <v>1457</v>
      </c>
      <c r="C227" s="1" t="s">
        <v>1844</v>
      </c>
      <c r="D227" s="1" t="s">
        <v>1846</v>
      </c>
      <c r="E227">
        <v>20251204</v>
      </c>
      <c r="F227" s="1" t="s">
        <v>1469</v>
      </c>
      <c r="G227">
        <v>4</v>
      </c>
      <c r="H227" s="1" t="s">
        <v>1475</v>
      </c>
      <c r="I227" t="s">
        <v>1855</v>
      </c>
      <c r="J227" s="1" t="s">
        <v>1544</v>
      </c>
      <c r="K227" s="1" t="s">
        <v>1584</v>
      </c>
      <c r="L227" s="1" t="s">
        <v>1718</v>
      </c>
      <c r="M227" s="1" t="s">
        <v>1752</v>
      </c>
      <c r="N227" t="s">
        <v>1959</v>
      </c>
      <c r="O227" t="s">
        <v>2164</v>
      </c>
      <c r="P227" t="s">
        <v>3065</v>
      </c>
      <c r="Q227">
        <v>88.45</v>
      </c>
      <c r="R227" s="1" t="s">
        <v>1839</v>
      </c>
      <c r="S227">
        <v>2381</v>
      </c>
      <c r="T227">
        <v>210599</v>
      </c>
    </row>
    <row r="228" spans="1:20" x14ac:dyDescent="0.4">
      <c r="A228" s="1" t="s">
        <v>129</v>
      </c>
      <c r="B228" s="1" t="s">
        <v>1453</v>
      </c>
      <c r="C228" s="1" t="s">
        <v>1844</v>
      </c>
      <c r="D228" s="1" t="s">
        <v>1846</v>
      </c>
      <c r="E228">
        <v>20251204</v>
      </c>
      <c r="F228" s="1" t="s">
        <v>1469</v>
      </c>
      <c r="G228">
        <v>4</v>
      </c>
      <c r="H228" s="1" t="s">
        <v>1475</v>
      </c>
      <c r="I228" t="s">
        <v>1855</v>
      </c>
      <c r="J228" s="1" t="s">
        <v>1544</v>
      </c>
      <c r="K228" s="1" t="s">
        <v>1584</v>
      </c>
      <c r="L228" s="1" t="s">
        <v>1718</v>
      </c>
      <c r="M228" s="1" t="s">
        <v>1753</v>
      </c>
      <c r="N228" t="s">
        <v>1959</v>
      </c>
      <c r="O228" t="s">
        <v>2164</v>
      </c>
      <c r="P228" t="s">
        <v>3066</v>
      </c>
      <c r="Q228">
        <v>116.48</v>
      </c>
      <c r="R228" s="1" t="s">
        <v>1839</v>
      </c>
      <c r="S228">
        <v>2381</v>
      </c>
      <c r="T228">
        <v>277338</v>
      </c>
    </row>
    <row r="229" spans="1:20" x14ac:dyDescent="0.4">
      <c r="A229" s="1" t="s">
        <v>129</v>
      </c>
      <c r="B229" s="1" t="s">
        <v>1454</v>
      </c>
      <c r="C229" s="1" t="s">
        <v>1844</v>
      </c>
      <c r="D229" s="1" t="s">
        <v>1846</v>
      </c>
      <c r="E229">
        <v>20251204</v>
      </c>
      <c r="F229" s="1" t="s">
        <v>1469</v>
      </c>
      <c r="G229">
        <v>4</v>
      </c>
      <c r="H229" s="1" t="s">
        <v>1475</v>
      </c>
      <c r="I229" t="s">
        <v>1855</v>
      </c>
      <c r="J229" s="1" t="s">
        <v>1544</v>
      </c>
      <c r="K229" s="1" t="s">
        <v>1584</v>
      </c>
      <c r="L229" s="1" t="s">
        <v>1718</v>
      </c>
      <c r="M229" s="1" t="s">
        <v>1753</v>
      </c>
      <c r="N229" t="s">
        <v>1959</v>
      </c>
      <c r="O229" t="s">
        <v>2164</v>
      </c>
      <c r="P229" t="s">
        <v>3066</v>
      </c>
      <c r="Q229">
        <v>116.48</v>
      </c>
      <c r="R229" s="1" t="s">
        <v>1839</v>
      </c>
      <c r="S229">
        <v>2381</v>
      </c>
      <c r="T229">
        <v>277338</v>
      </c>
    </row>
    <row r="230" spans="1:20" x14ac:dyDescent="0.4">
      <c r="A230" s="1" t="s">
        <v>129</v>
      </c>
      <c r="B230" s="1" t="s">
        <v>1455</v>
      </c>
      <c r="C230" s="1" t="s">
        <v>1844</v>
      </c>
      <c r="D230" s="1" t="s">
        <v>1846</v>
      </c>
      <c r="E230">
        <v>20251204</v>
      </c>
      <c r="F230" s="1" t="s">
        <v>1469</v>
      </c>
      <c r="G230">
        <v>4</v>
      </c>
      <c r="H230" s="1" t="s">
        <v>1475</v>
      </c>
      <c r="I230" t="s">
        <v>1855</v>
      </c>
      <c r="J230" s="1" t="s">
        <v>1544</v>
      </c>
      <c r="K230" s="1" t="s">
        <v>1584</v>
      </c>
      <c r="L230" s="1" t="s">
        <v>1718</v>
      </c>
      <c r="M230" s="1" t="s">
        <v>1753</v>
      </c>
      <c r="N230" t="s">
        <v>1959</v>
      </c>
      <c r="O230" t="s">
        <v>2164</v>
      </c>
      <c r="P230" t="s">
        <v>3066</v>
      </c>
      <c r="Q230">
        <v>116.48</v>
      </c>
      <c r="R230" s="1" t="s">
        <v>1839</v>
      </c>
      <c r="S230">
        <v>2381</v>
      </c>
      <c r="T230">
        <v>277338</v>
      </c>
    </row>
    <row r="231" spans="1:20" x14ac:dyDescent="0.4">
      <c r="A231" s="1" t="s">
        <v>129</v>
      </c>
      <c r="B231" s="1" t="s">
        <v>1456</v>
      </c>
      <c r="C231" s="1" t="s">
        <v>1844</v>
      </c>
      <c r="D231" s="1" t="s">
        <v>1846</v>
      </c>
      <c r="E231">
        <v>20251204</v>
      </c>
      <c r="F231" s="1" t="s">
        <v>1469</v>
      </c>
      <c r="G231">
        <v>4</v>
      </c>
      <c r="H231" s="1" t="s">
        <v>1475</v>
      </c>
      <c r="I231" t="s">
        <v>1855</v>
      </c>
      <c r="J231" s="1" t="s">
        <v>1544</v>
      </c>
      <c r="K231" s="1" t="s">
        <v>1584</v>
      </c>
      <c r="L231" s="1" t="s">
        <v>1718</v>
      </c>
      <c r="M231" s="1" t="s">
        <v>1753</v>
      </c>
      <c r="N231" t="s">
        <v>1959</v>
      </c>
      <c r="O231" t="s">
        <v>2164</v>
      </c>
      <c r="P231" t="s">
        <v>3066</v>
      </c>
      <c r="Q231">
        <v>116.48</v>
      </c>
      <c r="R231" s="1" t="s">
        <v>1839</v>
      </c>
      <c r="S231">
        <v>2381</v>
      </c>
      <c r="T231">
        <v>277338</v>
      </c>
    </row>
    <row r="232" spans="1:20" x14ac:dyDescent="0.4">
      <c r="A232" s="1" t="s">
        <v>129</v>
      </c>
      <c r="B232" s="1" t="s">
        <v>1457</v>
      </c>
      <c r="C232" s="1" t="s">
        <v>1844</v>
      </c>
      <c r="D232" s="1" t="s">
        <v>1846</v>
      </c>
      <c r="E232">
        <v>20251204</v>
      </c>
      <c r="F232" s="1" t="s">
        <v>1469</v>
      </c>
      <c r="G232">
        <v>4</v>
      </c>
      <c r="H232" s="1" t="s">
        <v>1475</v>
      </c>
      <c r="I232" t="s">
        <v>1855</v>
      </c>
      <c r="J232" s="1" t="s">
        <v>1544</v>
      </c>
      <c r="K232" s="1" t="s">
        <v>1584</v>
      </c>
      <c r="L232" s="1" t="s">
        <v>1718</v>
      </c>
      <c r="M232" s="1" t="s">
        <v>1753</v>
      </c>
      <c r="N232" t="s">
        <v>1959</v>
      </c>
      <c r="O232" t="s">
        <v>2164</v>
      </c>
      <c r="P232" t="s">
        <v>3066</v>
      </c>
      <c r="Q232">
        <v>94.27</v>
      </c>
      <c r="R232" s="1" t="s">
        <v>1839</v>
      </c>
      <c r="S232">
        <v>2381</v>
      </c>
      <c r="T232">
        <v>224456</v>
      </c>
    </row>
    <row r="233" spans="1:20" x14ac:dyDescent="0.4">
      <c r="A233" s="1" t="s">
        <v>130</v>
      </c>
      <c r="B233" s="1" t="s">
        <v>1453</v>
      </c>
      <c r="C233" s="1" t="s">
        <v>1844</v>
      </c>
      <c r="D233" s="1" t="s">
        <v>1846</v>
      </c>
      <c r="E233">
        <v>20251205</v>
      </c>
      <c r="F233" s="1" t="s">
        <v>1469</v>
      </c>
      <c r="G233">
        <v>4</v>
      </c>
      <c r="H233" s="1" t="s">
        <v>1475</v>
      </c>
      <c r="I233" t="s">
        <v>1855</v>
      </c>
      <c r="J233" s="1" t="s">
        <v>1544</v>
      </c>
      <c r="K233" s="1" t="s">
        <v>1585</v>
      </c>
      <c r="L233" s="1" t="s">
        <v>1718</v>
      </c>
      <c r="M233" s="1" t="s">
        <v>1754</v>
      </c>
      <c r="N233" t="s">
        <v>1960</v>
      </c>
      <c r="O233" t="s">
        <v>2164</v>
      </c>
      <c r="P233" t="s">
        <v>3067</v>
      </c>
      <c r="Q233">
        <v>120.12</v>
      </c>
      <c r="R233" s="1" t="s">
        <v>1839</v>
      </c>
      <c r="S233">
        <v>2852</v>
      </c>
      <c r="T233">
        <v>342582</v>
      </c>
    </row>
    <row r="234" spans="1:20" x14ac:dyDescent="0.4">
      <c r="A234" s="1" t="s">
        <v>130</v>
      </c>
      <c r="B234" s="1" t="s">
        <v>1454</v>
      </c>
      <c r="C234" s="1" t="s">
        <v>1844</v>
      </c>
      <c r="D234" s="1" t="s">
        <v>1846</v>
      </c>
      <c r="E234">
        <v>20251205</v>
      </c>
      <c r="F234" s="1" t="s">
        <v>1469</v>
      </c>
      <c r="G234">
        <v>4</v>
      </c>
      <c r="H234" s="1" t="s">
        <v>1475</v>
      </c>
      <c r="I234" t="s">
        <v>1855</v>
      </c>
      <c r="J234" s="1" t="s">
        <v>1544</v>
      </c>
      <c r="K234" s="1" t="s">
        <v>1585</v>
      </c>
      <c r="L234" s="1" t="s">
        <v>1718</v>
      </c>
      <c r="M234" s="1" t="s">
        <v>1754</v>
      </c>
      <c r="N234" t="s">
        <v>1960</v>
      </c>
      <c r="O234" t="s">
        <v>2164</v>
      </c>
      <c r="P234" t="s">
        <v>3067</v>
      </c>
      <c r="Q234">
        <v>120.12</v>
      </c>
      <c r="R234" s="1" t="s">
        <v>1839</v>
      </c>
      <c r="S234">
        <v>2852</v>
      </c>
      <c r="T234">
        <v>342582</v>
      </c>
    </row>
    <row r="235" spans="1:20" x14ac:dyDescent="0.4">
      <c r="A235" s="1" t="s">
        <v>130</v>
      </c>
      <c r="B235" s="1" t="s">
        <v>1455</v>
      </c>
      <c r="C235" s="1" t="s">
        <v>1844</v>
      </c>
      <c r="D235" s="1" t="s">
        <v>1846</v>
      </c>
      <c r="E235">
        <v>20251205</v>
      </c>
      <c r="F235" s="1" t="s">
        <v>1469</v>
      </c>
      <c r="G235">
        <v>4</v>
      </c>
      <c r="H235" s="1" t="s">
        <v>1475</v>
      </c>
      <c r="I235" t="s">
        <v>1855</v>
      </c>
      <c r="J235" s="1" t="s">
        <v>1544</v>
      </c>
      <c r="K235" s="1" t="s">
        <v>1585</v>
      </c>
      <c r="L235" s="1" t="s">
        <v>1718</v>
      </c>
      <c r="M235" s="1" t="s">
        <v>1754</v>
      </c>
      <c r="N235" t="s">
        <v>1960</v>
      </c>
      <c r="O235" t="s">
        <v>2164</v>
      </c>
      <c r="P235" t="s">
        <v>3067</v>
      </c>
      <c r="Q235">
        <v>115.75</v>
      </c>
      <c r="R235" s="1" t="s">
        <v>1839</v>
      </c>
      <c r="S235">
        <v>2852</v>
      </c>
      <c r="T235">
        <v>330119</v>
      </c>
    </row>
    <row r="236" spans="1:20" x14ac:dyDescent="0.4">
      <c r="A236" s="1" t="s">
        <v>130</v>
      </c>
      <c r="B236" s="1" t="s">
        <v>1456</v>
      </c>
      <c r="C236" s="1" t="s">
        <v>1844</v>
      </c>
      <c r="D236" s="1" t="s">
        <v>1846</v>
      </c>
      <c r="E236">
        <v>20251205</v>
      </c>
      <c r="F236" s="1" t="s">
        <v>1469</v>
      </c>
      <c r="G236">
        <v>4</v>
      </c>
      <c r="H236" s="1" t="s">
        <v>1475</v>
      </c>
      <c r="I236" t="s">
        <v>1855</v>
      </c>
      <c r="J236" s="1" t="s">
        <v>1544</v>
      </c>
      <c r="K236" s="1" t="s">
        <v>1585</v>
      </c>
      <c r="L236" s="1" t="s">
        <v>1718</v>
      </c>
      <c r="M236" s="1" t="s">
        <v>1754</v>
      </c>
      <c r="N236" t="s">
        <v>1960</v>
      </c>
      <c r="O236" t="s">
        <v>2164</v>
      </c>
      <c r="P236" t="s">
        <v>3067</v>
      </c>
      <c r="Q236">
        <v>101.92</v>
      </c>
      <c r="R236" s="1" t="s">
        <v>1839</v>
      </c>
      <c r="S236">
        <v>2852</v>
      </c>
      <c r="T236">
        <v>290675</v>
      </c>
    </row>
    <row r="237" spans="1:20" x14ac:dyDescent="0.4">
      <c r="A237" s="1" t="s">
        <v>130</v>
      </c>
      <c r="B237" s="1" t="s">
        <v>1457</v>
      </c>
      <c r="C237" s="1" t="s">
        <v>1844</v>
      </c>
      <c r="D237" s="1" t="s">
        <v>1846</v>
      </c>
      <c r="E237">
        <v>20251205</v>
      </c>
      <c r="F237" s="1" t="s">
        <v>1469</v>
      </c>
      <c r="G237">
        <v>4</v>
      </c>
      <c r="H237" s="1" t="s">
        <v>1475</v>
      </c>
      <c r="I237" t="s">
        <v>1855</v>
      </c>
      <c r="J237" s="1" t="s">
        <v>1544</v>
      </c>
      <c r="K237" s="1" t="s">
        <v>1585</v>
      </c>
      <c r="L237" s="1" t="s">
        <v>1718</v>
      </c>
      <c r="M237" s="1" t="s">
        <v>1754</v>
      </c>
      <c r="N237" t="s">
        <v>1960</v>
      </c>
      <c r="O237" t="s">
        <v>2164</v>
      </c>
      <c r="P237" t="s">
        <v>3067</v>
      </c>
      <c r="Q237">
        <v>101.92</v>
      </c>
      <c r="R237" s="1" t="s">
        <v>1839</v>
      </c>
      <c r="S237">
        <v>2852</v>
      </c>
      <c r="T237">
        <v>290675</v>
      </c>
    </row>
    <row r="238" spans="1:20" x14ac:dyDescent="0.4">
      <c r="A238" s="1" t="s">
        <v>130</v>
      </c>
      <c r="B238" s="1" t="s">
        <v>1458</v>
      </c>
      <c r="C238" s="1" t="s">
        <v>1844</v>
      </c>
      <c r="D238" s="1" t="s">
        <v>1846</v>
      </c>
      <c r="E238">
        <v>20251205</v>
      </c>
      <c r="F238" s="1" t="s">
        <v>1469</v>
      </c>
      <c r="G238">
        <v>4</v>
      </c>
      <c r="H238" s="1" t="s">
        <v>1475</v>
      </c>
      <c r="I238" t="s">
        <v>1855</v>
      </c>
      <c r="J238" s="1" t="s">
        <v>1544</v>
      </c>
      <c r="K238" s="1" t="s">
        <v>1585</v>
      </c>
      <c r="L238" s="1" t="s">
        <v>1718</v>
      </c>
      <c r="M238" s="1" t="s">
        <v>1754</v>
      </c>
      <c r="N238" t="s">
        <v>1960</v>
      </c>
      <c r="O238" t="s">
        <v>2164</v>
      </c>
      <c r="P238" t="s">
        <v>3067</v>
      </c>
      <c r="Q238">
        <v>97.18</v>
      </c>
      <c r="R238" s="1" t="s">
        <v>1839</v>
      </c>
      <c r="S238">
        <v>2852</v>
      </c>
      <c r="T238">
        <v>277157</v>
      </c>
    </row>
    <row r="239" spans="1:20" x14ac:dyDescent="0.4">
      <c r="A239" s="1" t="s">
        <v>130</v>
      </c>
      <c r="B239" s="1" t="s">
        <v>1459</v>
      </c>
      <c r="C239" s="1" t="s">
        <v>1844</v>
      </c>
      <c r="D239" s="1" t="s">
        <v>1846</v>
      </c>
      <c r="E239">
        <v>20251205</v>
      </c>
      <c r="F239" s="1" t="s">
        <v>1469</v>
      </c>
      <c r="G239">
        <v>4</v>
      </c>
      <c r="H239" s="1" t="s">
        <v>1475</v>
      </c>
      <c r="I239" t="s">
        <v>1855</v>
      </c>
      <c r="J239" s="1" t="s">
        <v>1544</v>
      </c>
      <c r="K239" s="1" t="s">
        <v>1585</v>
      </c>
      <c r="L239" s="1" t="s">
        <v>1718</v>
      </c>
      <c r="M239" s="1" t="s">
        <v>1754</v>
      </c>
      <c r="N239" t="s">
        <v>1960</v>
      </c>
      <c r="O239" t="s">
        <v>2164</v>
      </c>
      <c r="P239" t="s">
        <v>3067</v>
      </c>
      <c r="Q239">
        <v>36.4</v>
      </c>
      <c r="R239" s="1" t="s">
        <v>1839</v>
      </c>
      <c r="S239">
        <v>2852</v>
      </c>
      <c r="T239">
        <v>103812</v>
      </c>
    </row>
    <row r="240" spans="1:20" x14ac:dyDescent="0.4">
      <c r="A240" s="1" t="s">
        <v>130</v>
      </c>
      <c r="B240" s="1" t="s">
        <v>1460</v>
      </c>
      <c r="C240" s="1" t="s">
        <v>1844</v>
      </c>
      <c r="D240" s="1" t="s">
        <v>1846</v>
      </c>
      <c r="E240">
        <v>20251205</v>
      </c>
      <c r="F240" s="1" t="s">
        <v>1469</v>
      </c>
      <c r="G240">
        <v>4</v>
      </c>
      <c r="H240" s="1" t="s">
        <v>1475</v>
      </c>
      <c r="I240" t="s">
        <v>1855</v>
      </c>
      <c r="J240" s="1" t="s">
        <v>1544</v>
      </c>
      <c r="K240" s="1" t="s">
        <v>1585</v>
      </c>
      <c r="L240" s="1" t="s">
        <v>1718</v>
      </c>
      <c r="M240" s="1" t="s">
        <v>1754</v>
      </c>
      <c r="N240" t="s">
        <v>1960</v>
      </c>
      <c r="O240" t="s">
        <v>2164</v>
      </c>
      <c r="P240" t="s">
        <v>3067</v>
      </c>
      <c r="Q240">
        <v>21.84</v>
      </c>
      <c r="R240" s="1" t="s">
        <v>1839</v>
      </c>
      <c r="S240">
        <v>2852</v>
      </c>
      <c r="T240">
        <v>62287</v>
      </c>
    </row>
    <row r="241" spans="1:20" x14ac:dyDescent="0.4">
      <c r="A241" s="1" t="s">
        <v>130</v>
      </c>
      <c r="B241" s="1" t="s">
        <v>1461</v>
      </c>
      <c r="C241" s="1" t="s">
        <v>1844</v>
      </c>
      <c r="D241" s="1" t="s">
        <v>1846</v>
      </c>
      <c r="E241">
        <v>20251205</v>
      </c>
      <c r="F241" s="1" t="s">
        <v>1469</v>
      </c>
      <c r="G241">
        <v>4</v>
      </c>
      <c r="H241" s="1" t="s">
        <v>1475</v>
      </c>
      <c r="I241" t="s">
        <v>1855</v>
      </c>
      <c r="J241" s="1" t="s">
        <v>1544</v>
      </c>
      <c r="K241" s="1" t="s">
        <v>1585</v>
      </c>
      <c r="L241" s="1" t="s">
        <v>1718</v>
      </c>
      <c r="M241" s="1" t="s">
        <v>1754</v>
      </c>
      <c r="N241" t="s">
        <v>1960</v>
      </c>
      <c r="O241" t="s">
        <v>2164</v>
      </c>
      <c r="P241" t="s">
        <v>3067</v>
      </c>
      <c r="Q241">
        <v>123.76</v>
      </c>
      <c r="R241" s="1" t="s">
        <v>1839</v>
      </c>
      <c r="S241">
        <v>2852</v>
      </c>
      <c r="T241">
        <v>352963</v>
      </c>
    </row>
    <row r="242" spans="1:20" x14ac:dyDescent="0.4">
      <c r="A242" s="1" t="s">
        <v>130</v>
      </c>
      <c r="B242" s="1" t="s">
        <v>1462</v>
      </c>
      <c r="C242" s="1" t="s">
        <v>1844</v>
      </c>
      <c r="D242" s="1" t="s">
        <v>1846</v>
      </c>
      <c r="E242">
        <v>20251205</v>
      </c>
      <c r="F242" s="1" t="s">
        <v>1469</v>
      </c>
      <c r="G242">
        <v>4</v>
      </c>
      <c r="H242" s="1" t="s">
        <v>1475</v>
      </c>
      <c r="I242" t="s">
        <v>1855</v>
      </c>
      <c r="J242" s="1" t="s">
        <v>1544</v>
      </c>
      <c r="K242" s="1" t="s">
        <v>1585</v>
      </c>
      <c r="L242" s="1" t="s">
        <v>1718</v>
      </c>
      <c r="M242" s="1" t="s">
        <v>1754</v>
      </c>
      <c r="N242" t="s">
        <v>1960</v>
      </c>
      <c r="O242" t="s">
        <v>2164</v>
      </c>
      <c r="P242" t="s">
        <v>3067</v>
      </c>
      <c r="Q242">
        <v>123.76</v>
      </c>
      <c r="R242" s="1" t="s">
        <v>1839</v>
      </c>
      <c r="S242">
        <v>2852</v>
      </c>
      <c r="T242">
        <v>352963</v>
      </c>
    </row>
    <row r="243" spans="1:20" x14ac:dyDescent="0.4">
      <c r="A243" s="1" t="s">
        <v>130</v>
      </c>
      <c r="B243" s="1" t="s">
        <v>1463</v>
      </c>
      <c r="C243" s="1" t="s">
        <v>1844</v>
      </c>
      <c r="D243" s="1" t="s">
        <v>1846</v>
      </c>
      <c r="E243">
        <v>20251205</v>
      </c>
      <c r="F243" s="1" t="s">
        <v>1469</v>
      </c>
      <c r="G243">
        <v>4</v>
      </c>
      <c r="H243" s="1" t="s">
        <v>1475</v>
      </c>
      <c r="I243" t="s">
        <v>1855</v>
      </c>
      <c r="J243" s="1" t="s">
        <v>1544</v>
      </c>
      <c r="K243" s="1" t="s">
        <v>1585</v>
      </c>
      <c r="L243" s="1" t="s">
        <v>1718</v>
      </c>
      <c r="M243" s="1" t="s">
        <v>1754</v>
      </c>
      <c r="N243" t="s">
        <v>1960</v>
      </c>
      <c r="O243" t="s">
        <v>2164</v>
      </c>
      <c r="P243" t="s">
        <v>3067</v>
      </c>
      <c r="Q243">
        <v>123.76</v>
      </c>
      <c r="R243" s="1" t="s">
        <v>1839</v>
      </c>
      <c r="S243">
        <v>2852</v>
      </c>
      <c r="T243">
        <v>352963</v>
      </c>
    </row>
    <row r="244" spans="1:20" x14ac:dyDescent="0.4">
      <c r="A244" s="1" t="s">
        <v>131</v>
      </c>
      <c r="B244" s="1" t="s">
        <v>1453</v>
      </c>
      <c r="C244" s="1" t="s">
        <v>1844</v>
      </c>
      <c r="D244" s="1" t="s">
        <v>1846</v>
      </c>
      <c r="E244">
        <v>20251205</v>
      </c>
      <c r="F244" s="1" t="s">
        <v>1469</v>
      </c>
      <c r="G244">
        <v>4</v>
      </c>
      <c r="H244" s="1" t="s">
        <v>1475</v>
      </c>
      <c r="I244" t="s">
        <v>1855</v>
      </c>
      <c r="J244" s="1" t="s">
        <v>1544</v>
      </c>
      <c r="K244" s="1" t="s">
        <v>1585</v>
      </c>
      <c r="L244" s="1" t="s">
        <v>1718</v>
      </c>
      <c r="M244" s="1" t="s">
        <v>1754</v>
      </c>
      <c r="N244" t="s">
        <v>1960</v>
      </c>
      <c r="O244" t="s">
        <v>2164</v>
      </c>
      <c r="P244" t="s">
        <v>3067</v>
      </c>
      <c r="Q244">
        <v>115.75</v>
      </c>
      <c r="R244" s="1" t="s">
        <v>1839</v>
      </c>
      <c r="S244">
        <v>2852</v>
      </c>
      <c r="T244">
        <v>330119</v>
      </c>
    </row>
    <row r="245" spans="1:20" x14ac:dyDescent="0.4">
      <c r="A245" s="1" t="s">
        <v>132</v>
      </c>
      <c r="B245" s="1" t="s">
        <v>1453</v>
      </c>
      <c r="C245" s="1" t="s">
        <v>1844</v>
      </c>
      <c r="D245" s="1" t="s">
        <v>1846</v>
      </c>
      <c r="E245">
        <v>20251205</v>
      </c>
      <c r="F245" s="1" t="s">
        <v>1469</v>
      </c>
      <c r="G245">
        <v>4</v>
      </c>
      <c r="H245" s="1" t="s">
        <v>1475</v>
      </c>
      <c r="I245" t="s">
        <v>1855</v>
      </c>
      <c r="J245" s="1" t="s">
        <v>1544</v>
      </c>
      <c r="K245" s="1" t="s">
        <v>1586</v>
      </c>
      <c r="L245" s="1" t="s">
        <v>1718</v>
      </c>
      <c r="M245" s="1" t="s">
        <v>1755</v>
      </c>
      <c r="N245" t="s">
        <v>1961</v>
      </c>
      <c r="O245" t="s">
        <v>2164</v>
      </c>
      <c r="P245" t="s">
        <v>3068</v>
      </c>
      <c r="Q245">
        <v>127.4</v>
      </c>
      <c r="R245" s="1" t="s">
        <v>1839</v>
      </c>
      <c r="S245">
        <v>1981</v>
      </c>
      <c r="T245">
        <v>252379</v>
      </c>
    </row>
    <row r="246" spans="1:20" x14ac:dyDescent="0.4">
      <c r="A246" s="1" t="s">
        <v>132</v>
      </c>
      <c r="B246" s="1" t="s">
        <v>1454</v>
      </c>
      <c r="C246" s="1" t="s">
        <v>1844</v>
      </c>
      <c r="D246" s="1" t="s">
        <v>1846</v>
      </c>
      <c r="E246">
        <v>20251205</v>
      </c>
      <c r="F246" s="1" t="s">
        <v>1469</v>
      </c>
      <c r="G246">
        <v>4</v>
      </c>
      <c r="H246" s="1" t="s">
        <v>1475</v>
      </c>
      <c r="I246" t="s">
        <v>1855</v>
      </c>
      <c r="J246" s="1" t="s">
        <v>1544</v>
      </c>
      <c r="K246" s="1" t="s">
        <v>1586</v>
      </c>
      <c r="L246" s="1" t="s">
        <v>1718</v>
      </c>
      <c r="M246" s="1" t="s">
        <v>1755</v>
      </c>
      <c r="N246" t="s">
        <v>1961</v>
      </c>
      <c r="O246" t="s">
        <v>2164</v>
      </c>
      <c r="P246" t="s">
        <v>3068</v>
      </c>
      <c r="Q246">
        <v>127.4</v>
      </c>
      <c r="R246" s="1" t="s">
        <v>1839</v>
      </c>
      <c r="S246">
        <v>1981</v>
      </c>
      <c r="T246">
        <v>252379</v>
      </c>
    </row>
    <row r="247" spans="1:20" x14ac:dyDescent="0.4">
      <c r="A247" s="1" t="s">
        <v>132</v>
      </c>
      <c r="B247" s="1" t="s">
        <v>1455</v>
      </c>
      <c r="C247" s="1" t="s">
        <v>1844</v>
      </c>
      <c r="D247" s="1" t="s">
        <v>1846</v>
      </c>
      <c r="E247">
        <v>20251205</v>
      </c>
      <c r="F247" s="1" t="s">
        <v>1469</v>
      </c>
      <c r="G247">
        <v>4</v>
      </c>
      <c r="H247" s="1" t="s">
        <v>1475</v>
      </c>
      <c r="I247" t="s">
        <v>1855</v>
      </c>
      <c r="J247" s="1" t="s">
        <v>1544</v>
      </c>
      <c r="K247" s="1" t="s">
        <v>1586</v>
      </c>
      <c r="L247" s="1" t="s">
        <v>1718</v>
      </c>
      <c r="M247" s="1" t="s">
        <v>1755</v>
      </c>
      <c r="N247" t="s">
        <v>1961</v>
      </c>
      <c r="O247" t="s">
        <v>2164</v>
      </c>
      <c r="P247" t="s">
        <v>3068</v>
      </c>
      <c r="Q247">
        <v>127.4</v>
      </c>
      <c r="R247" s="1" t="s">
        <v>1839</v>
      </c>
      <c r="S247">
        <v>1981</v>
      </c>
      <c r="T247">
        <v>252379</v>
      </c>
    </row>
    <row r="248" spans="1:20" x14ac:dyDescent="0.4">
      <c r="A248" s="1" t="s">
        <v>132</v>
      </c>
      <c r="B248" s="1" t="s">
        <v>1456</v>
      </c>
      <c r="C248" s="1" t="s">
        <v>1844</v>
      </c>
      <c r="D248" s="1" t="s">
        <v>1846</v>
      </c>
      <c r="E248">
        <v>20251205</v>
      </c>
      <c r="F248" s="1" t="s">
        <v>1469</v>
      </c>
      <c r="G248">
        <v>4</v>
      </c>
      <c r="H248" s="1" t="s">
        <v>1475</v>
      </c>
      <c r="I248" t="s">
        <v>1855</v>
      </c>
      <c r="J248" s="1" t="s">
        <v>1544</v>
      </c>
      <c r="K248" s="1" t="s">
        <v>1586</v>
      </c>
      <c r="L248" s="1" t="s">
        <v>1718</v>
      </c>
      <c r="M248" s="1" t="s">
        <v>1755</v>
      </c>
      <c r="N248" t="s">
        <v>1961</v>
      </c>
      <c r="O248" t="s">
        <v>2164</v>
      </c>
      <c r="P248" t="s">
        <v>3068</v>
      </c>
      <c r="Q248">
        <v>115.02</v>
      </c>
      <c r="R248" s="1" t="s">
        <v>1839</v>
      </c>
      <c r="S248">
        <v>1981</v>
      </c>
      <c r="T248">
        <v>227854</v>
      </c>
    </row>
    <row r="249" spans="1:20" x14ac:dyDescent="0.4">
      <c r="A249" s="1" t="s">
        <v>133</v>
      </c>
      <c r="B249" s="1" t="s">
        <v>1453</v>
      </c>
      <c r="C249" s="1" t="s">
        <v>1844</v>
      </c>
      <c r="D249" s="1" t="s">
        <v>1846</v>
      </c>
      <c r="E249">
        <v>20251205</v>
      </c>
      <c r="F249" s="1" t="s">
        <v>1469</v>
      </c>
      <c r="G249">
        <v>4</v>
      </c>
      <c r="H249" s="1" t="s">
        <v>1475</v>
      </c>
      <c r="I249" t="s">
        <v>1855</v>
      </c>
      <c r="J249" s="1" t="s">
        <v>1544</v>
      </c>
      <c r="K249" s="1" t="s">
        <v>1586</v>
      </c>
      <c r="L249" s="1" t="s">
        <v>1718</v>
      </c>
      <c r="M249" s="1" t="s">
        <v>1756</v>
      </c>
      <c r="N249" t="s">
        <v>1961</v>
      </c>
      <c r="O249" t="s">
        <v>2164</v>
      </c>
      <c r="P249" t="s">
        <v>3069</v>
      </c>
      <c r="Q249">
        <v>120.12</v>
      </c>
      <c r="R249" s="1" t="s">
        <v>1839</v>
      </c>
      <c r="S249">
        <v>1981</v>
      </c>
      <c r="T249">
        <v>237957</v>
      </c>
    </row>
    <row r="250" spans="1:20" x14ac:dyDescent="0.4">
      <c r="A250" s="1" t="s">
        <v>133</v>
      </c>
      <c r="B250" s="1" t="s">
        <v>1454</v>
      </c>
      <c r="C250" s="1" t="s">
        <v>1844</v>
      </c>
      <c r="D250" s="1" t="s">
        <v>1846</v>
      </c>
      <c r="E250">
        <v>20251205</v>
      </c>
      <c r="F250" s="1" t="s">
        <v>1469</v>
      </c>
      <c r="G250">
        <v>4</v>
      </c>
      <c r="H250" s="1" t="s">
        <v>1475</v>
      </c>
      <c r="I250" t="s">
        <v>1855</v>
      </c>
      <c r="J250" s="1" t="s">
        <v>1544</v>
      </c>
      <c r="K250" s="1" t="s">
        <v>1586</v>
      </c>
      <c r="L250" s="1" t="s">
        <v>1718</v>
      </c>
      <c r="M250" s="1" t="s">
        <v>1756</v>
      </c>
      <c r="N250" t="s">
        <v>1961</v>
      </c>
      <c r="O250" t="s">
        <v>2164</v>
      </c>
      <c r="P250" t="s">
        <v>3069</v>
      </c>
      <c r="Q250">
        <v>120.12</v>
      </c>
      <c r="R250" s="1" t="s">
        <v>1839</v>
      </c>
      <c r="S250">
        <v>1981</v>
      </c>
      <c r="T250">
        <v>237957</v>
      </c>
    </row>
    <row r="251" spans="1:20" x14ac:dyDescent="0.4">
      <c r="A251" s="1" t="s">
        <v>133</v>
      </c>
      <c r="B251" s="1" t="s">
        <v>1455</v>
      </c>
      <c r="C251" s="1" t="s">
        <v>1844</v>
      </c>
      <c r="D251" s="1" t="s">
        <v>1846</v>
      </c>
      <c r="E251">
        <v>20251205</v>
      </c>
      <c r="F251" s="1" t="s">
        <v>1469</v>
      </c>
      <c r="G251">
        <v>4</v>
      </c>
      <c r="H251" s="1" t="s">
        <v>1475</v>
      </c>
      <c r="I251" t="s">
        <v>1855</v>
      </c>
      <c r="J251" s="1" t="s">
        <v>1544</v>
      </c>
      <c r="K251" s="1" t="s">
        <v>1586</v>
      </c>
      <c r="L251" s="1" t="s">
        <v>1718</v>
      </c>
      <c r="M251" s="1" t="s">
        <v>1756</v>
      </c>
      <c r="N251" t="s">
        <v>1961</v>
      </c>
      <c r="O251" t="s">
        <v>2164</v>
      </c>
      <c r="P251" t="s">
        <v>3069</v>
      </c>
      <c r="Q251">
        <v>120.12</v>
      </c>
      <c r="R251" s="1" t="s">
        <v>1839</v>
      </c>
      <c r="S251">
        <v>1981</v>
      </c>
      <c r="T251">
        <v>237957</v>
      </c>
    </row>
    <row r="252" spans="1:20" x14ac:dyDescent="0.4">
      <c r="A252" s="1" t="s">
        <v>133</v>
      </c>
      <c r="B252" s="1" t="s">
        <v>1456</v>
      </c>
      <c r="C252" s="1" t="s">
        <v>1844</v>
      </c>
      <c r="D252" s="1" t="s">
        <v>1846</v>
      </c>
      <c r="E252">
        <v>20251205</v>
      </c>
      <c r="F252" s="1" t="s">
        <v>1469</v>
      </c>
      <c r="G252">
        <v>4</v>
      </c>
      <c r="H252" s="1" t="s">
        <v>1475</v>
      </c>
      <c r="I252" t="s">
        <v>1855</v>
      </c>
      <c r="J252" s="1" t="s">
        <v>1544</v>
      </c>
      <c r="K252" s="1" t="s">
        <v>1586</v>
      </c>
      <c r="L252" s="1" t="s">
        <v>1718</v>
      </c>
      <c r="M252" s="1" t="s">
        <v>1756</v>
      </c>
      <c r="N252" t="s">
        <v>1961</v>
      </c>
      <c r="O252" t="s">
        <v>2164</v>
      </c>
      <c r="P252" t="s">
        <v>3069</v>
      </c>
      <c r="Q252">
        <v>113.56</v>
      </c>
      <c r="R252" s="1" t="s">
        <v>1839</v>
      </c>
      <c r="S252">
        <v>1981</v>
      </c>
      <c r="T252">
        <v>224962</v>
      </c>
    </row>
    <row r="253" spans="1:20" x14ac:dyDescent="0.4">
      <c r="A253" s="1" t="s">
        <v>134</v>
      </c>
      <c r="B253" s="1" t="s">
        <v>1453</v>
      </c>
      <c r="C253" s="1" t="s">
        <v>1844</v>
      </c>
      <c r="D253" s="1" t="s">
        <v>1731</v>
      </c>
      <c r="E253">
        <v>20251205</v>
      </c>
      <c r="F253" s="1" t="s">
        <v>1469</v>
      </c>
      <c r="G253">
        <v>1</v>
      </c>
      <c r="H253" s="1" t="s">
        <v>1475</v>
      </c>
      <c r="I253" t="s">
        <v>1855</v>
      </c>
      <c r="J253" s="1" t="s">
        <v>1544</v>
      </c>
      <c r="K253" s="1" t="s">
        <v>1587</v>
      </c>
      <c r="L253" s="1" t="s">
        <v>1716</v>
      </c>
      <c r="M253" s="1" t="s">
        <v>1737</v>
      </c>
      <c r="N253" t="s">
        <v>1962</v>
      </c>
      <c r="O253" t="s">
        <v>2162</v>
      </c>
      <c r="P253" t="s">
        <v>3070</v>
      </c>
      <c r="Q253">
        <v>5</v>
      </c>
      <c r="R253" s="1" t="s">
        <v>1463</v>
      </c>
      <c r="S253">
        <v>1595</v>
      </c>
      <c r="T253">
        <v>7975</v>
      </c>
    </row>
    <row r="254" spans="1:20" x14ac:dyDescent="0.4">
      <c r="A254" s="1" t="s">
        <v>134</v>
      </c>
      <c r="B254" s="1" t="s">
        <v>1454</v>
      </c>
      <c r="C254" s="1" t="s">
        <v>1844</v>
      </c>
      <c r="D254" s="1" t="s">
        <v>1731</v>
      </c>
      <c r="E254">
        <v>20251205</v>
      </c>
      <c r="F254" s="1" t="s">
        <v>1469</v>
      </c>
      <c r="G254">
        <v>1</v>
      </c>
      <c r="H254" s="1" t="s">
        <v>1475</v>
      </c>
      <c r="I254" t="s">
        <v>1855</v>
      </c>
      <c r="J254" s="1" t="s">
        <v>1544</v>
      </c>
      <c r="K254" s="1" t="s">
        <v>1586</v>
      </c>
      <c r="L254" s="1" t="s">
        <v>1716</v>
      </c>
      <c r="M254" s="1" t="s">
        <v>1737</v>
      </c>
      <c r="N254" t="s">
        <v>1961</v>
      </c>
      <c r="O254" t="s">
        <v>2162</v>
      </c>
      <c r="P254" t="s">
        <v>3070</v>
      </c>
      <c r="Q254">
        <v>10.1</v>
      </c>
      <c r="R254" s="1" t="s">
        <v>1463</v>
      </c>
      <c r="S254">
        <v>1305</v>
      </c>
      <c r="T254">
        <v>13180</v>
      </c>
    </row>
    <row r="255" spans="1:20" x14ac:dyDescent="0.4">
      <c r="A255" s="1" t="s">
        <v>134</v>
      </c>
      <c r="B255" s="1" t="s">
        <v>1455</v>
      </c>
      <c r="C255" s="1" t="s">
        <v>1844</v>
      </c>
      <c r="D255" s="1" t="s">
        <v>1731</v>
      </c>
      <c r="E255">
        <v>20251205</v>
      </c>
      <c r="F255" s="1" t="s">
        <v>1469</v>
      </c>
      <c r="G255">
        <v>1</v>
      </c>
      <c r="H255" s="1" t="s">
        <v>1475</v>
      </c>
      <c r="I255" t="s">
        <v>1855</v>
      </c>
      <c r="J255" s="1" t="s">
        <v>1544</v>
      </c>
      <c r="K255" s="1" t="s">
        <v>1584</v>
      </c>
      <c r="L255" s="1" t="s">
        <v>1716</v>
      </c>
      <c r="M255" s="1" t="s">
        <v>1737</v>
      </c>
      <c r="N255" t="s">
        <v>1959</v>
      </c>
      <c r="O255" t="s">
        <v>2162</v>
      </c>
      <c r="P255" t="s">
        <v>3070</v>
      </c>
      <c r="Q255">
        <v>10.1</v>
      </c>
      <c r="R255" s="1" t="s">
        <v>1463</v>
      </c>
      <c r="S255">
        <v>1335</v>
      </c>
      <c r="T255">
        <v>13483</v>
      </c>
    </row>
    <row r="256" spans="1:20" x14ac:dyDescent="0.4">
      <c r="A256" s="1" t="s">
        <v>134</v>
      </c>
      <c r="B256" s="1" t="s">
        <v>1456</v>
      </c>
      <c r="C256" s="1" t="s">
        <v>1844</v>
      </c>
      <c r="D256" s="1" t="s">
        <v>1731</v>
      </c>
      <c r="E256">
        <v>20251205</v>
      </c>
      <c r="F256" s="1" t="s">
        <v>1469</v>
      </c>
      <c r="G256">
        <v>1</v>
      </c>
      <c r="H256" s="1" t="s">
        <v>1475</v>
      </c>
      <c r="I256" t="s">
        <v>1855</v>
      </c>
      <c r="J256" s="1" t="s">
        <v>1544</v>
      </c>
      <c r="K256" s="1" t="s">
        <v>1588</v>
      </c>
      <c r="L256" s="1" t="s">
        <v>1716</v>
      </c>
      <c r="M256" s="1" t="s">
        <v>1737</v>
      </c>
      <c r="N256" t="s">
        <v>1963</v>
      </c>
      <c r="O256" t="s">
        <v>2162</v>
      </c>
      <c r="P256" t="s">
        <v>3070</v>
      </c>
      <c r="Q256">
        <v>8.4</v>
      </c>
      <c r="R256" s="1" t="s">
        <v>1463</v>
      </c>
      <c r="S256">
        <v>1385</v>
      </c>
      <c r="T256">
        <v>11634</v>
      </c>
    </row>
    <row r="257" spans="1:20" x14ac:dyDescent="0.4">
      <c r="A257" s="1" t="s">
        <v>135</v>
      </c>
      <c r="B257" s="1" t="s">
        <v>1453</v>
      </c>
      <c r="C257" s="1" t="s">
        <v>1844</v>
      </c>
      <c r="D257" s="1" t="s">
        <v>1846</v>
      </c>
      <c r="E257">
        <v>20251205</v>
      </c>
      <c r="F257" s="1" t="s">
        <v>1469</v>
      </c>
      <c r="G257">
        <v>4</v>
      </c>
      <c r="H257" s="1" t="s">
        <v>1475</v>
      </c>
      <c r="I257" t="s">
        <v>1855</v>
      </c>
      <c r="J257" s="1" t="s">
        <v>1544</v>
      </c>
      <c r="K257" s="1" t="s">
        <v>1589</v>
      </c>
      <c r="L257" s="1" t="s">
        <v>1718</v>
      </c>
      <c r="M257" s="1" t="s">
        <v>1757</v>
      </c>
      <c r="N257" t="s">
        <v>1964</v>
      </c>
      <c r="O257" t="s">
        <v>2164</v>
      </c>
      <c r="P257" t="s">
        <v>3071</v>
      </c>
      <c r="Q257">
        <v>116.48</v>
      </c>
      <c r="R257" s="1" t="s">
        <v>1839</v>
      </c>
      <c r="S257">
        <v>1373</v>
      </c>
      <c r="T257">
        <v>159927</v>
      </c>
    </row>
    <row r="258" spans="1:20" x14ac:dyDescent="0.4">
      <c r="A258" s="1" t="s">
        <v>135</v>
      </c>
      <c r="B258" s="1" t="s">
        <v>1454</v>
      </c>
      <c r="C258" s="1" t="s">
        <v>1844</v>
      </c>
      <c r="D258" s="1" t="s">
        <v>1846</v>
      </c>
      <c r="E258">
        <v>20251205</v>
      </c>
      <c r="F258" s="1" t="s">
        <v>1469</v>
      </c>
      <c r="G258">
        <v>4</v>
      </c>
      <c r="H258" s="1" t="s">
        <v>1475</v>
      </c>
      <c r="I258" t="s">
        <v>1855</v>
      </c>
      <c r="J258" s="1" t="s">
        <v>1544</v>
      </c>
      <c r="K258" s="1" t="s">
        <v>1589</v>
      </c>
      <c r="L258" s="1" t="s">
        <v>1718</v>
      </c>
      <c r="M258" s="1" t="s">
        <v>1757</v>
      </c>
      <c r="N258" t="s">
        <v>1964</v>
      </c>
      <c r="O258" t="s">
        <v>2164</v>
      </c>
      <c r="P258" t="s">
        <v>3071</v>
      </c>
      <c r="Q258">
        <v>116.48</v>
      </c>
      <c r="R258" s="1" t="s">
        <v>1839</v>
      </c>
      <c r="S258">
        <v>1373</v>
      </c>
      <c r="T258">
        <v>159927</v>
      </c>
    </row>
    <row r="259" spans="1:20" x14ac:dyDescent="0.4">
      <c r="A259" s="1" t="s">
        <v>135</v>
      </c>
      <c r="B259" s="1" t="s">
        <v>1455</v>
      </c>
      <c r="C259" s="1" t="s">
        <v>1844</v>
      </c>
      <c r="D259" s="1" t="s">
        <v>1846</v>
      </c>
      <c r="E259">
        <v>20251205</v>
      </c>
      <c r="F259" s="1" t="s">
        <v>1469</v>
      </c>
      <c r="G259">
        <v>4</v>
      </c>
      <c r="H259" s="1" t="s">
        <v>1475</v>
      </c>
      <c r="I259" t="s">
        <v>1855</v>
      </c>
      <c r="J259" s="1" t="s">
        <v>1544</v>
      </c>
      <c r="K259" s="1" t="s">
        <v>1589</v>
      </c>
      <c r="L259" s="1" t="s">
        <v>1718</v>
      </c>
      <c r="M259" s="1" t="s">
        <v>1757</v>
      </c>
      <c r="N259" t="s">
        <v>1964</v>
      </c>
      <c r="O259" t="s">
        <v>2164</v>
      </c>
      <c r="P259" t="s">
        <v>3071</v>
      </c>
      <c r="Q259">
        <v>116.48</v>
      </c>
      <c r="R259" s="1" t="s">
        <v>1839</v>
      </c>
      <c r="S259">
        <v>1373</v>
      </c>
      <c r="T259">
        <v>159927</v>
      </c>
    </row>
    <row r="260" spans="1:20" x14ac:dyDescent="0.4">
      <c r="A260" s="1" t="s">
        <v>135</v>
      </c>
      <c r="B260" s="1" t="s">
        <v>1456</v>
      </c>
      <c r="C260" s="1" t="s">
        <v>1844</v>
      </c>
      <c r="D260" s="1" t="s">
        <v>1846</v>
      </c>
      <c r="E260">
        <v>20251205</v>
      </c>
      <c r="F260" s="1" t="s">
        <v>1469</v>
      </c>
      <c r="G260">
        <v>4</v>
      </c>
      <c r="H260" s="1" t="s">
        <v>1475</v>
      </c>
      <c r="I260" t="s">
        <v>1855</v>
      </c>
      <c r="J260" s="1" t="s">
        <v>1544</v>
      </c>
      <c r="K260" s="1" t="s">
        <v>1589</v>
      </c>
      <c r="L260" s="1" t="s">
        <v>1718</v>
      </c>
      <c r="M260" s="1" t="s">
        <v>1757</v>
      </c>
      <c r="N260" t="s">
        <v>1964</v>
      </c>
      <c r="O260" t="s">
        <v>2164</v>
      </c>
      <c r="P260" t="s">
        <v>3071</v>
      </c>
      <c r="Q260">
        <v>116.48</v>
      </c>
      <c r="R260" s="1" t="s">
        <v>1839</v>
      </c>
      <c r="S260">
        <v>1373</v>
      </c>
      <c r="T260">
        <v>159927</v>
      </c>
    </row>
    <row r="261" spans="1:20" x14ac:dyDescent="0.4">
      <c r="A261" s="1" t="s">
        <v>135</v>
      </c>
      <c r="B261" s="1" t="s">
        <v>1457</v>
      </c>
      <c r="C261" s="1" t="s">
        <v>1844</v>
      </c>
      <c r="D261" s="1" t="s">
        <v>1846</v>
      </c>
      <c r="E261">
        <v>20251205</v>
      </c>
      <c r="F261" s="1" t="s">
        <v>1469</v>
      </c>
      <c r="G261">
        <v>4</v>
      </c>
      <c r="H261" s="1" t="s">
        <v>1475</v>
      </c>
      <c r="I261" t="s">
        <v>1855</v>
      </c>
      <c r="J261" s="1" t="s">
        <v>1544</v>
      </c>
      <c r="K261" s="1" t="s">
        <v>1589</v>
      </c>
      <c r="L261" s="1" t="s">
        <v>1718</v>
      </c>
      <c r="M261" s="1" t="s">
        <v>1757</v>
      </c>
      <c r="N261" t="s">
        <v>1964</v>
      </c>
      <c r="O261" t="s">
        <v>2164</v>
      </c>
      <c r="P261" t="s">
        <v>3071</v>
      </c>
      <c r="Q261">
        <v>134.31</v>
      </c>
      <c r="R261" s="1" t="s">
        <v>1839</v>
      </c>
      <c r="S261">
        <v>1373</v>
      </c>
      <c r="T261">
        <v>184407</v>
      </c>
    </row>
    <row r="262" spans="1:20" x14ac:dyDescent="0.4">
      <c r="A262" s="1" t="s">
        <v>135</v>
      </c>
      <c r="B262" s="1" t="s">
        <v>1458</v>
      </c>
      <c r="C262" s="1" t="s">
        <v>1844</v>
      </c>
      <c r="D262" s="1" t="s">
        <v>1846</v>
      </c>
      <c r="E262">
        <v>20251205</v>
      </c>
      <c r="F262" s="1" t="s">
        <v>1469</v>
      </c>
      <c r="G262">
        <v>4</v>
      </c>
      <c r="H262" s="1" t="s">
        <v>1475</v>
      </c>
      <c r="I262" t="s">
        <v>1855</v>
      </c>
      <c r="J262" s="1" t="s">
        <v>1544</v>
      </c>
      <c r="K262" s="1" t="s">
        <v>1589</v>
      </c>
      <c r="L262" s="1" t="s">
        <v>1718</v>
      </c>
      <c r="M262" s="1" t="s">
        <v>1757</v>
      </c>
      <c r="N262" t="s">
        <v>1964</v>
      </c>
      <c r="O262" t="s">
        <v>2164</v>
      </c>
      <c r="P262" t="s">
        <v>3071</v>
      </c>
      <c r="Q262">
        <v>120.12</v>
      </c>
      <c r="R262" s="1" t="s">
        <v>1839</v>
      </c>
      <c r="S262">
        <v>1373</v>
      </c>
      <c r="T262">
        <v>164924</v>
      </c>
    </row>
    <row r="263" spans="1:20" x14ac:dyDescent="0.4">
      <c r="A263" s="1" t="s">
        <v>135</v>
      </c>
      <c r="B263" s="1" t="s">
        <v>1459</v>
      </c>
      <c r="C263" s="1" t="s">
        <v>1844</v>
      </c>
      <c r="D263" s="1" t="s">
        <v>1846</v>
      </c>
      <c r="E263">
        <v>20251205</v>
      </c>
      <c r="F263" s="1" t="s">
        <v>1469</v>
      </c>
      <c r="G263">
        <v>4</v>
      </c>
      <c r="H263" s="1" t="s">
        <v>1475</v>
      </c>
      <c r="I263" t="s">
        <v>1855</v>
      </c>
      <c r="J263" s="1" t="s">
        <v>1544</v>
      </c>
      <c r="K263" s="1" t="s">
        <v>1589</v>
      </c>
      <c r="L263" s="1" t="s">
        <v>1718</v>
      </c>
      <c r="M263" s="1" t="s">
        <v>1757</v>
      </c>
      <c r="N263" t="s">
        <v>1964</v>
      </c>
      <c r="O263" t="s">
        <v>2164</v>
      </c>
      <c r="P263" t="s">
        <v>3071</v>
      </c>
      <c r="Q263">
        <v>113.93</v>
      </c>
      <c r="R263" s="1" t="s">
        <v>1839</v>
      </c>
      <c r="S263">
        <v>1373</v>
      </c>
      <c r="T263">
        <v>156425</v>
      </c>
    </row>
    <row r="264" spans="1:20" x14ac:dyDescent="0.4">
      <c r="A264" s="1" t="s">
        <v>135</v>
      </c>
      <c r="B264" s="1" t="s">
        <v>1460</v>
      </c>
      <c r="C264" s="1" t="s">
        <v>1844</v>
      </c>
      <c r="D264" s="1" t="s">
        <v>1846</v>
      </c>
      <c r="E264">
        <v>20251205</v>
      </c>
      <c r="F264" s="1" t="s">
        <v>1469</v>
      </c>
      <c r="G264">
        <v>4</v>
      </c>
      <c r="H264" s="1" t="s">
        <v>1475</v>
      </c>
      <c r="I264" t="s">
        <v>1855</v>
      </c>
      <c r="J264" s="1" t="s">
        <v>1544</v>
      </c>
      <c r="K264" s="1" t="s">
        <v>1589</v>
      </c>
      <c r="L264" s="1" t="s">
        <v>1718</v>
      </c>
      <c r="M264" s="1" t="s">
        <v>1757</v>
      </c>
      <c r="N264" t="s">
        <v>1964</v>
      </c>
      <c r="O264" t="s">
        <v>2164</v>
      </c>
      <c r="P264" t="s">
        <v>3071</v>
      </c>
      <c r="Q264">
        <v>116.48</v>
      </c>
      <c r="R264" s="1" t="s">
        <v>1839</v>
      </c>
      <c r="S264">
        <v>1373</v>
      </c>
      <c r="T264">
        <v>159927</v>
      </c>
    </row>
    <row r="265" spans="1:20" x14ac:dyDescent="0.4">
      <c r="A265" s="1" t="s">
        <v>135</v>
      </c>
      <c r="B265" s="1" t="s">
        <v>1461</v>
      </c>
      <c r="C265" s="1" t="s">
        <v>1844</v>
      </c>
      <c r="D265" s="1" t="s">
        <v>1846</v>
      </c>
      <c r="E265">
        <v>20251205</v>
      </c>
      <c r="F265" s="1" t="s">
        <v>1469</v>
      </c>
      <c r="G265">
        <v>4</v>
      </c>
      <c r="H265" s="1" t="s">
        <v>1475</v>
      </c>
      <c r="I265" t="s">
        <v>1855</v>
      </c>
      <c r="J265" s="1" t="s">
        <v>1544</v>
      </c>
      <c r="K265" s="1" t="s">
        <v>1589</v>
      </c>
      <c r="L265" s="1" t="s">
        <v>1718</v>
      </c>
      <c r="M265" s="1" t="s">
        <v>1757</v>
      </c>
      <c r="N265" t="s">
        <v>1964</v>
      </c>
      <c r="O265" t="s">
        <v>2164</v>
      </c>
      <c r="P265" t="s">
        <v>3071</v>
      </c>
      <c r="Q265">
        <v>116.48</v>
      </c>
      <c r="R265" s="1" t="s">
        <v>1839</v>
      </c>
      <c r="S265">
        <v>1373</v>
      </c>
      <c r="T265">
        <v>159927</v>
      </c>
    </row>
    <row r="266" spans="1:20" x14ac:dyDescent="0.4">
      <c r="A266" s="1" t="s">
        <v>135</v>
      </c>
      <c r="B266" s="1" t="s">
        <v>1462</v>
      </c>
      <c r="C266" s="1" t="s">
        <v>1844</v>
      </c>
      <c r="D266" s="1" t="s">
        <v>1846</v>
      </c>
      <c r="E266">
        <v>20251205</v>
      </c>
      <c r="F266" s="1" t="s">
        <v>1469</v>
      </c>
      <c r="G266">
        <v>4</v>
      </c>
      <c r="H266" s="1" t="s">
        <v>1475</v>
      </c>
      <c r="I266" t="s">
        <v>1855</v>
      </c>
      <c r="J266" s="1" t="s">
        <v>1544</v>
      </c>
      <c r="K266" s="1" t="s">
        <v>1589</v>
      </c>
      <c r="L266" s="1" t="s">
        <v>1718</v>
      </c>
      <c r="M266" s="1" t="s">
        <v>1757</v>
      </c>
      <c r="N266" t="s">
        <v>1964</v>
      </c>
      <c r="O266" t="s">
        <v>2164</v>
      </c>
      <c r="P266" t="s">
        <v>3071</v>
      </c>
      <c r="Q266">
        <v>125.94</v>
      </c>
      <c r="R266" s="1" t="s">
        <v>1839</v>
      </c>
      <c r="S266">
        <v>1373</v>
      </c>
      <c r="T266">
        <v>172915</v>
      </c>
    </row>
    <row r="267" spans="1:20" x14ac:dyDescent="0.4">
      <c r="A267" s="1" t="s">
        <v>136</v>
      </c>
      <c r="B267" s="1" t="s">
        <v>1453</v>
      </c>
      <c r="C267" s="1" t="s">
        <v>1844</v>
      </c>
      <c r="D267" s="1" t="s">
        <v>1731</v>
      </c>
      <c r="E267">
        <v>20251206</v>
      </c>
      <c r="F267" s="1" t="s">
        <v>1469</v>
      </c>
      <c r="G267">
        <v>4</v>
      </c>
      <c r="H267" s="1" t="s">
        <v>1475</v>
      </c>
      <c r="I267" t="s">
        <v>1855</v>
      </c>
      <c r="J267" s="1" t="s">
        <v>1545</v>
      </c>
      <c r="K267" s="1" t="s">
        <v>1590</v>
      </c>
      <c r="L267" s="1" t="s">
        <v>1719</v>
      </c>
      <c r="M267" s="1" t="s">
        <v>1739</v>
      </c>
      <c r="N267" t="s">
        <v>1965</v>
      </c>
      <c r="O267" t="s">
        <v>2165</v>
      </c>
      <c r="P267" t="s">
        <v>3072</v>
      </c>
      <c r="Q267">
        <v>979.44</v>
      </c>
      <c r="R267" s="1" t="s">
        <v>1839</v>
      </c>
      <c r="S267">
        <v>4637</v>
      </c>
      <c r="T267">
        <v>4541663</v>
      </c>
    </row>
    <row r="268" spans="1:20" x14ac:dyDescent="0.4">
      <c r="A268" s="1" t="s">
        <v>137</v>
      </c>
      <c r="B268" s="1" t="s">
        <v>1453</v>
      </c>
      <c r="C268" s="1" t="s">
        <v>1844</v>
      </c>
      <c r="D268" s="1" t="s">
        <v>1846</v>
      </c>
      <c r="E268">
        <v>20251208</v>
      </c>
      <c r="F268" s="1" t="s">
        <v>1469</v>
      </c>
      <c r="G268">
        <v>4</v>
      </c>
      <c r="H268" s="1" t="s">
        <v>1475</v>
      </c>
      <c r="I268" t="s">
        <v>1855</v>
      </c>
      <c r="J268" s="1" t="s">
        <v>1544</v>
      </c>
      <c r="K268" s="1" t="s">
        <v>1589</v>
      </c>
      <c r="L268" s="1" t="s">
        <v>1718</v>
      </c>
      <c r="M268" s="1" t="s">
        <v>1758</v>
      </c>
      <c r="N268" t="s">
        <v>1964</v>
      </c>
      <c r="O268" t="s">
        <v>2164</v>
      </c>
      <c r="P268" t="s">
        <v>3073</v>
      </c>
      <c r="Q268">
        <v>120.12</v>
      </c>
      <c r="R268" s="1" t="s">
        <v>1839</v>
      </c>
      <c r="S268">
        <v>1373</v>
      </c>
      <c r="T268">
        <v>164924</v>
      </c>
    </row>
    <row r="269" spans="1:20" x14ac:dyDescent="0.4">
      <c r="A269" s="1" t="s">
        <v>137</v>
      </c>
      <c r="B269" s="1" t="s">
        <v>1454</v>
      </c>
      <c r="C269" s="1" t="s">
        <v>1844</v>
      </c>
      <c r="D269" s="1" t="s">
        <v>1846</v>
      </c>
      <c r="E269">
        <v>20251208</v>
      </c>
      <c r="F269" s="1" t="s">
        <v>1469</v>
      </c>
      <c r="G269">
        <v>4</v>
      </c>
      <c r="H269" s="1" t="s">
        <v>1475</v>
      </c>
      <c r="I269" t="s">
        <v>1855</v>
      </c>
      <c r="J269" s="1" t="s">
        <v>1544</v>
      </c>
      <c r="K269" s="1" t="s">
        <v>1589</v>
      </c>
      <c r="L269" s="1" t="s">
        <v>1718</v>
      </c>
      <c r="M269" s="1" t="s">
        <v>1758</v>
      </c>
      <c r="N269" t="s">
        <v>1964</v>
      </c>
      <c r="O269" t="s">
        <v>2164</v>
      </c>
      <c r="P269" t="s">
        <v>3073</v>
      </c>
      <c r="Q269">
        <v>120.12</v>
      </c>
      <c r="R269" s="1" t="s">
        <v>1839</v>
      </c>
      <c r="S269">
        <v>1373</v>
      </c>
      <c r="T269">
        <v>164924</v>
      </c>
    </row>
    <row r="270" spans="1:20" x14ac:dyDescent="0.4">
      <c r="A270" s="1" t="s">
        <v>137</v>
      </c>
      <c r="B270" s="1" t="s">
        <v>1455</v>
      </c>
      <c r="C270" s="1" t="s">
        <v>1844</v>
      </c>
      <c r="D270" s="1" t="s">
        <v>1846</v>
      </c>
      <c r="E270">
        <v>20251208</v>
      </c>
      <c r="F270" s="1" t="s">
        <v>1469</v>
      </c>
      <c r="G270">
        <v>4</v>
      </c>
      <c r="H270" s="1" t="s">
        <v>1475</v>
      </c>
      <c r="I270" t="s">
        <v>1855</v>
      </c>
      <c r="J270" s="1" t="s">
        <v>1544</v>
      </c>
      <c r="K270" s="1" t="s">
        <v>1589</v>
      </c>
      <c r="L270" s="1" t="s">
        <v>1718</v>
      </c>
      <c r="M270" s="1" t="s">
        <v>1758</v>
      </c>
      <c r="N270" t="s">
        <v>1964</v>
      </c>
      <c r="O270" t="s">
        <v>2164</v>
      </c>
      <c r="P270" t="s">
        <v>3073</v>
      </c>
      <c r="Q270">
        <v>120.12</v>
      </c>
      <c r="R270" s="1" t="s">
        <v>1839</v>
      </c>
      <c r="S270">
        <v>1373</v>
      </c>
      <c r="T270">
        <v>164924</v>
      </c>
    </row>
    <row r="271" spans="1:20" x14ac:dyDescent="0.4">
      <c r="A271" s="1" t="s">
        <v>137</v>
      </c>
      <c r="B271" s="1" t="s">
        <v>1456</v>
      </c>
      <c r="C271" s="1" t="s">
        <v>1844</v>
      </c>
      <c r="D271" s="1" t="s">
        <v>1846</v>
      </c>
      <c r="E271">
        <v>20251208</v>
      </c>
      <c r="F271" s="1" t="s">
        <v>1469</v>
      </c>
      <c r="G271">
        <v>4</v>
      </c>
      <c r="H271" s="1" t="s">
        <v>1475</v>
      </c>
      <c r="I271" t="s">
        <v>1855</v>
      </c>
      <c r="J271" s="1" t="s">
        <v>1544</v>
      </c>
      <c r="K271" s="1" t="s">
        <v>1589</v>
      </c>
      <c r="L271" s="1" t="s">
        <v>1718</v>
      </c>
      <c r="M271" s="1" t="s">
        <v>1758</v>
      </c>
      <c r="N271" t="s">
        <v>1964</v>
      </c>
      <c r="O271" t="s">
        <v>2164</v>
      </c>
      <c r="P271" t="s">
        <v>3073</v>
      </c>
      <c r="Q271">
        <v>110.29</v>
      </c>
      <c r="R271" s="1" t="s">
        <v>1839</v>
      </c>
      <c r="S271">
        <v>1373</v>
      </c>
      <c r="T271">
        <v>151428</v>
      </c>
    </row>
    <row r="272" spans="1:20" x14ac:dyDescent="0.4">
      <c r="A272" s="1" t="s">
        <v>137</v>
      </c>
      <c r="B272" s="1" t="s">
        <v>1457</v>
      </c>
      <c r="C272" s="1" t="s">
        <v>1844</v>
      </c>
      <c r="D272" s="1" t="s">
        <v>1846</v>
      </c>
      <c r="E272">
        <v>20251208</v>
      </c>
      <c r="F272" s="1" t="s">
        <v>1469</v>
      </c>
      <c r="G272">
        <v>4</v>
      </c>
      <c r="H272" s="1" t="s">
        <v>1475</v>
      </c>
      <c r="I272" t="s">
        <v>1855</v>
      </c>
      <c r="J272" s="1" t="s">
        <v>1544</v>
      </c>
      <c r="K272" s="1" t="s">
        <v>1589</v>
      </c>
      <c r="L272" s="1" t="s">
        <v>1718</v>
      </c>
      <c r="M272" s="1" t="s">
        <v>1758</v>
      </c>
      <c r="N272" t="s">
        <v>1964</v>
      </c>
      <c r="O272" t="s">
        <v>2164</v>
      </c>
      <c r="P272" t="s">
        <v>3073</v>
      </c>
      <c r="Q272">
        <v>126.67</v>
      </c>
      <c r="R272" s="1" t="s">
        <v>1839</v>
      </c>
      <c r="S272">
        <v>1373</v>
      </c>
      <c r="T272">
        <v>173917</v>
      </c>
    </row>
    <row r="273" spans="1:20" x14ac:dyDescent="0.4">
      <c r="A273" s="1" t="s">
        <v>137</v>
      </c>
      <c r="B273" s="1" t="s">
        <v>1458</v>
      </c>
      <c r="C273" s="1" t="s">
        <v>1844</v>
      </c>
      <c r="D273" s="1" t="s">
        <v>1846</v>
      </c>
      <c r="E273">
        <v>20251208</v>
      </c>
      <c r="F273" s="1" t="s">
        <v>1469</v>
      </c>
      <c r="G273">
        <v>4</v>
      </c>
      <c r="H273" s="1" t="s">
        <v>1475</v>
      </c>
      <c r="I273" t="s">
        <v>1855</v>
      </c>
      <c r="J273" s="1" t="s">
        <v>1544</v>
      </c>
      <c r="K273" s="1" t="s">
        <v>1589</v>
      </c>
      <c r="L273" s="1" t="s">
        <v>1718</v>
      </c>
      <c r="M273" s="1" t="s">
        <v>1758</v>
      </c>
      <c r="N273" t="s">
        <v>1964</v>
      </c>
      <c r="O273" t="s">
        <v>2164</v>
      </c>
      <c r="P273" t="s">
        <v>3073</v>
      </c>
      <c r="Q273">
        <v>109.2</v>
      </c>
      <c r="R273" s="1" t="s">
        <v>1839</v>
      </c>
      <c r="S273">
        <v>1373</v>
      </c>
      <c r="T273">
        <v>149931</v>
      </c>
    </row>
    <row r="274" spans="1:20" x14ac:dyDescent="0.4">
      <c r="A274" s="1" t="s">
        <v>137</v>
      </c>
      <c r="B274" s="1" t="s">
        <v>1459</v>
      </c>
      <c r="C274" s="1" t="s">
        <v>1844</v>
      </c>
      <c r="D274" s="1" t="s">
        <v>1846</v>
      </c>
      <c r="E274">
        <v>20251208</v>
      </c>
      <c r="F274" s="1" t="s">
        <v>1469</v>
      </c>
      <c r="G274">
        <v>4</v>
      </c>
      <c r="H274" s="1" t="s">
        <v>1475</v>
      </c>
      <c r="I274" t="s">
        <v>1855</v>
      </c>
      <c r="J274" s="1" t="s">
        <v>1544</v>
      </c>
      <c r="K274" s="1" t="s">
        <v>1589</v>
      </c>
      <c r="L274" s="1" t="s">
        <v>1718</v>
      </c>
      <c r="M274" s="1" t="s">
        <v>1758</v>
      </c>
      <c r="N274" t="s">
        <v>1964</v>
      </c>
      <c r="O274" t="s">
        <v>2164</v>
      </c>
      <c r="P274" t="s">
        <v>3073</v>
      </c>
      <c r="Q274">
        <v>109.2</v>
      </c>
      <c r="R274" s="1" t="s">
        <v>1839</v>
      </c>
      <c r="S274">
        <v>1373</v>
      </c>
      <c r="T274">
        <v>149931</v>
      </c>
    </row>
    <row r="275" spans="1:20" x14ac:dyDescent="0.4">
      <c r="A275" s="1" t="s">
        <v>137</v>
      </c>
      <c r="B275" s="1" t="s">
        <v>1460</v>
      </c>
      <c r="C275" s="1" t="s">
        <v>1844</v>
      </c>
      <c r="D275" s="1" t="s">
        <v>1846</v>
      </c>
      <c r="E275">
        <v>20251208</v>
      </c>
      <c r="F275" s="1" t="s">
        <v>1469</v>
      </c>
      <c r="G275">
        <v>4</v>
      </c>
      <c r="H275" s="1" t="s">
        <v>1475</v>
      </c>
      <c r="I275" t="s">
        <v>1855</v>
      </c>
      <c r="J275" s="1" t="s">
        <v>1544</v>
      </c>
      <c r="K275" s="1" t="s">
        <v>1589</v>
      </c>
      <c r="L275" s="1" t="s">
        <v>1718</v>
      </c>
      <c r="M275" s="1" t="s">
        <v>1758</v>
      </c>
      <c r="N275" t="s">
        <v>1964</v>
      </c>
      <c r="O275" t="s">
        <v>2164</v>
      </c>
      <c r="P275" t="s">
        <v>3073</v>
      </c>
      <c r="Q275">
        <v>109.2</v>
      </c>
      <c r="R275" s="1" t="s">
        <v>1839</v>
      </c>
      <c r="S275">
        <v>1373</v>
      </c>
      <c r="T275">
        <v>149931</v>
      </c>
    </row>
    <row r="276" spans="1:20" x14ac:dyDescent="0.4">
      <c r="A276" s="1" t="s">
        <v>137</v>
      </c>
      <c r="B276" s="1" t="s">
        <v>1461</v>
      </c>
      <c r="C276" s="1" t="s">
        <v>1844</v>
      </c>
      <c r="D276" s="1" t="s">
        <v>1846</v>
      </c>
      <c r="E276">
        <v>20251208</v>
      </c>
      <c r="F276" s="1" t="s">
        <v>1469</v>
      </c>
      <c r="G276">
        <v>4</v>
      </c>
      <c r="H276" s="1" t="s">
        <v>1475</v>
      </c>
      <c r="I276" t="s">
        <v>1855</v>
      </c>
      <c r="J276" s="1" t="s">
        <v>1544</v>
      </c>
      <c r="K276" s="1" t="s">
        <v>1589</v>
      </c>
      <c r="L276" s="1" t="s">
        <v>1718</v>
      </c>
      <c r="M276" s="1" t="s">
        <v>1758</v>
      </c>
      <c r="N276" t="s">
        <v>1964</v>
      </c>
      <c r="O276" t="s">
        <v>2164</v>
      </c>
      <c r="P276" t="s">
        <v>3073</v>
      </c>
      <c r="Q276">
        <v>109.2</v>
      </c>
      <c r="R276" s="1" t="s">
        <v>1839</v>
      </c>
      <c r="S276">
        <v>1373</v>
      </c>
      <c r="T276">
        <v>149931</v>
      </c>
    </row>
    <row r="277" spans="1:20" x14ac:dyDescent="0.4">
      <c r="A277" s="1" t="s">
        <v>137</v>
      </c>
      <c r="B277" s="1" t="s">
        <v>1462</v>
      </c>
      <c r="C277" s="1" t="s">
        <v>1844</v>
      </c>
      <c r="D277" s="1" t="s">
        <v>1846</v>
      </c>
      <c r="E277">
        <v>20251208</v>
      </c>
      <c r="F277" s="1" t="s">
        <v>1469</v>
      </c>
      <c r="G277">
        <v>4</v>
      </c>
      <c r="H277" s="1" t="s">
        <v>1475</v>
      </c>
      <c r="I277" t="s">
        <v>1855</v>
      </c>
      <c r="J277" s="1" t="s">
        <v>1544</v>
      </c>
      <c r="K277" s="1" t="s">
        <v>1589</v>
      </c>
      <c r="L277" s="1" t="s">
        <v>1718</v>
      </c>
      <c r="M277" s="1" t="s">
        <v>1758</v>
      </c>
      <c r="N277" t="s">
        <v>1964</v>
      </c>
      <c r="O277" t="s">
        <v>2164</v>
      </c>
      <c r="P277" t="s">
        <v>3073</v>
      </c>
      <c r="Q277">
        <v>107.01</v>
      </c>
      <c r="R277" s="1" t="s">
        <v>1839</v>
      </c>
      <c r="S277">
        <v>1373</v>
      </c>
      <c r="T277">
        <v>146924</v>
      </c>
    </row>
    <row r="278" spans="1:20" x14ac:dyDescent="0.4">
      <c r="A278" s="1" t="s">
        <v>138</v>
      </c>
      <c r="B278" s="1" t="s">
        <v>1453</v>
      </c>
      <c r="C278" s="1" t="s">
        <v>1844</v>
      </c>
      <c r="D278" s="1" t="s">
        <v>1731</v>
      </c>
      <c r="E278">
        <v>20251208</v>
      </c>
      <c r="F278" s="1" t="s">
        <v>1469</v>
      </c>
      <c r="G278">
        <v>4</v>
      </c>
      <c r="H278" s="1" t="s">
        <v>1475</v>
      </c>
      <c r="I278" t="s">
        <v>1855</v>
      </c>
      <c r="J278" s="1" t="s">
        <v>1546</v>
      </c>
      <c r="K278" s="1" t="s">
        <v>1591</v>
      </c>
      <c r="L278" s="1" t="s">
        <v>1720</v>
      </c>
      <c r="M278" s="1" t="s">
        <v>1759</v>
      </c>
      <c r="N278" t="s">
        <v>1966</v>
      </c>
      <c r="O278" t="s">
        <v>2166</v>
      </c>
      <c r="P278" t="s">
        <v>3074</v>
      </c>
      <c r="Q278">
        <v>1148.24</v>
      </c>
      <c r="R278" s="1" t="s">
        <v>1839</v>
      </c>
      <c r="S278">
        <v>1570</v>
      </c>
      <c r="T278">
        <v>1802736</v>
      </c>
    </row>
    <row r="279" spans="1:20" x14ac:dyDescent="0.4">
      <c r="A279" s="1" t="s">
        <v>139</v>
      </c>
      <c r="B279" s="1" t="s">
        <v>1453</v>
      </c>
      <c r="C279" s="1" t="s">
        <v>1844</v>
      </c>
      <c r="D279" s="1" t="s">
        <v>1846</v>
      </c>
      <c r="E279">
        <v>20251209</v>
      </c>
      <c r="F279" s="1" t="s">
        <v>1469</v>
      </c>
      <c r="G279">
        <v>4</v>
      </c>
      <c r="H279" s="1" t="s">
        <v>1475</v>
      </c>
      <c r="I279" t="s">
        <v>1855</v>
      </c>
      <c r="J279" s="1" t="s">
        <v>1544</v>
      </c>
      <c r="K279" s="1" t="s">
        <v>1583</v>
      </c>
      <c r="L279" s="1" t="s">
        <v>1718</v>
      </c>
      <c r="M279" s="1" t="s">
        <v>1760</v>
      </c>
      <c r="N279" t="s">
        <v>1958</v>
      </c>
      <c r="O279" t="s">
        <v>2164</v>
      </c>
      <c r="P279" t="s">
        <v>3075</v>
      </c>
      <c r="Q279">
        <v>109.2</v>
      </c>
      <c r="R279" s="1" t="s">
        <v>1839</v>
      </c>
      <c r="S279">
        <v>2026</v>
      </c>
      <c r="T279">
        <v>221239</v>
      </c>
    </row>
    <row r="280" spans="1:20" x14ac:dyDescent="0.4">
      <c r="A280" s="1" t="s">
        <v>139</v>
      </c>
      <c r="B280" s="1" t="s">
        <v>1454</v>
      </c>
      <c r="C280" s="1" t="s">
        <v>1844</v>
      </c>
      <c r="D280" s="1" t="s">
        <v>1846</v>
      </c>
      <c r="E280">
        <v>20251209</v>
      </c>
      <c r="F280" s="1" t="s">
        <v>1469</v>
      </c>
      <c r="G280">
        <v>4</v>
      </c>
      <c r="H280" s="1" t="s">
        <v>1475</v>
      </c>
      <c r="I280" t="s">
        <v>1855</v>
      </c>
      <c r="J280" s="1" t="s">
        <v>1544</v>
      </c>
      <c r="K280" s="1" t="s">
        <v>1583</v>
      </c>
      <c r="L280" s="1" t="s">
        <v>1718</v>
      </c>
      <c r="M280" s="1" t="s">
        <v>1760</v>
      </c>
      <c r="N280" t="s">
        <v>1958</v>
      </c>
      <c r="O280" t="s">
        <v>2164</v>
      </c>
      <c r="P280" t="s">
        <v>3075</v>
      </c>
      <c r="Q280">
        <v>109.2</v>
      </c>
      <c r="R280" s="1" t="s">
        <v>1839</v>
      </c>
      <c r="S280">
        <v>2026</v>
      </c>
      <c r="T280">
        <v>221239</v>
      </c>
    </row>
    <row r="281" spans="1:20" x14ac:dyDescent="0.4">
      <c r="A281" s="1" t="s">
        <v>139</v>
      </c>
      <c r="B281" s="1" t="s">
        <v>1455</v>
      </c>
      <c r="C281" s="1" t="s">
        <v>1844</v>
      </c>
      <c r="D281" s="1" t="s">
        <v>1846</v>
      </c>
      <c r="E281">
        <v>20251209</v>
      </c>
      <c r="F281" s="1" t="s">
        <v>1469</v>
      </c>
      <c r="G281">
        <v>4</v>
      </c>
      <c r="H281" s="1" t="s">
        <v>1475</v>
      </c>
      <c r="I281" t="s">
        <v>1855</v>
      </c>
      <c r="J281" s="1" t="s">
        <v>1544</v>
      </c>
      <c r="K281" s="1" t="s">
        <v>1583</v>
      </c>
      <c r="L281" s="1" t="s">
        <v>1718</v>
      </c>
      <c r="M281" s="1" t="s">
        <v>1760</v>
      </c>
      <c r="N281" t="s">
        <v>1958</v>
      </c>
      <c r="O281" t="s">
        <v>2164</v>
      </c>
      <c r="P281" t="s">
        <v>3075</v>
      </c>
      <c r="Q281">
        <v>109.2</v>
      </c>
      <c r="R281" s="1" t="s">
        <v>1839</v>
      </c>
      <c r="S281">
        <v>2026</v>
      </c>
      <c r="T281">
        <v>221239</v>
      </c>
    </row>
    <row r="282" spans="1:20" x14ac:dyDescent="0.4">
      <c r="A282" s="1" t="s">
        <v>139</v>
      </c>
      <c r="B282" s="1" t="s">
        <v>1456</v>
      </c>
      <c r="C282" s="1" t="s">
        <v>1844</v>
      </c>
      <c r="D282" s="1" t="s">
        <v>1846</v>
      </c>
      <c r="E282">
        <v>20251209</v>
      </c>
      <c r="F282" s="1" t="s">
        <v>1469</v>
      </c>
      <c r="G282">
        <v>4</v>
      </c>
      <c r="H282" s="1" t="s">
        <v>1475</v>
      </c>
      <c r="I282" t="s">
        <v>1855</v>
      </c>
      <c r="J282" s="1" t="s">
        <v>1544</v>
      </c>
      <c r="K282" s="1" t="s">
        <v>1583</v>
      </c>
      <c r="L282" s="1" t="s">
        <v>1718</v>
      </c>
      <c r="M282" s="1" t="s">
        <v>1760</v>
      </c>
      <c r="N282" t="s">
        <v>1958</v>
      </c>
      <c r="O282" t="s">
        <v>2164</v>
      </c>
      <c r="P282" t="s">
        <v>3075</v>
      </c>
      <c r="Q282">
        <v>107.38</v>
      </c>
      <c r="R282" s="1" t="s">
        <v>1839</v>
      </c>
      <c r="S282">
        <v>2026</v>
      </c>
      <c r="T282">
        <v>217551</v>
      </c>
    </row>
    <row r="283" spans="1:20" x14ac:dyDescent="0.4">
      <c r="A283" s="1" t="s">
        <v>139</v>
      </c>
      <c r="B283" s="1" t="s">
        <v>1457</v>
      </c>
      <c r="C283" s="1" t="s">
        <v>1844</v>
      </c>
      <c r="D283" s="1" t="s">
        <v>1846</v>
      </c>
      <c r="E283">
        <v>20251209</v>
      </c>
      <c r="F283" s="1" t="s">
        <v>1469</v>
      </c>
      <c r="G283">
        <v>4</v>
      </c>
      <c r="H283" s="1" t="s">
        <v>1475</v>
      </c>
      <c r="I283" t="s">
        <v>1855</v>
      </c>
      <c r="J283" s="1" t="s">
        <v>1544</v>
      </c>
      <c r="K283" s="1" t="s">
        <v>1583</v>
      </c>
      <c r="L283" s="1" t="s">
        <v>1718</v>
      </c>
      <c r="M283" s="1" t="s">
        <v>1760</v>
      </c>
      <c r="N283" t="s">
        <v>1958</v>
      </c>
      <c r="O283" t="s">
        <v>2164</v>
      </c>
      <c r="P283" t="s">
        <v>3075</v>
      </c>
      <c r="Q283">
        <v>109.2</v>
      </c>
      <c r="R283" s="1" t="s">
        <v>1839</v>
      </c>
      <c r="S283">
        <v>2026</v>
      </c>
      <c r="T283">
        <v>221239</v>
      </c>
    </row>
    <row r="284" spans="1:20" x14ac:dyDescent="0.4">
      <c r="A284" s="1" t="s">
        <v>139</v>
      </c>
      <c r="B284" s="1" t="s">
        <v>1458</v>
      </c>
      <c r="C284" s="1" t="s">
        <v>1844</v>
      </c>
      <c r="D284" s="1" t="s">
        <v>1846</v>
      </c>
      <c r="E284">
        <v>20251209</v>
      </c>
      <c r="F284" s="1" t="s">
        <v>1469</v>
      </c>
      <c r="G284">
        <v>4</v>
      </c>
      <c r="H284" s="1" t="s">
        <v>1475</v>
      </c>
      <c r="I284" t="s">
        <v>1855</v>
      </c>
      <c r="J284" s="1" t="s">
        <v>1544</v>
      </c>
      <c r="K284" s="1" t="s">
        <v>1583</v>
      </c>
      <c r="L284" s="1" t="s">
        <v>1718</v>
      </c>
      <c r="M284" s="1" t="s">
        <v>1760</v>
      </c>
      <c r="N284" t="s">
        <v>1958</v>
      </c>
      <c r="O284" t="s">
        <v>2164</v>
      </c>
      <c r="P284" t="s">
        <v>3075</v>
      </c>
      <c r="Q284">
        <v>115.75</v>
      </c>
      <c r="R284" s="1" t="s">
        <v>1839</v>
      </c>
      <c r="S284">
        <v>2026</v>
      </c>
      <c r="T284">
        <v>234509</v>
      </c>
    </row>
    <row r="285" spans="1:20" x14ac:dyDescent="0.4">
      <c r="A285" s="1" t="s">
        <v>139</v>
      </c>
      <c r="B285" s="1" t="s">
        <v>1459</v>
      </c>
      <c r="C285" s="1" t="s">
        <v>1844</v>
      </c>
      <c r="D285" s="1" t="s">
        <v>1846</v>
      </c>
      <c r="E285">
        <v>20251209</v>
      </c>
      <c r="F285" s="1" t="s">
        <v>1469</v>
      </c>
      <c r="G285">
        <v>4</v>
      </c>
      <c r="H285" s="1" t="s">
        <v>1475</v>
      </c>
      <c r="I285" t="s">
        <v>1855</v>
      </c>
      <c r="J285" s="1" t="s">
        <v>1544</v>
      </c>
      <c r="K285" s="1" t="s">
        <v>1583</v>
      </c>
      <c r="L285" s="1" t="s">
        <v>1718</v>
      </c>
      <c r="M285" s="1" t="s">
        <v>1760</v>
      </c>
      <c r="N285" t="s">
        <v>1958</v>
      </c>
      <c r="O285" t="s">
        <v>2164</v>
      </c>
      <c r="P285" t="s">
        <v>3075</v>
      </c>
      <c r="Q285">
        <v>109.2</v>
      </c>
      <c r="R285" s="1" t="s">
        <v>1839</v>
      </c>
      <c r="S285">
        <v>2026</v>
      </c>
      <c r="T285">
        <v>221239</v>
      </c>
    </row>
    <row r="286" spans="1:20" x14ac:dyDescent="0.4">
      <c r="A286" s="1" t="s">
        <v>139</v>
      </c>
      <c r="B286" s="1" t="s">
        <v>1460</v>
      </c>
      <c r="C286" s="1" t="s">
        <v>1844</v>
      </c>
      <c r="D286" s="1" t="s">
        <v>1846</v>
      </c>
      <c r="E286">
        <v>20251209</v>
      </c>
      <c r="F286" s="1" t="s">
        <v>1469</v>
      </c>
      <c r="G286">
        <v>4</v>
      </c>
      <c r="H286" s="1" t="s">
        <v>1475</v>
      </c>
      <c r="I286" t="s">
        <v>1855</v>
      </c>
      <c r="J286" s="1" t="s">
        <v>1544</v>
      </c>
      <c r="K286" s="1" t="s">
        <v>1583</v>
      </c>
      <c r="L286" s="1" t="s">
        <v>1718</v>
      </c>
      <c r="M286" s="1" t="s">
        <v>1760</v>
      </c>
      <c r="N286" t="s">
        <v>1958</v>
      </c>
      <c r="O286" t="s">
        <v>2164</v>
      </c>
      <c r="P286" t="s">
        <v>3075</v>
      </c>
      <c r="Q286">
        <v>109.2</v>
      </c>
      <c r="R286" s="1" t="s">
        <v>1839</v>
      </c>
      <c r="S286">
        <v>2026</v>
      </c>
      <c r="T286">
        <v>221239</v>
      </c>
    </row>
    <row r="287" spans="1:20" x14ac:dyDescent="0.4">
      <c r="A287" s="1" t="s">
        <v>139</v>
      </c>
      <c r="B287" s="1" t="s">
        <v>1461</v>
      </c>
      <c r="C287" s="1" t="s">
        <v>1844</v>
      </c>
      <c r="D287" s="1" t="s">
        <v>1846</v>
      </c>
      <c r="E287">
        <v>20251209</v>
      </c>
      <c r="F287" s="1" t="s">
        <v>1469</v>
      </c>
      <c r="G287">
        <v>4</v>
      </c>
      <c r="H287" s="1" t="s">
        <v>1475</v>
      </c>
      <c r="I287" t="s">
        <v>1855</v>
      </c>
      <c r="J287" s="1" t="s">
        <v>1544</v>
      </c>
      <c r="K287" s="1" t="s">
        <v>1583</v>
      </c>
      <c r="L287" s="1" t="s">
        <v>1718</v>
      </c>
      <c r="M287" s="1" t="s">
        <v>1760</v>
      </c>
      <c r="N287" t="s">
        <v>1958</v>
      </c>
      <c r="O287" t="s">
        <v>2164</v>
      </c>
      <c r="P287" t="s">
        <v>3075</v>
      </c>
      <c r="Q287">
        <v>109.2</v>
      </c>
      <c r="R287" s="1" t="s">
        <v>1839</v>
      </c>
      <c r="S287">
        <v>2026</v>
      </c>
      <c r="T287">
        <v>221239</v>
      </c>
    </row>
    <row r="288" spans="1:20" x14ac:dyDescent="0.4">
      <c r="A288" s="1" t="s">
        <v>139</v>
      </c>
      <c r="B288" s="1" t="s">
        <v>1462</v>
      </c>
      <c r="C288" s="1" t="s">
        <v>1844</v>
      </c>
      <c r="D288" s="1" t="s">
        <v>1846</v>
      </c>
      <c r="E288">
        <v>20251209</v>
      </c>
      <c r="F288" s="1" t="s">
        <v>1469</v>
      </c>
      <c r="G288">
        <v>4</v>
      </c>
      <c r="H288" s="1" t="s">
        <v>1475</v>
      </c>
      <c r="I288" t="s">
        <v>1855</v>
      </c>
      <c r="J288" s="1" t="s">
        <v>1544</v>
      </c>
      <c r="K288" s="1" t="s">
        <v>1583</v>
      </c>
      <c r="L288" s="1" t="s">
        <v>1718</v>
      </c>
      <c r="M288" s="1" t="s">
        <v>1760</v>
      </c>
      <c r="N288" t="s">
        <v>1958</v>
      </c>
      <c r="O288" t="s">
        <v>2164</v>
      </c>
      <c r="P288" t="s">
        <v>3075</v>
      </c>
      <c r="Q288">
        <v>107.38</v>
      </c>
      <c r="R288" s="1" t="s">
        <v>1839</v>
      </c>
      <c r="S288">
        <v>2026</v>
      </c>
      <c r="T288">
        <v>217551</v>
      </c>
    </row>
    <row r="289" spans="1:20" x14ac:dyDescent="0.4">
      <c r="A289" s="1" t="s">
        <v>140</v>
      </c>
      <c r="B289" s="1" t="s">
        <v>1453</v>
      </c>
      <c r="C289" s="1" t="s">
        <v>1844</v>
      </c>
      <c r="D289" s="1" t="s">
        <v>1731</v>
      </c>
      <c r="E289">
        <v>20251209</v>
      </c>
      <c r="F289" s="1" t="s">
        <v>1469</v>
      </c>
      <c r="G289">
        <v>4</v>
      </c>
      <c r="H289" s="1" t="s">
        <v>1475</v>
      </c>
      <c r="I289" t="s">
        <v>1855</v>
      </c>
      <c r="J289" s="1" t="s">
        <v>1545</v>
      </c>
      <c r="K289" s="1" t="s">
        <v>1592</v>
      </c>
      <c r="L289" s="1" t="s">
        <v>1719</v>
      </c>
      <c r="M289" s="1" t="s">
        <v>1761</v>
      </c>
      <c r="N289" t="s">
        <v>1967</v>
      </c>
      <c r="O289" t="s">
        <v>2165</v>
      </c>
      <c r="P289" t="s">
        <v>3076</v>
      </c>
      <c r="Q289">
        <v>229.32</v>
      </c>
      <c r="R289" s="1" t="s">
        <v>1839</v>
      </c>
      <c r="S289">
        <v>2809</v>
      </c>
      <c r="T289">
        <v>644159</v>
      </c>
    </row>
    <row r="290" spans="1:20" x14ac:dyDescent="0.4">
      <c r="A290" s="1" t="s">
        <v>141</v>
      </c>
      <c r="B290" s="1" t="s">
        <v>1453</v>
      </c>
      <c r="C290" s="1" t="s">
        <v>1844</v>
      </c>
      <c r="D290" s="1" t="s">
        <v>1731</v>
      </c>
      <c r="E290">
        <v>20251209</v>
      </c>
      <c r="F290" s="1" t="s">
        <v>1469</v>
      </c>
      <c r="G290">
        <v>4</v>
      </c>
      <c r="H290" s="1" t="s">
        <v>1475</v>
      </c>
      <c r="I290" t="s">
        <v>1855</v>
      </c>
      <c r="J290" s="1" t="s">
        <v>1545</v>
      </c>
      <c r="K290" s="1" t="s">
        <v>1593</v>
      </c>
      <c r="L290" s="1" t="s">
        <v>1719</v>
      </c>
      <c r="M290" s="1" t="s">
        <v>1762</v>
      </c>
      <c r="N290" t="s">
        <v>1968</v>
      </c>
      <c r="O290" t="s">
        <v>2165</v>
      </c>
      <c r="P290" t="s">
        <v>3077</v>
      </c>
      <c r="Q290">
        <v>343.98</v>
      </c>
      <c r="R290" s="1" t="s">
        <v>1839</v>
      </c>
      <c r="S290">
        <v>2904</v>
      </c>
      <c r="T290">
        <v>998917</v>
      </c>
    </row>
    <row r="291" spans="1:20" x14ac:dyDescent="0.4">
      <c r="A291" s="1" t="s">
        <v>141</v>
      </c>
      <c r="B291" s="1" t="s">
        <v>1454</v>
      </c>
      <c r="C291" s="1" t="s">
        <v>1844</v>
      </c>
      <c r="D291" s="1" t="s">
        <v>1731</v>
      </c>
      <c r="E291">
        <v>20251209</v>
      </c>
      <c r="F291" s="1" t="s">
        <v>1469</v>
      </c>
      <c r="G291">
        <v>4</v>
      </c>
      <c r="H291" s="1" t="s">
        <v>1475</v>
      </c>
      <c r="I291" t="s">
        <v>1855</v>
      </c>
      <c r="J291" s="1" t="s">
        <v>1545</v>
      </c>
      <c r="K291" s="1" t="s">
        <v>1593</v>
      </c>
      <c r="L291" s="1" t="s">
        <v>1719</v>
      </c>
      <c r="M291" s="1" t="s">
        <v>1762</v>
      </c>
      <c r="N291" t="s">
        <v>1968</v>
      </c>
      <c r="O291" t="s">
        <v>2165</v>
      </c>
      <c r="P291" t="s">
        <v>3077</v>
      </c>
      <c r="Q291">
        <v>15.28</v>
      </c>
      <c r="R291" s="1" t="s">
        <v>1839</v>
      </c>
      <c r="S291">
        <v>1049</v>
      </c>
      <c r="T291">
        <v>16028</v>
      </c>
    </row>
    <row r="292" spans="1:20" x14ac:dyDescent="0.4">
      <c r="A292" s="1" t="s">
        <v>142</v>
      </c>
      <c r="B292" s="1" t="s">
        <v>1453</v>
      </c>
      <c r="C292" s="1" t="s">
        <v>1844</v>
      </c>
      <c r="D292" s="1" t="s">
        <v>1462</v>
      </c>
      <c r="E292">
        <v>20251210</v>
      </c>
      <c r="F292" s="1" t="s">
        <v>1469</v>
      </c>
      <c r="G292">
        <v>1</v>
      </c>
      <c r="H292" s="1" t="s">
        <v>1476</v>
      </c>
      <c r="I292" t="s">
        <v>1856</v>
      </c>
      <c r="J292" s="1" t="s">
        <v>1547</v>
      </c>
      <c r="K292" s="1" t="s">
        <v>1594</v>
      </c>
      <c r="L292" s="1" t="s">
        <v>1721</v>
      </c>
      <c r="M292" s="1" t="s">
        <v>1737</v>
      </c>
      <c r="N292" t="s">
        <v>1969</v>
      </c>
      <c r="O292" t="s">
        <v>2167</v>
      </c>
      <c r="P292" t="s">
        <v>3078</v>
      </c>
      <c r="Q292">
        <v>2280</v>
      </c>
      <c r="R292" s="1" t="s">
        <v>1839</v>
      </c>
      <c r="S292">
        <v>79</v>
      </c>
      <c r="T292">
        <v>180120</v>
      </c>
    </row>
    <row r="293" spans="1:20" x14ac:dyDescent="0.4">
      <c r="A293" s="1" t="s">
        <v>143</v>
      </c>
      <c r="B293" s="1" t="s">
        <v>1453</v>
      </c>
      <c r="C293" s="1" t="s">
        <v>1844</v>
      </c>
      <c r="D293" s="1" t="s">
        <v>1846</v>
      </c>
      <c r="E293">
        <v>20251211</v>
      </c>
      <c r="F293" s="1" t="s">
        <v>1469</v>
      </c>
      <c r="G293">
        <v>4</v>
      </c>
      <c r="H293" s="1" t="s">
        <v>1475</v>
      </c>
      <c r="I293" t="s">
        <v>1855</v>
      </c>
      <c r="J293" s="1" t="s">
        <v>1544</v>
      </c>
      <c r="K293" s="1" t="s">
        <v>1595</v>
      </c>
      <c r="L293" s="1" t="s">
        <v>1718</v>
      </c>
      <c r="M293" s="1" t="s">
        <v>1735</v>
      </c>
      <c r="N293" t="s">
        <v>1970</v>
      </c>
      <c r="O293" t="s">
        <v>2164</v>
      </c>
      <c r="P293" t="s">
        <v>3079</v>
      </c>
      <c r="Q293">
        <v>75</v>
      </c>
      <c r="R293" s="1" t="s">
        <v>1839</v>
      </c>
      <c r="S293">
        <v>1719</v>
      </c>
      <c r="T293">
        <v>128925</v>
      </c>
    </row>
    <row r="294" spans="1:20" x14ac:dyDescent="0.4">
      <c r="A294" s="1" t="s">
        <v>143</v>
      </c>
      <c r="B294" s="1" t="s">
        <v>1454</v>
      </c>
      <c r="C294" s="1" t="s">
        <v>1844</v>
      </c>
      <c r="D294" s="1" t="s">
        <v>1846</v>
      </c>
      <c r="E294">
        <v>20251211</v>
      </c>
      <c r="F294" s="1" t="s">
        <v>1469</v>
      </c>
      <c r="G294">
        <v>4</v>
      </c>
      <c r="H294" s="1" t="s">
        <v>1475</v>
      </c>
      <c r="I294" t="s">
        <v>1855</v>
      </c>
      <c r="J294" s="1" t="s">
        <v>1544</v>
      </c>
      <c r="K294" s="1" t="s">
        <v>1595</v>
      </c>
      <c r="L294" s="1" t="s">
        <v>1718</v>
      </c>
      <c r="M294" s="1" t="s">
        <v>1735</v>
      </c>
      <c r="N294" t="s">
        <v>1970</v>
      </c>
      <c r="O294" t="s">
        <v>2164</v>
      </c>
      <c r="P294" t="s">
        <v>3079</v>
      </c>
      <c r="Q294">
        <v>75</v>
      </c>
      <c r="R294" s="1" t="s">
        <v>1839</v>
      </c>
      <c r="S294">
        <v>1719</v>
      </c>
      <c r="T294">
        <v>128925</v>
      </c>
    </row>
    <row r="295" spans="1:20" x14ac:dyDescent="0.4">
      <c r="A295" s="1" t="s">
        <v>143</v>
      </c>
      <c r="B295" s="1" t="s">
        <v>1455</v>
      </c>
      <c r="C295" s="1" t="s">
        <v>1844</v>
      </c>
      <c r="D295" s="1" t="s">
        <v>1846</v>
      </c>
      <c r="E295">
        <v>20251211</v>
      </c>
      <c r="F295" s="1" t="s">
        <v>1469</v>
      </c>
      <c r="G295">
        <v>4</v>
      </c>
      <c r="H295" s="1" t="s">
        <v>1475</v>
      </c>
      <c r="I295" t="s">
        <v>1855</v>
      </c>
      <c r="J295" s="1" t="s">
        <v>1544</v>
      </c>
      <c r="K295" s="1" t="s">
        <v>1595</v>
      </c>
      <c r="L295" s="1" t="s">
        <v>1718</v>
      </c>
      <c r="M295" s="1" t="s">
        <v>1735</v>
      </c>
      <c r="N295" t="s">
        <v>1970</v>
      </c>
      <c r="O295" t="s">
        <v>2164</v>
      </c>
      <c r="P295" t="s">
        <v>3079</v>
      </c>
      <c r="Q295">
        <v>73.75</v>
      </c>
      <c r="R295" s="1" t="s">
        <v>1839</v>
      </c>
      <c r="S295">
        <v>1719</v>
      </c>
      <c r="T295">
        <v>126776</v>
      </c>
    </row>
    <row r="296" spans="1:20" x14ac:dyDescent="0.4">
      <c r="A296" s="1" t="s">
        <v>143</v>
      </c>
      <c r="B296" s="1" t="s">
        <v>1456</v>
      </c>
      <c r="C296" s="1" t="s">
        <v>1844</v>
      </c>
      <c r="D296" s="1" t="s">
        <v>1846</v>
      </c>
      <c r="E296">
        <v>20251211</v>
      </c>
      <c r="F296" s="1" t="s">
        <v>1469</v>
      </c>
      <c r="G296">
        <v>4</v>
      </c>
      <c r="H296" s="1" t="s">
        <v>1475</v>
      </c>
      <c r="I296" t="s">
        <v>1855</v>
      </c>
      <c r="J296" s="1" t="s">
        <v>1544</v>
      </c>
      <c r="K296" s="1" t="s">
        <v>1595</v>
      </c>
      <c r="L296" s="1" t="s">
        <v>1718</v>
      </c>
      <c r="M296" s="1" t="s">
        <v>1735</v>
      </c>
      <c r="N296" t="s">
        <v>1970</v>
      </c>
      <c r="O296" t="s">
        <v>2164</v>
      </c>
      <c r="P296" t="s">
        <v>3079</v>
      </c>
      <c r="Q296">
        <v>75.5</v>
      </c>
      <c r="R296" s="1" t="s">
        <v>1839</v>
      </c>
      <c r="S296">
        <v>1719</v>
      </c>
      <c r="T296">
        <v>129784</v>
      </c>
    </row>
    <row r="297" spans="1:20" x14ac:dyDescent="0.4">
      <c r="A297" s="1" t="s">
        <v>143</v>
      </c>
      <c r="B297" s="1" t="s">
        <v>1457</v>
      </c>
      <c r="C297" s="1" t="s">
        <v>1844</v>
      </c>
      <c r="D297" s="1" t="s">
        <v>1846</v>
      </c>
      <c r="E297">
        <v>20251211</v>
      </c>
      <c r="F297" s="1" t="s">
        <v>1469</v>
      </c>
      <c r="G297">
        <v>4</v>
      </c>
      <c r="H297" s="1" t="s">
        <v>1475</v>
      </c>
      <c r="I297" t="s">
        <v>1855</v>
      </c>
      <c r="J297" s="1" t="s">
        <v>1544</v>
      </c>
      <c r="K297" s="1" t="s">
        <v>1595</v>
      </c>
      <c r="L297" s="1" t="s">
        <v>1718</v>
      </c>
      <c r="M297" s="1" t="s">
        <v>1735</v>
      </c>
      <c r="N297" t="s">
        <v>1970</v>
      </c>
      <c r="O297" t="s">
        <v>2164</v>
      </c>
      <c r="P297" t="s">
        <v>3079</v>
      </c>
      <c r="Q297">
        <v>75</v>
      </c>
      <c r="R297" s="1" t="s">
        <v>1839</v>
      </c>
      <c r="S297">
        <v>1719</v>
      </c>
      <c r="T297">
        <v>128925</v>
      </c>
    </row>
    <row r="298" spans="1:20" x14ac:dyDescent="0.4">
      <c r="A298" s="1" t="s">
        <v>143</v>
      </c>
      <c r="B298" s="1" t="s">
        <v>1458</v>
      </c>
      <c r="C298" s="1" t="s">
        <v>1844</v>
      </c>
      <c r="D298" s="1" t="s">
        <v>1846</v>
      </c>
      <c r="E298">
        <v>20251211</v>
      </c>
      <c r="F298" s="1" t="s">
        <v>1469</v>
      </c>
      <c r="G298">
        <v>4</v>
      </c>
      <c r="H298" s="1" t="s">
        <v>1475</v>
      </c>
      <c r="I298" t="s">
        <v>1855</v>
      </c>
      <c r="J298" s="1" t="s">
        <v>1544</v>
      </c>
      <c r="K298" s="1" t="s">
        <v>1595</v>
      </c>
      <c r="L298" s="1" t="s">
        <v>1718</v>
      </c>
      <c r="M298" s="1" t="s">
        <v>1735</v>
      </c>
      <c r="N298" t="s">
        <v>1970</v>
      </c>
      <c r="O298" t="s">
        <v>2164</v>
      </c>
      <c r="P298" t="s">
        <v>3079</v>
      </c>
      <c r="Q298">
        <v>76</v>
      </c>
      <c r="R298" s="1" t="s">
        <v>1839</v>
      </c>
      <c r="S298">
        <v>1719</v>
      </c>
      <c r="T298">
        <v>130644</v>
      </c>
    </row>
    <row r="299" spans="1:20" x14ac:dyDescent="0.4">
      <c r="A299" s="1" t="s">
        <v>143</v>
      </c>
      <c r="B299" s="1" t="s">
        <v>1459</v>
      </c>
      <c r="C299" s="1" t="s">
        <v>1844</v>
      </c>
      <c r="D299" s="1" t="s">
        <v>1846</v>
      </c>
      <c r="E299">
        <v>20251211</v>
      </c>
      <c r="F299" s="1" t="s">
        <v>1469</v>
      </c>
      <c r="G299">
        <v>4</v>
      </c>
      <c r="H299" s="1" t="s">
        <v>1475</v>
      </c>
      <c r="I299" t="s">
        <v>1855</v>
      </c>
      <c r="J299" s="1" t="s">
        <v>1544</v>
      </c>
      <c r="K299" s="1" t="s">
        <v>1595</v>
      </c>
      <c r="L299" s="1" t="s">
        <v>1718</v>
      </c>
      <c r="M299" s="1" t="s">
        <v>1735</v>
      </c>
      <c r="N299" t="s">
        <v>1970</v>
      </c>
      <c r="O299" t="s">
        <v>2164</v>
      </c>
      <c r="P299" t="s">
        <v>3079</v>
      </c>
      <c r="Q299">
        <v>75</v>
      </c>
      <c r="R299" s="1" t="s">
        <v>1839</v>
      </c>
      <c r="S299">
        <v>1719</v>
      </c>
      <c r="T299">
        <v>128925</v>
      </c>
    </row>
    <row r="300" spans="1:20" x14ac:dyDescent="0.4">
      <c r="A300" s="1" t="s">
        <v>143</v>
      </c>
      <c r="B300" s="1" t="s">
        <v>1460</v>
      </c>
      <c r="C300" s="1" t="s">
        <v>1844</v>
      </c>
      <c r="D300" s="1" t="s">
        <v>1846</v>
      </c>
      <c r="E300">
        <v>20251211</v>
      </c>
      <c r="F300" s="1" t="s">
        <v>1469</v>
      </c>
      <c r="G300">
        <v>4</v>
      </c>
      <c r="H300" s="1" t="s">
        <v>1475</v>
      </c>
      <c r="I300" t="s">
        <v>1855</v>
      </c>
      <c r="J300" s="1" t="s">
        <v>1544</v>
      </c>
      <c r="K300" s="1" t="s">
        <v>1595</v>
      </c>
      <c r="L300" s="1" t="s">
        <v>1718</v>
      </c>
      <c r="M300" s="1" t="s">
        <v>1735</v>
      </c>
      <c r="N300" t="s">
        <v>1970</v>
      </c>
      <c r="O300" t="s">
        <v>2164</v>
      </c>
      <c r="P300" t="s">
        <v>3079</v>
      </c>
      <c r="Q300">
        <v>75</v>
      </c>
      <c r="R300" s="1" t="s">
        <v>1839</v>
      </c>
      <c r="S300">
        <v>1719</v>
      </c>
      <c r="T300">
        <v>128925</v>
      </c>
    </row>
    <row r="301" spans="1:20" x14ac:dyDescent="0.4">
      <c r="A301" s="1" t="s">
        <v>143</v>
      </c>
      <c r="B301" s="1" t="s">
        <v>1461</v>
      </c>
      <c r="C301" s="1" t="s">
        <v>1844</v>
      </c>
      <c r="D301" s="1" t="s">
        <v>1846</v>
      </c>
      <c r="E301">
        <v>20251211</v>
      </c>
      <c r="F301" s="1" t="s">
        <v>1469</v>
      </c>
      <c r="G301">
        <v>4</v>
      </c>
      <c r="H301" s="1" t="s">
        <v>1475</v>
      </c>
      <c r="I301" t="s">
        <v>1855</v>
      </c>
      <c r="J301" s="1" t="s">
        <v>1544</v>
      </c>
      <c r="K301" s="1" t="s">
        <v>1595</v>
      </c>
      <c r="L301" s="1" t="s">
        <v>1718</v>
      </c>
      <c r="M301" s="1" t="s">
        <v>1735</v>
      </c>
      <c r="N301" t="s">
        <v>1970</v>
      </c>
      <c r="O301" t="s">
        <v>2164</v>
      </c>
      <c r="P301" t="s">
        <v>3079</v>
      </c>
      <c r="Q301">
        <v>75</v>
      </c>
      <c r="R301" s="1" t="s">
        <v>1839</v>
      </c>
      <c r="S301">
        <v>1719</v>
      </c>
      <c r="T301">
        <v>128925</v>
      </c>
    </row>
    <row r="302" spans="1:20" x14ac:dyDescent="0.4">
      <c r="A302" s="1" t="s">
        <v>143</v>
      </c>
      <c r="B302" s="1" t="s">
        <v>1462</v>
      </c>
      <c r="C302" s="1" t="s">
        <v>1844</v>
      </c>
      <c r="D302" s="1" t="s">
        <v>1846</v>
      </c>
      <c r="E302">
        <v>20251211</v>
      </c>
      <c r="F302" s="1" t="s">
        <v>1469</v>
      </c>
      <c r="G302">
        <v>4</v>
      </c>
      <c r="H302" s="1" t="s">
        <v>1475</v>
      </c>
      <c r="I302" t="s">
        <v>1855</v>
      </c>
      <c r="J302" s="1" t="s">
        <v>1544</v>
      </c>
      <c r="K302" s="1" t="s">
        <v>1595</v>
      </c>
      <c r="L302" s="1" t="s">
        <v>1718</v>
      </c>
      <c r="M302" s="1" t="s">
        <v>1735</v>
      </c>
      <c r="N302" t="s">
        <v>1970</v>
      </c>
      <c r="O302" t="s">
        <v>2164</v>
      </c>
      <c r="P302" t="s">
        <v>3079</v>
      </c>
      <c r="Q302">
        <v>75</v>
      </c>
      <c r="R302" s="1" t="s">
        <v>1839</v>
      </c>
      <c r="S302">
        <v>1719</v>
      </c>
      <c r="T302">
        <v>128925</v>
      </c>
    </row>
    <row r="303" spans="1:20" x14ac:dyDescent="0.4">
      <c r="A303" s="1" t="s">
        <v>144</v>
      </c>
      <c r="B303" s="1" t="s">
        <v>1453</v>
      </c>
      <c r="C303" s="1" t="s">
        <v>1844</v>
      </c>
      <c r="D303" s="1" t="s">
        <v>1846</v>
      </c>
      <c r="E303">
        <v>20251211</v>
      </c>
      <c r="F303" s="1" t="s">
        <v>1469</v>
      </c>
      <c r="G303">
        <v>4</v>
      </c>
      <c r="H303" s="1" t="s">
        <v>1475</v>
      </c>
      <c r="I303" t="s">
        <v>1855</v>
      </c>
      <c r="J303" s="1" t="s">
        <v>1544</v>
      </c>
      <c r="K303" s="1" t="s">
        <v>1595</v>
      </c>
      <c r="L303" s="1" t="s">
        <v>1718</v>
      </c>
      <c r="M303" s="1" t="s">
        <v>1735</v>
      </c>
      <c r="N303" t="s">
        <v>1970</v>
      </c>
      <c r="O303" t="s">
        <v>2164</v>
      </c>
      <c r="P303" t="s">
        <v>3079</v>
      </c>
      <c r="Q303">
        <v>77.75</v>
      </c>
      <c r="R303" s="1" t="s">
        <v>1839</v>
      </c>
      <c r="S303">
        <v>1719</v>
      </c>
      <c r="T303">
        <v>133652</v>
      </c>
    </row>
    <row r="304" spans="1:20" x14ac:dyDescent="0.4">
      <c r="A304" s="1" t="s">
        <v>144</v>
      </c>
      <c r="B304" s="1" t="s">
        <v>1454</v>
      </c>
      <c r="C304" s="1" t="s">
        <v>1844</v>
      </c>
      <c r="D304" s="1" t="s">
        <v>1846</v>
      </c>
      <c r="E304">
        <v>20251211</v>
      </c>
      <c r="F304" s="1" t="s">
        <v>1469</v>
      </c>
      <c r="G304">
        <v>4</v>
      </c>
      <c r="H304" s="1" t="s">
        <v>1475</v>
      </c>
      <c r="I304" t="s">
        <v>1855</v>
      </c>
      <c r="J304" s="1" t="s">
        <v>1544</v>
      </c>
      <c r="K304" s="1" t="s">
        <v>1595</v>
      </c>
      <c r="L304" s="1" t="s">
        <v>1718</v>
      </c>
      <c r="M304" s="1" t="s">
        <v>1735</v>
      </c>
      <c r="N304" t="s">
        <v>1970</v>
      </c>
      <c r="O304" t="s">
        <v>2164</v>
      </c>
      <c r="P304" t="s">
        <v>3079</v>
      </c>
      <c r="Q304">
        <v>71.5</v>
      </c>
      <c r="R304" s="1" t="s">
        <v>1839</v>
      </c>
      <c r="S304">
        <v>1719</v>
      </c>
      <c r="T304">
        <v>122908</v>
      </c>
    </row>
    <row r="305" spans="1:20" x14ac:dyDescent="0.4">
      <c r="A305" s="1" t="s">
        <v>144</v>
      </c>
      <c r="B305" s="1" t="s">
        <v>1455</v>
      </c>
      <c r="C305" s="1" t="s">
        <v>1844</v>
      </c>
      <c r="D305" s="1" t="s">
        <v>1846</v>
      </c>
      <c r="E305">
        <v>20251211</v>
      </c>
      <c r="F305" s="1" t="s">
        <v>1469</v>
      </c>
      <c r="G305">
        <v>4</v>
      </c>
      <c r="H305" s="1" t="s">
        <v>1475</v>
      </c>
      <c r="I305" t="s">
        <v>1855</v>
      </c>
      <c r="J305" s="1" t="s">
        <v>1544</v>
      </c>
      <c r="K305" s="1" t="s">
        <v>1595</v>
      </c>
      <c r="L305" s="1" t="s">
        <v>1718</v>
      </c>
      <c r="M305" s="1" t="s">
        <v>1735</v>
      </c>
      <c r="N305" t="s">
        <v>1970</v>
      </c>
      <c r="O305" t="s">
        <v>2164</v>
      </c>
      <c r="P305" t="s">
        <v>3079</v>
      </c>
      <c r="Q305">
        <v>75</v>
      </c>
      <c r="R305" s="1" t="s">
        <v>1839</v>
      </c>
      <c r="S305">
        <v>1719</v>
      </c>
      <c r="T305">
        <v>128925</v>
      </c>
    </row>
    <row r="306" spans="1:20" x14ac:dyDescent="0.4">
      <c r="A306" s="1" t="s">
        <v>144</v>
      </c>
      <c r="B306" s="1" t="s">
        <v>1456</v>
      </c>
      <c r="C306" s="1" t="s">
        <v>1844</v>
      </c>
      <c r="D306" s="1" t="s">
        <v>1846</v>
      </c>
      <c r="E306">
        <v>20251211</v>
      </c>
      <c r="F306" s="1" t="s">
        <v>1469</v>
      </c>
      <c r="G306">
        <v>4</v>
      </c>
      <c r="H306" s="1" t="s">
        <v>1475</v>
      </c>
      <c r="I306" t="s">
        <v>1855</v>
      </c>
      <c r="J306" s="1" t="s">
        <v>1544</v>
      </c>
      <c r="K306" s="1" t="s">
        <v>1595</v>
      </c>
      <c r="L306" s="1" t="s">
        <v>1718</v>
      </c>
      <c r="M306" s="1" t="s">
        <v>1735</v>
      </c>
      <c r="N306" t="s">
        <v>1970</v>
      </c>
      <c r="O306" t="s">
        <v>2164</v>
      </c>
      <c r="P306" t="s">
        <v>3079</v>
      </c>
      <c r="Q306">
        <v>75.5</v>
      </c>
      <c r="R306" s="1" t="s">
        <v>1839</v>
      </c>
      <c r="S306">
        <v>1719</v>
      </c>
      <c r="T306">
        <v>129784</v>
      </c>
    </row>
    <row r="307" spans="1:20" x14ac:dyDescent="0.4">
      <c r="A307" s="1" t="s">
        <v>144</v>
      </c>
      <c r="B307" s="1" t="s">
        <v>1457</v>
      </c>
      <c r="C307" s="1" t="s">
        <v>1844</v>
      </c>
      <c r="D307" s="1" t="s">
        <v>1846</v>
      </c>
      <c r="E307">
        <v>20251211</v>
      </c>
      <c r="F307" s="1" t="s">
        <v>1469</v>
      </c>
      <c r="G307">
        <v>4</v>
      </c>
      <c r="H307" s="1" t="s">
        <v>1475</v>
      </c>
      <c r="I307" t="s">
        <v>1855</v>
      </c>
      <c r="J307" s="1" t="s">
        <v>1544</v>
      </c>
      <c r="K307" s="1" t="s">
        <v>1595</v>
      </c>
      <c r="L307" s="1" t="s">
        <v>1718</v>
      </c>
      <c r="M307" s="1" t="s">
        <v>1735</v>
      </c>
      <c r="N307" t="s">
        <v>1970</v>
      </c>
      <c r="O307" t="s">
        <v>2164</v>
      </c>
      <c r="P307" t="s">
        <v>3079</v>
      </c>
      <c r="Q307">
        <v>75</v>
      </c>
      <c r="R307" s="1" t="s">
        <v>1839</v>
      </c>
      <c r="S307">
        <v>1719</v>
      </c>
      <c r="T307">
        <v>128925</v>
      </c>
    </row>
    <row r="308" spans="1:20" x14ac:dyDescent="0.4">
      <c r="A308" s="1" t="s">
        <v>144</v>
      </c>
      <c r="B308" s="1" t="s">
        <v>1458</v>
      </c>
      <c r="C308" s="1" t="s">
        <v>1844</v>
      </c>
      <c r="D308" s="1" t="s">
        <v>1846</v>
      </c>
      <c r="E308">
        <v>20251211</v>
      </c>
      <c r="F308" s="1" t="s">
        <v>1469</v>
      </c>
      <c r="G308">
        <v>4</v>
      </c>
      <c r="H308" s="1" t="s">
        <v>1475</v>
      </c>
      <c r="I308" t="s">
        <v>1855</v>
      </c>
      <c r="J308" s="1" t="s">
        <v>1544</v>
      </c>
      <c r="K308" s="1" t="s">
        <v>1595</v>
      </c>
      <c r="L308" s="1" t="s">
        <v>1718</v>
      </c>
      <c r="M308" s="1" t="s">
        <v>1735</v>
      </c>
      <c r="N308" t="s">
        <v>1970</v>
      </c>
      <c r="O308" t="s">
        <v>2164</v>
      </c>
      <c r="P308" t="s">
        <v>3079</v>
      </c>
      <c r="Q308">
        <v>75</v>
      </c>
      <c r="R308" s="1" t="s">
        <v>1839</v>
      </c>
      <c r="S308">
        <v>1719</v>
      </c>
      <c r="T308">
        <v>128925</v>
      </c>
    </row>
    <row r="309" spans="1:20" x14ac:dyDescent="0.4">
      <c r="A309" s="1" t="s">
        <v>144</v>
      </c>
      <c r="B309" s="1" t="s">
        <v>1459</v>
      </c>
      <c r="C309" s="1" t="s">
        <v>1844</v>
      </c>
      <c r="D309" s="1" t="s">
        <v>1846</v>
      </c>
      <c r="E309">
        <v>20251211</v>
      </c>
      <c r="F309" s="1" t="s">
        <v>1469</v>
      </c>
      <c r="G309">
        <v>4</v>
      </c>
      <c r="H309" s="1" t="s">
        <v>1475</v>
      </c>
      <c r="I309" t="s">
        <v>1855</v>
      </c>
      <c r="J309" s="1" t="s">
        <v>1544</v>
      </c>
      <c r="K309" s="1" t="s">
        <v>1595</v>
      </c>
      <c r="L309" s="1" t="s">
        <v>1718</v>
      </c>
      <c r="M309" s="1" t="s">
        <v>1735</v>
      </c>
      <c r="N309" t="s">
        <v>1970</v>
      </c>
      <c r="O309" t="s">
        <v>2164</v>
      </c>
      <c r="P309" t="s">
        <v>3079</v>
      </c>
      <c r="Q309">
        <v>75</v>
      </c>
      <c r="R309" s="1" t="s">
        <v>1839</v>
      </c>
      <c r="S309">
        <v>1719</v>
      </c>
      <c r="T309">
        <v>128925</v>
      </c>
    </row>
    <row r="310" spans="1:20" x14ac:dyDescent="0.4">
      <c r="A310" s="1" t="s">
        <v>144</v>
      </c>
      <c r="B310" s="1" t="s">
        <v>1460</v>
      </c>
      <c r="C310" s="1" t="s">
        <v>1844</v>
      </c>
      <c r="D310" s="1" t="s">
        <v>1846</v>
      </c>
      <c r="E310">
        <v>20251211</v>
      </c>
      <c r="F310" s="1" t="s">
        <v>1469</v>
      </c>
      <c r="G310">
        <v>4</v>
      </c>
      <c r="H310" s="1" t="s">
        <v>1475</v>
      </c>
      <c r="I310" t="s">
        <v>1855</v>
      </c>
      <c r="J310" s="1" t="s">
        <v>1544</v>
      </c>
      <c r="K310" s="1" t="s">
        <v>1595</v>
      </c>
      <c r="L310" s="1" t="s">
        <v>1718</v>
      </c>
      <c r="M310" s="1" t="s">
        <v>1735</v>
      </c>
      <c r="N310" t="s">
        <v>1970</v>
      </c>
      <c r="O310" t="s">
        <v>2164</v>
      </c>
      <c r="P310" t="s">
        <v>3079</v>
      </c>
      <c r="Q310">
        <v>76.25</v>
      </c>
      <c r="R310" s="1" t="s">
        <v>1839</v>
      </c>
      <c r="S310">
        <v>1719</v>
      </c>
      <c r="T310">
        <v>131073</v>
      </c>
    </row>
    <row r="311" spans="1:20" x14ac:dyDescent="0.4">
      <c r="A311" s="1" t="s">
        <v>145</v>
      </c>
      <c r="B311" s="1" t="s">
        <v>1453</v>
      </c>
      <c r="C311" s="1" t="s">
        <v>1844</v>
      </c>
      <c r="D311" s="1" t="s">
        <v>1848</v>
      </c>
      <c r="E311">
        <v>20251205</v>
      </c>
      <c r="F311" s="1" t="s">
        <v>1469</v>
      </c>
      <c r="G311">
        <v>4</v>
      </c>
      <c r="H311" s="1" t="s">
        <v>1475</v>
      </c>
      <c r="I311" t="s">
        <v>1855</v>
      </c>
      <c r="J311" s="1" t="s">
        <v>1544</v>
      </c>
      <c r="K311" s="1" t="s">
        <v>1589</v>
      </c>
      <c r="L311" s="1" t="s">
        <v>1718</v>
      </c>
      <c r="M311" s="1" t="s">
        <v>1758</v>
      </c>
      <c r="N311" t="s">
        <v>1964</v>
      </c>
      <c r="O311" t="s">
        <v>2164</v>
      </c>
      <c r="P311" t="s">
        <v>3080</v>
      </c>
      <c r="Q311">
        <v>-18.2</v>
      </c>
      <c r="R311" s="1" t="s">
        <v>1839</v>
      </c>
      <c r="S311">
        <v>1373</v>
      </c>
      <c r="T311">
        <v>-24988</v>
      </c>
    </row>
    <row r="312" spans="1:20" x14ac:dyDescent="0.4">
      <c r="A312" s="1" t="s">
        <v>146</v>
      </c>
      <c r="B312" s="1" t="s">
        <v>1453</v>
      </c>
      <c r="C312" s="1" t="s">
        <v>1844</v>
      </c>
      <c r="D312" s="1" t="s">
        <v>1846</v>
      </c>
      <c r="E312">
        <v>20251212</v>
      </c>
      <c r="F312" s="1" t="s">
        <v>1469</v>
      </c>
      <c r="G312">
        <v>4</v>
      </c>
      <c r="H312" s="1" t="s">
        <v>1475</v>
      </c>
      <c r="I312" t="s">
        <v>1855</v>
      </c>
      <c r="J312" s="1" t="s">
        <v>1544</v>
      </c>
      <c r="K312" s="1" t="s">
        <v>1595</v>
      </c>
      <c r="L312" s="1" t="s">
        <v>1718</v>
      </c>
      <c r="M312" s="1" t="s">
        <v>1735</v>
      </c>
      <c r="N312" t="s">
        <v>1970</v>
      </c>
      <c r="O312" t="s">
        <v>2164</v>
      </c>
      <c r="P312" t="s">
        <v>3079</v>
      </c>
      <c r="Q312">
        <v>82.5</v>
      </c>
      <c r="R312" s="1" t="s">
        <v>1839</v>
      </c>
      <c r="S312">
        <v>1719</v>
      </c>
      <c r="T312">
        <v>141817</v>
      </c>
    </row>
    <row r="313" spans="1:20" x14ac:dyDescent="0.4">
      <c r="A313" s="1" t="s">
        <v>146</v>
      </c>
      <c r="B313" s="1" t="s">
        <v>1454</v>
      </c>
      <c r="C313" s="1" t="s">
        <v>1844</v>
      </c>
      <c r="D313" s="1" t="s">
        <v>1846</v>
      </c>
      <c r="E313">
        <v>20251212</v>
      </c>
      <c r="F313" s="1" t="s">
        <v>1469</v>
      </c>
      <c r="G313">
        <v>4</v>
      </c>
      <c r="H313" s="1" t="s">
        <v>1475</v>
      </c>
      <c r="I313" t="s">
        <v>1855</v>
      </c>
      <c r="J313" s="1" t="s">
        <v>1544</v>
      </c>
      <c r="K313" s="1" t="s">
        <v>1595</v>
      </c>
      <c r="L313" s="1" t="s">
        <v>1718</v>
      </c>
      <c r="M313" s="1" t="s">
        <v>1735</v>
      </c>
      <c r="N313" t="s">
        <v>1970</v>
      </c>
      <c r="O313" t="s">
        <v>2164</v>
      </c>
      <c r="P313" t="s">
        <v>3079</v>
      </c>
      <c r="Q313">
        <v>82.5</v>
      </c>
      <c r="R313" s="1" t="s">
        <v>1839</v>
      </c>
      <c r="S313">
        <v>1719</v>
      </c>
      <c r="T313">
        <v>141817</v>
      </c>
    </row>
    <row r="314" spans="1:20" x14ac:dyDescent="0.4">
      <c r="A314" s="1" t="s">
        <v>146</v>
      </c>
      <c r="B314" s="1" t="s">
        <v>1455</v>
      </c>
      <c r="C314" s="1" t="s">
        <v>1844</v>
      </c>
      <c r="D314" s="1" t="s">
        <v>1846</v>
      </c>
      <c r="E314">
        <v>20251212</v>
      </c>
      <c r="F314" s="1" t="s">
        <v>1469</v>
      </c>
      <c r="G314">
        <v>4</v>
      </c>
      <c r="H314" s="1" t="s">
        <v>1475</v>
      </c>
      <c r="I314" t="s">
        <v>1855</v>
      </c>
      <c r="J314" s="1" t="s">
        <v>1544</v>
      </c>
      <c r="K314" s="1" t="s">
        <v>1595</v>
      </c>
      <c r="L314" s="1" t="s">
        <v>1718</v>
      </c>
      <c r="M314" s="1" t="s">
        <v>1735</v>
      </c>
      <c r="N314" t="s">
        <v>1970</v>
      </c>
      <c r="O314" t="s">
        <v>2164</v>
      </c>
      <c r="P314" t="s">
        <v>3079</v>
      </c>
      <c r="Q314">
        <v>82.5</v>
      </c>
      <c r="R314" s="1" t="s">
        <v>1839</v>
      </c>
      <c r="S314">
        <v>1719</v>
      </c>
      <c r="T314">
        <v>141817</v>
      </c>
    </row>
    <row r="315" spans="1:20" x14ac:dyDescent="0.4">
      <c r="A315" s="1" t="s">
        <v>146</v>
      </c>
      <c r="B315" s="1" t="s">
        <v>1456</v>
      </c>
      <c r="C315" s="1" t="s">
        <v>1844</v>
      </c>
      <c r="D315" s="1" t="s">
        <v>1846</v>
      </c>
      <c r="E315">
        <v>20251212</v>
      </c>
      <c r="F315" s="1" t="s">
        <v>1469</v>
      </c>
      <c r="G315">
        <v>4</v>
      </c>
      <c r="H315" s="1" t="s">
        <v>1475</v>
      </c>
      <c r="I315" t="s">
        <v>1855</v>
      </c>
      <c r="J315" s="1" t="s">
        <v>1544</v>
      </c>
      <c r="K315" s="1" t="s">
        <v>1595</v>
      </c>
      <c r="L315" s="1" t="s">
        <v>1718</v>
      </c>
      <c r="M315" s="1" t="s">
        <v>1735</v>
      </c>
      <c r="N315" t="s">
        <v>1970</v>
      </c>
      <c r="O315" t="s">
        <v>2164</v>
      </c>
      <c r="P315" t="s">
        <v>3079</v>
      </c>
      <c r="Q315">
        <v>80.25</v>
      </c>
      <c r="R315" s="1" t="s">
        <v>1839</v>
      </c>
      <c r="S315">
        <v>1719</v>
      </c>
      <c r="T315">
        <v>137949</v>
      </c>
    </row>
    <row r="316" spans="1:20" x14ac:dyDescent="0.4">
      <c r="A316" s="1" t="s">
        <v>146</v>
      </c>
      <c r="B316" s="1" t="s">
        <v>1457</v>
      </c>
      <c r="C316" s="1" t="s">
        <v>1844</v>
      </c>
      <c r="D316" s="1" t="s">
        <v>1846</v>
      </c>
      <c r="E316">
        <v>20251212</v>
      </c>
      <c r="F316" s="1" t="s">
        <v>1469</v>
      </c>
      <c r="G316">
        <v>4</v>
      </c>
      <c r="H316" s="1" t="s">
        <v>1475</v>
      </c>
      <c r="I316" t="s">
        <v>1855</v>
      </c>
      <c r="J316" s="1" t="s">
        <v>1544</v>
      </c>
      <c r="K316" s="1" t="s">
        <v>1595</v>
      </c>
      <c r="L316" s="1" t="s">
        <v>1718</v>
      </c>
      <c r="M316" s="1" t="s">
        <v>1735</v>
      </c>
      <c r="N316" t="s">
        <v>1970</v>
      </c>
      <c r="O316" t="s">
        <v>2164</v>
      </c>
      <c r="P316" t="s">
        <v>3079</v>
      </c>
      <c r="Q316">
        <v>62.5</v>
      </c>
      <c r="R316" s="1" t="s">
        <v>1839</v>
      </c>
      <c r="S316">
        <v>1719</v>
      </c>
      <c r="T316">
        <v>107437</v>
      </c>
    </row>
    <row r="317" spans="1:20" x14ac:dyDescent="0.4">
      <c r="A317" s="1" t="s">
        <v>146</v>
      </c>
      <c r="B317" s="1" t="s">
        <v>1458</v>
      </c>
      <c r="C317" s="1" t="s">
        <v>1844</v>
      </c>
      <c r="D317" s="1" t="s">
        <v>1846</v>
      </c>
      <c r="E317">
        <v>20251212</v>
      </c>
      <c r="F317" s="1" t="s">
        <v>1469</v>
      </c>
      <c r="G317">
        <v>4</v>
      </c>
      <c r="H317" s="1" t="s">
        <v>1475</v>
      </c>
      <c r="I317" t="s">
        <v>1855</v>
      </c>
      <c r="J317" s="1" t="s">
        <v>1544</v>
      </c>
      <c r="K317" s="1" t="s">
        <v>1595</v>
      </c>
      <c r="L317" s="1" t="s">
        <v>1718</v>
      </c>
      <c r="M317" s="1" t="s">
        <v>1735</v>
      </c>
      <c r="N317" t="s">
        <v>1970</v>
      </c>
      <c r="O317" t="s">
        <v>2164</v>
      </c>
      <c r="P317" t="s">
        <v>3079</v>
      </c>
      <c r="Q317">
        <v>63.5</v>
      </c>
      <c r="R317" s="1" t="s">
        <v>1839</v>
      </c>
      <c r="S317">
        <v>1719</v>
      </c>
      <c r="T317">
        <v>109156</v>
      </c>
    </row>
    <row r="318" spans="1:20" x14ac:dyDescent="0.4">
      <c r="A318" s="1" t="s">
        <v>147</v>
      </c>
      <c r="B318" s="1" t="s">
        <v>1453</v>
      </c>
      <c r="C318" s="1" t="s">
        <v>1844</v>
      </c>
      <c r="D318" s="1" t="s">
        <v>1731</v>
      </c>
      <c r="E318">
        <v>20251212</v>
      </c>
      <c r="F318" s="1" t="s">
        <v>1469</v>
      </c>
      <c r="G318">
        <v>1</v>
      </c>
      <c r="H318" s="1" t="s">
        <v>1475</v>
      </c>
      <c r="I318" t="s">
        <v>1855</v>
      </c>
      <c r="J318" s="1" t="s">
        <v>1544</v>
      </c>
      <c r="K318" s="1" t="s">
        <v>1596</v>
      </c>
      <c r="L318" s="1" t="s">
        <v>1722</v>
      </c>
      <c r="M318" s="1" t="s">
        <v>1763</v>
      </c>
      <c r="N318" t="s">
        <v>1971</v>
      </c>
      <c r="O318" t="s">
        <v>2168</v>
      </c>
      <c r="P318" t="s">
        <v>3081</v>
      </c>
      <c r="Q318">
        <v>5</v>
      </c>
      <c r="R318" s="1" t="s">
        <v>1463</v>
      </c>
      <c r="S318">
        <v>990</v>
      </c>
      <c r="T318">
        <v>4950</v>
      </c>
    </row>
    <row r="319" spans="1:20" x14ac:dyDescent="0.4">
      <c r="A319" s="1" t="s">
        <v>147</v>
      </c>
      <c r="B319" s="1" t="s">
        <v>1454</v>
      </c>
      <c r="C319" s="1" t="s">
        <v>1844</v>
      </c>
      <c r="D319" s="1" t="s">
        <v>1731</v>
      </c>
      <c r="E319">
        <v>20251212</v>
      </c>
      <c r="F319" s="1" t="s">
        <v>1469</v>
      </c>
      <c r="G319">
        <v>1</v>
      </c>
      <c r="H319" s="1" t="s">
        <v>1475</v>
      </c>
      <c r="I319" t="s">
        <v>1855</v>
      </c>
      <c r="J319" s="1" t="s">
        <v>1544</v>
      </c>
      <c r="K319" s="1" t="s">
        <v>1596</v>
      </c>
      <c r="L319" s="1" t="s">
        <v>1722</v>
      </c>
      <c r="M319" s="1" t="s">
        <v>1764</v>
      </c>
      <c r="N319" t="s">
        <v>1971</v>
      </c>
      <c r="O319" t="s">
        <v>2168</v>
      </c>
      <c r="P319" t="s">
        <v>3082</v>
      </c>
      <c r="Q319">
        <v>5</v>
      </c>
      <c r="R319" s="1" t="s">
        <v>1463</v>
      </c>
      <c r="S319">
        <v>990</v>
      </c>
      <c r="T319">
        <v>4950</v>
      </c>
    </row>
    <row r="320" spans="1:20" x14ac:dyDescent="0.4">
      <c r="A320" s="1" t="s">
        <v>148</v>
      </c>
      <c r="B320" s="1" t="s">
        <v>1453</v>
      </c>
      <c r="C320" s="1" t="s">
        <v>1844</v>
      </c>
      <c r="D320" s="1" t="s">
        <v>1731</v>
      </c>
      <c r="E320">
        <v>20251212</v>
      </c>
      <c r="F320" s="1" t="s">
        <v>1469</v>
      </c>
      <c r="G320">
        <v>4</v>
      </c>
      <c r="H320" s="1" t="s">
        <v>1475</v>
      </c>
      <c r="I320" t="s">
        <v>1855</v>
      </c>
      <c r="J320" s="1" t="s">
        <v>1545</v>
      </c>
      <c r="K320" s="1" t="s">
        <v>1597</v>
      </c>
      <c r="L320" s="1" t="s">
        <v>1719</v>
      </c>
      <c r="M320" s="1" t="s">
        <v>1762</v>
      </c>
      <c r="N320" t="s">
        <v>1972</v>
      </c>
      <c r="O320" t="s">
        <v>2165</v>
      </c>
      <c r="P320" t="s">
        <v>3077</v>
      </c>
      <c r="Q320">
        <v>562.74</v>
      </c>
      <c r="R320" s="1" t="s">
        <v>1839</v>
      </c>
      <c r="S320">
        <v>2631</v>
      </c>
      <c r="T320">
        <v>1480568</v>
      </c>
    </row>
    <row r="321" spans="1:20" x14ac:dyDescent="0.4">
      <c r="A321" s="1" t="s">
        <v>148</v>
      </c>
      <c r="B321" s="1" t="s">
        <v>1454</v>
      </c>
      <c r="C321" s="1" t="s">
        <v>1844</v>
      </c>
      <c r="D321" s="1" t="s">
        <v>1731</v>
      </c>
      <c r="E321">
        <v>20251212</v>
      </c>
      <c r="F321" s="1" t="s">
        <v>1469</v>
      </c>
      <c r="G321">
        <v>4</v>
      </c>
      <c r="H321" s="1" t="s">
        <v>1475</v>
      </c>
      <c r="I321" t="s">
        <v>1855</v>
      </c>
      <c r="J321" s="1" t="s">
        <v>1545</v>
      </c>
      <c r="K321" s="1" t="s">
        <v>1597</v>
      </c>
      <c r="L321" s="1" t="s">
        <v>1719</v>
      </c>
      <c r="M321" s="1" t="s">
        <v>1762</v>
      </c>
      <c r="N321" t="s">
        <v>1972</v>
      </c>
      <c r="O321" t="s">
        <v>2165</v>
      </c>
      <c r="P321" t="s">
        <v>3083</v>
      </c>
      <c r="Q321">
        <v>86.85</v>
      </c>
      <c r="R321" s="1" t="s">
        <v>1839</v>
      </c>
      <c r="S321">
        <v>2631</v>
      </c>
      <c r="T321">
        <v>228502</v>
      </c>
    </row>
    <row r="322" spans="1:20" x14ac:dyDescent="0.4">
      <c r="A322" s="1" t="s">
        <v>149</v>
      </c>
      <c r="B322" s="1" t="s">
        <v>1453</v>
      </c>
      <c r="C322" s="1" t="s">
        <v>1844</v>
      </c>
      <c r="D322" s="1" t="s">
        <v>1731</v>
      </c>
      <c r="E322">
        <v>20251212</v>
      </c>
      <c r="F322" s="1" t="s">
        <v>1469</v>
      </c>
      <c r="G322">
        <v>4</v>
      </c>
      <c r="H322" s="1" t="s">
        <v>1475</v>
      </c>
      <c r="I322" t="s">
        <v>1855</v>
      </c>
      <c r="J322" s="1" t="s">
        <v>1545</v>
      </c>
      <c r="K322" s="1" t="s">
        <v>1597</v>
      </c>
      <c r="L322" s="1" t="s">
        <v>1719</v>
      </c>
      <c r="M322" s="1" t="s">
        <v>1762</v>
      </c>
      <c r="N322" t="s">
        <v>1972</v>
      </c>
      <c r="O322" t="s">
        <v>2165</v>
      </c>
      <c r="P322" t="s">
        <v>3077</v>
      </c>
      <c r="Q322">
        <v>328.26</v>
      </c>
      <c r="R322" s="1" t="s">
        <v>1839</v>
      </c>
      <c r="S322">
        <v>2631</v>
      </c>
      <c r="T322">
        <v>863652</v>
      </c>
    </row>
    <row r="323" spans="1:20" x14ac:dyDescent="0.4">
      <c r="A323" s="1" t="s">
        <v>150</v>
      </c>
      <c r="B323" s="1" t="s">
        <v>1453</v>
      </c>
      <c r="C323" s="1" t="s">
        <v>1844</v>
      </c>
      <c r="D323" s="1" t="s">
        <v>1846</v>
      </c>
      <c r="E323">
        <v>20251212</v>
      </c>
      <c r="F323" s="1" t="s">
        <v>1469</v>
      </c>
      <c r="G323">
        <v>4</v>
      </c>
      <c r="H323" s="1" t="s">
        <v>1475</v>
      </c>
      <c r="I323" t="s">
        <v>1855</v>
      </c>
      <c r="J323" s="1" t="s">
        <v>1544</v>
      </c>
      <c r="K323" s="1" t="s">
        <v>1598</v>
      </c>
      <c r="L323" s="1" t="s">
        <v>1718</v>
      </c>
      <c r="M323" s="1" t="s">
        <v>1765</v>
      </c>
      <c r="N323" t="s">
        <v>1973</v>
      </c>
      <c r="O323" t="s">
        <v>2164</v>
      </c>
      <c r="P323" t="s">
        <v>3084</v>
      </c>
      <c r="Q323">
        <v>42.22</v>
      </c>
      <c r="R323" s="1" t="s">
        <v>1839</v>
      </c>
      <c r="S323">
        <v>3021</v>
      </c>
      <c r="T323">
        <v>127546</v>
      </c>
    </row>
    <row r="324" spans="1:20" x14ac:dyDescent="0.4">
      <c r="A324" s="1" t="s">
        <v>150</v>
      </c>
      <c r="B324" s="1" t="s">
        <v>1454</v>
      </c>
      <c r="C324" s="1" t="s">
        <v>1844</v>
      </c>
      <c r="D324" s="1" t="s">
        <v>1846</v>
      </c>
      <c r="E324">
        <v>20251212</v>
      </c>
      <c r="F324" s="1" t="s">
        <v>1469</v>
      </c>
      <c r="G324">
        <v>4</v>
      </c>
      <c r="H324" s="1" t="s">
        <v>1475</v>
      </c>
      <c r="I324" t="s">
        <v>1855</v>
      </c>
      <c r="J324" s="1" t="s">
        <v>1544</v>
      </c>
      <c r="K324" s="1" t="s">
        <v>1598</v>
      </c>
      <c r="L324" s="1" t="s">
        <v>1718</v>
      </c>
      <c r="M324" s="1" t="s">
        <v>1765</v>
      </c>
      <c r="N324" t="s">
        <v>1973</v>
      </c>
      <c r="O324" t="s">
        <v>2164</v>
      </c>
      <c r="P324" t="s">
        <v>3084</v>
      </c>
      <c r="Q324">
        <v>35.299999999999997</v>
      </c>
      <c r="R324" s="1" t="s">
        <v>1839</v>
      </c>
      <c r="S324">
        <v>3021</v>
      </c>
      <c r="T324">
        <v>106641</v>
      </c>
    </row>
    <row r="325" spans="1:20" x14ac:dyDescent="0.4">
      <c r="A325" s="1" t="s">
        <v>150</v>
      </c>
      <c r="B325" s="1" t="s">
        <v>1455</v>
      </c>
      <c r="C325" s="1" t="s">
        <v>1844</v>
      </c>
      <c r="D325" s="1" t="s">
        <v>1846</v>
      </c>
      <c r="E325">
        <v>20251212</v>
      </c>
      <c r="F325" s="1" t="s">
        <v>1469</v>
      </c>
      <c r="G325">
        <v>4</v>
      </c>
      <c r="H325" s="1" t="s">
        <v>1475</v>
      </c>
      <c r="I325" t="s">
        <v>1855</v>
      </c>
      <c r="J325" s="1" t="s">
        <v>1544</v>
      </c>
      <c r="K325" s="1" t="s">
        <v>1598</v>
      </c>
      <c r="L325" s="1" t="s">
        <v>1718</v>
      </c>
      <c r="M325" s="1" t="s">
        <v>1765</v>
      </c>
      <c r="N325" t="s">
        <v>1973</v>
      </c>
      <c r="O325" t="s">
        <v>2164</v>
      </c>
      <c r="P325" t="s">
        <v>3084</v>
      </c>
      <c r="Q325">
        <v>46.59</v>
      </c>
      <c r="R325" s="1" t="s">
        <v>1839</v>
      </c>
      <c r="S325">
        <v>3021</v>
      </c>
      <c r="T325">
        <v>140748</v>
      </c>
    </row>
    <row r="326" spans="1:20" x14ac:dyDescent="0.4">
      <c r="A326" s="1" t="s">
        <v>150</v>
      </c>
      <c r="B326" s="1" t="s">
        <v>1456</v>
      </c>
      <c r="C326" s="1" t="s">
        <v>1844</v>
      </c>
      <c r="D326" s="1" t="s">
        <v>1846</v>
      </c>
      <c r="E326">
        <v>20251212</v>
      </c>
      <c r="F326" s="1" t="s">
        <v>1469</v>
      </c>
      <c r="G326">
        <v>4</v>
      </c>
      <c r="H326" s="1" t="s">
        <v>1475</v>
      </c>
      <c r="I326" t="s">
        <v>1855</v>
      </c>
      <c r="J326" s="1" t="s">
        <v>1544</v>
      </c>
      <c r="K326" s="1" t="s">
        <v>1598</v>
      </c>
      <c r="L326" s="1" t="s">
        <v>1718</v>
      </c>
      <c r="M326" s="1" t="s">
        <v>1765</v>
      </c>
      <c r="N326" t="s">
        <v>1973</v>
      </c>
      <c r="O326" t="s">
        <v>2164</v>
      </c>
      <c r="P326" t="s">
        <v>3084</v>
      </c>
      <c r="Q326">
        <v>91</v>
      </c>
      <c r="R326" s="1" t="s">
        <v>1839</v>
      </c>
      <c r="S326">
        <v>3021</v>
      </c>
      <c r="T326">
        <v>274911</v>
      </c>
    </row>
    <row r="327" spans="1:20" x14ac:dyDescent="0.4">
      <c r="A327" s="1" t="s">
        <v>150</v>
      </c>
      <c r="B327" s="1" t="s">
        <v>1457</v>
      </c>
      <c r="C327" s="1" t="s">
        <v>1844</v>
      </c>
      <c r="D327" s="1" t="s">
        <v>1846</v>
      </c>
      <c r="E327">
        <v>20251212</v>
      </c>
      <c r="F327" s="1" t="s">
        <v>1469</v>
      </c>
      <c r="G327">
        <v>4</v>
      </c>
      <c r="H327" s="1" t="s">
        <v>1475</v>
      </c>
      <c r="I327" t="s">
        <v>1855</v>
      </c>
      <c r="J327" s="1" t="s">
        <v>1544</v>
      </c>
      <c r="K327" s="1" t="s">
        <v>1598</v>
      </c>
      <c r="L327" s="1" t="s">
        <v>1718</v>
      </c>
      <c r="M327" s="1" t="s">
        <v>1765</v>
      </c>
      <c r="N327" t="s">
        <v>1973</v>
      </c>
      <c r="O327" t="s">
        <v>2164</v>
      </c>
      <c r="P327" t="s">
        <v>3084</v>
      </c>
      <c r="Q327">
        <v>74.62</v>
      </c>
      <c r="R327" s="1" t="s">
        <v>1839</v>
      </c>
      <c r="S327">
        <v>3021</v>
      </c>
      <c r="T327">
        <v>225427</v>
      </c>
    </row>
    <row r="328" spans="1:20" x14ac:dyDescent="0.4">
      <c r="A328" s="1" t="s">
        <v>150</v>
      </c>
      <c r="B328" s="1" t="s">
        <v>1458</v>
      </c>
      <c r="C328" s="1" t="s">
        <v>1844</v>
      </c>
      <c r="D328" s="1" t="s">
        <v>1846</v>
      </c>
      <c r="E328">
        <v>20251212</v>
      </c>
      <c r="F328" s="1" t="s">
        <v>1469</v>
      </c>
      <c r="G328">
        <v>4</v>
      </c>
      <c r="H328" s="1" t="s">
        <v>1475</v>
      </c>
      <c r="I328" t="s">
        <v>1855</v>
      </c>
      <c r="J328" s="1" t="s">
        <v>1544</v>
      </c>
      <c r="K328" s="1" t="s">
        <v>1598</v>
      </c>
      <c r="L328" s="1" t="s">
        <v>1718</v>
      </c>
      <c r="M328" s="1" t="s">
        <v>1765</v>
      </c>
      <c r="N328" t="s">
        <v>1973</v>
      </c>
      <c r="O328" t="s">
        <v>2164</v>
      </c>
      <c r="P328" t="s">
        <v>3084</v>
      </c>
      <c r="Q328">
        <v>76.44</v>
      </c>
      <c r="R328" s="1" t="s">
        <v>1839</v>
      </c>
      <c r="S328">
        <v>3021</v>
      </c>
      <c r="T328">
        <v>230925</v>
      </c>
    </row>
    <row r="329" spans="1:20" x14ac:dyDescent="0.4">
      <c r="A329" s="1" t="s">
        <v>151</v>
      </c>
      <c r="B329" s="1" t="s">
        <v>1453</v>
      </c>
      <c r="C329" s="1" t="s">
        <v>1844</v>
      </c>
      <c r="D329" s="1" t="s">
        <v>1731</v>
      </c>
      <c r="E329">
        <v>20251215</v>
      </c>
      <c r="F329" s="1" t="s">
        <v>1469</v>
      </c>
      <c r="G329">
        <v>4</v>
      </c>
      <c r="H329" s="1" t="s">
        <v>1475</v>
      </c>
      <c r="I329" t="s">
        <v>1855</v>
      </c>
      <c r="J329" s="1" t="s">
        <v>1548</v>
      </c>
      <c r="K329" s="1" t="s">
        <v>1599</v>
      </c>
      <c r="L329" s="1" t="s">
        <v>1718</v>
      </c>
      <c r="M329" s="1" t="s">
        <v>1737</v>
      </c>
      <c r="N329" t="s">
        <v>1974</v>
      </c>
      <c r="O329" t="s">
        <v>2164</v>
      </c>
      <c r="P329" t="s">
        <v>2157</v>
      </c>
      <c r="Q329">
        <v>12.3</v>
      </c>
      <c r="R329" s="1" t="s">
        <v>1839</v>
      </c>
      <c r="S329">
        <v>1072</v>
      </c>
      <c r="T329">
        <v>13185</v>
      </c>
    </row>
    <row r="330" spans="1:20" x14ac:dyDescent="0.4">
      <c r="A330" s="1" t="s">
        <v>151</v>
      </c>
      <c r="B330" s="1" t="s">
        <v>1454</v>
      </c>
      <c r="C330" s="1" t="s">
        <v>1844</v>
      </c>
      <c r="D330" s="1" t="s">
        <v>1731</v>
      </c>
      <c r="E330">
        <v>20251215</v>
      </c>
      <c r="F330" s="1" t="s">
        <v>1469</v>
      </c>
      <c r="G330">
        <v>4</v>
      </c>
      <c r="H330" s="1" t="s">
        <v>1475</v>
      </c>
      <c r="I330" t="s">
        <v>1855</v>
      </c>
      <c r="J330" s="1" t="s">
        <v>1548</v>
      </c>
      <c r="K330" s="1" t="s">
        <v>1599</v>
      </c>
      <c r="L330" s="1" t="s">
        <v>1718</v>
      </c>
      <c r="M330" s="1" t="s">
        <v>1737</v>
      </c>
      <c r="N330" t="s">
        <v>1974</v>
      </c>
      <c r="O330" t="s">
        <v>2164</v>
      </c>
      <c r="P330" t="s">
        <v>2157</v>
      </c>
      <c r="Q330">
        <v>12.3</v>
      </c>
      <c r="R330" s="1" t="s">
        <v>1839</v>
      </c>
      <c r="S330">
        <v>1072</v>
      </c>
      <c r="T330">
        <v>13185</v>
      </c>
    </row>
    <row r="331" spans="1:20" x14ac:dyDescent="0.4">
      <c r="A331" s="1" t="s">
        <v>151</v>
      </c>
      <c r="B331" s="1" t="s">
        <v>1455</v>
      </c>
      <c r="C331" s="1" t="s">
        <v>1844</v>
      </c>
      <c r="D331" s="1" t="s">
        <v>1731</v>
      </c>
      <c r="E331">
        <v>20251215</v>
      </c>
      <c r="F331" s="1" t="s">
        <v>1469</v>
      </c>
      <c r="G331">
        <v>4</v>
      </c>
      <c r="H331" s="1" t="s">
        <v>1475</v>
      </c>
      <c r="I331" t="s">
        <v>1855</v>
      </c>
      <c r="J331" s="1" t="s">
        <v>1548</v>
      </c>
      <c r="K331" s="1" t="s">
        <v>1599</v>
      </c>
      <c r="L331" s="1" t="s">
        <v>1718</v>
      </c>
      <c r="M331" s="1" t="s">
        <v>1737</v>
      </c>
      <c r="N331" t="s">
        <v>1974</v>
      </c>
      <c r="O331" t="s">
        <v>2164</v>
      </c>
      <c r="P331" t="s">
        <v>2157</v>
      </c>
      <c r="Q331">
        <v>12.3</v>
      </c>
      <c r="R331" s="1" t="s">
        <v>1839</v>
      </c>
      <c r="S331">
        <v>1072</v>
      </c>
      <c r="T331">
        <v>13185</v>
      </c>
    </row>
    <row r="332" spans="1:20" x14ac:dyDescent="0.4">
      <c r="A332" s="1" t="s">
        <v>151</v>
      </c>
      <c r="B332" s="1" t="s">
        <v>1456</v>
      </c>
      <c r="C332" s="1" t="s">
        <v>1844</v>
      </c>
      <c r="D332" s="1" t="s">
        <v>1731</v>
      </c>
      <c r="E332">
        <v>20251215</v>
      </c>
      <c r="F332" s="1" t="s">
        <v>1469</v>
      </c>
      <c r="G332">
        <v>4</v>
      </c>
      <c r="H332" s="1" t="s">
        <v>1475</v>
      </c>
      <c r="I332" t="s">
        <v>1855</v>
      </c>
      <c r="J332" s="1" t="s">
        <v>1548</v>
      </c>
      <c r="K332" s="1" t="s">
        <v>1599</v>
      </c>
      <c r="L332" s="1" t="s">
        <v>1718</v>
      </c>
      <c r="M332" s="1" t="s">
        <v>1737</v>
      </c>
      <c r="N332" t="s">
        <v>1974</v>
      </c>
      <c r="O332" t="s">
        <v>2164</v>
      </c>
      <c r="P332" t="s">
        <v>2157</v>
      </c>
      <c r="Q332">
        <v>12.6</v>
      </c>
      <c r="R332" s="1" t="s">
        <v>1839</v>
      </c>
      <c r="S332">
        <v>1072</v>
      </c>
      <c r="T332">
        <v>13507</v>
      </c>
    </row>
    <row r="333" spans="1:20" x14ac:dyDescent="0.4">
      <c r="A333" s="1" t="s">
        <v>151</v>
      </c>
      <c r="B333" s="1" t="s">
        <v>1457</v>
      </c>
      <c r="C333" s="1" t="s">
        <v>1844</v>
      </c>
      <c r="D333" s="1" t="s">
        <v>1731</v>
      </c>
      <c r="E333">
        <v>20251215</v>
      </c>
      <c r="F333" s="1" t="s">
        <v>1469</v>
      </c>
      <c r="G333">
        <v>4</v>
      </c>
      <c r="H333" s="1" t="s">
        <v>1475</v>
      </c>
      <c r="I333" t="s">
        <v>1855</v>
      </c>
      <c r="J333" s="1" t="s">
        <v>1548</v>
      </c>
      <c r="K333" s="1" t="s">
        <v>1599</v>
      </c>
      <c r="L333" s="1" t="s">
        <v>1718</v>
      </c>
      <c r="M333" s="1" t="s">
        <v>1737</v>
      </c>
      <c r="N333" t="s">
        <v>1974</v>
      </c>
      <c r="O333" t="s">
        <v>2164</v>
      </c>
      <c r="P333" t="s">
        <v>2157</v>
      </c>
      <c r="Q333">
        <v>12.3</v>
      </c>
      <c r="R333" s="1" t="s">
        <v>1839</v>
      </c>
      <c r="S333">
        <v>1072</v>
      </c>
      <c r="T333">
        <v>13185</v>
      </c>
    </row>
    <row r="334" spans="1:20" x14ac:dyDescent="0.4">
      <c r="A334" s="1" t="s">
        <v>151</v>
      </c>
      <c r="B334" s="1" t="s">
        <v>1458</v>
      </c>
      <c r="C334" s="1" t="s">
        <v>1844</v>
      </c>
      <c r="D334" s="1" t="s">
        <v>1731</v>
      </c>
      <c r="E334">
        <v>20251215</v>
      </c>
      <c r="F334" s="1" t="s">
        <v>1469</v>
      </c>
      <c r="G334">
        <v>4</v>
      </c>
      <c r="H334" s="1" t="s">
        <v>1475</v>
      </c>
      <c r="I334" t="s">
        <v>1855</v>
      </c>
      <c r="J334" s="1" t="s">
        <v>1548</v>
      </c>
      <c r="K334" s="1" t="s">
        <v>1599</v>
      </c>
      <c r="L334" s="1" t="s">
        <v>1718</v>
      </c>
      <c r="M334" s="1" t="s">
        <v>1737</v>
      </c>
      <c r="N334" t="s">
        <v>1974</v>
      </c>
      <c r="O334" t="s">
        <v>2164</v>
      </c>
      <c r="P334" t="s">
        <v>2157</v>
      </c>
      <c r="Q334">
        <v>12.3</v>
      </c>
      <c r="R334" s="1" t="s">
        <v>1839</v>
      </c>
      <c r="S334">
        <v>1072</v>
      </c>
      <c r="T334">
        <v>13185</v>
      </c>
    </row>
    <row r="335" spans="1:20" x14ac:dyDescent="0.4">
      <c r="A335" s="1" t="s">
        <v>151</v>
      </c>
      <c r="B335" s="1" t="s">
        <v>1459</v>
      </c>
      <c r="C335" s="1" t="s">
        <v>1844</v>
      </c>
      <c r="D335" s="1" t="s">
        <v>1731</v>
      </c>
      <c r="E335">
        <v>20251215</v>
      </c>
      <c r="F335" s="1" t="s">
        <v>1469</v>
      </c>
      <c r="G335">
        <v>4</v>
      </c>
      <c r="H335" s="1" t="s">
        <v>1475</v>
      </c>
      <c r="I335" t="s">
        <v>1855</v>
      </c>
      <c r="J335" s="1" t="s">
        <v>1548</v>
      </c>
      <c r="K335" s="1" t="s">
        <v>1599</v>
      </c>
      <c r="L335" s="1" t="s">
        <v>1718</v>
      </c>
      <c r="M335" s="1" t="s">
        <v>1737</v>
      </c>
      <c r="N335" t="s">
        <v>1974</v>
      </c>
      <c r="O335" t="s">
        <v>2164</v>
      </c>
      <c r="P335" t="s">
        <v>2157</v>
      </c>
      <c r="Q335">
        <v>12.42</v>
      </c>
      <c r="R335" s="1" t="s">
        <v>1839</v>
      </c>
      <c r="S335">
        <v>1072</v>
      </c>
      <c r="T335">
        <v>13314</v>
      </c>
    </row>
    <row r="336" spans="1:20" x14ac:dyDescent="0.4">
      <c r="A336" s="1" t="s">
        <v>151</v>
      </c>
      <c r="B336" s="1" t="s">
        <v>1460</v>
      </c>
      <c r="C336" s="1" t="s">
        <v>1844</v>
      </c>
      <c r="D336" s="1" t="s">
        <v>1731</v>
      </c>
      <c r="E336">
        <v>20251215</v>
      </c>
      <c r="F336" s="1" t="s">
        <v>1469</v>
      </c>
      <c r="G336">
        <v>4</v>
      </c>
      <c r="H336" s="1" t="s">
        <v>1475</v>
      </c>
      <c r="I336" t="s">
        <v>1855</v>
      </c>
      <c r="J336" s="1" t="s">
        <v>1548</v>
      </c>
      <c r="K336" s="1" t="s">
        <v>1599</v>
      </c>
      <c r="L336" s="1" t="s">
        <v>1718</v>
      </c>
      <c r="M336" s="1" t="s">
        <v>1737</v>
      </c>
      <c r="N336" t="s">
        <v>1974</v>
      </c>
      <c r="O336" t="s">
        <v>2164</v>
      </c>
      <c r="P336" t="s">
        <v>2157</v>
      </c>
      <c r="Q336">
        <v>12.3</v>
      </c>
      <c r="R336" s="1" t="s">
        <v>1839</v>
      </c>
      <c r="S336">
        <v>1072</v>
      </c>
      <c r="T336">
        <v>13185</v>
      </c>
    </row>
    <row r="337" spans="1:20" x14ac:dyDescent="0.4">
      <c r="A337" s="1" t="s">
        <v>151</v>
      </c>
      <c r="B337" s="1" t="s">
        <v>1461</v>
      </c>
      <c r="C337" s="1" t="s">
        <v>1844</v>
      </c>
      <c r="D337" s="1" t="s">
        <v>1731</v>
      </c>
      <c r="E337">
        <v>20251215</v>
      </c>
      <c r="F337" s="1" t="s">
        <v>1469</v>
      </c>
      <c r="G337">
        <v>4</v>
      </c>
      <c r="H337" s="1" t="s">
        <v>1475</v>
      </c>
      <c r="I337" t="s">
        <v>1855</v>
      </c>
      <c r="J337" s="1" t="s">
        <v>1548</v>
      </c>
      <c r="K337" s="1" t="s">
        <v>1599</v>
      </c>
      <c r="L337" s="1" t="s">
        <v>1718</v>
      </c>
      <c r="M337" s="1" t="s">
        <v>1737</v>
      </c>
      <c r="N337" t="s">
        <v>1974</v>
      </c>
      <c r="O337" t="s">
        <v>2164</v>
      </c>
      <c r="P337" t="s">
        <v>2157</v>
      </c>
      <c r="Q337">
        <v>12.42</v>
      </c>
      <c r="R337" s="1" t="s">
        <v>1839</v>
      </c>
      <c r="S337">
        <v>1072</v>
      </c>
      <c r="T337">
        <v>13314</v>
      </c>
    </row>
    <row r="338" spans="1:20" x14ac:dyDescent="0.4">
      <c r="A338" s="1" t="s">
        <v>151</v>
      </c>
      <c r="B338" s="1" t="s">
        <v>1462</v>
      </c>
      <c r="C338" s="1" t="s">
        <v>1844</v>
      </c>
      <c r="D338" s="1" t="s">
        <v>1731</v>
      </c>
      <c r="E338">
        <v>20251215</v>
      </c>
      <c r="F338" s="1" t="s">
        <v>1469</v>
      </c>
      <c r="G338">
        <v>4</v>
      </c>
      <c r="H338" s="1" t="s">
        <v>1475</v>
      </c>
      <c r="I338" t="s">
        <v>1855</v>
      </c>
      <c r="J338" s="1" t="s">
        <v>1548</v>
      </c>
      <c r="K338" s="1" t="s">
        <v>1599</v>
      </c>
      <c r="L338" s="1" t="s">
        <v>1718</v>
      </c>
      <c r="M338" s="1" t="s">
        <v>1737</v>
      </c>
      <c r="N338" t="s">
        <v>1974</v>
      </c>
      <c r="O338" t="s">
        <v>2164</v>
      </c>
      <c r="P338" t="s">
        <v>2157</v>
      </c>
      <c r="Q338">
        <v>13.2</v>
      </c>
      <c r="R338" s="1" t="s">
        <v>1839</v>
      </c>
      <c r="S338">
        <v>1072</v>
      </c>
      <c r="T338">
        <v>14150</v>
      </c>
    </row>
    <row r="339" spans="1:20" x14ac:dyDescent="0.4">
      <c r="A339" s="1" t="s">
        <v>151</v>
      </c>
      <c r="B339" s="1" t="s">
        <v>1463</v>
      </c>
      <c r="C339" s="1" t="s">
        <v>1844</v>
      </c>
      <c r="D339" s="1" t="s">
        <v>1731</v>
      </c>
      <c r="E339">
        <v>20251215</v>
      </c>
      <c r="F339" s="1" t="s">
        <v>1469</v>
      </c>
      <c r="G339">
        <v>4</v>
      </c>
      <c r="H339" s="1" t="s">
        <v>1475</v>
      </c>
      <c r="I339" t="s">
        <v>1855</v>
      </c>
      <c r="J339" s="1" t="s">
        <v>1548</v>
      </c>
      <c r="K339" s="1" t="s">
        <v>1599</v>
      </c>
      <c r="L339" s="1" t="s">
        <v>1718</v>
      </c>
      <c r="M339" s="1" t="s">
        <v>1737</v>
      </c>
      <c r="N339" t="s">
        <v>1974</v>
      </c>
      <c r="O339" t="s">
        <v>2164</v>
      </c>
      <c r="P339" t="s">
        <v>2157</v>
      </c>
      <c r="Q339">
        <v>12.3</v>
      </c>
      <c r="R339" s="1" t="s">
        <v>1839</v>
      </c>
      <c r="S339">
        <v>1072</v>
      </c>
      <c r="T339">
        <v>13185</v>
      </c>
    </row>
    <row r="340" spans="1:20" x14ac:dyDescent="0.4">
      <c r="A340" s="1" t="s">
        <v>152</v>
      </c>
      <c r="B340" s="1" t="s">
        <v>1453</v>
      </c>
      <c r="C340" s="1" t="s">
        <v>1844</v>
      </c>
      <c r="D340" s="1" t="s">
        <v>1731</v>
      </c>
      <c r="E340">
        <v>20251215</v>
      </c>
      <c r="F340" s="1" t="s">
        <v>1469</v>
      </c>
      <c r="G340">
        <v>4</v>
      </c>
      <c r="H340" s="1" t="s">
        <v>1475</v>
      </c>
      <c r="I340" t="s">
        <v>1855</v>
      </c>
      <c r="J340" s="1" t="s">
        <v>1548</v>
      </c>
      <c r="K340" s="1" t="s">
        <v>1599</v>
      </c>
      <c r="L340" s="1" t="s">
        <v>1718</v>
      </c>
      <c r="M340" s="1" t="s">
        <v>1737</v>
      </c>
      <c r="N340" t="s">
        <v>1974</v>
      </c>
      <c r="O340" t="s">
        <v>2164</v>
      </c>
      <c r="P340" t="s">
        <v>2157</v>
      </c>
      <c r="Q340">
        <v>12.3</v>
      </c>
      <c r="R340" s="1" t="s">
        <v>1839</v>
      </c>
      <c r="S340">
        <v>1072</v>
      </c>
      <c r="T340">
        <v>13185</v>
      </c>
    </row>
    <row r="341" spans="1:20" x14ac:dyDescent="0.4">
      <c r="A341" s="1" t="s">
        <v>152</v>
      </c>
      <c r="B341" s="1" t="s">
        <v>1454</v>
      </c>
      <c r="C341" s="1" t="s">
        <v>1844</v>
      </c>
      <c r="D341" s="1" t="s">
        <v>1731</v>
      </c>
      <c r="E341">
        <v>20251215</v>
      </c>
      <c r="F341" s="1" t="s">
        <v>1469</v>
      </c>
      <c r="G341">
        <v>4</v>
      </c>
      <c r="H341" s="1" t="s">
        <v>1475</v>
      </c>
      <c r="I341" t="s">
        <v>1855</v>
      </c>
      <c r="J341" s="1" t="s">
        <v>1548</v>
      </c>
      <c r="K341" s="1" t="s">
        <v>1599</v>
      </c>
      <c r="L341" s="1" t="s">
        <v>1718</v>
      </c>
      <c r="M341" s="1" t="s">
        <v>1737</v>
      </c>
      <c r="N341" t="s">
        <v>1974</v>
      </c>
      <c r="O341" t="s">
        <v>2164</v>
      </c>
      <c r="P341" t="s">
        <v>2157</v>
      </c>
      <c r="Q341">
        <v>12.3</v>
      </c>
      <c r="R341" s="1" t="s">
        <v>1839</v>
      </c>
      <c r="S341">
        <v>1072</v>
      </c>
      <c r="T341">
        <v>13185</v>
      </c>
    </row>
    <row r="342" spans="1:20" x14ac:dyDescent="0.4">
      <c r="A342" s="1" t="s">
        <v>152</v>
      </c>
      <c r="B342" s="1" t="s">
        <v>1455</v>
      </c>
      <c r="C342" s="1" t="s">
        <v>1844</v>
      </c>
      <c r="D342" s="1" t="s">
        <v>1731</v>
      </c>
      <c r="E342">
        <v>20251215</v>
      </c>
      <c r="F342" s="1" t="s">
        <v>1469</v>
      </c>
      <c r="G342">
        <v>4</v>
      </c>
      <c r="H342" s="1" t="s">
        <v>1475</v>
      </c>
      <c r="I342" t="s">
        <v>1855</v>
      </c>
      <c r="J342" s="1" t="s">
        <v>1548</v>
      </c>
      <c r="K342" s="1" t="s">
        <v>1599</v>
      </c>
      <c r="L342" s="1" t="s">
        <v>1718</v>
      </c>
      <c r="M342" s="1" t="s">
        <v>1737</v>
      </c>
      <c r="N342" t="s">
        <v>1974</v>
      </c>
      <c r="O342" t="s">
        <v>2164</v>
      </c>
      <c r="P342" t="s">
        <v>2157</v>
      </c>
      <c r="Q342">
        <v>12.3</v>
      </c>
      <c r="R342" s="1" t="s">
        <v>1839</v>
      </c>
      <c r="S342">
        <v>1072</v>
      </c>
      <c r="T342">
        <v>13185</v>
      </c>
    </row>
    <row r="343" spans="1:20" x14ac:dyDescent="0.4">
      <c r="A343" s="1" t="s">
        <v>152</v>
      </c>
      <c r="B343" s="1" t="s">
        <v>1456</v>
      </c>
      <c r="C343" s="1" t="s">
        <v>1844</v>
      </c>
      <c r="D343" s="1" t="s">
        <v>1731</v>
      </c>
      <c r="E343">
        <v>20251215</v>
      </c>
      <c r="F343" s="1" t="s">
        <v>1469</v>
      </c>
      <c r="G343">
        <v>4</v>
      </c>
      <c r="H343" s="1" t="s">
        <v>1475</v>
      </c>
      <c r="I343" t="s">
        <v>1855</v>
      </c>
      <c r="J343" s="1" t="s">
        <v>1548</v>
      </c>
      <c r="K343" s="1" t="s">
        <v>1599</v>
      </c>
      <c r="L343" s="1" t="s">
        <v>1718</v>
      </c>
      <c r="M343" s="1" t="s">
        <v>1737</v>
      </c>
      <c r="N343" t="s">
        <v>1974</v>
      </c>
      <c r="O343" t="s">
        <v>2164</v>
      </c>
      <c r="P343" t="s">
        <v>2157</v>
      </c>
      <c r="Q343">
        <v>12.3</v>
      </c>
      <c r="R343" s="1" t="s">
        <v>1839</v>
      </c>
      <c r="S343">
        <v>1072</v>
      </c>
      <c r="T343">
        <v>13185</v>
      </c>
    </row>
    <row r="344" spans="1:20" x14ac:dyDescent="0.4">
      <c r="A344" s="1" t="s">
        <v>152</v>
      </c>
      <c r="B344" s="1" t="s">
        <v>1457</v>
      </c>
      <c r="C344" s="1" t="s">
        <v>1844</v>
      </c>
      <c r="D344" s="1" t="s">
        <v>1731</v>
      </c>
      <c r="E344">
        <v>20251215</v>
      </c>
      <c r="F344" s="1" t="s">
        <v>1469</v>
      </c>
      <c r="G344">
        <v>4</v>
      </c>
      <c r="H344" s="1" t="s">
        <v>1475</v>
      </c>
      <c r="I344" t="s">
        <v>1855</v>
      </c>
      <c r="J344" s="1" t="s">
        <v>1548</v>
      </c>
      <c r="K344" s="1" t="s">
        <v>1599</v>
      </c>
      <c r="L344" s="1" t="s">
        <v>1718</v>
      </c>
      <c r="M344" s="1" t="s">
        <v>1737</v>
      </c>
      <c r="N344" t="s">
        <v>1974</v>
      </c>
      <c r="O344" t="s">
        <v>2164</v>
      </c>
      <c r="P344" t="s">
        <v>2157</v>
      </c>
      <c r="Q344">
        <v>12.3</v>
      </c>
      <c r="R344" s="1" t="s">
        <v>1839</v>
      </c>
      <c r="S344">
        <v>1072</v>
      </c>
      <c r="T344">
        <v>13185</v>
      </c>
    </row>
    <row r="345" spans="1:20" x14ac:dyDescent="0.4">
      <c r="A345" s="1" t="s">
        <v>152</v>
      </c>
      <c r="B345" s="1" t="s">
        <v>1458</v>
      </c>
      <c r="C345" s="1" t="s">
        <v>1844</v>
      </c>
      <c r="D345" s="1" t="s">
        <v>1731</v>
      </c>
      <c r="E345">
        <v>20251215</v>
      </c>
      <c r="F345" s="1" t="s">
        <v>1469</v>
      </c>
      <c r="G345">
        <v>4</v>
      </c>
      <c r="H345" s="1" t="s">
        <v>1475</v>
      </c>
      <c r="I345" t="s">
        <v>1855</v>
      </c>
      <c r="J345" s="1" t="s">
        <v>1548</v>
      </c>
      <c r="K345" s="1" t="s">
        <v>1599</v>
      </c>
      <c r="L345" s="1" t="s">
        <v>1718</v>
      </c>
      <c r="M345" s="1" t="s">
        <v>1737</v>
      </c>
      <c r="N345" t="s">
        <v>1974</v>
      </c>
      <c r="O345" t="s">
        <v>2164</v>
      </c>
      <c r="P345" t="s">
        <v>2157</v>
      </c>
      <c r="Q345">
        <v>12.3</v>
      </c>
      <c r="R345" s="1" t="s">
        <v>1839</v>
      </c>
      <c r="S345">
        <v>1072</v>
      </c>
      <c r="T345">
        <v>13185</v>
      </c>
    </row>
    <row r="346" spans="1:20" x14ac:dyDescent="0.4">
      <c r="A346" s="1" t="s">
        <v>152</v>
      </c>
      <c r="B346" s="1" t="s">
        <v>1459</v>
      </c>
      <c r="C346" s="1" t="s">
        <v>1844</v>
      </c>
      <c r="D346" s="1" t="s">
        <v>1731</v>
      </c>
      <c r="E346">
        <v>20251215</v>
      </c>
      <c r="F346" s="1" t="s">
        <v>1469</v>
      </c>
      <c r="G346">
        <v>4</v>
      </c>
      <c r="H346" s="1" t="s">
        <v>1475</v>
      </c>
      <c r="I346" t="s">
        <v>1855</v>
      </c>
      <c r="J346" s="1" t="s">
        <v>1548</v>
      </c>
      <c r="K346" s="1" t="s">
        <v>1599</v>
      </c>
      <c r="L346" s="1" t="s">
        <v>1718</v>
      </c>
      <c r="M346" s="1" t="s">
        <v>1737</v>
      </c>
      <c r="N346" t="s">
        <v>1974</v>
      </c>
      <c r="O346" t="s">
        <v>2164</v>
      </c>
      <c r="P346" t="s">
        <v>2157</v>
      </c>
      <c r="Q346">
        <v>12.3</v>
      </c>
      <c r="R346" s="1" t="s">
        <v>1839</v>
      </c>
      <c r="S346">
        <v>1072</v>
      </c>
      <c r="T346">
        <v>13185</v>
      </c>
    </row>
    <row r="347" spans="1:20" x14ac:dyDescent="0.4">
      <c r="A347" s="1" t="s">
        <v>152</v>
      </c>
      <c r="B347" s="1" t="s">
        <v>1460</v>
      </c>
      <c r="C347" s="1" t="s">
        <v>1844</v>
      </c>
      <c r="D347" s="1" t="s">
        <v>1731</v>
      </c>
      <c r="E347">
        <v>20251215</v>
      </c>
      <c r="F347" s="1" t="s">
        <v>1469</v>
      </c>
      <c r="G347">
        <v>4</v>
      </c>
      <c r="H347" s="1" t="s">
        <v>1475</v>
      </c>
      <c r="I347" t="s">
        <v>1855</v>
      </c>
      <c r="J347" s="1" t="s">
        <v>1548</v>
      </c>
      <c r="K347" s="1" t="s">
        <v>1599</v>
      </c>
      <c r="L347" s="1" t="s">
        <v>1718</v>
      </c>
      <c r="M347" s="1" t="s">
        <v>1737</v>
      </c>
      <c r="N347" t="s">
        <v>1974</v>
      </c>
      <c r="O347" t="s">
        <v>2164</v>
      </c>
      <c r="P347" t="s">
        <v>2157</v>
      </c>
      <c r="Q347">
        <v>12.3</v>
      </c>
      <c r="R347" s="1" t="s">
        <v>1839</v>
      </c>
      <c r="S347">
        <v>1072</v>
      </c>
      <c r="T347">
        <v>13185</v>
      </c>
    </row>
    <row r="348" spans="1:20" x14ac:dyDescent="0.4">
      <c r="A348" s="1" t="s">
        <v>152</v>
      </c>
      <c r="B348" s="1" t="s">
        <v>1461</v>
      </c>
      <c r="C348" s="1" t="s">
        <v>1844</v>
      </c>
      <c r="D348" s="1" t="s">
        <v>1731</v>
      </c>
      <c r="E348">
        <v>20251215</v>
      </c>
      <c r="F348" s="1" t="s">
        <v>1469</v>
      </c>
      <c r="G348">
        <v>4</v>
      </c>
      <c r="H348" s="1" t="s">
        <v>1475</v>
      </c>
      <c r="I348" t="s">
        <v>1855</v>
      </c>
      <c r="J348" s="1" t="s">
        <v>1548</v>
      </c>
      <c r="K348" s="1" t="s">
        <v>1599</v>
      </c>
      <c r="L348" s="1" t="s">
        <v>1718</v>
      </c>
      <c r="M348" s="1" t="s">
        <v>1737</v>
      </c>
      <c r="N348" t="s">
        <v>1974</v>
      </c>
      <c r="O348" t="s">
        <v>2164</v>
      </c>
      <c r="P348" t="s">
        <v>2157</v>
      </c>
      <c r="Q348">
        <v>12.3</v>
      </c>
      <c r="R348" s="1" t="s">
        <v>1839</v>
      </c>
      <c r="S348">
        <v>1072</v>
      </c>
      <c r="T348">
        <v>13185</v>
      </c>
    </row>
    <row r="349" spans="1:20" x14ac:dyDescent="0.4">
      <c r="A349" s="1" t="s">
        <v>152</v>
      </c>
      <c r="B349" s="1" t="s">
        <v>1462</v>
      </c>
      <c r="C349" s="1" t="s">
        <v>1844</v>
      </c>
      <c r="D349" s="1" t="s">
        <v>1731</v>
      </c>
      <c r="E349">
        <v>20251215</v>
      </c>
      <c r="F349" s="1" t="s">
        <v>1469</v>
      </c>
      <c r="G349">
        <v>4</v>
      </c>
      <c r="H349" s="1" t="s">
        <v>1475</v>
      </c>
      <c r="I349" t="s">
        <v>1855</v>
      </c>
      <c r="J349" s="1" t="s">
        <v>1548</v>
      </c>
      <c r="K349" s="1" t="s">
        <v>1599</v>
      </c>
      <c r="L349" s="1" t="s">
        <v>1718</v>
      </c>
      <c r="M349" s="1" t="s">
        <v>1737</v>
      </c>
      <c r="N349" t="s">
        <v>1974</v>
      </c>
      <c r="O349" t="s">
        <v>2164</v>
      </c>
      <c r="P349" t="s">
        <v>2157</v>
      </c>
      <c r="Q349">
        <v>12.3</v>
      </c>
      <c r="R349" s="1" t="s">
        <v>1839</v>
      </c>
      <c r="S349">
        <v>1072</v>
      </c>
      <c r="T349">
        <v>13185</v>
      </c>
    </row>
    <row r="350" spans="1:20" x14ac:dyDescent="0.4">
      <c r="A350" s="1" t="s">
        <v>152</v>
      </c>
      <c r="B350" s="1" t="s">
        <v>1463</v>
      </c>
      <c r="C350" s="1" t="s">
        <v>1844</v>
      </c>
      <c r="D350" s="1" t="s">
        <v>1731</v>
      </c>
      <c r="E350">
        <v>20251215</v>
      </c>
      <c r="F350" s="1" t="s">
        <v>1469</v>
      </c>
      <c r="G350">
        <v>4</v>
      </c>
      <c r="H350" s="1" t="s">
        <v>1475</v>
      </c>
      <c r="I350" t="s">
        <v>1855</v>
      </c>
      <c r="J350" s="1" t="s">
        <v>1548</v>
      </c>
      <c r="K350" s="1" t="s">
        <v>1599</v>
      </c>
      <c r="L350" s="1" t="s">
        <v>1718</v>
      </c>
      <c r="M350" s="1" t="s">
        <v>1737</v>
      </c>
      <c r="N350" t="s">
        <v>1974</v>
      </c>
      <c r="O350" t="s">
        <v>2164</v>
      </c>
      <c r="P350" t="s">
        <v>2157</v>
      </c>
      <c r="Q350">
        <v>12.72</v>
      </c>
      <c r="R350" s="1" t="s">
        <v>1839</v>
      </c>
      <c r="S350">
        <v>1072</v>
      </c>
      <c r="T350">
        <v>13635</v>
      </c>
    </row>
    <row r="351" spans="1:20" x14ac:dyDescent="0.4">
      <c r="A351" s="1" t="s">
        <v>153</v>
      </c>
      <c r="B351" s="1" t="s">
        <v>1453</v>
      </c>
      <c r="C351" s="1" t="s">
        <v>1844</v>
      </c>
      <c r="D351" s="1" t="s">
        <v>1731</v>
      </c>
      <c r="E351">
        <v>20251215</v>
      </c>
      <c r="F351" s="1" t="s">
        <v>1469</v>
      </c>
      <c r="G351">
        <v>4</v>
      </c>
      <c r="H351" s="1" t="s">
        <v>1475</v>
      </c>
      <c r="I351" t="s">
        <v>1855</v>
      </c>
      <c r="J351" s="1" t="s">
        <v>1548</v>
      </c>
      <c r="K351" s="1" t="s">
        <v>1599</v>
      </c>
      <c r="L351" s="1" t="s">
        <v>1718</v>
      </c>
      <c r="M351" s="1" t="s">
        <v>1737</v>
      </c>
      <c r="N351" t="s">
        <v>1974</v>
      </c>
      <c r="O351" t="s">
        <v>2164</v>
      </c>
      <c r="P351" t="s">
        <v>2157</v>
      </c>
      <c r="Q351">
        <v>12.72</v>
      </c>
      <c r="R351" s="1" t="s">
        <v>1839</v>
      </c>
      <c r="S351">
        <v>1072</v>
      </c>
      <c r="T351">
        <v>13635</v>
      </c>
    </row>
    <row r="352" spans="1:20" x14ac:dyDescent="0.4">
      <c r="A352" s="1" t="s">
        <v>153</v>
      </c>
      <c r="B352" s="1" t="s">
        <v>1454</v>
      </c>
      <c r="C352" s="1" t="s">
        <v>1844</v>
      </c>
      <c r="D352" s="1" t="s">
        <v>1731</v>
      </c>
      <c r="E352">
        <v>20251215</v>
      </c>
      <c r="F352" s="1" t="s">
        <v>1469</v>
      </c>
      <c r="G352">
        <v>4</v>
      </c>
      <c r="H352" s="1" t="s">
        <v>1475</v>
      </c>
      <c r="I352" t="s">
        <v>1855</v>
      </c>
      <c r="J352" s="1" t="s">
        <v>1548</v>
      </c>
      <c r="K352" s="1" t="s">
        <v>1599</v>
      </c>
      <c r="L352" s="1" t="s">
        <v>1718</v>
      </c>
      <c r="M352" s="1" t="s">
        <v>1737</v>
      </c>
      <c r="N352" t="s">
        <v>1974</v>
      </c>
      <c r="O352" t="s">
        <v>2164</v>
      </c>
      <c r="P352" t="s">
        <v>2157</v>
      </c>
      <c r="Q352">
        <v>12.72</v>
      </c>
      <c r="R352" s="1" t="s">
        <v>1839</v>
      </c>
      <c r="S352">
        <v>1072</v>
      </c>
      <c r="T352">
        <v>13635</v>
      </c>
    </row>
    <row r="353" spans="1:20" x14ac:dyDescent="0.4">
      <c r="A353" s="1" t="s">
        <v>153</v>
      </c>
      <c r="B353" s="1" t="s">
        <v>1455</v>
      </c>
      <c r="C353" s="1" t="s">
        <v>1844</v>
      </c>
      <c r="D353" s="1" t="s">
        <v>1731</v>
      </c>
      <c r="E353">
        <v>20251215</v>
      </c>
      <c r="F353" s="1" t="s">
        <v>1469</v>
      </c>
      <c r="G353">
        <v>4</v>
      </c>
      <c r="H353" s="1" t="s">
        <v>1475</v>
      </c>
      <c r="I353" t="s">
        <v>1855</v>
      </c>
      <c r="J353" s="1" t="s">
        <v>1548</v>
      </c>
      <c r="K353" s="1" t="s">
        <v>1599</v>
      </c>
      <c r="L353" s="1" t="s">
        <v>1718</v>
      </c>
      <c r="M353" s="1" t="s">
        <v>1737</v>
      </c>
      <c r="N353" t="s">
        <v>1974</v>
      </c>
      <c r="O353" t="s">
        <v>2164</v>
      </c>
      <c r="P353" t="s">
        <v>2157</v>
      </c>
      <c r="Q353">
        <v>12.3</v>
      </c>
      <c r="R353" s="1" t="s">
        <v>1839</v>
      </c>
      <c r="S353">
        <v>1072</v>
      </c>
      <c r="T353">
        <v>13185</v>
      </c>
    </row>
    <row r="354" spans="1:20" x14ac:dyDescent="0.4">
      <c r="A354" s="1" t="s">
        <v>153</v>
      </c>
      <c r="B354" s="1" t="s">
        <v>1456</v>
      </c>
      <c r="C354" s="1" t="s">
        <v>1844</v>
      </c>
      <c r="D354" s="1" t="s">
        <v>1731</v>
      </c>
      <c r="E354">
        <v>20251215</v>
      </c>
      <c r="F354" s="1" t="s">
        <v>1469</v>
      </c>
      <c r="G354">
        <v>4</v>
      </c>
      <c r="H354" s="1" t="s">
        <v>1475</v>
      </c>
      <c r="I354" t="s">
        <v>1855</v>
      </c>
      <c r="J354" s="1" t="s">
        <v>1548</v>
      </c>
      <c r="K354" s="1" t="s">
        <v>1599</v>
      </c>
      <c r="L354" s="1" t="s">
        <v>1718</v>
      </c>
      <c r="M354" s="1" t="s">
        <v>1737</v>
      </c>
      <c r="N354" t="s">
        <v>1974</v>
      </c>
      <c r="O354" t="s">
        <v>2164</v>
      </c>
      <c r="P354" t="s">
        <v>2157</v>
      </c>
      <c r="Q354">
        <v>12.3</v>
      </c>
      <c r="R354" s="1" t="s">
        <v>1839</v>
      </c>
      <c r="S354">
        <v>1072</v>
      </c>
      <c r="T354">
        <v>13185</v>
      </c>
    </row>
    <row r="355" spans="1:20" x14ac:dyDescent="0.4">
      <c r="A355" s="1" t="s">
        <v>153</v>
      </c>
      <c r="B355" s="1" t="s">
        <v>1457</v>
      </c>
      <c r="C355" s="1" t="s">
        <v>1844</v>
      </c>
      <c r="D355" s="1" t="s">
        <v>1731</v>
      </c>
      <c r="E355">
        <v>20251215</v>
      </c>
      <c r="F355" s="1" t="s">
        <v>1469</v>
      </c>
      <c r="G355">
        <v>4</v>
      </c>
      <c r="H355" s="1" t="s">
        <v>1475</v>
      </c>
      <c r="I355" t="s">
        <v>1855</v>
      </c>
      <c r="J355" s="1" t="s">
        <v>1548</v>
      </c>
      <c r="K355" s="1" t="s">
        <v>1599</v>
      </c>
      <c r="L355" s="1" t="s">
        <v>1718</v>
      </c>
      <c r="M355" s="1" t="s">
        <v>1737</v>
      </c>
      <c r="N355" t="s">
        <v>1974</v>
      </c>
      <c r="O355" t="s">
        <v>2164</v>
      </c>
      <c r="P355" t="s">
        <v>2157</v>
      </c>
      <c r="Q355">
        <v>12.3</v>
      </c>
      <c r="R355" s="1" t="s">
        <v>1839</v>
      </c>
      <c r="S355">
        <v>1072</v>
      </c>
      <c r="T355">
        <v>13185</v>
      </c>
    </row>
    <row r="356" spans="1:20" x14ac:dyDescent="0.4">
      <c r="A356" s="1" t="s">
        <v>153</v>
      </c>
      <c r="B356" s="1" t="s">
        <v>1458</v>
      </c>
      <c r="C356" s="1" t="s">
        <v>1844</v>
      </c>
      <c r="D356" s="1" t="s">
        <v>1731</v>
      </c>
      <c r="E356">
        <v>20251215</v>
      </c>
      <c r="F356" s="1" t="s">
        <v>1469</v>
      </c>
      <c r="G356">
        <v>4</v>
      </c>
      <c r="H356" s="1" t="s">
        <v>1475</v>
      </c>
      <c r="I356" t="s">
        <v>1855</v>
      </c>
      <c r="J356" s="1" t="s">
        <v>1548</v>
      </c>
      <c r="K356" s="1" t="s">
        <v>1599</v>
      </c>
      <c r="L356" s="1" t="s">
        <v>1718</v>
      </c>
      <c r="M356" s="1" t="s">
        <v>1737</v>
      </c>
      <c r="N356" t="s">
        <v>1974</v>
      </c>
      <c r="O356" t="s">
        <v>2164</v>
      </c>
      <c r="P356" t="s">
        <v>2157</v>
      </c>
      <c r="Q356">
        <v>12.3</v>
      </c>
      <c r="R356" s="1" t="s">
        <v>1839</v>
      </c>
      <c r="S356">
        <v>1072</v>
      </c>
      <c r="T356">
        <v>13185</v>
      </c>
    </row>
    <row r="357" spans="1:20" x14ac:dyDescent="0.4">
      <c r="A357" s="1" t="s">
        <v>153</v>
      </c>
      <c r="B357" s="1" t="s">
        <v>1459</v>
      </c>
      <c r="C357" s="1" t="s">
        <v>1844</v>
      </c>
      <c r="D357" s="1" t="s">
        <v>1731</v>
      </c>
      <c r="E357">
        <v>20251215</v>
      </c>
      <c r="F357" s="1" t="s">
        <v>1469</v>
      </c>
      <c r="G357">
        <v>4</v>
      </c>
      <c r="H357" s="1" t="s">
        <v>1475</v>
      </c>
      <c r="I357" t="s">
        <v>1855</v>
      </c>
      <c r="J357" s="1" t="s">
        <v>1548</v>
      </c>
      <c r="K357" s="1" t="s">
        <v>1599</v>
      </c>
      <c r="L357" s="1" t="s">
        <v>1718</v>
      </c>
      <c r="M357" s="1" t="s">
        <v>1737</v>
      </c>
      <c r="N357" t="s">
        <v>1974</v>
      </c>
      <c r="O357" t="s">
        <v>2164</v>
      </c>
      <c r="P357" t="s">
        <v>2157</v>
      </c>
      <c r="Q357">
        <v>12.3</v>
      </c>
      <c r="R357" s="1" t="s">
        <v>1839</v>
      </c>
      <c r="S357">
        <v>1072</v>
      </c>
      <c r="T357">
        <v>13185</v>
      </c>
    </row>
    <row r="358" spans="1:20" x14ac:dyDescent="0.4">
      <c r="A358" s="1" t="s">
        <v>153</v>
      </c>
      <c r="B358" s="1" t="s">
        <v>1460</v>
      </c>
      <c r="C358" s="1" t="s">
        <v>1844</v>
      </c>
      <c r="D358" s="1" t="s">
        <v>1731</v>
      </c>
      <c r="E358">
        <v>20251215</v>
      </c>
      <c r="F358" s="1" t="s">
        <v>1469</v>
      </c>
      <c r="G358">
        <v>4</v>
      </c>
      <c r="H358" s="1" t="s">
        <v>1475</v>
      </c>
      <c r="I358" t="s">
        <v>1855</v>
      </c>
      <c r="J358" s="1" t="s">
        <v>1548</v>
      </c>
      <c r="K358" s="1" t="s">
        <v>1599</v>
      </c>
      <c r="L358" s="1" t="s">
        <v>1718</v>
      </c>
      <c r="M358" s="1" t="s">
        <v>1737</v>
      </c>
      <c r="N358" t="s">
        <v>1974</v>
      </c>
      <c r="O358" t="s">
        <v>2164</v>
      </c>
      <c r="P358" t="s">
        <v>2157</v>
      </c>
      <c r="Q358">
        <v>12.3</v>
      </c>
      <c r="R358" s="1" t="s">
        <v>1839</v>
      </c>
      <c r="S358">
        <v>1072</v>
      </c>
      <c r="T358">
        <v>13185</v>
      </c>
    </row>
    <row r="359" spans="1:20" x14ac:dyDescent="0.4">
      <c r="A359" s="1" t="s">
        <v>153</v>
      </c>
      <c r="B359" s="1" t="s">
        <v>1461</v>
      </c>
      <c r="C359" s="1" t="s">
        <v>1844</v>
      </c>
      <c r="D359" s="1" t="s">
        <v>1731</v>
      </c>
      <c r="E359">
        <v>20251215</v>
      </c>
      <c r="F359" s="1" t="s">
        <v>1469</v>
      </c>
      <c r="G359">
        <v>4</v>
      </c>
      <c r="H359" s="1" t="s">
        <v>1475</v>
      </c>
      <c r="I359" t="s">
        <v>1855</v>
      </c>
      <c r="J359" s="1" t="s">
        <v>1548</v>
      </c>
      <c r="K359" s="1" t="s">
        <v>1599</v>
      </c>
      <c r="L359" s="1" t="s">
        <v>1718</v>
      </c>
      <c r="M359" s="1" t="s">
        <v>1737</v>
      </c>
      <c r="N359" t="s">
        <v>1974</v>
      </c>
      <c r="O359" t="s">
        <v>2164</v>
      </c>
      <c r="P359" t="s">
        <v>2157</v>
      </c>
      <c r="Q359">
        <v>12.3</v>
      </c>
      <c r="R359" s="1" t="s">
        <v>1839</v>
      </c>
      <c r="S359">
        <v>1072</v>
      </c>
      <c r="T359">
        <v>13185</v>
      </c>
    </row>
    <row r="360" spans="1:20" x14ac:dyDescent="0.4">
      <c r="A360" s="1" t="s">
        <v>153</v>
      </c>
      <c r="B360" s="1" t="s">
        <v>1462</v>
      </c>
      <c r="C360" s="1" t="s">
        <v>1844</v>
      </c>
      <c r="D360" s="1" t="s">
        <v>1731</v>
      </c>
      <c r="E360">
        <v>20251215</v>
      </c>
      <c r="F360" s="1" t="s">
        <v>1469</v>
      </c>
      <c r="G360">
        <v>4</v>
      </c>
      <c r="H360" s="1" t="s">
        <v>1475</v>
      </c>
      <c r="I360" t="s">
        <v>1855</v>
      </c>
      <c r="J360" s="1" t="s">
        <v>1548</v>
      </c>
      <c r="K360" s="1" t="s">
        <v>1599</v>
      </c>
      <c r="L360" s="1" t="s">
        <v>1718</v>
      </c>
      <c r="M360" s="1" t="s">
        <v>1737</v>
      </c>
      <c r="N360" t="s">
        <v>1974</v>
      </c>
      <c r="O360" t="s">
        <v>2164</v>
      </c>
      <c r="P360" t="s">
        <v>2157</v>
      </c>
      <c r="Q360">
        <v>12.3</v>
      </c>
      <c r="R360" s="1" t="s">
        <v>1839</v>
      </c>
      <c r="S360">
        <v>1072</v>
      </c>
      <c r="T360">
        <v>13185</v>
      </c>
    </row>
    <row r="361" spans="1:20" x14ac:dyDescent="0.4">
      <c r="A361" s="1" t="s">
        <v>153</v>
      </c>
      <c r="B361" s="1" t="s">
        <v>1463</v>
      </c>
      <c r="C361" s="1" t="s">
        <v>1844</v>
      </c>
      <c r="D361" s="1" t="s">
        <v>1731</v>
      </c>
      <c r="E361">
        <v>20251215</v>
      </c>
      <c r="F361" s="1" t="s">
        <v>1469</v>
      </c>
      <c r="G361">
        <v>4</v>
      </c>
      <c r="H361" s="1" t="s">
        <v>1475</v>
      </c>
      <c r="I361" t="s">
        <v>1855</v>
      </c>
      <c r="J361" s="1" t="s">
        <v>1548</v>
      </c>
      <c r="K361" s="1" t="s">
        <v>1599</v>
      </c>
      <c r="L361" s="1" t="s">
        <v>1718</v>
      </c>
      <c r="M361" s="1" t="s">
        <v>1737</v>
      </c>
      <c r="N361" t="s">
        <v>1974</v>
      </c>
      <c r="O361" t="s">
        <v>2164</v>
      </c>
      <c r="P361" t="s">
        <v>2157</v>
      </c>
      <c r="Q361">
        <v>12.3</v>
      </c>
      <c r="R361" s="1" t="s">
        <v>1839</v>
      </c>
      <c r="S361">
        <v>1072</v>
      </c>
      <c r="T361">
        <v>13185</v>
      </c>
    </row>
    <row r="362" spans="1:20" x14ac:dyDescent="0.4">
      <c r="A362" s="1" t="s">
        <v>154</v>
      </c>
      <c r="B362" s="1" t="s">
        <v>1453</v>
      </c>
      <c r="C362" s="1" t="s">
        <v>1844</v>
      </c>
      <c r="D362" s="1" t="s">
        <v>1731</v>
      </c>
      <c r="E362">
        <v>20251215</v>
      </c>
      <c r="F362" s="1" t="s">
        <v>1469</v>
      </c>
      <c r="G362">
        <v>4</v>
      </c>
      <c r="H362" s="1" t="s">
        <v>1475</v>
      </c>
      <c r="I362" t="s">
        <v>1855</v>
      </c>
      <c r="J362" s="1" t="s">
        <v>1548</v>
      </c>
      <c r="K362" s="1" t="s">
        <v>1599</v>
      </c>
      <c r="L362" s="1" t="s">
        <v>1718</v>
      </c>
      <c r="M362" s="1" t="s">
        <v>1737</v>
      </c>
      <c r="N362" t="s">
        <v>1974</v>
      </c>
      <c r="O362" t="s">
        <v>2164</v>
      </c>
      <c r="P362" t="s">
        <v>2157</v>
      </c>
      <c r="Q362">
        <v>12.3</v>
      </c>
      <c r="R362" s="1" t="s">
        <v>1839</v>
      </c>
      <c r="S362">
        <v>1072</v>
      </c>
      <c r="T362">
        <v>13185</v>
      </c>
    </row>
    <row r="363" spans="1:20" x14ac:dyDescent="0.4">
      <c r="A363" s="1" t="s">
        <v>154</v>
      </c>
      <c r="B363" s="1" t="s">
        <v>1454</v>
      </c>
      <c r="C363" s="1" t="s">
        <v>1844</v>
      </c>
      <c r="D363" s="1" t="s">
        <v>1731</v>
      </c>
      <c r="E363">
        <v>20251215</v>
      </c>
      <c r="F363" s="1" t="s">
        <v>1469</v>
      </c>
      <c r="G363">
        <v>4</v>
      </c>
      <c r="H363" s="1" t="s">
        <v>1475</v>
      </c>
      <c r="I363" t="s">
        <v>1855</v>
      </c>
      <c r="J363" s="1" t="s">
        <v>1548</v>
      </c>
      <c r="K363" s="1" t="s">
        <v>1599</v>
      </c>
      <c r="L363" s="1" t="s">
        <v>1718</v>
      </c>
      <c r="M363" s="1" t="s">
        <v>1737</v>
      </c>
      <c r="N363" t="s">
        <v>1974</v>
      </c>
      <c r="O363" t="s">
        <v>2164</v>
      </c>
      <c r="P363" t="s">
        <v>2157</v>
      </c>
      <c r="Q363">
        <v>13.08</v>
      </c>
      <c r="R363" s="1" t="s">
        <v>1839</v>
      </c>
      <c r="S363">
        <v>1072</v>
      </c>
      <c r="T363">
        <v>14021</v>
      </c>
    </row>
    <row r="364" spans="1:20" x14ac:dyDescent="0.4">
      <c r="A364" s="1" t="s">
        <v>154</v>
      </c>
      <c r="B364" s="1" t="s">
        <v>1455</v>
      </c>
      <c r="C364" s="1" t="s">
        <v>1844</v>
      </c>
      <c r="D364" s="1" t="s">
        <v>1731</v>
      </c>
      <c r="E364">
        <v>20251215</v>
      </c>
      <c r="F364" s="1" t="s">
        <v>1469</v>
      </c>
      <c r="G364">
        <v>4</v>
      </c>
      <c r="H364" s="1" t="s">
        <v>1475</v>
      </c>
      <c r="I364" t="s">
        <v>1855</v>
      </c>
      <c r="J364" s="1" t="s">
        <v>1548</v>
      </c>
      <c r="K364" s="1" t="s">
        <v>1599</v>
      </c>
      <c r="L364" s="1" t="s">
        <v>1718</v>
      </c>
      <c r="M364" s="1" t="s">
        <v>1737</v>
      </c>
      <c r="N364" t="s">
        <v>1974</v>
      </c>
      <c r="O364" t="s">
        <v>2164</v>
      </c>
      <c r="P364" t="s">
        <v>2157</v>
      </c>
      <c r="Q364">
        <v>12.3</v>
      </c>
      <c r="R364" s="1" t="s">
        <v>1839</v>
      </c>
      <c r="S364">
        <v>1072</v>
      </c>
      <c r="T364">
        <v>13185</v>
      </c>
    </row>
    <row r="365" spans="1:20" x14ac:dyDescent="0.4">
      <c r="A365" s="1" t="s">
        <v>154</v>
      </c>
      <c r="B365" s="1" t="s">
        <v>1456</v>
      </c>
      <c r="C365" s="1" t="s">
        <v>1844</v>
      </c>
      <c r="D365" s="1" t="s">
        <v>1731</v>
      </c>
      <c r="E365">
        <v>20251215</v>
      </c>
      <c r="F365" s="1" t="s">
        <v>1469</v>
      </c>
      <c r="G365">
        <v>4</v>
      </c>
      <c r="H365" s="1" t="s">
        <v>1475</v>
      </c>
      <c r="I365" t="s">
        <v>1855</v>
      </c>
      <c r="J365" s="1" t="s">
        <v>1548</v>
      </c>
      <c r="K365" s="1" t="s">
        <v>1599</v>
      </c>
      <c r="L365" s="1" t="s">
        <v>1718</v>
      </c>
      <c r="M365" s="1" t="s">
        <v>1737</v>
      </c>
      <c r="N365" t="s">
        <v>1974</v>
      </c>
      <c r="O365" t="s">
        <v>2164</v>
      </c>
      <c r="P365" t="s">
        <v>2157</v>
      </c>
      <c r="Q365">
        <v>13.02</v>
      </c>
      <c r="R365" s="1" t="s">
        <v>1839</v>
      </c>
      <c r="S365">
        <v>1072</v>
      </c>
      <c r="T365">
        <v>13957</v>
      </c>
    </row>
    <row r="366" spans="1:20" x14ac:dyDescent="0.4">
      <c r="A366" s="1" t="s">
        <v>154</v>
      </c>
      <c r="B366" s="1" t="s">
        <v>1457</v>
      </c>
      <c r="C366" s="1" t="s">
        <v>1844</v>
      </c>
      <c r="D366" s="1" t="s">
        <v>1731</v>
      </c>
      <c r="E366">
        <v>20251215</v>
      </c>
      <c r="F366" s="1" t="s">
        <v>1469</v>
      </c>
      <c r="G366">
        <v>4</v>
      </c>
      <c r="H366" s="1" t="s">
        <v>1475</v>
      </c>
      <c r="I366" t="s">
        <v>1855</v>
      </c>
      <c r="J366" s="1" t="s">
        <v>1548</v>
      </c>
      <c r="K366" s="1" t="s">
        <v>1599</v>
      </c>
      <c r="L366" s="1" t="s">
        <v>1718</v>
      </c>
      <c r="M366" s="1" t="s">
        <v>1737</v>
      </c>
      <c r="N366" t="s">
        <v>1974</v>
      </c>
      <c r="O366" t="s">
        <v>2164</v>
      </c>
      <c r="P366" t="s">
        <v>2157</v>
      </c>
      <c r="Q366">
        <v>13.08</v>
      </c>
      <c r="R366" s="1" t="s">
        <v>1839</v>
      </c>
      <c r="S366">
        <v>1072</v>
      </c>
      <c r="T366">
        <v>14021</v>
      </c>
    </row>
    <row r="367" spans="1:20" x14ac:dyDescent="0.4">
      <c r="A367" s="1" t="s">
        <v>154</v>
      </c>
      <c r="B367" s="1" t="s">
        <v>1458</v>
      </c>
      <c r="C367" s="1" t="s">
        <v>1844</v>
      </c>
      <c r="D367" s="1" t="s">
        <v>1731</v>
      </c>
      <c r="E367">
        <v>20251215</v>
      </c>
      <c r="F367" s="1" t="s">
        <v>1469</v>
      </c>
      <c r="G367">
        <v>4</v>
      </c>
      <c r="H367" s="1" t="s">
        <v>1475</v>
      </c>
      <c r="I367" t="s">
        <v>1855</v>
      </c>
      <c r="J367" s="1" t="s">
        <v>1548</v>
      </c>
      <c r="K367" s="1" t="s">
        <v>1599</v>
      </c>
      <c r="L367" s="1" t="s">
        <v>1718</v>
      </c>
      <c r="M367" s="1" t="s">
        <v>1737</v>
      </c>
      <c r="N367" t="s">
        <v>1974</v>
      </c>
      <c r="O367" t="s">
        <v>2164</v>
      </c>
      <c r="P367" t="s">
        <v>2157</v>
      </c>
      <c r="Q367">
        <v>12.42</v>
      </c>
      <c r="R367" s="1" t="s">
        <v>1839</v>
      </c>
      <c r="S367">
        <v>1072</v>
      </c>
      <c r="T367">
        <v>13314</v>
      </c>
    </row>
    <row r="368" spans="1:20" x14ac:dyDescent="0.4">
      <c r="A368" s="1" t="s">
        <v>154</v>
      </c>
      <c r="B368" s="1" t="s">
        <v>1459</v>
      </c>
      <c r="C368" s="1" t="s">
        <v>1844</v>
      </c>
      <c r="D368" s="1" t="s">
        <v>1731</v>
      </c>
      <c r="E368">
        <v>20251215</v>
      </c>
      <c r="F368" s="1" t="s">
        <v>1469</v>
      </c>
      <c r="G368">
        <v>4</v>
      </c>
      <c r="H368" s="1" t="s">
        <v>1475</v>
      </c>
      <c r="I368" t="s">
        <v>1855</v>
      </c>
      <c r="J368" s="1" t="s">
        <v>1548</v>
      </c>
      <c r="K368" s="1" t="s">
        <v>1599</v>
      </c>
      <c r="L368" s="1" t="s">
        <v>1718</v>
      </c>
      <c r="M368" s="1" t="s">
        <v>1737</v>
      </c>
      <c r="N368" t="s">
        <v>1974</v>
      </c>
      <c r="O368" t="s">
        <v>2164</v>
      </c>
      <c r="P368" t="s">
        <v>2157</v>
      </c>
      <c r="Q368">
        <v>12.3</v>
      </c>
      <c r="R368" s="1" t="s">
        <v>1839</v>
      </c>
      <c r="S368">
        <v>1072</v>
      </c>
      <c r="T368">
        <v>13185</v>
      </c>
    </row>
    <row r="369" spans="1:20" x14ac:dyDescent="0.4">
      <c r="A369" s="1" t="s">
        <v>154</v>
      </c>
      <c r="B369" s="1" t="s">
        <v>1460</v>
      </c>
      <c r="C369" s="1" t="s">
        <v>1844</v>
      </c>
      <c r="D369" s="1" t="s">
        <v>1731</v>
      </c>
      <c r="E369">
        <v>20251215</v>
      </c>
      <c r="F369" s="1" t="s">
        <v>1469</v>
      </c>
      <c r="G369">
        <v>4</v>
      </c>
      <c r="H369" s="1" t="s">
        <v>1475</v>
      </c>
      <c r="I369" t="s">
        <v>1855</v>
      </c>
      <c r="J369" s="1" t="s">
        <v>1548</v>
      </c>
      <c r="K369" s="1" t="s">
        <v>1599</v>
      </c>
      <c r="L369" s="1" t="s">
        <v>1718</v>
      </c>
      <c r="M369" s="1" t="s">
        <v>1737</v>
      </c>
      <c r="N369" t="s">
        <v>1974</v>
      </c>
      <c r="O369" t="s">
        <v>2164</v>
      </c>
      <c r="P369" t="s">
        <v>2157</v>
      </c>
      <c r="Q369">
        <v>12.84</v>
      </c>
      <c r="R369" s="1" t="s">
        <v>1839</v>
      </c>
      <c r="S369">
        <v>1072</v>
      </c>
      <c r="T369">
        <v>13764</v>
      </c>
    </row>
    <row r="370" spans="1:20" x14ac:dyDescent="0.4">
      <c r="A370" s="1" t="s">
        <v>154</v>
      </c>
      <c r="B370" s="1" t="s">
        <v>1461</v>
      </c>
      <c r="C370" s="1" t="s">
        <v>1844</v>
      </c>
      <c r="D370" s="1" t="s">
        <v>1731</v>
      </c>
      <c r="E370">
        <v>20251215</v>
      </c>
      <c r="F370" s="1" t="s">
        <v>1469</v>
      </c>
      <c r="G370">
        <v>4</v>
      </c>
      <c r="H370" s="1" t="s">
        <v>1475</v>
      </c>
      <c r="I370" t="s">
        <v>1855</v>
      </c>
      <c r="J370" s="1" t="s">
        <v>1548</v>
      </c>
      <c r="K370" s="1" t="s">
        <v>1599</v>
      </c>
      <c r="L370" s="1" t="s">
        <v>1718</v>
      </c>
      <c r="M370" s="1" t="s">
        <v>1737</v>
      </c>
      <c r="N370" t="s">
        <v>1974</v>
      </c>
      <c r="O370" t="s">
        <v>2164</v>
      </c>
      <c r="P370" t="s">
        <v>2157</v>
      </c>
      <c r="Q370">
        <v>12.48</v>
      </c>
      <c r="R370" s="1" t="s">
        <v>1839</v>
      </c>
      <c r="S370">
        <v>1072</v>
      </c>
      <c r="T370">
        <v>13378</v>
      </c>
    </row>
    <row r="371" spans="1:20" x14ac:dyDescent="0.4">
      <c r="A371" s="1" t="s">
        <v>154</v>
      </c>
      <c r="B371" s="1" t="s">
        <v>1462</v>
      </c>
      <c r="C371" s="1" t="s">
        <v>1844</v>
      </c>
      <c r="D371" s="1" t="s">
        <v>1731</v>
      </c>
      <c r="E371">
        <v>20251215</v>
      </c>
      <c r="F371" s="1" t="s">
        <v>1469</v>
      </c>
      <c r="G371">
        <v>4</v>
      </c>
      <c r="H371" s="1" t="s">
        <v>1475</v>
      </c>
      <c r="I371" t="s">
        <v>1855</v>
      </c>
      <c r="J371" s="1" t="s">
        <v>1548</v>
      </c>
      <c r="K371" s="1" t="s">
        <v>1599</v>
      </c>
      <c r="L371" s="1" t="s">
        <v>1718</v>
      </c>
      <c r="M371" s="1" t="s">
        <v>1737</v>
      </c>
      <c r="N371" t="s">
        <v>1974</v>
      </c>
      <c r="O371" t="s">
        <v>2164</v>
      </c>
      <c r="P371" t="s">
        <v>2157</v>
      </c>
      <c r="Q371">
        <v>13.2</v>
      </c>
      <c r="R371" s="1" t="s">
        <v>1839</v>
      </c>
      <c r="S371">
        <v>1072</v>
      </c>
      <c r="T371">
        <v>14150</v>
      </c>
    </row>
    <row r="372" spans="1:20" x14ac:dyDescent="0.4">
      <c r="A372" s="1" t="s">
        <v>154</v>
      </c>
      <c r="B372" s="1" t="s">
        <v>1463</v>
      </c>
      <c r="C372" s="1" t="s">
        <v>1844</v>
      </c>
      <c r="D372" s="1" t="s">
        <v>1731</v>
      </c>
      <c r="E372">
        <v>20251215</v>
      </c>
      <c r="F372" s="1" t="s">
        <v>1469</v>
      </c>
      <c r="G372">
        <v>4</v>
      </c>
      <c r="H372" s="1" t="s">
        <v>1475</v>
      </c>
      <c r="I372" t="s">
        <v>1855</v>
      </c>
      <c r="J372" s="1" t="s">
        <v>1548</v>
      </c>
      <c r="K372" s="1" t="s">
        <v>1599</v>
      </c>
      <c r="L372" s="1" t="s">
        <v>1718</v>
      </c>
      <c r="M372" s="1" t="s">
        <v>1737</v>
      </c>
      <c r="N372" t="s">
        <v>1974</v>
      </c>
      <c r="O372" t="s">
        <v>2164</v>
      </c>
      <c r="P372" t="s">
        <v>2157</v>
      </c>
      <c r="Q372">
        <v>3.96</v>
      </c>
      <c r="R372" s="1" t="s">
        <v>1839</v>
      </c>
      <c r="S372">
        <v>1072</v>
      </c>
      <c r="T372">
        <v>4245</v>
      </c>
    </row>
    <row r="373" spans="1:20" x14ac:dyDescent="0.4">
      <c r="A373" s="1" t="s">
        <v>155</v>
      </c>
      <c r="B373" s="1" t="s">
        <v>1453</v>
      </c>
      <c r="C373" s="1" t="s">
        <v>1844</v>
      </c>
      <c r="D373" s="1" t="s">
        <v>1846</v>
      </c>
      <c r="E373">
        <v>20251215</v>
      </c>
      <c r="F373" s="1" t="s">
        <v>1469</v>
      </c>
      <c r="G373">
        <v>4</v>
      </c>
      <c r="H373" s="1" t="s">
        <v>1475</v>
      </c>
      <c r="I373" t="s">
        <v>1855</v>
      </c>
      <c r="J373" s="1" t="s">
        <v>1544</v>
      </c>
      <c r="K373" s="1" t="s">
        <v>1598</v>
      </c>
      <c r="L373" s="1" t="s">
        <v>1718</v>
      </c>
      <c r="M373" s="1" t="s">
        <v>1765</v>
      </c>
      <c r="N373" t="s">
        <v>1973</v>
      </c>
      <c r="O373" t="s">
        <v>2164</v>
      </c>
      <c r="P373" t="s">
        <v>3084</v>
      </c>
      <c r="Q373">
        <v>89.18</v>
      </c>
      <c r="R373" s="1" t="s">
        <v>1839</v>
      </c>
      <c r="S373">
        <v>3021</v>
      </c>
      <c r="T373">
        <v>269412</v>
      </c>
    </row>
    <row r="374" spans="1:20" x14ac:dyDescent="0.4">
      <c r="A374" s="1" t="s">
        <v>155</v>
      </c>
      <c r="B374" s="1" t="s">
        <v>1454</v>
      </c>
      <c r="C374" s="1" t="s">
        <v>1844</v>
      </c>
      <c r="D374" s="1" t="s">
        <v>1846</v>
      </c>
      <c r="E374">
        <v>20251215</v>
      </c>
      <c r="F374" s="1" t="s">
        <v>1469</v>
      </c>
      <c r="G374">
        <v>4</v>
      </c>
      <c r="H374" s="1" t="s">
        <v>1475</v>
      </c>
      <c r="I374" t="s">
        <v>1855</v>
      </c>
      <c r="J374" s="1" t="s">
        <v>1544</v>
      </c>
      <c r="K374" s="1" t="s">
        <v>1598</v>
      </c>
      <c r="L374" s="1" t="s">
        <v>1718</v>
      </c>
      <c r="M374" s="1" t="s">
        <v>1765</v>
      </c>
      <c r="N374" t="s">
        <v>1973</v>
      </c>
      <c r="O374" t="s">
        <v>2164</v>
      </c>
      <c r="P374" t="s">
        <v>3084</v>
      </c>
      <c r="Q374">
        <v>61.88</v>
      </c>
      <c r="R374" s="1" t="s">
        <v>1839</v>
      </c>
      <c r="S374">
        <v>3021</v>
      </c>
      <c r="T374">
        <v>186939</v>
      </c>
    </row>
    <row r="375" spans="1:20" x14ac:dyDescent="0.4">
      <c r="A375" s="1" t="s">
        <v>155</v>
      </c>
      <c r="B375" s="1" t="s">
        <v>1455</v>
      </c>
      <c r="C375" s="1" t="s">
        <v>1844</v>
      </c>
      <c r="D375" s="1" t="s">
        <v>1846</v>
      </c>
      <c r="E375">
        <v>20251215</v>
      </c>
      <c r="F375" s="1" t="s">
        <v>1469</v>
      </c>
      <c r="G375">
        <v>4</v>
      </c>
      <c r="H375" s="1" t="s">
        <v>1475</v>
      </c>
      <c r="I375" t="s">
        <v>1855</v>
      </c>
      <c r="J375" s="1" t="s">
        <v>1544</v>
      </c>
      <c r="K375" s="1" t="s">
        <v>1598</v>
      </c>
      <c r="L375" s="1" t="s">
        <v>1718</v>
      </c>
      <c r="M375" s="1" t="s">
        <v>1765</v>
      </c>
      <c r="N375" t="s">
        <v>1973</v>
      </c>
      <c r="O375" t="s">
        <v>2164</v>
      </c>
      <c r="P375" t="s">
        <v>3084</v>
      </c>
      <c r="Q375">
        <v>22.2</v>
      </c>
      <c r="R375" s="1" t="s">
        <v>1839</v>
      </c>
      <c r="S375">
        <v>3021</v>
      </c>
      <c r="T375">
        <v>67066</v>
      </c>
    </row>
    <row r="376" spans="1:20" x14ac:dyDescent="0.4">
      <c r="A376" s="1" t="s">
        <v>155</v>
      </c>
      <c r="B376" s="1" t="s">
        <v>1456</v>
      </c>
      <c r="C376" s="1" t="s">
        <v>1844</v>
      </c>
      <c r="D376" s="1" t="s">
        <v>1846</v>
      </c>
      <c r="E376">
        <v>20251215</v>
      </c>
      <c r="F376" s="1" t="s">
        <v>1469</v>
      </c>
      <c r="G376">
        <v>4</v>
      </c>
      <c r="H376" s="1" t="s">
        <v>1475</v>
      </c>
      <c r="I376" t="s">
        <v>1855</v>
      </c>
      <c r="J376" s="1" t="s">
        <v>1544</v>
      </c>
      <c r="K376" s="1" t="s">
        <v>1598</v>
      </c>
      <c r="L376" s="1" t="s">
        <v>1718</v>
      </c>
      <c r="M376" s="1" t="s">
        <v>1765</v>
      </c>
      <c r="N376" t="s">
        <v>1973</v>
      </c>
      <c r="O376" t="s">
        <v>2164</v>
      </c>
      <c r="P376" t="s">
        <v>3084</v>
      </c>
      <c r="Q376">
        <v>105.56</v>
      </c>
      <c r="R376" s="1" t="s">
        <v>1839</v>
      </c>
      <c r="S376">
        <v>3021</v>
      </c>
      <c r="T376">
        <v>318896</v>
      </c>
    </row>
    <row r="377" spans="1:20" x14ac:dyDescent="0.4">
      <c r="A377" s="1" t="s">
        <v>155</v>
      </c>
      <c r="B377" s="1" t="s">
        <v>1457</v>
      </c>
      <c r="C377" s="1" t="s">
        <v>1844</v>
      </c>
      <c r="D377" s="1" t="s">
        <v>1846</v>
      </c>
      <c r="E377">
        <v>20251215</v>
      </c>
      <c r="F377" s="1" t="s">
        <v>1469</v>
      </c>
      <c r="G377">
        <v>4</v>
      </c>
      <c r="H377" s="1" t="s">
        <v>1475</v>
      </c>
      <c r="I377" t="s">
        <v>1855</v>
      </c>
      <c r="J377" s="1" t="s">
        <v>1544</v>
      </c>
      <c r="K377" s="1" t="s">
        <v>1598</v>
      </c>
      <c r="L377" s="1" t="s">
        <v>1718</v>
      </c>
      <c r="M377" s="1" t="s">
        <v>1765</v>
      </c>
      <c r="N377" t="s">
        <v>1973</v>
      </c>
      <c r="O377" t="s">
        <v>2164</v>
      </c>
      <c r="P377" t="s">
        <v>3084</v>
      </c>
      <c r="Q377">
        <v>37.119999999999997</v>
      </c>
      <c r="R377" s="1" t="s">
        <v>1839</v>
      </c>
      <c r="S377">
        <v>3021</v>
      </c>
      <c r="T377">
        <v>112139</v>
      </c>
    </row>
    <row r="378" spans="1:20" x14ac:dyDescent="0.4">
      <c r="A378" s="1" t="s">
        <v>156</v>
      </c>
      <c r="B378" s="1" t="s">
        <v>1453</v>
      </c>
      <c r="C378" s="1" t="s">
        <v>1844</v>
      </c>
      <c r="D378" s="1" t="s">
        <v>1731</v>
      </c>
      <c r="E378">
        <v>20251216</v>
      </c>
      <c r="F378" s="1" t="s">
        <v>1469</v>
      </c>
      <c r="G378">
        <v>4</v>
      </c>
      <c r="H378" s="1" t="s">
        <v>1475</v>
      </c>
      <c r="I378" t="s">
        <v>1855</v>
      </c>
      <c r="J378" s="1" t="s">
        <v>1548</v>
      </c>
      <c r="K378" s="1" t="s">
        <v>1600</v>
      </c>
      <c r="L378" s="1" t="s">
        <v>1718</v>
      </c>
      <c r="M378" s="1" t="s">
        <v>1766</v>
      </c>
      <c r="N378" t="s">
        <v>1975</v>
      </c>
      <c r="O378" t="s">
        <v>2164</v>
      </c>
      <c r="P378" t="s">
        <v>3076</v>
      </c>
      <c r="Q378">
        <v>45</v>
      </c>
      <c r="R378" s="1" t="s">
        <v>1839</v>
      </c>
      <c r="S378">
        <v>2857</v>
      </c>
      <c r="T378">
        <v>128565</v>
      </c>
    </row>
    <row r="379" spans="1:20" x14ac:dyDescent="0.4">
      <c r="A379" s="1" t="s">
        <v>156</v>
      </c>
      <c r="B379" s="1" t="s">
        <v>1454</v>
      </c>
      <c r="C379" s="1" t="s">
        <v>1844</v>
      </c>
      <c r="D379" s="1" t="s">
        <v>1731</v>
      </c>
      <c r="E379">
        <v>20251216</v>
      </c>
      <c r="F379" s="1" t="s">
        <v>1469</v>
      </c>
      <c r="G379">
        <v>4</v>
      </c>
      <c r="H379" s="1" t="s">
        <v>1475</v>
      </c>
      <c r="I379" t="s">
        <v>1855</v>
      </c>
      <c r="J379" s="1" t="s">
        <v>1548</v>
      </c>
      <c r="K379" s="1" t="s">
        <v>1600</v>
      </c>
      <c r="L379" s="1" t="s">
        <v>1718</v>
      </c>
      <c r="M379" s="1" t="s">
        <v>1766</v>
      </c>
      <c r="N379" t="s">
        <v>1975</v>
      </c>
      <c r="O379" t="s">
        <v>2164</v>
      </c>
      <c r="P379" t="s">
        <v>3076</v>
      </c>
      <c r="Q379">
        <v>45</v>
      </c>
      <c r="R379" s="1" t="s">
        <v>1839</v>
      </c>
      <c r="S379">
        <v>2857</v>
      </c>
      <c r="T379">
        <v>128565</v>
      </c>
    </row>
    <row r="380" spans="1:20" x14ac:dyDescent="0.4">
      <c r="A380" s="1" t="s">
        <v>156</v>
      </c>
      <c r="B380" s="1" t="s">
        <v>1455</v>
      </c>
      <c r="C380" s="1" t="s">
        <v>1844</v>
      </c>
      <c r="D380" s="1" t="s">
        <v>1731</v>
      </c>
      <c r="E380">
        <v>20251216</v>
      </c>
      <c r="F380" s="1" t="s">
        <v>1469</v>
      </c>
      <c r="G380">
        <v>4</v>
      </c>
      <c r="H380" s="1" t="s">
        <v>1475</v>
      </c>
      <c r="I380" t="s">
        <v>1855</v>
      </c>
      <c r="J380" s="1" t="s">
        <v>1548</v>
      </c>
      <c r="K380" s="1" t="s">
        <v>1600</v>
      </c>
      <c r="L380" s="1" t="s">
        <v>1718</v>
      </c>
      <c r="M380" s="1" t="s">
        <v>1766</v>
      </c>
      <c r="N380" t="s">
        <v>1975</v>
      </c>
      <c r="O380" t="s">
        <v>2164</v>
      </c>
      <c r="P380" t="s">
        <v>3076</v>
      </c>
      <c r="Q380">
        <v>45</v>
      </c>
      <c r="R380" s="1" t="s">
        <v>1839</v>
      </c>
      <c r="S380">
        <v>2857</v>
      </c>
      <c r="T380">
        <v>128565</v>
      </c>
    </row>
    <row r="381" spans="1:20" x14ac:dyDescent="0.4">
      <c r="A381" s="1" t="s">
        <v>156</v>
      </c>
      <c r="B381" s="1" t="s">
        <v>1456</v>
      </c>
      <c r="C381" s="1" t="s">
        <v>1844</v>
      </c>
      <c r="D381" s="1" t="s">
        <v>1731</v>
      </c>
      <c r="E381">
        <v>20251216</v>
      </c>
      <c r="F381" s="1" t="s">
        <v>1469</v>
      </c>
      <c r="G381">
        <v>4</v>
      </c>
      <c r="H381" s="1" t="s">
        <v>1475</v>
      </c>
      <c r="I381" t="s">
        <v>1855</v>
      </c>
      <c r="J381" s="1" t="s">
        <v>1548</v>
      </c>
      <c r="K381" s="1" t="s">
        <v>1600</v>
      </c>
      <c r="L381" s="1" t="s">
        <v>1718</v>
      </c>
      <c r="M381" s="1" t="s">
        <v>1766</v>
      </c>
      <c r="N381" t="s">
        <v>1975</v>
      </c>
      <c r="O381" t="s">
        <v>2164</v>
      </c>
      <c r="P381" t="s">
        <v>3076</v>
      </c>
      <c r="Q381">
        <v>45</v>
      </c>
      <c r="R381" s="1" t="s">
        <v>1839</v>
      </c>
      <c r="S381">
        <v>2857</v>
      </c>
      <c r="T381">
        <v>128565</v>
      </c>
    </row>
    <row r="382" spans="1:20" x14ac:dyDescent="0.4">
      <c r="A382" s="1" t="s">
        <v>156</v>
      </c>
      <c r="B382" s="1" t="s">
        <v>1457</v>
      </c>
      <c r="C382" s="1" t="s">
        <v>1844</v>
      </c>
      <c r="D382" s="1" t="s">
        <v>1731</v>
      </c>
      <c r="E382">
        <v>20251216</v>
      </c>
      <c r="F382" s="1" t="s">
        <v>1469</v>
      </c>
      <c r="G382">
        <v>4</v>
      </c>
      <c r="H382" s="1" t="s">
        <v>1475</v>
      </c>
      <c r="I382" t="s">
        <v>1855</v>
      </c>
      <c r="J382" s="1" t="s">
        <v>1548</v>
      </c>
      <c r="K382" s="1" t="s">
        <v>1600</v>
      </c>
      <c r="L382" s="1" t="s">
        <v>1718</v>
      </c>
      <c r="M382" s="1" t="s">
        <v>1766</v>
      </c>
      <c r="N382" t="s">
        <v>1975</v>
      </c>
      <c r="O382" t="s">
        <v>2164</v>
      </c>
      <c r="P382" t="s">
        <v>3076</v>
      </c>
      <c r="Q382">
        <v>45</v>
      </c>
      <c r="R382" s="1" t="s">
        <v>1839</v>
      </c>
      <c r="S382">
        <v>2857</v>
      </c>
      <c r="T382">
        <v>128565</v>
      </c>
    </row>
    <row r="383" spans="1:20" x14ac:dyDescent="0.4">
      <c r="A383" s="1" t="s">
        <v>156</v>
      </c>
      <c r="B383" s="1" t="s">
        <v>1458</v>
      </c>
      <c r="C383" s="1" t="s">
        <v>1844</v>
      </c>
      <c r="D383" s="1" t="s">
        <v>1731</v>
      </c>
      <c r="E383">
        <v>20251216</v>
      </c>
      <c r="F383" s="1" t="s">
        <v>1469</v>
      </c>
      <c r="G383">
        <v>4</v>
      </c>
      <c r="H383" s="1" t="s">
        <v>1475</v>
      </c>
      <c r="I383" t="s">
        <v>1855</v>
      </c>
      <c r="J383" s="1" t="s">
        <v>1548</v>
      </c>
      <c r="K383" s="1" t="s">
        <v>1600</v>
      </c>
      <c r="L383" s="1" t="s">
        <v>1718</v>
      </c>
      <c r="M383" s="1" t="s">
        <v>1766</v>
      </c>
      <c r="N383" t="s">
        <v>1975</v>
      </c>
      <c r="O383" t="s">
        <v>2164</v>
      </c>
      <c r="P383" t="s">
        <v>3076</v>
      </c>
      <c r="Q383">
        <v>45</v>
      </c>
      <c r="R383" s="1" t="s">
        <v>1839</v>
      </c>
      <c r="S383">
        <v>2857</v>
      </c>
      <c r="T383">
        <v>128565</v>
      </c>
    </row>
    <row r="384" spans="1:20" x14ac:dyDescent="0.4">
      <c r="A384" s="1" t="s">
        <v>156</v>
      </c>
      <c r="B384" s="1" t="s">
        <v>1459</v>
      </c>
      <c r="C384" s="1" t="s">
        <v>1844</v>
      </c>
      <c r="D384" s="1" t="s">
        <v>1731</v>
      </c>
      <c r="E384">
        <v>20251216</v>
      </c>
      <c r="F384" s="1" t="s">
        <v>1469</v>
      </c>
      <c r="G384">
        <v>4</v>
      </c>
      <c r="H384" s="1" t="s">
        <v>1475</v>
      </c>
      <c r="I384" t="s">
        <v>1855</v>
      </c>
      <c r="J384" s="1" t="s">
        <v>1548</v>
      </c>
      <c r="K384" s="1" t="s">
        <v>1600</v>
      </c>
      <c r="L384" s="1" t="s">
        <v>1718</v>
      </c>
      <c r="M384" s="1" t="s">
        <v>1766</v>
      </c>
      <c r="N384" t="s">
        <v>1975</v>
      </c>
      <c r="O384" t="s">
        <v>2164</v>
      </c>
      <c r="P384" t="s">
        <v>3076</v>
      </c>
      <c r="Q384">
        <v>45</v>
      </c>
      <c r="R384" s="1" t="s">
        <v>1839</v>
      </c>
      <c r="S384">
        <v>2857</v>
      </c>
      <c r="T384">
        <v>128565</v>
      </c>
    </row>
    <row r="385" spans="1:20" x14ac:dyDescent="0.4">
      <c r="A385" s="1" t="s">
        <v>156</v>
      </c>
      <c r="B385" s="1" t="s">
        <v>1460</v>
      </c>
      <c r="C385" s="1" t="s">
        <v>1844</v>
      </c>
      <c r="D385" s="1" t="s">
        <v>1731</v>
      </c>
      <c r="E385">
        <v>20251216</v>
      </c>
      <c r="F385" s="1" t="s">
        <v>1469</v>
      </c>
      <c r="G385">
        <v>4</v>
      </c>
      <c r="H385" s="1" t="s">
        <v>1475</v>
      </c>
      <c r="I385" t="s">
        <v>1855</v>
      </c>
      <c r="J385" s="1" t="s">
        <v>1548</v>
      </c>
      <c r="K385" s="1" t="s">
        <v>1600</v>
      </c>
      <c r="L385" s="1" t="s">
        <v>1718</v>
      </c>
      <c r="M385" s="1" t="s">
        <v>1766</v>
      </c>
      <c r="N385" t="s">
        <v>1975</v>
      </c>
      <c r="O385" t="s">
        <v>2164</v>
      </c>
      <c r="P385" t="s">
        <v>3076</v>
      </c>
      <c r="Q385">
        <v>45</v>
      </c>
      <c r="R385" s="1" t="s">
        <v>1839</v>
      </c>
      <c r="S385">
        <v>2857</v>
      </c>
      <c r="T385">
        <v>128565</v>
      </c>
    </row>
    <row r="386" spans="1:20" x14ac:dyDescent="0.4">
      <c r="A386" s="1" t="s">
        <v>156</v>
      </c>
      <c r="B386" s="1" t="s">
        <v>1461</v>
      </c>
      <c r="C386" s="1" t="s">
        <v>1844</v>
      </c>
      <c r="D386" s="1" t="s">
        <v>1731</v>
      </c>
      <c r="E386">
        <v>20251216</v>
      </c>
      <c r="F386" s="1" t="s">
        <v>1469</v>
      </c>
      <c r="G386">
        <v>4</v>
      </c>
      <c r="H386" s="1" t="s">
        <v>1475</v>
      </c>
      <c r="I386" t="s">
        <v>1855</v>
      </c>
      <c r="J386" s="1" t="s">
        <v>1548</v>
      </c>
      <c r="K386" s="1" t="s">
        <v>1600</v>
      </c>
      <c r="L386" s="1" t="s">
        <v>1718</v>
      </c>
      <c r="M386" s="1" t="s">
        <v>1766</v>
      </c>
      <c r="N386" t="s">
        <v>1975</v>
      </c>
      <c r="O386" t="s">
        <v>2164</v>
      </c>
      <c r="P386" t="s">
        <v>3076</v>
      </c>
      <c r="Q386">
        <v>45</v>
      </c>
      <c r="R386" s="1" t="s">
        <v>1839</v>
      </c>
      <c r="S386">
        <v>2857</v>
      </c>
      <c r="T386">
        <v>128565</v>
      </c>
    </row>
    <row r="387" spans="1:20" x14ac:dyDescent="0.4">
      <c r="A387" s="1" t="s">
        <v>156</v>
      </c>
      <c r="B387" s="1" t="s">
        <v>1462</v>
      </c>
      <c r="C387" s="1" t="s">
        <v>1844</v>
      </c>
      <c r="D387" s="1" t="s">
        <v>1731</v>
      </c>
      <c r="E387">
        <v>20251216</v>
      </c>
      <c r="F387" s="1" t="s">
        <v>1469</v>
      </c>
      <c r="G387">
        <v>4</v>
      </c>
      <c r="H387" s="1" t="s">
        <v>1475</v>
      </c>
      <c r="I387" t="s">
        <v>1855</v>
      </c>
      <c r="J387" s="1" t="s">
        <v>1548</v>
      </c>
      <c r="K387" s="1" t="s">
        <v>1600</v>
      </c>
      <c r="L387" s="1" t="s">
        <v>1718</v>
      </c>
      <c r="M387" s="1" t="s">
        <v>1766</v>
      </c>
      <c r="N387" t="s">
        <v>1975</v>
      </c>
      <c r="O387" t="s">
        <v>2164</v>
      </c>
      <c r="P387" t="s">
        <v>3076</v>
      </c>
      <c r="Q387">
        <v>45</v>
      </c>
      <c r="R387" s="1" t="s">
        <v>1839</v>
      </c>
      <c r="S387">
        <v>2857</v>
      </c>
      <c r="T387">
        <v>128565</v>
      </c>
    </row>
    <row r="388" spans="1:20" x14ac:dyDescent="0.4">
      <c r="A388" s="1" t="s">
        <v>157</v>
      </c>
      <c r="B388" s="1" t="s">
        <v>1453</v>
      </c>
      <c r="C388" s="1" t="s">
        <v>1844</v>
      </c>
      <c r="D388" s="1" t="s">
        <v>1731</v>
      </c>
      <c r="E388">
        <v>20251216</v>
      </c>
      <c r="F388" s="1" t="s">
        <v>1469</v>
      </c>
      <c r="G388">
        <v>4</v>
      </c>
      <c r="H388" s="1" t="s">
        <v>1475</v>
      </c>
      <c r="I388" t="s">
        <v>1855</v>
      </c>
      <c r="J388" s="1" t="s">
        <v>1548</v>
      </c>
      <c r="K388" s="1" t="s">
        <v>1600</v>
      </c>
      <c r="L388" s="1" t="s">
        <v>1718</v>
      </c>
      <c r="M388" s="1" t="s">
        <v>1766</v>
      </c>
      <c r="N388" t="s">
        <v>1975</v>
      </c>
      <c r="O388" t="s">
        <v>2164</v>
      </c>
      <c r="P388" t="s">
        <v>3076</v>
      </c>
      <c r="Q388">
        <v>45</v>
      </c>
      <c r="R388" s="1" t="s">
        <v>1839</v>
      </c>
      <c r="S388">
        <v>2857</v>
      </c>
      <c r="T388">
        <v>128565</v>
      </c>
    </row>
    <row r="389" spans="1:20" x14ac:dyDescent="0.4">
      <c r="A389" s="1" t="s">
        <v>157</v>
      </c>
      <c r="B389" s="1" t="s">
        <v>1454</v>
      </c>
      <c r="C389" s="1" t="s">
        <v>1844</v>
      </c>
      <c r="D389" s="1" t="s">
        <v>1731</v>
      </c>
      <c r="E389">
        <v>20251216</v>
      </c>
      <c r="F389" s="1" t="s">
        <v>1469</v>
      </c>
      <c r="G389">
        <v>4</v>
      </c>
      <c r="H389" s="1" t="s">
        <v>1475</v>
      </c>
      <c r="I389" t="s">
        <v>1855</v>
      </c>
      <c r="J389" s="1" t="s">
        <v>1548</v>
      </c>
      <c r="K389" s="1" t="s">
        <v>1600</v>
      </c>
      <c r="L389" s="1" t="s">
        <v>1718</v>
      </c>
      <c r="M389" s="1" t="s">
        <v>1766</v>
      </c>
      <c r="N389" t="s">
        <v>1975</v>
      </c>
      <c r="O389" t="s">
        <v>2164</v>
      </c>
      <c r="P389" t="s">
        <v>3076</v>
      </c>
      <c r="Q389">
        <v>45</v>
      </c>
      <c r="R389" s="1" t="s">
        <v>1839</v>
      </c>
      <c r="S389">
        <v>2857</v>
      </c>
      <c r="T389">
        <v>128565</v>
      </c>
    </row>
    <row r="390" spans="1:20" x14ac:dyDescent="0.4">
      <c r="A390" s="1" t="s">
        <v>157</v>
      </c>
      <c r="B390" s="1" t="s">
        <v>1455</v>
      </c>
      <c r="C390" s="1" t="s">
        <v>1844</v>
      </c>
      <c r="D390" s="1" t="s">
        <v>1731</v>
      </c>
      <c r="E390">
        <v>20251216</v>
      </c>
      <c r="F390" s="1" t="s">
        <v>1469</v>
      </c>
      <c r="G390">
        <v>4</v>
      </c>
      <c r="H390" s="1" t="s">
        <v>1475</v>
      </c>
      <c r="I390" t="s">
        <v>1855</v>
      </c>
      <c r="J390" s="1" t="s">
        <v>1548</v>
      </c>
      <c r="K390" s="1" t="s">
        <v>1600</v>
      </c>
      <c r="L390" s="1" t="s">
        <v>1718</v>
      </c>
      <c r="M390" s="1" t="s">
        <v>1766</v>
      </c>
      <c r="N390" t="s">
        <v>1975</v>
      </c>
      <c r="O390" t="s">
        <v>2164</v>
      </c>
      <c r="P390" t="s">
        <v>3076</v>
      </c>
      <c r="Q390">
        <v>45</v>
      </c>
      <c r="R390" s="1" t="s">
        <v>1839</v>
      </c>
      <c r="S390">
        <v>2857</v>
      </c>
      <c r="T390">
        <v>128565</v>
      </c>
    </row>
    <row r="391" spans="1:20" x14ac:dyDescent="0.4">
      <c r="A391" s="1" t="s">
        <v>157</v>
      </c>
      <c r="B391" s="1" t="s">
        <v>1456</v>
      </c>
      <c r="C391" s="1" t="s">
        <v>1844</v>
      </c>
      <c r="D391" s="1" t="s">
        <v>1731</v>
      </c>
      <c r="E391">
        <v>20251216</v>
      </c>
      <c r="F391" s="1" t="s">
        <v>1469</v>
      </c>
      <c r="G391">
        <v>4</v>
      </c>
      <c r="H391" s="1" t="s">
        <v>1475</v>
      </c>
      <c r="I391" t="s">
        <v>1855</v>
      </c>
      <c r="J391" s="1" t="s">
        <v>1548</v>
      </c>
      <c r="K391" s="1" t="s">
        <v>1600</v>
      </c>
      <c r="L391" s="1" t="s">
        <v>1718</v>
      </c>
      <c r="M391" s="1" t="s">
        <v>1766</v>
      </c>
      <c r="N391" t="s">
        <v>1975</v>
      </c>
      <c r="O391" t="s">
        <v>2164</v>
      </c>
      <c r="P391" t="s">
        <v>3076</v>
      </c>
      <c r="Q391">
        <v>45</v>
      </c>
      <c r="R391" s="1" t="s">
        <v>1839</v>
      </c>
      <c r="S391">
        <v>2857</v>
      </c>
      <c r="T391">
        <v>128565</v>
      </c>
    </row>
    <row r="392" spans="1:20" x14ac:dyDescent="0.4">
      <c r="A392" s="1" t="s">
        <v>157</v>
      </c>
      <c r="B392" s="1" t="s">
        <v>1457</v>
      </c>
      <c r="C392" s="1" t="s">
        <v>1844</v>
      </c>
      <c r="D392" s="1" t="s">
        <v>1731</v>
      </c>
      <c r="E392">
        <v>20251216</v>
      </c>
      <c r="F392" s="1" t="s">
        <v>1469</v>
      </c>
      <c r="G392">
        <v>4</v>
      </c>
      <c r="H392" s="1" t="s">
        <v>1475</v>
      </c>
      <c r="I392" t="s">
        <v>1855</v>
      </c>
      <c r="J392" s="1" t="s">
        <v>1548</v>
      </c>
      <c r="K392" s="1" t="s">
        <v>1600</v>
      </c>
      <c r="L392" s="1" t="s">
        <v>1718</v>
      </c>
      <c r="M392" s="1" t="s">
        <v>1766</v>
      </c>
      <c r="N392" t="s">
        <v>1975</v>
      </c>
      <c r="O392" t="s">
        <v>2164</v>
      </c>
      <c r="P392" t="s">
        <v>3076</v>
      </c>
      <c r="Q392">
        <v>45</v>
      </c>
      <c r="R392" s="1" t="s">
        <v>1839</v>
      </c>
      <c r="S392">
        <v>2857</v>
      </c>
      <c r="T392">
        <v>128565</v>
      </c>
    </row>
    <row r="393" spans="1:20" x14ac:dyDescent="0.4">
      <c r="A393" s="1" t="s">
        <v>157</v>
      </c>
      <c r="B393" s="1" t="s">
        <v>1458</v>
      </c>
      <c r="C393" s="1" t="s">
        <v>1844</v>
      </c>
      <c r="D393" s="1" t="s">
        <v>1731</v>
      </c>
      <c r="E393">
        <v>20251216</v>
      </c>
      <c r="F393" s="1" t="s">
        <v>1469</v>
      </c>
      <c r="G393">
        <v>4</v>
      </c>
      <c r="H393" s="1" t="s">
        <v>1475</v>
      </c>
      <c r="I393" t="s">
        <v>1855</v>
      </c>
      <c r="J393" s="1" t="s">
        <v>1548</v>
      </c>
      <c r="K393" s="1" t="s">
        <v>1600</v>
      </c>
      <c r="L393" s="1" t="s">
        <v>1718</v>
      </c>
      <c r="M393" s="1" t="s">
        <v>1766</v>
      </c>
      <c r="N393" t="s">
        <v>1975</v>
      </c>
      <c r="O393" t="s">
        <v>2164</v>
      </c>
      <c r="P393" t="s">
        <v>3076</v>
      </c>
      <c r="Q393">
        <v>45</v>
      </c>
      <c r="R393" s="1" t="s">
        <v>1839</v>
      </c>
      <c r="S393">
        <v>2857</v>
      </c>
      <c r="T393">
        <v>128565</v>
      </c>
    </row>
    <row r="394" spans="1:20" x14ac:dyDescent="0.4">
      <c r="A394" s="1" t="s">
        <v>157</v>
      </c>
      <c r="B394" s="1" t="s">
        <v>1459</v>
      </c>
      <c r="C394" s="1" t="s">
        <v>1844</v>
      </c>
      <c r="D394" s="1" t="s">
        <v>1731</v>
      </c>
      <c r="E394">
        <v>20251216</v>
      </c>
      <c r="F394" s="1" t="s">
        <v>1469</v>
      </c>
      <c r="G394">
        <v>4</v>
      </c>
      <c r="H394" s="1" t="s">
        <v>1475</v>
      </c>
      <c r="I394" t="s">
        <v>1855</v>
      </c>
      <c r="J394" s="1" t="s">
        <v>1548</v>
      </c>
      <c r="K394" s="1" t="s">
        <v>1600</v>
      </c>
      <c r="L394" s="1" t="s">
        <v>1718</v>
      </c>
      <c r="M394" s="1" t="s">
        <v>1766</v>
      </c>
      <c r="N394" t="s">
        <v>1975</v>
      </c>
      <c r="O394" t="s">
        <v>2164</v>
      </c>
      <c r="P394" t="s">
        <v>3076</v>
      </c>
      <c r="Q394">
        <v>27</v>
      </c>
      <c r="R394" s="1" t="s">
        <v>1839</v>
      </c>
      <c r="S394">
        <v>2857</v>
      </c>
      <c r="T394">
        <v>77139</v>
      </c>
    </row>
    <row r="395" spans="1:20" x14ac:dyDescent="0.4">
      <c r="A395" s="1" t="s">
        <v>157</v>
      </c>
      <c r="B395" s="1" t="s">
        <v>1460</v>
      </c>
      <c r="C395" s="1" t="s">
        <v>1844</v>
      </c>
      <c r="D395" s="1" t="s">
        <v>1731</v>
      </c>
      <c r="E395">
        <v>20251216</v>
      </c>
      <c r="F395" s="1" t="s">
        <v>1469</v>
      </c>
      <c r="G395">
        <v>4</v>
      </c>
      <c r="H395" s="1" t="s">
        <v>1475</v>
      </c>
      <c r="I395" t="s">
        <v>1855</v>
      </c>
      <c r="J395" s="1" t="s">
        <v>1548</v>
      </c>
      <c r="K395" s="1" t="s">
        <v>1600</v>
      </c>
      <c r="L395" s="1" t="s">
        <v>1718</v>
      </c>
      <c r="M395" s="1" t="s">
        <v>1766</v>
      </c>
      <c r="N395" t="s">
        <v>1975</v>
      </c>
      <c r="O395" t="s">
        <v>2164</v>
      </c>
      <c r="P395" t="s">
        <v>3076</v>
      </c>
      <c r="Q395">
        <v>45</v>
      </c>
      <c r="R395" s="1" t="s">
        <v>1839</v>
      </c>
      <c r="S395">
        <v>2857</v>
      </c>
      <c r="T395">
        <v>128565</v>
      </c>
    </row>
    <row r="396" spans="1:20" x14ac:dyDescent="0.4">
      <c r="A396" s="1" t="s">
        <v>157</v>
      </c>
      <c r="B396" s="1" t="s">
        <v>1461</v>
      </c>
      <c r="C396" s="1" t="s">
        <v>1844</v>
      </c>
      <c r="D396" s="1" t="s">
        <v>1731</v>
      </c>
      <c r="E396">
        <v>20251216</v>
      </c>
      <c r="F396" s="1" t="s">
        <v>1469</v>
      </c>
      <c r="G396">
        <v>4</v>
      </c>
      <c r="H396" s="1" t="s">
        <v>1475</v>
      </c>
      <c r="I396" t="s">
        <v>1855</v>
      </c>
      <c r="J396" s="1" t="s">
        <v>1548</v>
      </c>
      <c r="K396" s="1" t="s">
        <v>1600</v>
      </c>
      <c r="L396" s="1" t="s">
        <v>1718</v>
      </c>
      <c r="M396" s="1" t="s">
        <v>1766</v>
      </c>
      <c r="N396" t="s">
        <v>1975</v>
      </c>
      <c r="O396" t="s">
        <v>2164</v>
      </c>
      <c r="P396" t="s">
        <v>3076</v>
      </c>
      <c r="Q396">
        <v>45</v>
      </c>
      <c r="R396" s="1" t="s">
        <v>1839</v>
      </c>
      <c r="S396">
        <v>2857</v>
      </c>
      <c r="T396">
        <v>128565</v>
      </c>
    </row>
    <row r="397" spans="1:20" x14ac:dyDescent="0.4">
      <c r="A397" s="1" t="s">
        <v>157</v>
      </c>
      <c r="B397" s="1" t="s">
        <v>1462</v>
      </c>
      <c r="C397" s="1" t="s">
        <v>1844</v>
      </c>
      <c r="D397" s="1" t="s">
        <v>1731</v>
      </c>
      <c r="E397">
        <v>20251216</v>
      </c>
      <c r="F397" s="1" t="s">
        <v>1469</v>
      </c>
      <c r="G397">
        <v>4</v>
      </c>
      <c r="H397" s="1" t="s">
        <v>1475</v>
      </c>
      <c r="I397" t="s">
        <v>1855</v>
      </c>
      <c r="J397" s="1" t="s">
        <v>1548</v>
      </c>
      <c r="K397" s="1" t="s">
        <v>1600</v>
      </c>
      <c r="L397" s="1" t="s">
        <v>1718</v>
      </c>
      <c r="M397" s="1" t="s">
        <v>1766</v>
      </c>
      <c r="N397" t="s">
        <v>1975</v>
      </c>
      <c r="O397" t="s">
        <v>2164</v>
      </c>
      <c r="P397" t="s">
        <v>3076</v>
      </c>
      <c r="Q397">
        <v>45</v>
      </c>
      <c r="R397" s="1" t="s">
        <v>1839</v>
      </c>
      <c r="S397">
        <v>2857</v>
      </c>
      <c r="T397">
        <v>128565</v>
      </c>
    </row>
    <row r="398" spans="1:20" x14ac:dyDescent="0.4">
      <c r="A398" s="1" t="s">
        <v>158</v>
      </c>
      <c r="B398" s="1" t="s">
        <v>1453</v>
      </c>
      <c r="C398" s="1" t="s">
        <v>1844</v>
      </c>
      <c r="D398" s="1" t="s">
        <v>1731</v>
      </c>
      <c r="E398">
        <v>20251216</v>
      </c>
      <c r="F398" s="1" t="s">
        <v>1469</v>
      </c>
      <c r="G398">
        <v>4</v>
      </c>
      <c r="H398" s="1" t="s">
        <v>1475</v>
      </c>
      <c r="I398" t="s">
        <v>1855</v>
      </c>
      <c r="J398" s="1" t="s">
        <v>1548</v>
      </c>
      <c r="K398" s="1" t="s">
        <v>1600</v>
      </c>
      <c r="L398" s="1" t="s">
        <v>1718</v>
      </c>
      <c r="M398" s="1" t="s">
        <v>1766</v>
      </c>
      <c r="N398" t="s">
        <v>1975</v>
      </c>
      <c r="O398" t="s">
        <v>2164</v>
      </c>
      <c r="P398" t="s">
        <v>3076</v>
      </c>
      <c r="Q398">
        <v>45</v>
      </c>
      <c r="R398" s="1" t="s">
        <v>1839</v>
      </c>
      <c r="S398">
        <v>2857</v>
      </c>
      <c r="T398">
        <v>128565</v>
      </c>
    </row>
    <row r="399" spans="1:20" x14ac:dyDescent="0.4">
      <c r="A399" s="1" t="s">
        <v>158</v>
      </c>
      <c r="B399" s="1" t="s">
        <v>1454</v>
      </c>
      <c r="C399" s="1" t="s">
        <v>1844</v>
      </c>
      <c r="D399" s="1" t="s">
        <v>1731</v>
      </c>
      <c r="E399">
        <v>20251216</v>
      </c>
      <c r="F399" s="1" t="s">
        <v>1469</v>
      </c>
      <c r="G399">
        <v>4</v>
      </c>
      <c r="H399" s="1" t="s">
        <v>1475</v>
      </c>
      <c r="I399" t="s">
        <v>1855</v>
      </c>
      <c r="J399" s="1" t="s">
        <v>1548</v>
      </c>
      <c r="K399" s="1" t="s">
        <v>1600</v>
      </c>
      <c r="L399" s="1" t="s">
        <v>1718</v>
      </c>
      <c r="M399" s="1" t="s">
        <v>1766</v>
      </c>
      <c r="N399" t="s">
        <v>1975</v>
      </c>
      <c r="O399" t="s">
        <v>2164</v>
      </c>
      <c r="P399" t="s">
        <v>3076</v>
      </c>
      <c r="Q399">
        <v>45</v>
      </c>
      <c r="R399" s="1" t="s">
        <v>1839</v>
      </c>
      <c r="S399">
        <v>2857</v>
      </c>
      <c r="T399">
        <v>128565</v>
      </c>
    </row>
    <row r="400" spans="1:20" x14ac:dyDescent="0.4">
      <c r="A400" s="1" t="s">
        <v>158</v>
      </c>
      <c r="B400" s="1" t="s">
        <v>1455</v>
      </c>
      <c r="C400" s="1" t="s">
        <v>1844</v>
      </c>
      <c r="D400" s="1" t="s">
        <v>1731</v>
      </c>
      <c r="E400">
        <v>20251216</v>
      </c>
      <c r="F400" s="1" t="s">
        <v>1469</v>
      </c>
      <c r="G400">
        <v>4</v>
      </c>
      <c r="H400" s="1" t="s">
        <v>1475</v>
      </c>
      <c r="I400" t="s">
        <v>1855</v>
      </c>
      <c r="J400" s="1" t="s">
        <v>1548</v>
      </c>
      <c r="K400" s="1" t="s">
        <v>1600</v>
      </c>
      <c r="L400" s="1" t="s">
        <v>1718</v>
      </c>
      <c r="M400" s="1" t="s">
        <v>1766</v>
      </c>
      <c r="N400" t="s">
        <v>1975</v>
      </c>
      <c r="O400" t="s">
        <v>2164</v>
      </c>
      <c r="P400" t="s">
        <v>3076</v>
      </c>
      <c r="Q400">
        <v>45</v>
      </c>
      <c r="R400" s="1" t="s">
        <v>1839</v>
      </c>
      <c r="S400">
        <v>2857</v>
      </c>
      <c r="T400">
        <v>128565</v>
      </c>
    </row>
    <row r="401" spans="1:20" x14ac:dyDescent="0.4">
      <c r="A401" s="1" t="s">
        <v>158</v>
      </c>
      <c r="B401" s="1" t="s">
        <v>1456</v>
      </c>
      <c r="C401" s="1" t="s">
        <v>1844</v>
      </c>
      <c r="D401" s="1" t="s">
        <v>1731</v>
      </c>
      <c r="E401">
        <v>20251216</v>
      </c>
      <c r="F401" s="1" t="s">
        <v>1469</v>
      </c>
      <c r="G401">
        <v>4</v>
      </c>
      <c r="H401" s="1" t="s">
        <v>1475</v>
      </c>
      <c r="I401" t="s">
        <v>1855</v>
      </c>
      <c r="J401" s="1" t="s">
        <v>1548</v>
      </c>
      <c r="K401" s="1" t="s">
        <v>1600</v>
      </c>
      <c r="L401" s="1" t="s">
        <v>1718</v>
      </c>
      <c r="M401" s="1" t="s">
        <v>1766</v>
      </c>
      <c r="N401" t="s">
        <v>1975</v>
      </c>
      <c r="O401" t="s">
        <v>2164</v>
      </c>
      <c r="P401" t="s">
        <v>3076</v>
      </c>
      <c r="Q401">
        <v>45</v>
      </c>
      <c r="R401" s="1" t="s">
        <v>1839</v>
      </c>
      <c r="S401">
        <v>2857</v>
      </c>
      <c r="T401">
        <v>128565</v>
      </c>
    </row>
    <row r="402" spans="1:20" x14ac:dyDescent="0.4">
      <c r="A402" s="1" t="s">
        <v>159</v>
      </c>
      <c r="B402" s="1" t="s">
        <v>1453</v>
      </c>
      <c r="C402" s="1" t="s">
        <v>1844</v>
      </c>
      <c r="D402" s="1" t="s">
        <v>1846</v>
      </c>
      <c r="E402">
        <v>20251215</v>
      </c>
      <c r="F402" s="1" t="s">
        <v>1469</v>
      </c>
      <c r="G402">
        <v>4</v>
      </c>
      <c r="H402" s="1" t="s">
        <v>1475</v>
      </c>
      <c r="I402" t="s">
        <v>1855</v>
      </c>
      <c r="J402" s="1" t="s">
        <v>1544</v>
      </c>
      <c r="K402" s="1" t="s">
        <v>1601</v>
      </c>
      <c r="L402" s="1" t="s">
        <v>1718</v>
      </c>
      <c r="M402" s="1" t="s">
        <v>1767</v>
      </c>
      <c r="N402" t="s">
        <v>1976</v>
      </c>
      <c r="O402" t="s">
        <v>2164</v>
      </c>
      <c r="P402" t="s">
        <v>3085</v>
      </c>
      <c r="Q402">
        <v>131.04</v>
      </c>
      <c r="R402" s="1" t="s">
        <v>1839</v>
      </c>
      <c r="S402">
        <v>857</v>
      </c>
      <c r="T402">
        <v>112301</v>
      </c>
    </row>
    <row r="403" spans="1:20" x14ac:dyDescent="0.4">
      <c r="A403" s="1" t="s">
        <v>159</v>
      </c>
      <c r="B403" s="1" t="s">
        <v>1454</v>
      </c>
      <c r="C403" s="1" t="s">
        <v>1844</v>
      </c>
      <c r="D403" s="1" t="s">
        <v>1846</v>
      </c>
      <c r="E403">
        <v>20251215</v>
      </c>
      <c r="F403" s="1" t="s">
        <v>1469</v>
      </c>
      <c r="G403">
        <v>4</v>
      </c>
      <c r="H403" s="1" t="s">
        <v>1475</v>
      </c>
      <c r="I403" t="s">
        <v>1855</v>
      </c>
      <c r="J403" s="1" t="s">
        <v>1544</v>
      </c>
      <c r="K403" s="1" t="s">
        <v>1601</v>
      </c>
      <c r="L403" s="1" t="s">
        <v>1718</v>
      </c>
      <c r="M403" s="1" t="s">
        <v>1767</v>
      </c>
      <c r="N403" t="s">
        <v>1976</v>
      </c>
      <c r="O403" t="s">
        <v>2164</v>
      </c>
      <c r="P403" t="s">
        <v>3085</v>
      </c>
      <c r="Q403">
        <v>36.4</v>
      </c>
      <c r="R403" s="1" t="s">
        <v>1839</v>
      </c>
      <c r="S403">
        <v>857</v>
      </c>
      <c r="T403">
        <v>31194</v>
      </c>
    </row>
    <row r="404" spans="1:20" x14ac:dyDescent="0.4">
      <c r="A404" s="1" t="s">
        <v>159</v>
      </c>
      <c r="B404" s="1" t="s">
        <v>1455</v>
      </c>
      <c r="C404" s="1" t="s">
        <v>1844</v>
      </c>
      <c r="D404" s="1" t="s">
        <v>1846</v>
      </c>
      <c r="E404">
        <v>20251215</v>
      </c>
      <c r="F404" s="1" t="s">
        <v>1469</v>
      </c>
      <c r="G404">
        <v>4</v>
      </c>
      <c r="H404" s="1" t="s">
        <v>1475</v>
      </c>
      <c r="I404" t="s">
        <v>1855</v>
      </c>
      <c r="J404" s="1" t="s">
        <v>1544</v>
      </c>
      <c r="K404" s="1" t="s">
        <v>1601</v>
      </c>
      <c r="L404" s="1" t="s">
        <v>1718</v>
      </c>
      <c r="M404" s="1" t="s">
        <v>1767</v>
      </c>
      <c r="N404" t="s">
        <v>1976</v>
      </c>
      <c r="O404" t="s">
        <v>2164</v>
      </c>
      <c r="P404" t="s">
        <v>3085</v>
      </c>
      <c r="Q404">
        <v>36.4</v>
      </c>
      <c r="R404" s="1" t="s">
        <v>1839</v>
      </c>
      <c r="S404">
        <v>857</v>
      </c>
      <c r="T404">
        <v>31194</v>
      </c>
    </row>
    <row r="405" spans="1:20" x14ac:dyDescent="0.4">
      <c r="A405" s="1" t="s">
        <v>159</v>
      </c>
      <c r="B405" s="1" t="s">
        <v>1456</v>
      </c>
      <c r="C405" s="1" t="s">
        <v>1844</v>
      </c>
      <c r="D405" s="1" t="s">
        <v>1846</v>
      </c>
      <c r="E405">
        <v>20251215</v>
      </c>
      <c r="F405" s="1" t="s">
        <v>1469</v>
      </c>
      <c r="G405">
        <v>4</v>
      </c>
      <c r="H405" s="1" t="s">
        <v>1475</v>
      </c>
      <c r="I405" t="s">
        <v>1855</v>
      </c>
      <c r="J405" s="1" t="s">
        <v>1544</v>
      </c>
      <c r="K405" s="1" t="s">
        <v>1601</v>
      </c>
      <c r="L405" s="1" t="s">
        <v>1718</v>
      </c>
      <c r="M405" s="1" t="s">
        <v>1767</v>
      </c>
      <c r="N405" t="s">
        <v>1976</v>
      </c>
      <c r="O405" t="s">
        <v>2164</v>
      </c>
      <c r="P405" t="s">
        <v>3085</v>
      </c>
      <c r="Q405">
        <v>21.84</v>
      </c>
      <c r="R405" s="1" t="s">
        <v>1839</v>
      </c>
      <c r="S405">
        <v>857</v>
      </c>
      <c r="T405">
        <v>18716</v>
      </c>
    </row>
    <row r="406" spans="1:20" x14ac:dyDescent="0.4">
      <c r="A406" s="1" t="s">
        <v>159</v>
      </c>
      <c r="B406" s="1" t="s">
        <v>1457</v>
      </c>
      <c r="C406" s="1" t="s">
        <v>1844</v>
      </c>
      <c r="D406" s="1" t="s">
        <v>1846</v>
      </c>
      <c r="E406">
        <v>20251215</v>
      </c>
      <c r="F406" s="1" t="s">
        <v>1469</v>
      </c>
      <c r="G406">
        <v>4</v>
      </c>
      <c r="H406" s="1" t="s">
        <v>1475</v>
      </c>
      <c r="I406" t="s">
        <v>1855</v>
      </c>
      <c r="J406" s="1" t="s">
        <v>1544</v>
      </c>
      <c r="K406" s="1" t="s">
        <v>1601</v>
      </c>
      <c r="L406" s="1" t="s">
        <v>1718</v>
      </c>
      <c r="M406" s="1" t="s">
        <v>1767</v>
      </c>
      <c r="N406" t="s">
        <v>1976</v>
      </c>
      <c r="O406" t="s">
        <v>2164</v>
      </c>
      <c r="P406" t="s">
        <v>3085</v>
      </c>
      <c r="Q406">
        <v>21.84</v>
      </c>
      <c r="R406" s="1" t="s">
        <v>1839</v>
      </c>
      <c r="S406">
        <v>857</v>
      </c>
      <c r="T406">
        <v>18716</v>
      </c>
    </row>
    <row r="407" spans="1:20" x14ac:dyDescent="0.4">
      <c r="A407" s="1" t="s">
        <v>159</v>
      </c>
      <c r="B407" s="1" t="s">
        <v>1458</v>
      </c>
      <c r="C407" s="1" t="s">
        <v>1844</v>
      </c>
      <c r="D407" s="1" t="s">
        <v>1846</v>
      </c>
      <c r="E407">
        <v>20251215</v>
      </c>
      <c r="F407" s="1" t="s">
        <v>1469</v>
      </c>
      <c r="G407">
        <v>4</v>
      </c>
      <c r="H407" s="1" t="s">
        <v>1475</v>
      </c>
      <c r="I407" t="s">
        <v>1855</v>
      </c>
      <c r="J407" s="1" t="s">
        <v>1544</v>
      </c>
      <c r="K407" s="1" t="s">
        <v>1601</v>
      </c>
      <c r="L407" s="1" t="s">
        <v>1718</v>
      </c>
      <c r="M407" s="1" t="s">
        <v>1767</v>
      </c>
      <c r="N407" t="s">
        <v>1976</v>
      </c>
      <c r="O407" t="s">
        <v>2164</v>
      </c>
      <c r="P407" t="s">
        <v>3085</v>
      </c>
      <c r="Q407">
        <v>131.04</v>
      </c>
      <c r="R407" s="1" t="s">
        <v>1839</v>
      </c>
      <c r="S407">
        <v>857</v>
      </c>
      <c r="T407">
        <v>112301</v>
      </c>
    </row>
    <row r="408" spans="1:20" x14ac:dyDescent="0.4">
      <c r="A408" s="1" t="s">
        <v>159</v>
      </c>
      <c r="B408" s="1" t="s">
        <v>1459</v>
      </c>
      <c r="C408" s="1" t="s">
        <v>1844</v>
      </c>
      <c r="D408" s="1" t="s">
        <v>1846</v>
      </c>
      <c r="E408">
        <v>20251215</v>
      </c>
      <c r="F408" s="1" t="s">
        <v>1469</v>
      </c>
      <c r="G408">
        <v>4</v>
      </c>
      <c r="H408" s="1" t="s">
        <v>1475</v>
      </c>
      <c r="I408" t="s">
        <v>1855</v>
      </c>
      <c r="J408" s="1" t="s">
        <v>1544</v>
      </c>
      <c r="K408" s="1" t="s">
        <v>1601</v>
      </c>
      <c r="L408" s="1" t="s">
        <v>1718</v>
      </c>
      <c r="M408" s="1" t="s">
        <v>1767</v>
      </c>
      <c r="N408" t="s">
        <v>1976</v>
      </c>
      <c r="O408" t="s">
        <v>2164</v>
      </c>
      <c r="P408" t="s">
        <v>3085</v>
      </c>
      <c r="Q408">
        <v>115.75</v>
      </c>
      <c r="R408" s="1" t="s">
        <v>1839</v>
      </c>
      <c r="S408">
        <v>857</v>
      </c>
      <c r="T408">
        <v>99197</v>
      </c>
    </row>
    <row r="409" spans="1:20" x14ac:dyDescent="0.4">
      <c r="A409" s="1" t="s">
        <v>159</v>
      </c>
      <c r="B409" s="1" t="s">
        <v>1460</v>
      </c>
      <c r="C409" s="1" t="s">
        <v>1844</v>
      </c>
      <c r="D409" s="1" t="s">
        <v>1846</v>
      </c>
      <c r="E409">
        <v>20251215</v>
      </c>
      <c r="F409" s="1" t="s">
        <v>1469</v>
      </c>
      <c r="G409">
        <v>4</v>
      </c>
      <c r="H409" s="1" t="s">
        <v>1475</v>
      </c>
      <c r="I409" t="s">
        <v>1855</v>
      </c>
      <c r="J409" s="1" t="s">
        <v>1544</v>
      </c>
      <c r="K409" s="1" t="s">
        <v>1601</v>
      </c>
      <c r="L409" s="1" t="s">
        <v>1718</v>
      </c>
      <c r="M409" s="1" t="s">
        <v>1767</v>
      </c>
      <c r="N409" t="s">
        <v>1976</v>
      </c>
      <c r="O409" t="s">
        <v>2164</v>
      </c>
      <c r="P409" t="s">
        <v>3085</v>
      </c>
      <c r="Q409">
        <v>141.96</v>
      </c>
      <c r="R409" s="1" t="s">
        <v>1839</v>
      </c>
      <c r="S409">
        <v>857</v>
      </c>
      <c r="T409">
        <v>121659</v>
      </c>
    </row>
    <row r="410" spans="1:20" x14ac:dyDescent="0.4">
      <c r="A410" s="1" t="s">
        <v>159</v>
      </c>
      <c r="B410" s="1" t="s">
        <v>1461</v>
      </c>
      <c r="C410" s="1" t="s">
        <v>1844</v>
      </c>
      <c r="D410" s="1" t="s">
        <v>1846</v>
      </c>
      <c r="E410">
        <v>20251215</v>
      </c>
      <c r="F410" s="1" t="s">
        <v>1469</v>
      </c>
      <c r="G410">
        <v>4</v>
      </c>
      <c r="H410" s="1" t="s">
        <v>1475</v>
      </c>
      <c r="I410" t="s">
        <v>1855</v>
      </c>
      <c r="J410" s="1" t="s">
        <v>1544</v>
      </c>
      <c r="K410" s="1" t="s">
        <v>1601</v>
      </c>
      <c r="L410" s="1" t="s">
        <v>1718</v>
      </c>
      <c r="M410" s="1" t="s">
        <v>1767</v>
      </c>
      <c r="N410" t="s">
        <v>1976</v>
      </c>
      <c r="O410" t="s">
        <v>2164</v>
      </c>
      <c r="P410" t="s">
        <v>3085</v>
      </c>
      <c r="Q410">
        <v>121.94</v>
      </c>
      <c r="R410" s="1" t="s">
        <v>1839</v>
      </c>
      <c r="S410">
        <v>857</v>
      </c>
      <c r="T410">
        <v>104502</v>
      </c>
    </row>
    <row r="411" spans="1:20" x14ac:dyDescent="0.4">
      <c r="A411" s="1" t="s">
        <v>159</v>
      </c>
      <c r="B411" s="1" t="s">
        <v>1462</v>
      </c>
      <c r="C411" s="1" t="s">
        <v>1844</v>
      </c>
      <c r="D411" s="1" t="s">
        <v>1846</v>
      </c>
      <c r="E411">
        <v>20251215</v>
      </c>
      <c r="F411" s="1" t="s">
        <v>1469</v>
      </c>
      <c r="G411">
        <v>4</v>
      </c>
      <c r="H411" s="1" t="s">
        <v>1475</v>
      </c>
      <c r="I411" t="s">
        <v>1855</v>
      </c>
      <c r="J411" s="1" t="s">
        <v>1544</v>
      </c>
      <c r="K411" s="1" t="s">
        <v>1601</v>
      </c>
      <c r="L411" s="1" t="s">
        <v>1718</v>
      </c>
      <c r="M411" s="1" t="s">
        <v>1767</v>
      </c>
      <c r="N411" t="s">
        <v>1976</v>
      </c>
      <c r="O411" t="s">
        <v>2164</v>
      </c>
      <c r="P411" t="s">
        <v>3085</v>
      </c>
      <c r="Q411">
        <v>134.68</v>
      </c>
      <c r="R411" s="1" t="s">
        <v>1839</v>
      </c>
      <c r="S411">
        <v>857</v>
      </c>
      <c r="T411">
        <v>115420</v>
      </c>
    </row>
    <row r="412" spans="1:20" x14ac:dyDescent="0.4">
      <c r="A412" s="1" t="s">
        <v>160</v>
      </c>
      <c r="B412" s="1" t="s">
        <v>1453</v>
      </c>
      <c r="C412" s="1" t="s">
        <v>1844</v>
      </c>
      <c r="D412" s="1" t="s">
        <v>1846</v>
      </c>
      <c r="E412">
        <v>20251215</v>
      </c>
      <c r="F412" s="1" t="s">
        <v>1469</v>
      </c>
      <c r="G412">
        <v>4</v>
      </c>
      <c r="H412" s="1" t="s">
        <v>1475</v>
      </c>
      <c r="I412" t="s">
        <v>1855</v>
      </c>
      <c r="J412" s="1" t="s">
        <v>1544</v>
      </c>
      <c r="K412" s="1" t="s">
        <v>1601</v>
      </c>
      <c r="L412" s="1" t="s">
        <v>1718</v>
      </c>
      <c r="M412" s="1" t="s">
        <v>1767</v>
      </c>
      <c r="N412" t="s">
        <v>1976</v>
      </c>
      <c r="O412" t="s">
        <v>2164</v>
      </c>
      <c r="P412" t="s">
        <v>3085</v>
      </c>
      <c r="Q412">
        <v>134.68</v>
      </c>
      <c r="R412" s="1" t="s">
        <v>1839</v>
      </c>
      <c r="S412">
        <v>857</v>
      </c>
      <c r="T412">
        <v>115420</v>
      </c>
    </row>
    <row r="413" spans="1:20" x14ac:dyDescent="0.4">
      <c r="A413" s="1" t="s">
        <v>160</v>
      </c>
      <c r="B413" s="1" t="s">
        <v>1454</v>
      </c>
      <c r="C413" s="1" t="s">
        <v>1844</v>
      </c>
      <c r="D413" s="1" t="s">
        <v>1846</v>
      </c>
      <c r="E413">
        <v>20251215</v>
      </c>
      <c r="F413" s="1" t="s">
        <v>1469</v>
      </c>
      <c r="G413">
        <v>4</v>
      </c>
      <c r="H413" s="1" t="s">
        <v>1475</v>
      </c>
      <c r="I413" t="s">
        <v>1855</v>
      </c>
      <c r="J413" s="1" t="s">
        <v>1544</v>
      </c>
      <c r="K413" s="1" t="s">
        <v>1601</v>
      </c>
      <c r="L413" s="1" t="s">
        <v>1718</v>
      </c>
      <c r="M413" s="1" t="s">
        <v>1767</v>
      </c>
      <c r="N413" t="s">
        <v>1976</v>
      </c>
      <c r="O413" t="s">
        <v>2164</v>
      </c>
      <c r="P413" t="s">
        <v>3085</v>
      </c>
      <c r="Q413">
        <v>147.05000000000001</v>
      </c>
      <c r="R413" s="1" t="s">
        <v>1839</v>
      </c>
      <c r="S413">
        <v>857</v>
      </c>
      <c r="T413">
        <v>126021</v>
      </c>
    </row>
    <row r="414" spans="1:20" x14ac:dyDescent="0.4">
      <c r="A414" s="1" t="s">
        <v>160</v>
      </c>
      <c r="B414" s="1" t="s">
        <v>1455</v>
      </c>
      <c r="C414" s="1" t="s">
        <v>1844</v>
      </c>
      <c r="D414" s="1" t="s">
        <v>1846</v>
      </c>
      <c r="E414">
        <v>20251215</v>
      </c>
      <c r="F414" s="1" t="s">
        <v>1469</v>
      </c>
      <c r="G414">
        <v>4</v>
      </c>
      <c r="H414" s="1" t="s">
        <v>1475</v>
      </c>
      <c r="I414" t="s">
        <v>1855</v>
      </c>
      <c r="J414" s="1" t="s">
        <v>1544</v>
      </c>
      <c r="K414" s="1" t="s">
        <v>1601</v>
      </c>
      <c r="L414" s="1" t="s">
        <v>1718</v>
      </c>
      <c r="M414" s="1" t="s">
        <v>1767</v>
      </c>
      <c r="N414" t="s">
        <v>1976</v>
      </c>
      <c r="O414" t="s">
        <v>2164</v>
      </c>
      <c r="P414" t="s">
        <v>3085</v>
      </c>
      <c r="Q414">
        <v>75.709999999999994</v>
      </c>
      <c r="R414" s="1" t="s">
        <v>1839</v>
      </c>
      <c r="S414">
        <v>857</v>
      </c>
      <c r="T414">
        <v>64883</v>
      </c>
    </row>
    <row r="415" spans="1:20" x14ac:dyDescent="0.4">
      <c r="A415" s="1" t="s">
        <v>160</v>
      </c>
      <c r="B415" s="1" t="s">
        <v>1456</v>
      </c>
      <c r="C415" s="1" t="s">
        <v>1844</v>
      </c>
      <c r="D415" s="1" t="s">
        <v>1846</v>
      </c>
      <c r="E415">
        <v>20251215</v>
      </c>
      <c r="F415" s="1" t="s">
        <v>1469</v>
      </c>
      <c r="G415">
        <v>4</v>
      </c>
      <c r="H415" s="1" t="s">
        <v>1475</v>
      </c>
      <c r="I415" t="s">
        <v>1855</v>
      </c>
      <c r="J415" s="1" t="s">
        <v>1544</v>
      </c>
      <c r="K415" s="1" t="s">
        <v>1601</v>
      </c>
      <c r="L415" s="1" t="s">
        <v>1718</v>
      </c>
      <c r="M415" s="1" t="s">
        <v>1767</v>
      </c>
      <c r="N415" t="s">
        <v>1976</v>
      </c>
      <c r="O415" t="s">
        <v>2164</v>
      </c>
      <c r="P415" t="s">
        <v>3085</v>
      </c>
      <c r="Q415">
        <v>134.68</v>
      </c>
      <c r="R415" s="1" t="s">
        <v>1839</v>
      </c>
      <c r="S415">
        <v>857</v>
      </c>
      <c r="T415">
        <v>115420</v>
      </c>
    </row>
    <row r="416" spans="1:20" x14ac:dyDescent="0.4">
      <c r="A416" s="1" t="s">
        <v>160</v>
      </c>
      <c r="B416" s="1" t="s">
        <v>1457</v>
      </c>
      <c r="C416" s="1" t="s">
        <v>1844</v>
      </c>
      <c r="D416" s="1" t="s">
        <v>1846</v>
      </c>
      <c r="E416">
        <v>20251215</v>
      </c>
      <c r="F416" s="1" t="s">
        <v>1469</v>
      </c>
      <c r="G416">
        <v>4</v>
      </c>
      <c r="H416" s="1" t="s">
        <v>1475</v>
      </c>
      <c r="I416" t="s">
        <v>1855</v>
      </c>
      <c r="J416" s="1" t="s">
        <v>1544</v>
      </c>
      <c r="K416" s="1" t="s">
        <v>1601</v>
      </c>
      <c r="L416" s="1" t="s">
        <v>1718</v>
      </c>
      <c r="M416" s="1" t="s">
        <v>1767</v>
      </c>
      <c r="N416" t="s">
        <v>1976</v>
      </c>
      <c r="O416" t="s">
        <v>2164</v>
      </c>
      <c r="P416" t="s">
        <v>3085</v>
      </c>
      <c r="Q416">
        <v>153.97</v>
      </c>
      <c r="R416" s="1" t="s">
        <v>1839</v>
      </c>
      <c r="S416">
        <v>857</v>
      </c>
      <c r="T416">
        <v>131952</v>
      </c>
    </row>
    <row r="417" spans="1:20" x14ac:dyDescent="0.4">
      <c r="A417" s="1" t="s">
        <v>160</v>
      </c>
      <c r="B417" s="1" t="s">
        <v>1458</v>
      </c>
      <c r="C417" s="1" t="s">
        <v>1844</v>
      </c>
      <c r="D417" s="1" t="s">
        <v>1846</v>
      </c>
      <c r="E417">
        <v>20251215</v>
      </c>
      <c r="F417" s="1" t="s">
        <v>1469</v>
      </c>
      <c r="G417">
        <v>4</v>
      </c>
      <c r="H417" s="1" t="s">
        <v>1475</v>
      </c>
      <c r="I417" t="s">
        <v>1855</v>
      </c>
      <c r="J417" s="1" t="s">
        <v>1544</v>
      </c>
      <c r="K417" s="1" t="s">
        <v>1601</v>
      </c>
      <c r="L417" s="1" t="s">
        <v>1718</v>
      </c>
      <c r="M417" s="1" t="s">
        <v>1767</v>
      </c>
      <c r="N417" t="s">
        <v>1976</v>
      </c>
      <c r="O417" t="s">
        <v>2164</v>
      </c>
      <c r="P417" t="s">
        <v>3085</v>
      </c>
      <c r="Q417">
        <v>140.86000000000001</v>
      </c>
      <c r="R417" s="1" t="s">
        <v>1839</v>
      </c>
      <c r="S417">
        <v>857</v>
      </c>
      <c r="T417">
        <v>120717</v>
      </c>
    </row>
    <row r="418" spans="1:20" x14ac:dyDescent="0.4">
      <c r="A418" s="1" t="s">
        <v>160</v>
      </c>
      <c r="B418" s="1" t="s">
        <v>1459</v>
      </c>
      <c r="C418" s="1" t="s">
        <v>1844</v>
      </c>
      <c r="D418" s="1" t="s">
        <v>1846</v>
      </c>
      <c r="E418">
        <v>20251215</v>
      </c>
      <c r="F418" s="1" t="s">
        <v>1469</v>
      </c>
      <c r="G418">
        <v>4</v>
      </c>
      <c r="H418" s="1" t="s">
        <v>1475</v>
      </c>
      <c r="I418" t="s">
        <v>1855</v>
      </c>
      <c r="J418" s="1" t="s">
        <v>1544</v>
      </c>
      <c r="K418" s="1" t="s">
        <v>1601</v>
      </c>
      <c r="L418" s="1" t="s">
        <v>1718</v>
      </c>
      <c r="M418" s="1" t="s">
        <v>1767</v>
      </c>
      <c r="N418" t="s">
        <v>1976</v>
      </c>
      <c r="O418" t="s">
        <v>2164</v>
      </c>
      <c r="P418" t="s">
        <v>3085</v>
      </c>
      <c r="Q418">
        <v>76.44</v>
      </c>
      <c r="R418" s="1" t="s">
        <v>1839</v>
      </c>
      <c r="S418">
        <v>857</v>
      </c>
      <c r="T418">
        <v>65509</v>
      </c>
    </row>
    <row r="419" spans="1:20" x14ac:dyDescent="0.4">
      <c r="A419" s="1" t="s">
        <v>160</v>
      </c>
      <c r="B419" s="1" t="s">
        <v>1460</v>
      </c>
      <c r="C419" s="1" t="s">
        <v>1844</v>
      </c>
      <c r="D419" s="1" t="s">
        <v>1846</v>
      </c>
      <c r="E419">
        <v>20251215</v>
      </c>
      <c r="F419" s="1" t="s">
        <v>1469</v>
      </c>
      <c r="G419">
        <v>4</v>
      </c>
      <c r="H419" s="1" t="s">
        <v>1475</v>
      </c>
      <c r="I419" t="s">
        <v>1855</v>
      </c>
      <c r="J419" s="1" t="s">
        <v>1544</v>
      </c>
      <c r="K419" s="1" t="s">
        <v>1601</v>
      </c>
      <c r="L419" s="1" t="s">
        <v>1718</v>
      </c>
      <c r="M419" s="1" t="s">
        <v>1767</v>
      </c>
      <c r="N419" t="s">
        <v>1976</v>
      </c>
      <c r="O419" t="s">
        <v>2164</v>
      </c>
      <c r="P419" t="s">
        <v>3085</v>
      </c>
      <c r="Q419">
        <v>127.4</v>
      </c>
      <c r="R419" s="1" t="s">
        <v>1839</v>
      </c>
      <c r="S419">
        <v>857</v>
      </c>
      <c r="T419">
        <v>109181</v>
      </c>
    </row>
    <row r="420" spans="1:20" x14ac:dyDescent="0.4">
      <c r="A420" s="1" t="s">
        <v>160</v>
      </c>
      <c r="B420" s="1" t="s">
        <v>1461</v>
      </c>
      <c r="C420" s="1" t="s">
        <v>1844</v>
      </c>
      <c r="D420" s="1" t="s">
        <v>1846</v>
      </c>
      <c r="E420">
        <v>20251215</v>
      </c>
      <c r="F420" s="1" t="s">
        <v>1469</v>
      </c>
      <c r="G420">
        <v>4</v>
      </c>
      <c r="H420" s="1" t="s">
        <v>1475</v>
      </c>
      <c r="I420" t="s">
        <v>1855</v>
      </c>
      <c r="J420" s="1" t="s">
        <v>1544</v>
      </c>
      <c r="K420" s="1" t="s">
        <v>1601</v>
      </c>
      <c r="L420" s="1" t="s">
        <v>1718</v>
      </c>
      <c r="M420" s="1" t="s">
        <v>1767</v>
      </c>
      <c r="N420" t="s">
        <v>1976</v>
      </c>
      <c r="O420" t="s">
        <v>2164</v>
      </c>
      <c r="P420" t="s">
        <v>3085</v>
      </c>
      <c r="Q420">
        <v>127.4</v>
      </c>
      <c r="R420" s="1" t="s">
        <v>1839</v>
      </c>
      <c r="S420">
        <v>857</v>
      </c>
      <c r="T420">
        <v>109181</v>
      </c>
    </row>
    <row r="421" spans="1:20" x14ac:dyDescent="0.4">
      <c r="A421" s="1" t="s">
        <v>160</v>
      </c>
      <c r="B421" s="1" t="s">
        <v>1462</v>
      </c>
      <c r="C421" s="1" t="s">
        <v>1844</v>
      </c>
      <c r="D421" s="1" t="s">
        <v>1846</v>
      </c>
      <c r="E421">
        <v>20251215</v>
      </c>
      <c r="F421" s="1" t="s">
        <v>1469</v>
      </c>
      <c r="G421">
        <v>4</v>
      </c>
      <c r="H421" s="1" t="s">
        <v>1475</v>
      </c>
      <c r="I421" t="s">
        <v>1855</v>
      </c>
      <c r="J421" s="1" t="s">
        <v>1544</v>
      </c>
      <c r="K421" s="1" t="s">
        <v>1601</v>
      </c>
      <c r="L421" s="1" t="s">
        <v>1718</v>
      </c>
      <c r="M421" s="1" t="s">
        <v>1767</v>
      </c>
      <c r="N421" t="s">
        <v>1976</v>
      </c>
      <c r="O421" t="s">
        <v>2164</v>
      </c>
      <c r="P421" t="s">
        <v>3085</v>
      </c>
      <c r="Q421">
        <v>127.4</v>
      </c>
      <c r="R421" s="1" t="s">
        <v>1839</v>
      </c>
      <c r="S421">
        <v>857</v>
      </c>
      <c r="T421">
        <v>109181</v>
      </c>
    </row>
    <row r="422" spans="1:20" x14ac:dyDescent="0.4">
      <c r="A422" s="1" t="s">
        <v>160</v>
      </c>
      <c r="B422" s="1" t="s">
        <v>1463</v>
      </c>
      <c r="C422" s="1" t="s">
        <v>1844</v>
      </c>
      <c r="D422" s="1" t="s">
        <v>1846</v>
      </c>
      <c r="E422">
        <v>20251215</v>
      </c>
      <c r="F422" s="1" t="s">
        <v>1469</v>
      </c>
      <c r="G422">
        <v>4</v>
      </c>
      <c r="H422" s="1" t="s">
        <v>1475</v>
      </c>
      <c r="I422" t="s">
        <v>1855</v>
      </c>
      <c r="J422" s="1" t="s">
        <v>1544</v>
      </c>
      <c r="K422" s="1" t="s">
        <v>1601</v>
      </c>
      <c r="L422" s="1" t="s">
        <v>1718</v>
      </c>
      <c r="M422" s="1" t="s">
        <v>1767</v>
      </c>
      <c r="N422" t="s">
        <v>1976</v>
      </c>
      <c r="O422" t="s">
        <v>2164</v>
      </c>
      <c r="P422" t="s">
        <v>3085</v>
      </c>
      <c r="Q422">
        <v>126.67</v>
      </c>
      <c r="R422" s="1" t="s">
        <v>1839</v>
      </c>
      <c r="S422">
        <v>857</v>
      </c>
      <c r="T422">
        <v>108556</v>
      </c>
    </row>
    <row r="423" spans="1:20" x14ac:dyDescent="0.4">
      <c r="A423" s="1" t="s">
        <v>161</v>
      </c>
      <c r="B423" s="1" t="s">
        <v>1453</v>
      </c>
      <c r="C423" s="1" t="s">
        <v>1844</v>
      </c>
      <c r="D423" s="1" t="s">
        <v>1846</v>
      </c>
      <c r="E423">
        <v>20251215</v>
      </c>
      <c r="F423" s="1" t="s">
        <v>1469</v>
      </c>
      <c r="G423">
        <v>4</v>
      </c>
      <c r="H423" s="1" t="s">
        <v>1475</v>
      </c>
      <c r="I423" t="s">
        <v>1855</v>
      </c>
      <c r="J423" s="1" t="s">
        <v>1544</v>
      </c>
      <c r="K423" s="1" t="s">
        <v>1601</v>
      </c>
      <c r="L423" s="1" t="s">
        <v>1718</v>
      </c>
      <c r="M423" s="1" t="s">
        <v>1767</v>
      </c>
      <c r="N423" t="s">
        <v>1976</v>
      </c>
      <c r="O423" t="s">
        <v>2164</v>
      </c>
      <c r="P423" t="s">
        <v>3085</v>
      </c>
      <c r="Q423">
        <v>134.68</v>
      </c>
      <c r="R423" s="1" t="s">
        <v>1839</v>
      </c>
      <c r="S423">
        <v>857</v>
      </c>
      <c r="T423">
        <v>115420</v>
      </c>
    </row>
    <row r="424" spans="1:20" x14ac:dyDescent="0.4">
      <c r="A424" s="1" t="s">
        <v>161</v>
      </c>
      <c r="B424" s="1" t="s">
        <v>1454</v>
      </c>
      <c r="C424" s="1" t="s">
        <v>1844</v>
      </c>
      <c r="D424" s="1" t="s">
        <v>1846</v>
      </c>
      <c r="E424">
        <v>20251215</v>
      </c>
      <c r="F424" s="1" t="s">
        <v>1469</v>
      </c>
      <c r="G424">
        <v>4</v>
      </c>
      <c r="H424" s="1" t="s">
        <v>1475</v>
      </c>
      <c r="I424" t="s">
        <v>1855</v>
      </c>
      <c r="J424" s="1" t="s">
        <v>1544</v>
      </c>
      <c r="K424" s="1" t="s">
        <v>1601</v>
      </c>
      <c r="L424" s="1" t="s">
        <v>1718</v>
      </c>
      <c r="M424" s="1" t="s">
        <v>1767</v>
      </c>
      <c r="N424" t="s">
        <v>1976</v>
      </c>
      <c r="O424" t="s">
        <v>2164</v>
      </c>
      <c r="P424" t="s">
        <v>3085</v>
      </c>
      <c r="Q424">
        <v>134.68</v>
      </c>
      <c r="R424" s="1" t="s">
        <v>1839</v>
      </c>
      <c r="S424">
        <v>857</v>
      </c>
      <c r="T424">
        <v>115420</v>
      </c>
    </row>
    <row r="425" spans="1:20" x14ac:dyDescent="0.4">
      <c r="A425" s="1" t="s">
        <v>161</v>
      </c>
      <c r="B425" s="1" t="s">
        <v>1455</v>
      </c>
      <c r="C425" s="1" t="s">
        <v>1844</v>
      </c>
      <c r="D425" s="1" t="s">
        <v>1846</v>
      </c>
      <c r="E425">
        <v>20251215</v>
      </c>
      <c r="F425" s="1" t="s">
        <v>1469</v>
      </c>
      <c r="G425">
        <v>4</v>
      </c>
      <c r="H425" s="1" t="s">
        <v>1475</v>
      </c>
      <c r="I425" t="s">
        <v>1855</v>
      </c>
      <c r="J425" s="1" t="s">
        <v>1544</v>
      </c>
      <c r="K425" s="1" t="s">
        <v>1601</v>
      </c>
      <c r="L425" s="1" t="s">
        <v>1718</v>
      </c>
      <c r="M425" s="1" t="s">
        <v>1767</v>
      </c>
      <c r="N425" t="s">
        <v>1976</v>
      </c>
      <c r="O425" t="s">
        <v>2164</v>
      </c>
      <c r="P425" t="s">
        <v>3085</v>
      </c>
      <c r="Q425">
        <v>91</v>
      </c>
      <c r="R425" s="1" t="s">
        <v>1839</v>
      </c>
      <c r="S425">
        <v>857</v>
      </c>
      <c r="T425">
        <v>77987</v>
      </c>
    </row>
    <row r="426" spans="1:20" x14ac:dyDescent="0.4">
      <c r="A426" s="1" t="s">
        <v>161</v>
      </c>
      <c r="B426" s="1" t="s">
        <v>1456</v>
      </c>
      <c r="C426" s="1" t="s">
        <v>1844</v>
      </c>
      <c r="D426" s="1" t="s">
        <v>1846</v>
      </c>
      <c r="E426">
        <v>20251215</v>
      </c>
      <c r="F426" s="1" t="s">
        <v>1469</v>
      </c>
      <c r="G426">
        <v>4</v>
      </c>
      <c r="H426" s="1" t="s">
        <v>1475</v>
      </c>
      <c r="I426" t="s">
        <v>1855</v>
      </c>
      <c r="J426" s="1" t="s">
        <v>1544</v>
      </c>
      <c r="K426" s="1" t="s">
        <v>1601</v>
      </c>
      <c r="L426" s="1" t="s">
        <v>1718</v>
      </c>
      <c r="M426" s="1" t="s">
        <v>1767</v>
      </c>
      <c r="N426" t="s">
        <v>1976</v>
      </c>
      <c r="O426" t="s">
        <v>2164</v>
      </c>
      <c r="P426" t="s">
        <v>3085</v>
      </c>
      <c r="Q426">
        <v>53.14</v>
      </c>
      <c r="R426" s="1" t="s">
        <v>1839</v>
      </c>
      <c r="S426">
        <v>857</v>
      </c>
      <c r="T426">
        <v>45540</v>
      </c>
    </row>
    <row r="427" spans="1:20" x14ac:dyDescent="0.4">
      <c r="A427" s="1" t="s">
        <v>161</v>
      </c>
      <c r="B427" s="1" t="s">
        <v>1457</v>
      </c>
      <c r="C427" s="1" t="s">
        <v>1844</v>
      </c>
      <c r="D427" s="1" t="s">
        <v>1846</v>
      </c>
      <c r="E427">
        <v>20251215</v>
      </c>
      <c r="F427" s="1" t="s">
        <v>1469</v>
      </c>
      <c r="G427">
        <v>4</v>
      </c>
      <c r="H427" s="1" t="s">
        <v>1475</v>
      </c>
      <c r="I427" t="s">
        <v>1855</v>
      </c>
      <c r="J427" s="1" t="s">
        <v>1544</v>
      </c>
      <c r="K427" s="1" t="s">
        <v>1601</v>
      </c>
      <c r="L427" s="1" t="s">
        <v>1718</v>
      </c>
      <c r="M427" s="1" t="s">
        <v>1767</v>
      </c>
      <c r="N427" t="s">
        <v>1976</v>
      </c>
      <c r="O427" t="s">
        <v>2164</v>
      </c>
      <c r="P427" t="s">
        <v>3085</v>
      </c>
      <c r="Q427">
        <v>116.48</v>
      </c>
      <c r="R427" s="1" t="s">
        <v>1839</v>
      </c>
      <c r="S427">
        <v>857</v>
      </c>
      <c r="T427">
        <v>99823</v>
      </c>
    </row>
    <row r="428" spans="1:20" x14ac:dyDescent="0.4">
      <c r="A428" s="1" t="s">
        <v>161</v>
      </c>
      <c r="B428" s="1" t="s">
        <v>1458</v>
      </c>
      <c r="C428" s="1" t="s">
        <v>1844</v>
      </c>
      <c r="D428" s="1" t="s">
        <v>1846</v>
      </c>
      <c r="E428">
        <v>20251215</v>
      </c>
      <c r="F428" s="1" t="s">
        <v>1469</v>
      </c>
      <c r="G428">
        <v>4</v>
      </c>
      <c r="H428" s="1" t="s">
        <v>1475</v>
      </c>
      <c r="I428" t="s">
        <v>1855</v>
      </c>
      <c r="J428" s="1" t="s">
        <v>1544</v>
      </c>
      <c r="K428" s="1" t="s">
        <v>1601</v>
      </c>
      <c r="L428" s="1" t="s">
        <v>1718</v>
      </c>
      <c r="M428" s="1" t="s">
        <v>1767</v>
      </c>
      <c r="N428" t="s">
        <v>1976</v>
      </c>
      <c r="O428" t="s">
        <v>2164</v>
      </c>
      <c r="P428" t="s">
        <v>3085</v>
      </c>
      <c r="Q428">
        <v>116.48</v>
      </c>
      <c r="R428" s="1" t="s">
        <v>1839</v>
      </c>
      <c r="S428">
        <v>857</v>
      </c>
      <c r="T428">
        <v>99823</v>
      </c>
    </row>
    <row r="429" spans="1:20" x14ac:dyDescent="0.4">
      <c r="A429" s="1" t="s">
        <v>161</v>
      </c>
      <c r="B429" s="1" t="s">
        <v>1459</v>
      </c>
      <c r="C429" s="1" t="s">
        <v>1844</v>
      </c>
      <c r="D429" s="1" t="s">
        <v>1846</v>
      </c>
      <c r="E429">
        <v>20251215</v>
      </c>
      <c r="F429" s="1" t="s">
        <v>1469</v>
      </c>
      <c r="G429">
        <v>4</v>
      </c>
      <c r="H429" s="1" t="s">
        <v>1475</v>
      </c>
      <c r="I429" t="s">
        <v>1855</v>
      </c>
      <c r="J429" s="1" t="s">
        <v>1544</v>
      </c>
      <c r="K429" s="1" t="s">
        <v>1601</v>
      </c>
      <c r="L429" s="1" t="s">
        <v>1718</v>
      </c>
      <c r="M429" s="1" t="s">
        <v>1767</v>
      </c>
      <c r="N429" t="s">
        <v>1976</v>
      </c>
      <c r="O429" t="s">
        <v>2164</v>
      </c>
      <c r="P429" t="s">
        <v>3085</v>
      </c>
      <c r="Q429">
        <v>97.55</v>
      </c>
      <c r="R429" s="1" t="s">
        <v>1839</v>
      </c>
      <c r="S429">
        <v>857</v>
      </c>
      <c r="T429">
        <v>83600</v>
      </c>
    </row>
    <row r="430" spans="1:20" x14ac:dyDescent="0.4">
      <c r="A430" s="1" t="s">
        <v>162</v>
      </c>
      <c r="B430" s="1" t="s">
        <v>1453</v>
      </c>
      <c r="C430" s="1" t="s">
        <v>1844</v>
      </c>
      <c r="D430" s="1" t="s">
        <v>1846</v>
      </c>
      <c r="E430">
        <v>20251216</v>
      </c>
      <c r="F430" s="1" t="s">
        <v>1469</v>
      </c>
      <c r="G430">
        <v>4</v>
      </c>
      <c r="H430" s="1" t="s">
        <v>1475</v>
      </c>
      <c r="I430" t="s">
        <v>1855</v>
      </c>
      <c r="J430" s="1" t="s">
        <v>1544</v>
      </c>
      <c r="K430" s="1" t="s">
        <v>1601</v>
      </c>
      <c r="L430" s="1" t="s">
        <v>1718</v>
      </c>
      <c r="M430" s="1" t="s">
        <v>1767</v>
      </c>
      <c r="N430" t="s">
        <v>1976</v>
      </c>
      <c r="O430" t="s">
        <v>2164</v>
      </c>
      <c r="P430" t="s">
        <v>3085</v>
      </c>
      <c r="Q430">
        <v>141.96</v>
      </c>
      <c r="R430" s="1" t="s">
        <v>1839</v>
      </c>
      <c r="S430">
        <v>857</v>
      </c>
      <c r="T430">
        <v>121659</v>
      </c>
    </row>
    <row r="431" spans="1:20" x14ac:dyDescent="0.4">
      <c r="A431" s="1" t="s">
        <v>162</v>
      </c>
      <c r="B431" s="1" t="s">
        <v>1454</v>
      </c>
      <c r="C431" s="1" t="s">
        <v>1844</v>
      </c>
      <c r="D431" s="1" t="s">
        <v>1846</v>
      </c>
      <c r="E431">
        <v>20251216</v>
      </c>
      <c r="F431" s="1" t="s">
        <v>1469</v>
      </c>
      <c r="G431">
        <v>4</v>
      </c>
      <c r="H431" s="1" t="s">
        <v>1475</v>
      </c>
      <c r="I431" t="s">
        <v>1855</v>
      </c>
      <c r="J431" s="1" t="s">
        <v>1544</v>
      </c>
      <c r="K431" s="1" t="s">
        <v>1601</v>
      </c>
      <c r="L431" s="1" t="s">
        <v>1718</v>
      </c>
      <c r="M431" s="1" t="s">
        <v>1767</v>
      </c>
      <c r="N431" t="s">
        <v>1976</v>
      </c>
      <c r="O431" t="s">
        <v>2164</v>
      </c>
      <c r="P431" t="s">
        <v>3085</v>
      </c>
      <c r="Q431">
        <v>141.96</v>
      </c>
      <c r="R431" s="1" t="s">
        <v>1839</v>
      </c>
      <c r="S431">
        <v>857</v>
      </c>
      <c r="T431">
        <v>121659</v>
      </c>
    </row>
    <row r="432" spans="1:20" x14ac:dyDescent="0.4">
      <c r="A432" s="1" t="s">
        <v>162</v>
      </c>
      <c r="B432" s="1" t="s">
        <v>1455</v>
      </c>
      <c r="C432" s="1" t="s">
        <v>1844</v>
      </c>
      <c r="D432" s="1" t="s">
        <v>1846</v>
      </c>
      <c r="E432">
        <v>20251216</v>
      </c>
      <c r="F432" s="1" t="s">
        <v>1469</v>
      </c>
      <c r="G432">
        <v>4</v>
      </c>
      <c r="H432" s="1" t="s">
        <v>1475</v>
      </c>
      <c r="I432" t="s">
        <v>1855</v>
      </c>
      <c r="J432" s="1" t="s">
        <v>1544</v>
      </c>
      <c r="K432" s="1" t="s">
        <v>1601</v>
      </c>
      <c r="L432" s="1" t="s">
        <v>1718</v>
      </c>
      <c r="M432" s="1" t="s">
        <v>1767</v>
      </c>
      <c r="N432" t="s">
        <v>1976</v>
      </c>
      <c r="O432" t="s">
        <v>2164</v>
      </c>
      <c r="P432" t="s">
        <v>3085</v>
      </c>
      <c r="Q432">
        <v>141.96</v>
      </c>
      <c r="R432" s="1" t="s">
        <v>1839</v>
      </c>
      <c r="S432">
        <v>857</v>
      </c>
      <c r="T432">
        <v>121659</v>
      </c>
    </row>
    <row r="433" spans="1:20" x14ac:dyDescent="0.4">
      <c r="A433" s="1" t="s">
        <v>162</v>
      </c>
      <c r="B433" s="1" t="s">
        <v>1456</v>
      </c>
      <c r="C433" s="1" t="s">
        <v>1844</v>
      </c>
      <c r="D433" s="1" t="s">
        <v>1846</v>
      </c>
      <c r="E433">
        <v>20251216</v>
      </c>
      <c r="F433" s="1" t="s">
        <v>1469</v>
      </c>
      <c r="G433">
        <v>4</v>
      </c>
      <c r="H433" s="1" t="s">
        <v>1475</v>
      </c>
      <c r="I433" t="s">
        <v>1855</v>
      </c>
      <c r="J433" s="1" t="s">
        <v>1544</v>
      </c>
      <c r="K433" s="1" t="s">
        <v>1601</v>
      </c>
      <c r="L433" s="1" t="s">
        <v>1718</v>
      </c>
      <c r="M433" s="1" t="s">
        <v>1767</v>
      </c>
      <c r="N433" t="s">
        <v>1976</v>
      </c>
      <c r="O433" t="s">
        <v>2164</v>
      </c>
      <c r="P433" t="s">
        <v>3085</v>
      </c>
      <c r="Q433">
        <v>141.96</v>
      </c>
      <c r="R433" s="1" t="s">
        <v>1839</v>
      </c>
      <c r="S433">
        <v>857</v>
      </c>
      <c r="T433">
        <v>121659</v>
      </c>
    </row>
    <row r="434" spans="1:20" x14ac:dyDescent="0.4">
      <c r="A434" s="1" t="s">
        <v>162</v>
      </c>
      <c r="B434" s="1" t="s">
        <v>1457</v>
      </c>
      <c r="C434" s="1" t="s">
        <v>1844</v>
      </c>
      <c r="D434" s="1" t="s">
        <v>1846</v>
      </c>
      <c r="E434">
        <v>20251216</v>
      </c>
      <c r="F434" s="1" t="s">
        <v>1469</v>
      </c>
      <c r="G434">
        <v>4</v>
      </c>
      <c r="H434" s="1" t="s">
        <v>1475</v>
      </c>
      <c r="I434" t="s">
        <v>1855</v>
      </c>
      <c r="J434" s="1" t="s">
        <v>1544</v>
      </c>
      <c r="K434" s="1" t="s">
        <v>1601</v>
      </c>
      <c r="L434" s="1" t="s">
        <v>1718</v>
      </c>
      <c r="M434" s="1" t="s">
        <v>1767</v>
      </c>
      <c r="N434" t="s">
        <v>1976</v>
      </c>
      <c r="O434" t="s">
        <v>2164</v>
      </c>
      <c r="P434" t="s">
        <v>3085</v>
      </c>
      <c r="Q434">
        <v>143.05000000000001</v>
      </c>
      <c r="R434" s="1" t="s">
        <v>1839</v>
      </c>
      <c r="S434">
        <v>857</v>
      </c>
      <c r="T434">
        <v>122593</v>
      </c>
    </row>
    <row r="435" spans="1:20" x14ac:dyDescent="0.4">
      <c r="A435" s="1" t="s">
        <v>163</v>
      </c>
      <c r="B435" s="1" t="s">
        <v>1453</v>
      </c>
      <c r="C435" s="1" t="s">
        <v>1844</v>
      </c>
      <c r="D435" s="1" t="s">
        <v>1731</v>
      </c>
      <c r="E435">
        <v>20251216</v>
      </c>
      <c r="F435" s="1" t="s">
        <v>1469</v>
      </c>
      <c r="G435">
        <v>4</v>
      </c>
      <c r="H435" s="1" t="s">
        <v>1475</v>
      </c>
      <c r="I435" t="s">
        <v>1855</v>
      </c>
      <c r="J435" s="1" t="s">
        <v>1545</v>
      </c>
      <c r="K435" s="1" t="s">
        <v>1592</v>
      </c>
      <c r="L435" s="1" t="s">
        <v>1719</v>
      </c>
      <c r="M435" s="1" t="s">
        <v>1761</v>
      </c>
      <c r="N435" t="s">
        <v>1967</v>
      </c>
      <c r="O435" t="s">
        <v>2165</v>
      </c>
      <c r="P435" t="s">
        <v>3076</v>
      </c>
      <c r="Q435">
        <v>32.76</v>
      </c>
      <c r="R435" s="1" t="s">
        <v>1839</v>
      </c>
      <c r="S435">
        <v>2809</v>
      </c>
      <c r="T435">
        <v>92022</v>
      </c>
    </row>
    <row r="436" spans="1:20" x14ac:dyDescent="0.4">
      <c r="A436" s="1" t="s">
        <v>164</v>
      </c>
      <c r="B436" s="1" t="s">
        <v>1453</v>
      </c>
      <c r="C436" s="1" t="s">
        <v>1844</v>
      </c>
      <c r="D436" s="1" t="s">
        <v>1846</v>
      </c>
      <c r="E436">
        <v>20251216</v>
      </c>
      <c r="F436" s="1" t="s">
        <v>1469</v>
      </c>
      <c r="G436">
        <v>4</v>
      </c>
      <c r="H436" s="1" t="s">
        <v>1475</v>
      </c>
      <c r="I436" t="s">
        <v>1855</v>
      </c>
      <c r="J436" s="1" t="s">
        <v>1544</v>
      </c>
      <c r="K436" s="1" t="s">
        <v>1596</v>
      </c>
      <c r="L436" s="1" t="s">
        <v>1718</v>
      </c>
      <c r="M436" s="1" t="s">
        <v>1764</v>
      </c>
      <c r="N436" t="s">
        <v>1971</v>
      </c>
      <c r="O436" t="s">
        <v>2164</v>
      </c>
      <c r="P436" t="s">
        <v>3082</v>
      </c>
      <c r="Q436">
        <v>138.32</v>
      </c>
      <c r="R436" s="1" t="s">
        <v>1839</v>
      </c>
      <c r="S436">
        <v>1195</v>
      </c>
      <c r="T436">
        <v>165292</v>
      </c>
    </row>
    <row r="437" spans="1:20" x14ac:dyDescent="0.4">
      <c r="A437" s="1" t="s">
        <v>164</v>
      </c>
      <c r="B437" s="1" t="s">
        <v>1454</v>
      </c>
      <c r="C437" s="1" t="s">
        <v>1844</v>
      </c>
      <c r="D437" s="1" t="s">
        <v>1846</v>
      </c>
      <c r="E437">
        <v>20251216</v>
      </c>
      <c r="F437" s="1" t="s">
        <v>1469</v>
      </c>
      <c r="G437">
        <v>4</v>
      </c>
      <c r="H437" s="1" t="s">
        <v>1475</v>
      </c>
      <c r="I437" t="s">
        <v>1855</v>
      </c>
      <c r="J437" s="1" t="s">
        <v>1544</v>
      </c>
      <c r="K437" s="1" t="s">
        <v>1596</v>
      </c>
      <c r="L437" s="1" t="s">
        <v>1718</v>
      </c>
      <c r="M437" s="1" t="s">
        <v>1764</v>
      </c>
      <c r="N437" t="s">
        <v>1971</v>
      </c>
      <c r="O437" t="s">
        <v>2164</v>
      </c>
      <c r="P437" t="s">
        <v>3082</v>
      </c>
      <c r="Q437">
        <v>138.32</v>
      </c>
      <c r="R437" s="1" t="s">
        <v>1839</v>
      </c>
      <c r="S437">
        <v>1195</v>
      </c>
      <c r="T437">
        <v>165292</v>
      </c>
    </row>
    <row r="438" spans="1:20" x14ac:dyDescent="0.4">
      <c r="A438" s="1" t="s">
        <v>164</v>
      </c>
      <c r="B438" s="1" t="s">
        <v>1455</v>
      </c>
      <c r="C438" s="1" t="s">
        <v>1844</v>
      </c>
      <c r="D438" s="1" t="s">
        <v>1846</v>
      </c>
      <c r="E438">
        <v>20251216</v>
      </c>
      <c r="F438" s="1" t="s">
        <v>1469</v>
      </c>
      <c r="G438">
        <v>4</v>
      </c>
      <c r="H438" s="1" t="s">
        <v>1475</v>
      </c>
      <c r="I438" t="s">
        <v>1855</v>
      </c>
      <c r="J438" s="1" t="s">
        <v>1544</v>
      </c>
      <c r="K438" s="1" t="s">
        <v>1596</v>
      </c>
      <c r="L438" s="1" t="s">
        <v>1718</v>
      </c>
      <c r="M438" s="1" t="s">
        <v>1764</v>
      </c>
      <c r="N438" t="s">
        <v>1971</v>
      </c>
      <c r="O438" t="s">
        <v>2164</v>
      </c>
      <c r="P438" t="s">
        <v>3082</v>
      </c>
      <c r="Q438">
        <v>138.32</v>
      </c>
      <c r="R438" s="1" t="s">
        <v>1839</v>
      </c>
      <c r="S438">
        <v>1195</v>
      </c>
      <c r="T438">
        <v>165292</v>
      </c>
    </row>
    <row r="439" spans="1:20" x14ac:dyDescent="0.4">
      <c r="A439" s="1" t="s">
        <v>164</v>
      </c>
      <c r="B439" s="1" t="s">
        <v>1456</v>
      </c>
      <c r="C439" s="1" t="s">
        <v>1844</v>
      </c>
      <c r="D439" s="1" t="s">
        <v>1846</v>
      </c>
      <c r="E439">
        <v>20251216</v>
      </c>
      <c r="F439" s="1" t="s">
        <v>1469</v>
      </c>
      <c r="G439">
        <v>4</v>
      </c>
      <c r="H439" s="1" t="s">
        <v>1475</v>
      </c>
      <c r="I439" t="s">
        <v>1855</v>
      </c>
      <c r="J439" s="1" t="s">
        <v>1544</v>
      </c>
      <c r="K439" s="1" t="s">
        <v>1596</v>
      </c>
      <c r="L439" s="1" t="s">
        <v>1718</v>
      </c>
      <c r="M439" s="1" t="s">
        <v>1764</v>
      </c>
      <c r="N439" t="s">
        <v>1971</v>
      </c>
      <c r="O439" t="s">
        <v>2164</v>
      </c>
      <c r="P439" t="s">
        <v>3082</v>
      </c>
      <c r="Q439">
        <v>120.84</v>
      </c>
      <c r="R439" s="1" t="s">
        <v>1839</v>
      </c>
      <c r="S439">
        <v>1195</v>
      </c>
      <c r="T439">
        <v>144403</v>
      </c>
    </row>
    <row r="440" spans="1:20" x14ac:dyDescent="0.4">
      <c r="A440" s="1" t="s">
        <v>164</v>
      </c>
      <c r="B440" s="1" t="s">
        <v>1457</v>
      </c>
      <c r="C440" s="1" t="s">
        <v>1844</v>
      </c>
      <c r="D440" s="1" t="s">
        <v>1846</v>
      </c>
      <c r="E440">
        <v>20251216</v>
      </c>
      <c r="F440" s="1" t="s">
        <v>1469</v>
      </c>
      <c r="G440">
        <v>4</v>
      </c>
      <c r="H440" s="1" t="s">
        <v>1475</v>
      </c>
      <c r="I440" t="s">
        <v>1855</v>
      </c>
      <c r="J440" s="1" t="s">
        <v>1544</v>
      </c>
      <c r="K440" s="1" t="s">
        <v>1596</v>
      </c>
      <c r="L440" s="1" t="s">
        <v>1718</v>
      </c>
      <c r="M440" s="1" t="s">
        <v>1764</v>
      </c>
      <c r="N440" t="s">
        <v>1971</v>
      </c>
      <c r="O440" t="s">
        <v>2164</v>
      </c>
      <c r="P440" t="s">
        <v>3082</v>
      </c>
      <c r="Q440">
        <v>145.6</v>
      </c>
      <c r="R440" s="1" t="s">
        <v>1839</v>
      </c>
      <c r="S440">
        <v>1195</v>
      </c>
      <c r="T440">
        <v>173992</v>
      </c>
    </row>
    <row r="441" spans="1:20" x14ac:dyDescent="0.4">
      <c r="A441" s="1" t="s">
        <v>164</v>
      </c>
      <c r="B441" s="1" t="s">
        <v>1458</v>
      </c>
      <c r="C441" s="1" t="s">
        <v>1844</v>
      </c>
      <c r="D441" s="1" t="s">
        <v>1846</v>
      </c>
      <c r="E441">
        <v>20251216</v>
      </c>
      <c r="F441" s="1" t="s">
        <v>1469</v>
      </c>
      <c r="G441">
        <v>4</v>
      </c>
      <c r="H441" s="1" t="s">
        <v>1475</v>
      </c>
      <c r="I441" t="s">
        <v>1855</v>
      </c>
      <c r="J441" s="1" t="s">
        <v>1544</v>
      </c>
      <c r="K441" s="1" t="s">
        <v>1596</v>
      </c>
      <c r="L441" s="1" t="s">
        <v>1718</v>
      </c>
      <c r="M441" s="1" t="s">
        <v>1764</v>
      </c>
      <c r="N441" t="s">
        <v>1971</v>
      </c>
      <c r="O441" t="s">
        <v>2164</v>
      </c>
      <c r="P441" t="s">
        <v>3082</v>
      </c>
      <c r="Q441">
        <v>145.6</v>
      </c>
      <c r="R441" s="1" t="s">
        <v>1839</v>
      </c>
      <c r="S441">
        <v>1195</v>
      </c>
      <c r="T441">
        <v>173992</v>
      </c>
    </row>
    <row r="442" spans="1:20" x14ac:dyDescent="0.4">
      <c r="A442" s="1" t="s">
        <v>164</v>
      </c>
      <c r="B442" s="1" t="s">
        <v>1459</v>
      </c>
      <c r="C442" s="1" t="s">
        <v>1844</v>
      </c>
      <c r="D442" s="1" t="s">
        <v>1846</v>
      </c>
      <c r="E442">
        <v>20251216</v>
      </c>
      <c r="F442" s="1" t="s">
        <v>1469</v>
      </c>
      <c r="G442">
        <v>4</v>
      </c>
      <c r="H442" s="1" t="s">
        <v>1475</v>
      </c>
      <c r="I442" t="s">
        <v>1855</v>
      </c>
      <c r="J442" s="1" t="s">
        <v>1544</v>
      </c>
      <c r="K442" s="1" t="s">
        <v>1596</v>
      </c>
      <c r="L442" s="1" t="s">
        <v>1718</v>
      </c>
      <c r="M442" s="1" t="s">
        <v>1764</v>
      </c>
      <c r="N442" t="s">
        <v>1971</v>
      </c>
      <c r="O442" t="s">
        <v>2164</v>
      </c>
      <c r="P442" t="s">
        <v>3082</v>
      </c>
      <c r="Q442">
        <v>143.78</v>
      </c>
      <c r="R442" s="1" t="s">
        <v>1839</v>
      </c>
      <c r="S442">
        <v>1195</v>
      </c>
      <c r="T442">
        <v>171817</v>
      </c>
    </row>
    <row r="443" spans="1:20" x14ac:dyDescent="0.4">
      <c r="A443" s="1" t="s">
        <v>165</v>
      </c>
      <c r="B443" s="1" t="s">
        <v>1453</v>
      </c>
      <c r="C443" s="1" t="s">
        <v>1844</v>
      </c>
      <c r="D443" s="1" t="s">
        <v>1846</v>
      </c>
      <c r="E443">
        <v>20251216</v>
      </c>
      <c r="F443" s="1" t="s">
        <v>1469</v>
      </c>
      <c r="G443">
        <v>4</v>
      </c>
      <c r="H443" s="1" t="s">
        <v>1475</v>
      </c>
      <c r="I443" t="s">
        <v>1855</v>
      </c>
      <c r="J443" s="1" t="s">
        <v>1544</v>
      </c>
      <c r="K443" s="1" t="s">
        <v>1596</v>
      </c>
      <c r="L443" s="1" t="s">
        <v>1718</v>
      </c>
      <c r="M443" s="1" t="s">
        <v>1764</v>
      </c>
      <c r="N443" t="s">
        <v>1971</v>
      </c>
      <c r="O443" t="s">
        <v>2164</v>
      </c>
      <c r="P443" t="s">
        <v>3082</v>
      </c>
      <c r="Q443">
        <v>109.2</v>
      </c>
      <c r="R443" s="1" t="s">
        <v>1839</v>
      </c>
      <c r="S443">
        <v>1195</v>
      </c>
      <c r="T443">
        <v>130494</v>
      </c>
    </row>
    <row r="444" spans="1:20" x14ac:dyDescent="0.4">
      <c r="A444" s="1" t="s">
        <v>165</v>
      </c>
      <c r="B444" s="1" t="s">
        <v>1454</v>
      </c>
      <c r="C444" s="1" t="s">
        <v>1844</v>
      </c>
      <c r="D444" s="1" t="s">
        <v>1846</v>
      </c>
      <c r="E444">
        <v>20251216</v>
      </c>
      <c r="F444" s="1" t="s">
        <v>1469</v>
      </c>
      <c r="G444">
        <v>4</v>
      </c>
      <c r="H444" s="1" t="s">
        <v>1475</v>
      </c>
      <c r="I444" t="s">
        <v>1855</v>
      </c>
      <c r="J444" s="1" t="s">
        <v>1544</v>
      </c>
      <c r="K444" s="1" t="s">
        <v>1596</v>
      </c>
      <c r="L444" s="1" t="s">
        <v>1718</v>
      </c>
      <c r="M444" s="1" t="s">
        <v>1764</v>
      </c>
      <c r="N444" t="s">
        <v>1971</v>
      </c>
      <c r="O444" t="s">
        <v>2164</v>
      </c>
      <c r="P444" t="s">
        <v>3082</v>
      </c>
      <c r="Q444">
        <v>112.84</v>
      </c>
      <c r="R444" s="1" t="s">
        <v>1839</v>
      </c>
      <c r="S444">
        <v>1195</v>
      </c>
      <c r="T444">
        <v>134843</v>
      </c>
    </row>
    <row r="445" spans="1:20" x14ac:dyDescent="0.4">
      <c r="A445" s="1" t="s">
        <v>165</v>
      </c>
      <c r="B445" s="1" t="s">
        <v>1455</v>
      </c>
      <c r="C445" s="1" t="s">
        <v>1844</v>
      </c>
      <c r="D445" s="1" t="s">
        <v>1846</v>
      </c>
      <c r="E445">
        <v>20251216</v>
      </c>
      <c r="F445" s="1" t="s">
        <v>1469</v>
      </c>
      <c r="G445">
        <v>4</v>
      </c>
      <c r="H445" s="1" t="s">
        <v>1475</v>
      </c>
      <c r="I445" t="s">
        <v>1855</v>
      </c>
      <c r="J445" s="1" t="s">
        <v>1544</v>
      </c>
      <c r="K445" s="1" t="s">
        <v>1596</v>
      </c>
      <c r="L445" s="1" t="s">
        <v>1718</v>
      </c>
      <c r="M445" s="1" t="s">
        <v>1764</v>
      </c>
      <c r="N445" t="s">
        <v>1971</v>
      </c>
      <c r="O445" t="s">
        <v>2164</v>
      </c>
      <c r="P445" t="s">
        <v>3082</v>
      </c>
      <c r="Q445">
        <v>145.6</v>
      </c>
      <c r="R445" s="1" t="s">
        <v>1839</v>
      </c>
      <c r="S445">
        <v>1195</v>
      </c>
      <c r="T445">
        <v>173992</v>
      </c>
    </row>
    <row r="446" spans="1:20" x14ac:dyDescent="0.4">
      <c r="A446" s="1" t="s">
        <v>165</v>
      </c>
      <c r="B446" s="1" t="s">
        <v>1456</v>
      </c>
      <c r="C446" s="1" t="s">
        <v>1844</v>
      </c>
      <c r="D446" s="1" t="s">
        <v>1846</v>
      </c>
      <c r="E446">
        <v>20251216</v>
      </c>
      <c r="F446" s="1" t="s">
        <v>1469</v>
      </c>
      <c r="G446">
        <v>4</v>
      </c>
      <c r="H446" s="1" t="s">
        <v>1475</v>
      </c>
      <c r="I446" t="s">
        <v>1855</v>
      </c>
      <c r="J446" s="1" t="s">
        <v>1544</v>
      </c>
      <c r="K446" s="1" t="s">
        <v>1596</v>
      </c>
      <c r="L446" s="1" t="s">
        <v>1718</v>
      </c>
      <c r="M446" s="1" t="s">
        <v>1764</v>
      </c>
      <c r="N446" t="s">
        <v>1971</v>
      </c>
      <c r="O446" t="s">
        <v>2164</v>
      </c>
      <c r="P446" t="s">
        <v>3082</v>
      </c>
      <c r="Q446">
        <v>139.41</v>
      </c>
      <c r="R446" s="1" t="s">
        <v>1839</v>
      </c>
      <c r="S446">
        <v>1195</v>
      </c>
      <c r="T446">
        <v>166594</v>
      </c>
    </row>
    <row r="447" spans="1:20" x14ac:dyDescent="0.4">
      <c r="A447" s="1" t="s">
        <v>165</v>
      </c>
      <c r="B447" s="1" t="s">
        <v>1457</v>
      </c>
      <c r="C447" s="1" t="s">
        <v>1844</v>
      </c>
      <c r="D447" s="1" t="s">
        <v>1846</v>
      </c>
      <c r="E447">
        <v>20251216</v>
      </c>
      <c r="F447" s="1" t="s">
        <v>1469</v>
      </c>
      <c r="G447">
        <v>4</v>
      </c>
      <c r="H447" s="1" t="s">
        <v>1475</v>
      </c>
      <c r="I447" t="s">
        <v>1855</v>
      </c>
      <c r="J447" s="1" t="s">
        <v>1544</v>
      </c>
      <c r="K447" s="1" t="s">
        <v>1596</v>
      </c>
      <c r="L447" s="1" t="s">
        <v>1718</v>
      </c>
      <c r="M447" s="1" t="s">
        <v>1764</v>
      </c>
      <c r="N447" t="s">
        <v>1971</v>
      </c>
      <c r="O447" t="s">
        <v>2164</v>
      </c>
      <c r="P447" t="s">
        <v>3082</v>
      </c>
      <c r="Q447">
        <v>140.5</v>
      </c>
      <c r="R447" s="1" t="s">
        <v>1839</v>
      </c>
      <c r="S447">
        <v>1195</v>
      </c>
      <c r="T447">
        <v>167897</v>
      </c>
    </row>
    <row r="448" spans="1:20" x14ac:dyDescent="0.4">
      <c r="A448" s="1" t="s">
        <v>166</v>
      </c>
      <c r="B448" s="1" t="s">
        <v>1453</v>
      </c>
      <c r="C448" s="1" t="s">
        <v>1844</v>
      </c>
      <c r="D448" s="1" t="s">
        <v>1731</v>
      </c>
      <c r="E448">
        <v>20251216</v>
      </c>
      <c r="F448" s="1" t="s">
        <v>1469</v>
      </c>
      <c r="G448">
        <v>4</v>
      </c>
      <c r="H448" s="1" t="s">
        <v>1475</v>
      </c>
      <c r="I448" t="s">
        <v>1855</v>
      </c>
      <c r="J448" s="1" t="s">
        <v>1546</v>
      </c>
      <c r="K448" s="1" t="s">
        <v>1602</v>
      </c>
      <c r="L448" s="1" t="s">
        <v>1723</v>
      </c>
      <c r="M448" s="1" t="s">
        <v>1737</v>
      </c>
      <c r="N448" t="s">
        <v>1977</v>
      </c>
      <c r="O448" t="s">
        <v>2169</v>
      </c>
      <c r="P448" t="s">
        <v>3086</v>
      </c>
      <c r="Q448">
        <v>50.7</v>
      </c>
      <c r="R448" s="1" t="s">
        <v>1840</v>
      </c>
      <c r="S448">
        <v>992</v>
      </c>
      <c r="T448">
        <v>50294</v>
      </c>
    </row>
    <row r="449" spans="1:20" x14ac:dyDescent="0.4">
      <c r="A449" s="1" t="s">
        <v>166</v>
      </c>
      <c r="B449" s="1" t="s">
        <v>1454</v>
      </c>
      <c r="C449" s="1" t="s">
        <v>1844</v>
      </c>
      <c r="D449" s="1" t="s">
        <v>1731</v>
      </c>
      <c r="E449">
        <v>20251216</v>
      </c>
      <c r="F449" s="1" t="s">
        <v>1469</v>
      </c>
      <c r="G449">
        <v>4</v>
      </c>
      <c r="H449" s="1" t="s">
        <v>1475</v>
      </c>
      <c r="I449" t="s">
        <v>1855</v>
      </c>
      <c r="J449" s="1" t="s">
        <v>1546</v>
      </c>
      <c r="K449" s="1" t="s">
        <v>1602</v>
      </c>
      <c r="L449" s="1" t="s">
        <v>1723</v>
      </c>
      <c r="M449" s="1" t="s">
        <v>1737</v>
      </c>
      <c r="N449" t="s">
        <v>1977</v>
      </c>
      <c r="O449" t="s">
        <v>2169</v>
      </c>
      <c r="P449" t="s">
        <v>3087</v>
      </c>
      <c r="Q449">
        <v>52.9</v>
      </c>
      <c r="R449" s="1" t="s">
        <v>1840</v>
      </c>
      <c r="S449">
        <v>992</v>
      </c>
      <c r="T449">
        <v>52476</v>
      </c>
    </row>
    <row r="450" spans="1:20" x14ac:dyDescent="0.4">
      <c r="A450" s="1" t="s">
        <v>166</v>
      </c>
      <c r="B450" s="1" t="s">
        <v>1455</v>
      </c>
      <c r="C450" s="1" t="s">
        <v>1844</v>
      </c>
      <c r="D450" s="1" t="s">
        <v>1731</v>
      </c>
      <c r="E450">
        <v>20251216</v>
      </c>
      <c r="F450" s="1" t="s">
        <v>1469</v>
      </c>
      <c r="G450">
        <v>4</v>
      </c>
      <c r="H450" s="1" t="s">
        <v>1475</v>
      </c>
      <c r="I450" t="s">
        <v>1855</v>
      </c>
      <c r="J450" s="1" t="s">
        <v>1546</v>
      </c>
      <c r="K450" s="1" t="s">
        <v>1602</v>
      </c>
      <c r="L450" s="1" t="s">
        <v>1723</v>
      </c>
      <c r="M450" s="1" t="s">
        <v>1737</v>
      </c>
      <c r="N450" t="s">
        <v>1977</v>
      </c>
      <c r="O450" t="s">
        <v>2169</v>
      </c>
      <c r="P450" t="s">
        <v>3088</v>
      </c>
      <c r="Q450">
        <v>50.2</v>
      </c>
      <c r="R450" s="1" t="s">
        <v>1840</v>
      </c>
      <c r="S450">
        <v>992</v>
      </c>
      <c r="T450">
        <v>49798</v>
      </c>
    </row>
    <row r="451" spans="1:20" x14ac:dyDescent="0.4">
      <c r="A451" s="1" t="s">
        <v>166</v>
      </c>
      <c r="B451" s="1" t="s">
        <v>1456</v>
      </c>
      <c r="C451" s="1" t="s">
        <v>1844</v>
      </c>
      <c r="D451" s="1" t="s">
        <v>1731</v>
      </c>
      <c r="E451">
        <v>20251216</v>
      </c>
      <c r="F451" s="1" t="s">
        <v>1469</v>
      </c>
      <c r="G451">
        <v>4</v>
      </c>
      <c r="H451" s="1" t="s">
        <v>1475</v>
      </c>
      <c r="I451" t="s">
        <v>1855</v>
      </c>
      <c r="J451" s="1" t="s">
        <v>1546</v>
      </c>
      <c r="K451" s="1" t="s">
        <v>1602</v>
      </c>
      <c r="L451" s="1" t="s">
        <v>1723</v>
      </c>
      <c r="M451" s="1" t="s">
        <v>1737</v>
      </c>
      <c r="N451" t="s">
        <v>1977</v>
      </c>
      <c r="O451" t="s">
        <v>2169</v>
      </c>
      <c r="P451" t="s">
        <v>3089</v>
      </c>
      <c r="Q451">
        <v>52.8</v>
      </c>
      <c r="R451" s="1" t="s">
        <v>1840</v>
      </c>
      <c r="S451">
        <v>992</v>
      </c>
      <c r="T451">
        <v>52377</v>
      </c>
    </row>
    <row r="452" spans="1:20" x14ac:dyDescent="0.4">
      <c r="A452" s="1" t="s">
        <v>167</v>
      </c>
      <c r="B452" s="1" t="s">
        <v>1453</v>
      </c>
      <c r="C452" s="1" t="s">
        <v>1844</v>
      </c>
      <c r="D452" s="1" t="s">
        <v>1731</v>
      </c>
      <c r="E452">
        <v>20251217</v>
      </c>
      <c r="F452" s="1" t="s">
        <v>1469</v>
      </c>
      <c r="G452">
        <v>4</v>
      </c>
      <c r="H452" s="1" t="s">
        <v>1475</v>
      </c>
      <c r="I452" t="s">
        <v>1855</v>
      </c>
      <c r="J452" s="1" t="s">
        <v>1545</v>
      </c>
      <c r="K452" s="1" t="s">
        <v>1603</v>
      </c>
      <c r="L452" s="1" t="s">
        <v>1719</v>
      </c>
      <c r="M452" s="1" t="s">
        <v>1762</v>
      </c>
      <c r="N452" t="s">
        <v>1978</v>
      </c>
      <c r="O452" t="s">
        <v>2165</v>
      </c>
      <c r="P452" t="s">
        <v>3077</v>
      </c>
      <c r="Q452">
        <v>231.5</v>
      </c>
      <c r="R452" s="1" t="s">
        <v>1839</v>
      </c>
      <c r="S452">
        <v>5950</v>
      </c>
      <c r="T452">
        <v>1377425</v>
      </c>
    </row>
    <row r="453" spans="1:20" x14ac:dyDescent="0.4">
      <c r="A453" s="1" t="s">
        <v>168</v>
      </c>
      <c r="B453" s="1" t="s">
        <v>1453</v>
      </c>
      <c r="C453" s="1" t="s">
        <v>1844</v>
      </c>
      <c r="D453" s="1" t="s">
        <v>1846</v>
      </c>
      <c r="E453">
        <v>20251217</v>
      </c>
      <c r="F453" s="1" t="s">
        <v>1469</v>
      </c>
      <c r="G453">
        <v>4</v>
      </c>
      <c r="H453" s="1" t="s">
        <v>1475</v>
      </c>
      <c r="I453" t="s">
        <v>1855</v>
      </c>
      <c r="J453" s="1" t="s">
        <v>1548</v>
      </c>
      <c r="K453" s="1" t="s">
        <v>1604</v>
      </c>
      <c r="L453" s="1" t="s">
        <v>1718</v>
      </c>
      <c r="M453" s="1" t="s">
        <v>1737</v>
      </c>
      <c r="N453" t="s">
        <v>1979</v>
      </c>
      <c r="O453" t="s">
        <v>2164</v>
      </c>
      <c r="P453" t="s">
        <v>3090</v>
      </c>
      <c r="Q453">
        <v>57</v>
      </c>
      <c r="R453" s="1" t="s">
        <v>1839</v>
      </c>
      <c r="S453">
        <v>366</v>
      </c>
      <c r="T453">
        <v>20862</v>
      </c>
    </row>
    <row r="454" spans="1:20" x14ac:dyDescent="0.4">
      <c r="A454" s="1" t="s">
        <v>168</v>
      </c>
      <c r="B454" s="1" t="s">
        <v>1454</v>
      </c>
      <c r="C454" s="1" t="s">
        <v>1844</v>
      </c>
      <c r="D454" s="1" t="s">
        <v>1846</v>
      </c>
      <c r="E454">
        <v>20251217</v>
      </c>
      <c r="F454" s="1" t="s">
        <v>1469</v>
      </c>
      <c r="G454">
        <v>4</v>
      </c>
      <c r="H454" s="1" t="s">
        <v>1475</v>
      </c>
      <c r="I454" t="s">
        <v>1855</v>
      </c>
      <c r="J454" s="1" t="s">
        <v>1548</v>
      </c>
      <c r="K454" s="1" t="s">
        <v>1604</v>
      </c>
      <c r="L454" s="1" t="s">
        <v>1718</v>
      </c>
      <c r="M454" s="1" t="s">
        <v>1737</v>
      </c>
      <c r="N454" t="s">
        <v>1979</v>
      </c>
      <c r="O454" t="s">
        <v>2164</v>
      </c>
      <c r="P454" t="s">
        <v>3090</v>
      </c>
      <c r="Q454">
        <v>57</v>
      </c>
      <c r="R454" s="1" t="s">
        <v>1839</v>
      </c>
      <c r="S454">
        <v>366</v>
      </c>
      <c r="T454">
        <v>20862</v>
      </c>
    </row>
    <row r="455" spans="1:20" x14ac:dyDescent="0.4">
      <c r="A455" s="1" t="s">
        <v>168</v>
      </c>
      <c r="B455" s="1" t="s">
        <v>1455</v>
      </c>
      <c r="C455" s="1" t="s">
        <v>1844</v>
      </c>
      <c r="D455" s="1" t="s">
        <v>1846</v>
      </c>
      <c r="E455">
        <v>20251217</v>
      </c>
      <c r="F455" s="1" t="s">
        <v>1469</v>
      </c>
      <c r="G455">
        <v>4</v>
      </c>
      <c r="H455" s="1" t="s">
        <v>1475</v>
      </c>
      <c r="I455" t="s">
        <v>1855</v>
      </c>
      <c r="J455" s="1" t="s">
        <v>1548</v>
      </c>
      <c r="K455" s="1" t="s">
        <v>1604</v>
      </c>
      <c r="L455" s="1" t="s">
        <v>1718</v>
      </c>
      <c r="M455" s="1" t="s">
        <v>1737</v>
      </c>
      <c r="N455" t="s">
        <v>1979</v>
      </c>
      <c r="O455" t="s">
        <v>2164</v>
      </c>
      <c r="P455" t="s">
        <v>3090</v>
      </c>
      <c r="Q455">
        <v>57</v>
      </c>
      <c r="R455" s="1" t="s">
        <v>1839</v>
      </c>
      <c r="S455">
        <v>366</v>
      </c>
      <c r="T455">
        <v>20862</v>
      </c>
    </row>
    <row r="456" spans="1:20" x14ac:dyDescent="0.4">
      <c r="A456" s="1" t="s">
        <v>168</v>
      </c>
      <c r="B456" s="1" t="s">
        <v>1456</v>
      </c>
      <c r="C456" s="1" t="s">
        <v>1844</v>
      </c>
      <c r="D456" s="1" t="s">
        <v>1846</v>
      </c>
      <c r="E456">
        <v>20251217</v>
      </c>
      <c r="F456" s="1" t="s">
        <v>1469</v>
      </c>
      <c r="G456">
        <v>4</v>
      </c>
      <c r="H456" s="1" t="s">
        <v>1475</v>
      </c>
      <c r="I456" t="s">
        <v>1855</v>
      </c>
      <c r="J456" s="1" t="s">
        <v>1548</v>
      </c>
      <c r="K456" s="1" t="s">
        <v>1604</v>
      </c>
      <c r="L456" s="1" t="s">
        <v>1718</v>
      </c>
      <c r="M456" s="1" t="s">
        <v>1737</v>
      </c>
      <c r="N456" t="s">
        <v>1979</v>
      </c>
      <c r="O456" t="s">
        <v>2164</v>
      </c>
      <c r="P456" t="s">
        <v>3090</v>
      </c>
      <c r="Q456">
        <v>57</v>
      </c>
      <c r="R456" s="1" t="s">
        <v>1839</v>
      </c>
      <c r="S456">
        <v>366</v>
      </c>
      <c r="T456">
        <v>20862</v>
      </c>
    </row>
    <row r="457" spans="1:20" x14ac:dyDescent="0.4">
      <c r="A457" s="1" t="s">
        <v>168</v>
      </c>
      <c r="B457" s="1" t="s">
        <v>1457</v>
      </c>
      <c r="C457" s="1" t="s">
        <v>1844</v>
      </c>
      <c r="D457" s="1" t="s">
        <v>1846</v>
      </c>
      <c r="E457">
        <v>20251217</v>
      </c>
      <c r="F457" s="1" t="s">
        <v>1469</v>
      </c>
      <c r="G457">
        <v>4</v>
      </c>
      <c r="H457" s="1" t="s">
        <v>1475</v>
      </c>
      <c r="I457" t="s">
        <v>1855</v>
      </c>
      <c r="J457" s="1" t="s">
        <v>1548</v>
      </c>
      <c r="K457" s="1" t="s">
        <v>1604</v>
      </c>
      <c r="L457" s="1" t="s">
        <v>1718</v>
      </c>
      <c r="M457" s="1" t="s">
        <v>1737</v>
      </c>
      <c r="N457" t="s">
        <v>1979</v>
      </c>
      <c r="O457" t="s">
        <v>2164</v>
      </c>
      <c r="P457" t="s">
        <v>3090</v>
      </c>
      <c r="Q457">
        <v>57</v>
      </c>
      <c r="R457" s="1" t="s">
        <v>1839</v>
      </c>
      <c r="S457">
        <v>366</v>
      </c>
      <c r="T457">
        <v>20862</v>
      </c>
    </row>
    <row r="458" spans="1:20" x14ac:dyDescent="0.4">
      <c r="A458" s="1" t="s">
        <v>168</v>
      </c>
      <c r="B458" s="1" t="s">
        <v>1458</v>
      </c>
      <c r="C458" s="1" t="s">
        <v>1844</v>
      </c>
      <c r="D458" s="1" t="s">
        <v>1846</v>
      </c>
      <c r="E458">
        <v>20251217</v>
      </c>
      <c r="F458" s="1" t="s">
        <v>1469</v>
      </c>
      <c r="G458">
        <v>4</v>
      </c>
      <c r="H458" s="1" t="s">
        <v>1475</v>
      </c>
      <c r="I458" t="s">
        <v>1855</v>
      </c>
      <c r="J458" s="1" t="s">
        <v>1548</v>
      </c>
      <c r="K458" s="1" t="s">
        <v>1604</v>
      </c>
      <c r="L458" s="1" t="s">
        <v>1718</v>
      </c>
      <c r="M458" s="1" t="s">
        <v>1737</v>
      </c>
      <c r="N458" t="s">
        <v>1979</v>
      </c>
      <c r="O458" t="s">
        <v>2164</v>
      </c>
      <c r="P458" t="s">
        <v>3090</v>
      </c>
      <c r="Q458">
        <v>63.84</v>
      </c>
      <c r="R458" s="1" t="s">
        <v>1839</v>
      </c>
      <c r="S458">
        <v>366</v>
      </c>
      <c r="T458">
        <v>23365</v>
      </c>
    </row>
    <row r="459" spans="1:20" x14ac:dyDescent="0.4">
      <c r="A459" s="1" t="s">
        <v>168</v>
      </c>
      <c r="B459" s="1" t="s">
        <v>1459</v>
      </c>
      <c r="C459" s="1" t="s">
        <v>1844</v>
      </c>
      <c r="D459" s="1" t="s">
        <v>1846</v>
      </c>
      <c r="E459">
        <v>20251217</v>
      </c>
      <c r="F459" s="1" t="s">
        <v>1469</v>
      </c>
      <c r="G459">
        <v>4</v>
      </c>
      <c r="H459" s="1" t="s">
        <v>1475</v>
      </c>
      <c r="I459" t="s">
        <v>1855</v>
      </c>
      <c r="J459" s="1" t="s">
        <v>1548</v>
      </c>
      <c r="K459" s="1" t="s">
        <v>1604</v>
      </c>
      <c r="L459" s="1" t="s">
        <v>1718</v>
      </c>
      <c r="M459" s="1" t="s">
        <v>1737</v>
      </c>
      <c r="N459" t="s">
        <v>1979</v>
      </c>
      <c r="O459" t="s">
        <v>2164</v>
      </c>
      <c r="P459" t="s">
        <v>3090</v>
      </c>
      <c r="Q459">
        <v>57</v>
      </c>
      <c r="R459" s="1" t="s">
        <v>1839</v>
      </c>
      <c r="S459">
        <v>366</v>
      </c>
      <c r="T459">
        <v>20862</v>
      </c>
    </row>
    <row r="460" spans="1:20" x14ac:dyDescent="0.4">
      <c r="A460" s="1" t="s">
        <v>168</v>
      </c>
      <c r="B460" s="1" t="s">
        <v>1460</v>
      </c>
      <c r="C460" s="1" t="s">
        <v>1844</v>
      </c>
      <c r="D460" s="1" t="s">
        <v>1846</v>
      </c>
      <c r="E460">
        <v>20251217</v>
      </c>
      <c r="F460" s="1" t="s">
        <v>1469</v>
      </c>
      <c r="G460">
        <v>4</v>
      </c>
      <c r="H460" s="1" t="s">
        <v>1475</v>
      </c>
      <c r="I460" t="s">
        <v>1855</v>
      </c>
      <c r="J460" s="1" t="s">
        <v>1548</v>
      </c>
      <c r="K460" s="1" t="s">
        <v>1604</v>
      </c>
      <c r="L460" s="1" t="s">
        <v>1718</v>
      </c>
      <c r="M460" s="1" t="s">
        <v>1737</v>
      </c>
      <c r="N460" t="s">
        <v>1979</v>
      </c>
      <c r="O460" t="s">
        <v>2164</v>
      </c>
      <c r="P460" t="s">
        <v>3090</v>
      </c>
      <c r="Q460">
        <v>57</v>
      </c>
      <c r="R460" s="1" t="s">
        <v>1839</v>
      </c>
      <c r="S460">
        <v>366</v>
      </c>
      <c r="T460">
        <v>20862</v>
      </c>
    </row>
    <row r="461" spans="1:20" x14ac:dyDescent="0.4">
      <c r="A461" s="1" t="s">
        <v>168</v>
      </c>
      <c r="B461" s="1" t="s">
        <v>1461</v>
      </c>
      <c r="C461" s="1" t="s">
        <v>1844</v>
      </c>
      <c r="D461" s="1" t="s">
        <v>1846</v>
      </c>
      <c r="E461">
        <v>20251217</v>
      </c>
      <c r="F461" s="1" t="s">
        <v>1469</v>
      </c>
      <c r="G461">
        <v>4</v>
      </c>
      <c r="H461" s="1" t="s">
        <v>1475</v>
      </c>
      <c r="I461" t="s">
        <v>1855</v>
      </c>
      <c r="J461" s="1" t="s">
        <v>1548</v>
      </c>
      <c r="K461" s="1" t="s">
        <v>1604</v>
      </c>
      <c r="L461" s="1" t="s">
        <v>1718</v>
      </c>
      <c r="M461" s="1" t="s">
        <v>1737</v>
      </c>
      <c r="N461" t="s">
        <v>1979</v>
      </c>
      <c r="O461" t="s">
        <v>2164</v>
      </c>
      <c r="P461" t="s">
        <v>3090</v>
      </c>
      <c r="Q461">
        <v>57</v>
      </c>
      <c r="R461" s="1" t="s">
        <v>1839</v>
      </c>
      <c r="S461">
        <v>366</v>
      </c>
      <c r="T461">
        <v>20862</v>
      </c>
    </row>
    <row r="462" spans="1:20" x14ac:dyDescent="0.4">
      <c r="A462" s="1" t="s">
        <v>168</v>
      </c>
      <c r="B462" s="1" t="s">
        <v>1462</v>
      </c>
      <c r="C462" s="1" t="s">
        <v>1844</v>
      </c>
      <c r="D462" s="1" t="s">
        <v>1846</v>
      </c>
      <c r="E462">
        <v>20251217</v>
      </c>
      <c r="F462" s="1" t="s">
        <v>1469</v>
      </c>
      <c r="G462">
        <v>4</v>
      </c>
      <c r="H462" s="1" t="s">
        <v>1475</v>
      </c>
      <c r="I462" t="s">
        <v>1855</v>
      </c>
      <c r="J462" s="1" t="s">
        <v>1548</v>
      </c>
      <c r="K462" s="1" t="s">
        <v>1604</v>
      </c>
      <c r="L462" s="1" t="s">
        <v>1718</v>
      </c>
      <c r="M462" s="1" t="s">
        <v>1737</v>
      </c>
      <c r="N462" t="s">
        <v>1979</v>
      </c>
      <c r="O462" t="s">
        <v>2164</v>
      </c>
      <c r="P462" t="s">
        <v>3090</v>
      </c>
      <c r="Q462">
        <v>57</v>
      </c>
      <c r="R462" s="1" t="s">
        <v>1839</v>
      </c>
      <c r="S462">
        <v>366</v>
      </c>
      <c r="T462">
        <v>20862</v>
      </c>
    </row>
    <row r="463" spans="1:20" x14ac:dyDescent="0.4">
      <c r="A463" s="1" t="s">
        <v>168</v>
      </c>
      <c r="B463" s="1" t="s">
        <v>1463</v>
      </c>
      <c r="C463" s="1" t="s">
        <v>1844</v>
      </c>
      <c r="D463" s="1" t="s">
        <v>1846</v>
      </c>
      <c r="E463">
        <v>20251217</v>
      </c>
      <c r="F463" s="1" t="s">
        <v>1469</v>
      </c>
      <c r="G463">
        <v>4</v>
      </c>
      <c r="H463" s="1" t="s">
        <v>1475</v>
      </c>
      <c r="I463" t="s">
        <v>1855</v>
      </c>
      <c r="J463" s="1" t="s">
        <v>1548</v>
      </c>
      <c r="K463" s="1" t="s">
        <v>1604</v>
      </c>
      <c r="L463" s="1" t="s">
        <v>1718</v>
      </c>
      <c r="M463" s="1" t="s">
        <v>1737</v>
      </c>
      <c r="N463" t="s">
        <v>1979</v>
      </c>
      <c r="O463" t="s">
        <v>2164</v>
      </c>
      <c r="P463" t="s">
        <v>3090</v>
      </c>
      <c r="Q463">
        <v>57</v>
      </c>
      <c r="R463" s="1" t="s">
        <v>1839</v>
      </c>
      <c r="S463">
        <v>366</v>
      </c>
      <c r="T463">
        <v>20862</v>
      </c>
    </row>
    <row r="464" spans="1:20" x14ac:dyDescent="0.4">
      <c r="A464" s="1" t="s">
        <v>169</v>
      </c>
      <c r="B464" s="1" t="s">
        <v>1453</v>
      </c>
      <c r="C464" s="1" t="s">
        <v>1844</v>
      </c>
      <c r="D464" s="1" t="s">
        <v>1846</v>
      </c>
      <c r="E464">
        <v>20251217</v>
      </c>
      <c r="F464" s="1" t="s">
        <v>1469</v>
      </c>
      <c r="G464">
        <v>4</v>
      </c>
      <c r="H464" s="1" t="s">
        <v>1475</v>
      </c>
      <c r="I464" t="s">
        <v>1855</v>
      </c>
      <c r="J464" s="1" t="s">
        <v>1548</v>
      </c>
      <c r="K464" s="1" t="s">
        <v>1604</v>
      </c>
      <c r="L464" s="1" t="s">
        <v>1718</v>
      </c>
      <c r="M464" s="1" t="s">
        <v>1737</v>
      </c>
      <c r="N464" t="s">
        <v>1979</v>
      </c>
      <c r="O464" t="s">
        <v>2164</v>
      </c>
      <c r="P464" t="s">
        <v>3090</v>
      </c>
      <c r="Q464">
        <v>71.25</v>
      </c>
      <c r="R464" s="1" t="s">
        <v>1839</v>
      </c>
      <c r="S464">
        <v>366</v>
      </c>
      <c r="T464">
        <v>26077</v>
      </c>
    </row>
    <row r="465" spans="1:20" x14ac:dyDescent="0.4">
      <c r="A465" s="1" t="s">
        <v>169</v>
      </c>
      <c r="B465" s="1" t="s">
        <v>1454</v>
      </c>
      <c r="C465" s="1" t="s">
        <v>1844</v>
      </c>
      <c r="D465" s="1" t="s">
        <v>1846</v>
      </c>
      <c r="E465">
        <v>20251217</v>
      </c>
      <c r="F465" s="1" t="s">
        <v>1469</v>
      </c>
      <c r="G465">
        <v>4</v>
      </c>
      <c r="H465" s="1" t="s">
        <v>1475</v>
      </c>
      <c r="I465" t="s">
        <v>1855</v>
      </c>
      <c r="J465" s="1" t="s">
        <v>1548</v>
      </c>
      <c r="K465" s="1" t="s">
        <v>1604</v>
      </c>
      <c r="L465" s="1" t="s">
        <v>1718</v>
      </c>
      <c r="M465" s="1" t="s">
        <v>1737</v>
      </c>
      <c r="N465" t="s">
        <v>1979</v>
      </c>
      <c r="O465" t="s">
        <v>2164</v>
      </c>
      <c r="P465" t="s">
        <v>3090</v>
      </c>
      <c r="Q465">
        <v>57</v>
      </c>
      <c r="R465" s="1" t="s">
        <v>1839</v>
      </c>
      <c r="S465">
        <v>366</v>
      </c>
      <c r="T465">
        <v>20862</v>
      </c>
    </row>
    <row r="466" spans="1:20" x14ac:dyDescent="0.4">
      <c r="A466" s="1" t="s">
        <v>169</v>
      </c>
      <c r="B466" s="1" t="s">
        <v>1455</v>
      </c>
      <c r="C466" s="1" t="s">
        <v>1844</v>
      </c>
      <c r="D466" s="1" t="s">
        <v>1846</v>
      </c>
      <c r="E466">
        <v>20251217</v>
      </c>
      <c r="F466" s="1" t="s">
        <v>1469</v>
      </c>
      <c r="G466">
        <v>4</v>
      </c>
      <c r="H466" s="1" t="s">
        <v>1475</v>
      </c>
      <c r="I466" t="s">
        <v>1855</v>
      </c>
      <c r="J466" s="1" t="s">
        <v>1548</v>
      </c>
      <c r="K466" s="1" t="s">
        <v>1604</v>
      </c>
      <c r="L466" s="1" t="s">
        <v>1718</v>
      </c>
      <c r="M466" s="1" t="s">
        <v>1737</v>
      </c>
      <c r="N466" t="s">
        <v>1979</v>
      </c>
      <c r="O466" t="s">
        <v>2164</v>
      </c>
      <c r="P466" t="s">
        <v>3090</v>
      </c>
      <c r="Q466">
        <v>57</v>
      </c>
      <c r="R466" s="1" t="s">
        <v>1839</v>
      </c>
      <c r="S466">
        <v>366</v>
      </c>
      <c r="T466">
        <v>20862</v>
      </c>
    </row>
    <row r="467" spans="1:20" x14ac:dyDescent="0.4">
      <c r="A467" s="1" t="s">
        <v>169</v>
      </c>
      <c r="B467" s="1" t="s">
        <v>1456</v>
      </c>
      <c r="C467" s="1" t="s">
        <v>1844</v>
      </c>
      <c r="D467" s="1" t="s">
        <v>1846</v>
      </c>
      <c r="E467">
        <v>20251217</v>
      </c>
      <c r="F467" s="1" t="s">
        <v>1469</v>
      </c>
      <c r="G467">
        <v>4</v>
      </c>
      <c r="H467" s="1" t="s">
        <v>1475</v>
      </c>
      <c r="I467" t="s">
        <v>1855</v>
      </c>
      <c r="J467" s="1" t="s">
        <v>1548</v>
      </c>
      <c r="K467" s="1" t="s">
        <v>1604</v>
      </c>
      <c r="L467" s="1" t="s">
        <v>1718</v>
      </c>
      <c r="M467" s="1" t="s">
        <v>1737</v>
      </c>
      <c r="N467" t="s">
        <v>1979</v>
      </c>
      <c r="O467" t="s">
        <v>2164</v>
      </c>
      <c r="P467" t="s">
        <v>3090</v>
      </c>
      <c r="Q467">
        <v>57</v>
      </c>
      <c r="R467" s="1" t="s">
        <v>1839</v>
      </c>
      <c r="S467">
        <v>366</v>
      </c>
      <c r="T467">
        <v>20862</v>
      </c>
    </row>
    <row r="468" spans="1:20" x14ac:dyDescent="0.4">
      <c r="A468" s="1" t="s">
        <v>169</v>
      </c>
      <c r="B468" s="1" t="s">
        <v>1457</v>
      </c>
      <c r="C468" s="1" t="s">
        <v>1844</v>
      </c>
      <c r="D468" s="1" t="s">
        <v>1846</v>
      </c>
      <c r="E468">
        <v>20251217</v>
      </c>
      <c r="F468" s="1" t="s">
        <v>1469</v>
      </c>
      <c r="G468">
        <v>4</v>
      </c>
      <c r="H468" s="1" t="s">
        <v>1475</v>
      </c>
      <c r="I468" t="s">
        <v>1855</v>
      </c>
      <c r="J468" s="1" t="s">
        <v>1548</v>
      </c>
      <c r="K468" s="1" t="s">
        <v>1604</v>
      </c>
      <c r="L468" s="1" t="s">
        <v>1718</v>
      </c>
      <c r="M468" s="1" t="s">
        <v>1737</v>
      </c>
      <c r="N468" t="s">
        <v>1979</v>
      </c>
      <c r="O468" t="s">
        <v>2164</v>
      </c>
      <c r="P468" t="s">
        <v>3090</v>
      </c>
      <c r="Q468">
        <v>57</v>
      </c>
      <c r="R468" s="1" t="s">
        <v>1839</v>
      </c>
      <c r="S468">
        <v>366</v>
      </c>
      <c r="T468">
        <v>20862</v>
      </c>
    </row>
    <row r="469" spans="1:20" x14ac:dyDescent="0.4">
      <c r="A469" s="1" t="s">
        <v>169</v>
      </c>
      <c r="B469" s="1" t="s">
        <v>1458</v>
      </c>
      <c r="C469" s="1" t="s">
        <v>1844</v>
      </c>
      <c r="D469" s="1" t="s">
        <v>1846</v>
      </c>
      <c r="E469">
        <v>20251217</v>
      </c>
      <c r="F469" s="1" t="s">
        <v>1469</v>
      </c>
      <c r="G469">
        <v>4</v>
      </c>
      <c r="H469" s="1" t="s">
        <v>1475</v>
      </c>
      <c r="I469" t="s">
        <v>1855</v>
      </c>
      <c r="J469" s="1" t="s">
        <v>1548</v>
      </c>
      <c r="K469" s="1" t="s">
        <v>1604</v>
      </c>
      <c r="L469" s="1" t="s">
        <v>1718</v>
      </c>
      <c r="M469" s="1" t="s">
        <v>1737</v>
      </c>
      <c r="N469" t="s">
        <v>1979</v>
      </c>
      <c r="O469" t="s">
        <v>2164</v>
      </c>
      <c r="P469" t="s">
        <v>3090</v>
      </c>
      <c r="Q469">
        <v>71.25</v>
      </c>
      <c r="R469" s="1" t="s">
        <v>1839</v>
      </c>
      <c r="S469">
        <v>366</v>
      </c>
      <c r="T469">
        <v>26077</v>
      </c>
    </row>
    <row r="470" spans="1:20" x14ac:dyDescent="0.4">
      <c r="A470" s="1" t="s">
        <v>169</v>
      </c>
      <c r="B470" s="1" t="s">
        <v>1459</v>
      </c>
      <c r="C470" s="1" t="s">
        <v>1844</v>
      </c>
      <c r="D470" s="1" t="s">
        <v>1846</v>
      </c>
      <c r="E470">
        <v>20251217</v>
      </c>
      <c r="F470" s="1" t="s">
        <v>1469</v>
      </c>
      <c r="G470">
        <v>4</v>
      </c>
      <c r="H470" s="1" t="s">
        <v>1475</v>
      </c>
      <c r="I470" t="s">
        <v>1855</v>
      </c>
      <c r="J470" s="1" t="s">
        <v>1548</v>
      </c>
      <c r="K470" s="1" t="s">
        <v>1604</v>
      </c>
      <c r="L470" s="1" t="s">
        <v>1718</v>
      </c>
      <c r="M470" s="1" t="s">
        <v>1737</v>
      </c>
      <c r="N470" t="s">
        <v>1979</v>
      </c>
      <c r="O470" t="s">
        <v>2164</v>
      </c>
      <c r="P470" t="s">
        <v>3090</v>
      </c>
      <c r="Q470">
        <v>56.24</v>
      </c>
      <c r="R470" s="1" t="s">
        <v>1839</v>
      </c>
      <c r="S470">
        <v>366</v>
      </c>
      <c r="T470">
        <v>20583</v>
      </c>
    </row>
    <row r="471" spans="1:20" x14ac:dyDescent="0.4">
      <c r="A471" s="1" t="s">
        <v>169</v>
      </c>
      <c r="B471" s="1" t="s">
        <v>1460</v>
      </c>
      <c r="C471" s="1" t="s">
        <v>1844</v>
      </c>
      <c r="D471" s="1" t="s">
        <v>1846</v>
      </c>
      <c r="E471">
        <v>20251217</v>
      </c>
      <c r="F471" s="1" t="s">
        <v>1469</v>
      </c>
      <c r="G471">
        <v>4</v>
      </c>
      <c r="H471" s="1" t="s">
        <v>1475</v>
      </c>
      <c r="I471" t="s">
        <v>1855</v>
      </c>
      <c r="J471" s="1" t="s">
        <v>1548</v>
      </c>
      <c r="K471" s="1" t="s">
        <v>1604</v>
      </c>
      <c r="L471" s="1" t="s">
        <v>1718</v>
      </c>
      <c r="M471" s="1" t="s">
        <v>1737</v>
      </c>
      <c r="N471" t="s">
        <v>1979</v>
      </c>
      <c r="O471" t="s">
        <v>2164</v>
      </c>
      <c r="P471" t="s">
        <v>3090</v>
      </c>
      <c r="Q471">
        <v>57</v>
      </c>
      <c r="R471" s="1" t="s">
        <v>1839</v>
      </c>
      <c r="S471">
        <v>366</v>
      </c>
      <c r="T471">
        <v>20862</v>
      </c>
    </row>
    <row r="472" spans="1:20" x14ac:dyDescent="0.4">
      <c r="A472" s="1" t="s">
        <v>169</v>
      </c>
      <c r="B472" s="1" t="s">
        <v>1461</v>
      </c>
      <c r="C472" s="1" t="s">
        <v>1844</v>
      </c>
      <c r="D472" s="1" t="s">
        <v>1846</v>
      </c>
      <c r="E472">
        <v>20251217</v>
      </c>
      <c r="F472" s="1" t="s">
        <v>1469</v>
      </c>
      <c r="G472">
        <v>4</v>
      </c>
      <c r="H472" s="1" t="s">
        <v>1475</v>
      </c>
      <c r="I472" t="s">
        <v>1855</v>
      </c>
      <c r="J472" s="1" t="s">
        <v>1548</v>
      </c>
      <c r="K472" s="1" t="s">
        <v>1604</v>
      </c>
      <c r="L472" s="1" t="s">
        <v>1718</v>
      </c>
      <c r="M472" s="1" t="s">
        <v>1737</v>
      </c>
      <c r="N472" t="s">
        <v>1979</v>
      </c>
      <c r="O472" t="s">
        <v>2164</v>
      </c>
      <c r="P472" t="s">
        <v>3090</v>
      </c>
      <c r="Q472">
        <v>57</v>
      </c>
      <c r="R472" s="1" t="s">
        <v>1839</v>
      </c>
      <c r="S472">
        <v>366</v>
      </c>
      <c r="T472">
        <v>20862</v>
      </c>
    </row>
    <row r="473" spans="1:20" x14ac:dyDescent="0.4">
      <c r="A473" s="1" t="s">
        <v>169</v>
      </c>
      <c r="B473" s="1" t="s">
        <v>1462</v>
      </c>
      <c r="C473" s="1" t="s">
        <v>1844</v>
      </c>
      <c r="D473" s="1" t="s">
        <v>1846</v>
      </c>
      <c r="E473">
        <v>20251217</v>
      </c>
      <c r="F473" s="1" t="s">
        <v>1469</v>
      </c>
      <c r="G473">
        <v>4</v>
      </c>
      <c r="H473" s="1" t="s">
        <v>1475</v>
      </c>
      <c r="I473" t="s">
        <v>1855</v>
      </c>
      <c r="J473" s="1" t="s">
        <v>1548</v>
      </c>
      <c r="K473" s="1" t="s">
        <v>1604</v>
      </c>
      <c r="L473" s="1" t="s">
        <v>1718</v>
      </c>
      <c r="M473" s="1" t="s">
        <v>1737</v>
      </c>
      <c r="N473" t="s">
        <v>1979</v>
      </c>
      <c r="O473" t="s">
        <v>2164</v>
      </c>
      <c r="P473" t="s">
        <v>3090</v>
      </c>
      <c r="Q473">
        <v>57</v>
      </c>
      <c r="R473" s="1" t="s">
        <v>1839</v>
      </c>
      <c r="S473">
        <v>366</v>
      </c>
      <c r="T473">
        <v>20862</v>
      </c>
    </row>
    <row r="474" spans="1:20" x14ac:dyDescent="0.4">
      <c r="A474" s="1" t="s">
        <v>169</v>
      </c>
      <c r="B474" s="1" t="s">
        <v>1463</v>
      </c>
      <c r="C474" s="1" t="s">
        <v>1844</v>
      </c>
      <c r="D474" s="1" t="s">
        <v>1846</v>
      </c>
      <c r="E474">
        <v>20251217</v>
      </c>
      <c r="F474" s="1" t="s">
        <v>1469</v>
      </c>
      <c r="G474">
        <v>4</v>
      </c>
      <c r="H474" s="1" t="s">
        <v>1475</v>
      </c>
      <c r="I474" t="s">
        <v>1855</v>
      </c>
      <c r="J474" s="1" t="s">
        <v>1548</v>
      </c>
      <c r="K474" s="1" t="s">
        <v>1604</v>
      </c>
      <c r="L474" s="1" t="s">
        <v>1718</v>
      </c>
      <c r="M474" s="1" t="s">
        <v>1737</v>
      </c>
      <c r="N474" t="s">
        <v>1979</v>
      </c>
      <c r="O474" t="s">
        <v>2164</v>
      </c>
      <c r="P474" t="s">
        <v>3090</v>
      </c>
      <c r="Q474">
        <v>57</v>
      </c>
      <c r="R474" s="1" t="s">
        <v>1839</v>
      </c>
      <c r="S474">
        <v>366</v>
      </c>
      <c r="T474">
        <v>20862</v>
      </c>
    </row>
    <row r="475" spans="1:20" x14ac:dyDescent="0.4">
      <c r="A475" s="1" t="s">
        <v>170</v>
      </c>
      <c r="B475" s="1" t="s">
        <v>1453</v>
      </c>
      <c r="C475" s="1" t="s">
        <v>1844</v>
      </c>
      <c r="D475" s="1" t="s">
        <v>1846</v>
      </c>
      <c r="E475">
        <v>20251217</v>
      </c>
      <c r="F475" s="1" t="s">
        <v>1469</v>
      </c>
      <c r="G475">
        <v>4</v>
      </c>
      <c r="H475" s="1" t="s">
        <v>1475</v>
      </c>
      <c r="I475" t="s">
        <v>1855</v>
      </c>
      <c r="J475" s="1" t="s">
        <v>1548</v>
      </c>
      <c r="K475" s="1" t="s">
        <v>1604</v>
      </c>
      <c r="L475" s="1" t="s">
        <v>1718</v>
      </c>
      <c r="M475" s="1" t="s">
        <v>1737</v>
      </c>
      <c r="N475" t="s">
        <v>1979</v>
      </c>
      <c r="O475" t="s">
        <v>2164</v>
      </c>
      <c r="P475" t="s">
        <v>3090</v>
      </c>
      <c r="Q475">
        <v>70.680000000000007</v>
      </c>
      <c r="R475" s="1" t="s">
        <v>1839</v>
      </c>
      <c r="S475">
        <v>366</v>
      </c>
      <c r="T475">
        <v>25868</v>
      </c>
    </row>
    <row r="476" spans="1:20" x14ac:dyDescent="0.4">
      <c r="A476" s="1" t="s">
        <v>170</v>
      </c>
      <c r="B476" s="1" t="s">
        <v>1454</v>
      </c>
      <c r="C476" s="1" t="s">
        <v>1844</v>
      </c>
      <c r="D476" s="1" t="s">
        <v>1846</v>
      </c>
      <c r="E476">
        <v>20251217</v>
      </c>
      <c r="F476" s="1" t="s">
        <v>1469</v>
      </c>
      <c r="G476">
        <v>4</v>
      </c>
      <c r="H476" s="1" t="s">
        <v>1475</v>
      </c>
      <c r="I476" t="s">
        <v>1855</v>
      </c>
      <c r="J476" s="1" t="s">
        <v>1548</v>
      </c>
      <c r="K476" s="1" t="s">
        <v>1604</v>
      </c>
      <c r="L476" s="1" t="s">
        <v>1718</v>
      </c>
      <c r="M476" s="1" t="s">
        <v>1737</v>
      </c>
      <c r="N476" t="s">
        <v>1979</v>
      </c>
      <c r="O476" t="s">
        <v>2164</v>
      </c>
      <c r="P476" t="s">
        <v>3090</v>
      </c>
      <c r="Q476">
        <v>57.95</v>
      </c>
      <c r="R476" s="1" t="s">
        <v>1839</v>
      </c>
      <c r="S476">
        <v>366</v>
      </c>
      <c r="T476">
        <v>21209</v>
      </c>
    </row>
    <row r="477" spans="1:20" x14ac:dyDescent="0.4">
      <c r="A477" s="1" t="s">
        <v>170</v>
      </c>
      <c r="B477" s="1" t="s">
        <v>1455</v>
      </c>
      <c r="C477" s="1" t="s">
        <v>1844</v>
      </c>
      <c r="D477" s="1" t="s">
        <v>1846</v>
      </c>
      <c r="E477">
        <v>20251217</v>
      </c>
      <c r="F477" s="1" t="s">
        <v>1469</v>
      </c>
      <c r="G477">
        <v>4</v>
      </c>
      <c r="H477" s="1" t="s">
        <v>1475</v>
      </c>
      <c r="I477" t="s">
        <v>1855</v>
      </c>
      <c r="J477" s="1" t="s">
        <v>1548</v>
      </c>
      <c r="K477" s="1" t="s">
        <v>1604</v>
      </c>
      <c r="L477" s="1" t="s">
        <v>1718</v>
      </c>
      <c r="M477" s="1" t="s">
        <v>1737</v>
      </c>
      <c r="N477" t="s">
        <v>1979</v>
      </c>
      <c r="O477" t="s">
        <v>2164</v>
      </c>
      <c r="P477" t="s">
        <v>3090</v>
      </c>
      <c r="Q477">
        <v>57</v>
      </c>
      <c r="R477" s="1" t="s">
        <v>1839</v>
      </c>
      <c r="S477">
        <v>366</v>
      </c>
      <c r="T477">
        <v>20862</v>
      </c>
    </row>
    <row r="478" spans="1:20" x14ac:dyDescent="0.4">
      <c r="A478" s="1" t="s">
        <v>170</v>
      </c>
      <c r="B478" s="1" t="s">
        <v>1456</v>
      </c>
      <c r="C478" s="1" t="s">
        <v>1844</v>
      </c>
      <c r="D478" s="1" t="s">
        <v>1846</v>
      </c>
      <c r="E478">
        <v>20251217</v>
      </c>
      <c r="F478" s="1" t="s">
        <v>1469</v>
      </c>
      <c r="G478">
        <v>4</v>
      </c>
      <c r="H478" s="1" t="s">
        <v>1475</v>
      </c>
      <c r="I478" t="s">
        <v>1855</v>
      </c>
      <c r="J478" s="1" t="s">
        <v>1548</v>
      </c>
      <c r="K478" s="1" t="s">
        <v>1604</v>
      </c>
      <c r="L478" s="1" t="s">
        <v>1718</v>
      </c>
      <c r="M478" s="1" t="s">
        <v>1737</v>
      </c>
      <c r="N478" t="s">
        <v>1979</v>
      </c>
      <c r="O478" t="s">
        <v>2164</v>
      </c>
      <c r="P478" t="s">
        <v>3090</v>
      </c>
      <c r="Q478">
        <v>57</v>
      </c>
      <c r="R478" s="1" t="s">
        <v>1839</v>
      </c>
      <c r="S478">
        <v>366</v>
      </c>
      <c r="T478">
        <v>20862</v>
      </c>
    </row>
    <row r="479" spans="1:20" x14ac:dyDescent="0.4">
      <c r="A479" s="1" t="s">
        <v>170</v>
      </c>
      <c r="B479" s="1" t="s">
        <v>1457</v>
      </c>
      <c r="C479" s="1" t="s">
        <v>1844</v>
      </c>
      <c r="D479" s="1" t="s">
        <v>1846</v>
      </c>
      <c r="E479">
        <v>20251217</v>
      </c>
      <c r="F479" s="1" t="s">
        <v>1469</v>
      </c>
      <c r="G479">
        <v>4</v>
      </c>
      <c r="H479" s="1" t="s">
        <v>1475</v>
      </c>
      <c r="I479" t="s">
        <v>1855</v>
      </c>
      <c r="J479" s="1" t="s">
        <v>1548</v>
      </c>
      <c r="K479" s="1" t="s">
        <v>1604</v>
      </c>
      <c r="L479" s="1" t="s">
        <v>1718</v>
      </c>
      <c r="M479" s="1" t="s">
        <v>1737</v>
      </c>
      <c r="N479" t="s">
        <v>1979</v>
      </c>
      <c r="O479" t="s">
        <v>2164</v>
      </c>
      <c r="P479" t="s">
        <v>3090</v>
      </c>
      <c r="Q479">
        <v>57</v>
      </c>
      <c r="R479" s="1" t="s">
        <v>1839</v>
      </c>
      <c r="S479">
        <v>366</v>
      </c>
      <c r="T479">
        <v>20862</v>
      </c>
    </row>
    <row r="480" spans="1:20" x14ac:dyDescent="0.4">
      <c r="A480" s="1" t="s">
        <v>170</v>
      </c>
      <c r="B480" s="1" t="s">
        <v>1458</v>
      </c>
      <c r="C480" s="1" t="s">
        <v>1844</v>
      </c>
      <c r="D480" s="1" t="s">
        <v>1846</v>
      </c>
      <c r="E480">
        <v>20251217</v>
      </c>
      <c r="F480" s="1" t="s">
        <v>1469</v>
      </c>
      <c r="G480">
        <v>4</v>
      </c>
      <c r="H480" s="1" t="s">
        <v>1475</v>
      </c>
      <c r="I480" t="s">
        <v>1855</v>
      </c>
      <c r="J480" s="1" t="s">
        <v>1548</v>
      </c>
      <c r="K480" s="1" t="s">
        <v>1604</v>
      </c>
      <c r="L480" s="1" t="s">
        <v>1718</v>
      </c>
      <c r="M480" s="1" t="s">
        <v>1737</v>
      </c>
      <c r="N480" t="s">
        <v>1979</v>
      </c>
      <c r="O480" t="s">
        <v>2164</v>
      </c>
      <c r="P480" t="s">
        <v>3090</v>
      </c>
      <c r="Q480">
        <v>57</v>
      </c>
      <c r="R480" s="1" t="s">
        <v>1839</v>
      </c>
      <c r="S480">
        <v>366</v>
      </c>
      <c r="T480">
        <v>20862</v>
      </c>
    </row>
    <row r="481" spans="1:20" x14ac:dyDescent="0.4">
      <c r="A481" s="1" t="s">
        <v>170</v>
      </c>
      <c r="B481" s="1" t="s">
        <v>1459</v>
      </c>
      <c r="C481" s="1" t="s">
        <v>1844</v>
      </c>
      <c r="D481" s="1" t="s">
        <v>1846</v>
      </c>
      <c r="E481">
        <v>20251217</v>
      </c>
      <c r="F481" s="1" t="s">
        <v>1469</v>
      </c>
      <c r="G481">
        <v>4</v>
      </c>
      <c r="H481" s="1" t="s">
        <v>1475</v>
      </c>
      <c r="I481" t="s">
        <v>1855</v>
      </c>
      <c r="J481" s="1" t="s">
        <v>1548</v>
      </c>
      <c r="K481" s="1" t="s">
        <v>1604</v>
      </c>
      <c r="L481" s="1" t="s">
        <v>1718</v>
      </c>
      <c r="M481" s="1" t="s">
        <v>1737</v>
      </c>
      <c r="N481" t="s">
        <v>1979</v>
      </c>
      <c r="O481" t="s">
        <v>2164</v>
      </c>
      <c r="P481" t="s">
        <v>3090</v>
      </c>
      <c r="Q481">
        <v>57</v>
      </c>
      <c r="R481" s="1" t="s">
        <v>1839</v>
      </c>
      <c r="S481">
        <v>366</v>
      </c>
      <c r="T481">
        <v>20862</v>
      </c>
    </row>
    <row r="482" spans="1:20" x14ac:dyDescent="0.4">
      <c r="A482" s="1" t="s">
        <v>170</v>
      </c>
      <c r="B482" s="1" t="s">
        <v>1460</v>
      </c>
      <c r="C482" s="1" t="s">
        <v>1844</v>
      </c>
      <c r="D482" s="1" t="s">
        <v>1846</v>
      </c>
      <c r="E482">
        <v>20251217</v>
      </c>
      <c r="F482" s="1" t="s">
        <v>1469</v>
      </c>
      <c r="G482">
        <v>4</v>
      </c>
      <c r="H482" s="1" t="s">
        <v>1475</v>
      </c>
      <c r="I482" t="s">
        <v>1855</v>
      </c>
      <c r="J482" s="1" t="s">
        <v>1548</v>
      </c>
      <c r="K482" s="1" t="s">
        <v>1604</v>
      </c>
      <c r="L482" s="1" t="s">
        <v>1718</v>
      </c>
      <c r="M482" s="1" t="s">
        <v>1737</v>
      </c>
      <c r="N482" t="s">
        <v>1979</v>
      </c>
      <c r="O482" t="s">
        <v>2164</v>
      </c>
      <c r="P482" t="s">
        <v>3090</v>
      </c>
      <c r="Q482">
        <v>72.2</v>
      </c>
      <c r="R482" s="1" t="s">
        <v>1839</v>
      </c>
      <c r="S482">
        <v>366</v>
      </c>
      <c r="T482">
        <v>26425</v>
      </c>
    </row>
    <row r="483" spans="1:20" x14ac:dyDescent="0.4">
      <c r="A483" s="1" t="s">
        <v>170</v>
      </c>
      <c r="B483" s="1" t="s">
        <v>1461</v>
      </c>
      <c r="C483" s="1" t="s">
        <v>1844</v>
      </c>
      <c r="D483" s="1" t="s">
        <v>1846</v>
      </c>
      <c r="E483">
        <v>20251217</v>
      </c>
      <c r="F483" s="1" t="s">
        <v>1469</v>
      </c>
      <c r="G483">
        <v>4</v>
      </c>
      <c r="H483" s="1" t="s">
        <v>1475</v>
      </c>
      <c r="I483" t="s">
        <v>1855</v>
      </c>
      <c r="J483" s="1" t="s">
        <v>1548</v>
      </c>
      <c r="K483" s="1" t="s">
        <v>1604</v>
      </c>
      <c r="L483" s="1" t="s">
        <v>1718</v>
      </c>
      <c r="M483" s="1" t="s">
        <v>1737</v>
      </c>
      <c r="N483" t="s">
        <v>1979</v>
      </c>
      <c r="O483" t="s">
        <v>2164</v>
      </c>
      <c r="P483" t="s">
        <v>3090</v>
      </c>
      <c r="Q483">
        <v>57</v>
      </c>
      <c r="R483" s="1" t="s">
        <v>1839</v>
      </c>
      <c r="S483">
        <v>366</v>
      </c>
      <c r="T483">
        <v>20862</v>
      </c>
    </row>
    <row r="484" spans="1:20" x14ac:dyDescent="0.4">
      <c r="A484" s="1" t="s">
        <v>170</v>
      </c>
      <c r="B484" s="1" t="s">
        <v>1462</v>
      </c>
      <c r="C484" s="1" t="s">
        <v>1844</v>
      </c>
      <c r="D484" s="1" t="s">
        <v>1846</v>
      </c>
      <c r="E484">
        <v>20251217</v>
      </c>
      <c r="F484" s="1" t="s">
        <v>1469</v>
      </c>
      <c r="G484">
        <v>4</v>
      </c>
      <c r="H484" s="1" t="s">
        <v>1475</v>
      </c>
      <c r="I484" t="s">
        <v>1855</v>
      </c>
      <c r="J484" s="1" t="s">
        <v>1548</v>
      </c>
      <c r="K484" s="1" t="s">
        <v>1604</v>
      </c>
      <c r="L484" s="1" t="s">
        <v>1718</v>
      </c>
      <c r="M484" s="1" t="s">
        <v>1737</v>
      </c>
      <c r="N484" t="s">
        <v>1979</v>
      </c>
      <c r="O484" t="s">
        <v>2164</v>
      </c>
      <c r="P484" t="s">
        <v>3090</v>
      </c>
      <c r="Q484">
        <v>57</v>
      </c>
      <c r="R484" s="1" t="s">
        <v>1839</v>
      </c>
      <c r="S484">
        <v>366</v>
      </c>
      <c r="T484">
        <v>20862</v>
      </c>
    </row>
    <row r="485" spans="1:20" x14ac:dyDescent="0.4">
      <c r="A485" s="1" t="s">
        <v>171</v>
      </c>
      <c r="B485" s="1" t="s">
        <v>1453</v>
      </c>
      <c r="C485" s="1" t="s">
        <v>1844</v>
      </c>
      <c r="D485" s="1" t="s">
        <v>1846</v>
      </c>
      <c r="E485">
        <v>20251217</v>
      </c>
      <c r="F485" s="1" t="s">
        <v>1469</v>
      </c>
      <c r="G485">
        <v>4</v>
      </c>
      <c r="H485" s="1" t="s">
        <v>1475</v>
      </c>
      <c r="I485" t="s">
        <v>1855</v>
      </c>
      <c r="J485" s="1" t="s">
        <v>1548</v>
      </c>
      <c r="K485" s="1" t="s">
        <v>1604</v>
      </c>
      <c r="L485" s="1" t="s">
        <v>1718</v>
      </c>
      <c r="M485" s="1" t="s">
        <v>1737</v>
      </c>
      <c r="N485" t="s">
        <v>1979</v>
      </c>
      <c r="O485" t="s">
        <v>2164</v>
      </c>
      <c r="P485" t="s">
        <v>3090</v>
      </c>
      <c r="Q485">
        <v>57</v>
      </c>
      <c r="R485" s="1" t="s">
        <v>1839</v>
      </c>
      <c r="S485">
        <v>366</v>
      </c>
      <c r="T485">
        <v>20862</v>
      </c>
    </row>
    <row r="486" spans="1:20" x14ac:dyDescent="0.4">
      <c r="A486" s="1" t="s">
        <v>171</v>
      </c>
      <c r="B486" s="1" t="s">
        <v>1454</v>
      </c>
      <c r="C486" s="1" t="s">
        <v>1844</v>
      </c>
      <c r="D486" s="1" t="s">
        <v>1846</v>
      </c>
      <c r="E486">
        <v>20251217</v>
      </c>
      <c r="F486" s="1" t="s">
        <v>1469</v>
      </c>
      <c r="G486">
        <v>4</v>
      </c>
      <c r="H486" s="1" t="s">
        <v>1475</v>
      </c>
      <c r="I486" t="s">
        <v>1855</v>
      </c>
      <c r="J486" s="1" t="s">
        <v>1548</v>
      </c>
      <c r="K486" s="1" t="s">
        <v>1604</v>
      </c>
      <c r="L486" s="1" t="s">
        <v>1718</v>
      </c>
      <c r="M486" s="1" t="s">
        <v>1737</v>
      </c>
      <c r="N486" t="s">
        <v>1979</v>
      </c>
      <c r="O486" t="s">
        <v>2164</v>
      </c>
      <c r="P486" t="s">
        <v>3090</v>
      </c>
      <c r="Q486">
        <v>57</v>
      </c>
      <c r="R486" s="1" t="s">
        <v>1839</v>
      </c>
      <c r="S486">
        <v>366</v>
      </c>
      <c r="T486">
        <v>20862</v>
      </c>
    </row>
    <row r="487" spans="1:20" x14ac:dyDescent="0.4">
      <c r="A487" s="1" t="s">
        <v>171</v>
      </c>
      <c r="B487" s="1" t="s">
        <v>1455</v>
      </c>
      <c r="C487" s="1" t="s">
        <v>1844</v>
      </c>
      <c r="D487" s="1" t="s">
        <v>1846</v>
      </c>
      <c r="E487">
        <v>20251217</v>
      </c>
      <c r="F487" s="1" t="s">
        <v>1469</v>
      </c>
      <c r="G487">
        <v>4</v>
      </c>
      <c r="H487" s="1" t="s">
        <v>1475</v>
      </c>
      <c r="I487" t="s">
        <v>1855</v>
      </c>
      <c r="J487" s="1" t="s">
        <v>1548</v>
      </c>
      <c r="K487" s="1" t="s">
        <v>1604</v>
      </c>
      <c r="L487" s="1" t="s">
        <v>1718</v>
      </c>
      <c r="M487" s="1" t="s">
        <v>1737</v>
      </c>
      <c r="N487" t="s">
        <v>1979</v>
      </c>
      <c r="O487" t="s">
        <v>2164</v>
      </c>
      <c r="P487" t="s">
        <v>3090</v>
      </c>
      <c r="Q487">
        <v>57</v>
      </c>
      <c r="R487" s="1" t="s">
        <v>1839</v>
      </c>
      <c r="S487">
        <v>366</v>
      </c>
      <c r="T487">
        <v>20862</v>
      </c>
    </row>
    <row r="488" spans="1:20" x14ac:dyDescent="0.4">
      <c r="A488" s="1" t="s">
        <v>171</v>
      </c>
      <c r="B488" s="1" t="s">
        <v>1456</v>
      </c>
      <c r="C488" s="1" t="s">
        <v>1844</v>
      </c>
      <c r="D488" s="1" t="s">
        <v>1846</v>
      </c>
      <c r="E488">
        <v>20251217</v>
      </c>
      <c r="F488" s="1" t="s">
        <v>1469</v>
      </c>
      <c r="G488">
        <v>4</v>
      </c>
      <c r="H488" s="1" t="s">
        <v>1475</v>
      </c>
      <c r="I488" t="s">
        <v>1855</v>
      </c>
      <c r="J488" s="1" t="s">
        <v>1548</v>
      </c>
      <c r="K488" s="1" t="s">
        <v>1604</v>
      </c>
      <c r="L488" s="1" t="s">
        <v>1718</v>
      </c>
      <c r="M488" s="1" t="s">
        <v>1737</v>
      </c>
      <c r="N488" t="s">
        <v>1979</v>
      </c>
      <c r="O488" t="s">
        <v>2164</v>
      </c>
      <c r="P488" t="s">
        <v>3090</v>
      </c>
      <c r="Q488">
        <v>71.44</v>
      </c>
      <c r="R488" s="1" t="s">
        <v>1839</v>
      </c>
      <c r="S488">
        <v>366</v>
      </c>
      <c r="T488">
        <v>26147</v>
      </c>
    </row>
    <row r="489" spans="1:20" x14ac:dyDescent="0.4">
      <c r="A489" s="1" t="s">
        <v>171</v>
      </c>
      <c r="B489" s="1" t="s">
        <v>1457</v>
      </c>
      <c r="C489" s="1" t="s">
        <v>1844</v>
      </c>
      <c r="D489" s="1" t="s">
        <v>1846</v>
      </c>
      <c r="E489">
        <v>20251217</v>
      </c>
      <c r="F489" s="1" t="s">
        <v>1469</v>
      </c>
      <c r="G489">
        <v>4</v>
      </c>
      <c r="H489" s="1" t="s">
        <v>1475</v>
      </c>
      <c r="I489" t="s">
        <v>1855</v>
      </c>
      <c r="J489" s="1" t="s">
        <v>1548</v>
      </c>
      <c r="K489" s="1" t="s">
        <v>1604</v>
      </c>
      <c r="L489" s="1" t="s">
        <v>1718</v>
      </c>
      <c r="M489" s="1" t="s">
        <v>1737</v>
      </c>
      <c r="N489" t="s">
        <v>1979</v>
      </c>
      <c r="O489" t="s">
        <v>2164</v>
      </c>
      <c r="P489" t="s">
        <v>3090</v>
      </c>
      <c r="Q489">
        <v>57</v>
      </c>
      <c r="R489" s="1" t="s">
        <v>1839</v>
      </c>
      <c r="S489">
        <v>366</v>
      </c>
      <c r="T489">
        <v>20862</v>
      </c>
    </row>
    <row r="490" spans="1:20" x14ac:dyDescent="0.4">
      <c r="A490" s="1" t="s">
        <v>171</v>
      </c>
      <c r="B490" s="1" t="s">
        <v>1458</v>
      </c>
      <c r="C490" s="1" t="s">
        <v>1844</v>
      </c>
      <c r="D490" s="1" t="s">
        <v>1846</v>
      </c>
      <c r="E490">
        <v>20251217</v>
      </c>
      <c r="F490" s="1" t="s">
        <v>1469</v>
      </c>
      <c r="G490">
        <v>4</v>
      </c>
      <c r="H490" s="1" t="s">
        <v>1475</v>
      </c>
      <c r="I490" t="s">
        <v>1855</v>
      </c>
      <c r="J490" s="1" t="s">
        <v>1548</v>
      </c>
      <c r="K490" s="1" t="s">
        <v>1604</v>
      </c>
      <c r="L490" s="1" t="s">
        <v>1718</v>
      </c>
      <c r="M490" s="1" t="s">
        <v>1737</v>
      </c>
      <c r="N490" t="s">
        <v>1979</v>
      </c>
      <c r="O490" t="s">
        <v>2164</v>
      </c>
      <c r="P490" t="s">
        <v>3090</v>
      </c>
      <c r="Q490">
        <v>57</v>
      </c>
      <c r="R490" s="1" t="s">
        <v>1839</v>
      </c>
      <c r="S490">
        <v>366</v>
      </c>
      <c r="T490">
        <v>20862</v>
      </c>
    </row>
    <row r="491" spans="1:20" x14ac:dyDescent="0.4">
      <c r="A491" s="1" t="s">
        <v>171</v>
      </c>
      <c r="B491" s="1" t="s">
        <v>1459</v>
      </c>
      <c r="C491" s="1" t="s">
        <v>1844</v>
      </c>
      <c r="D491" s="1" t="s">
        <v>1846</v>
      </c>
      <c r="E491">
        <v>20251217</v>
      </c>
      <c r="F491" s="1" t="s">
        <v>1469</v>
      </c>
      <c r="G491">
        <v>4</v>
      </c>
      <c r="H491" s="1" t="s">
        <v>1475</v>
      </c>
      <c r="I491" t="s">
        <v>1855</v>
      </c>
      <c r="J491" s="1" t="s">
        <v>1548</v>
      </c>
      <c r="K491" s="1" t="s">
        <v>1604</v>
      </c>
      <c r="L491" s="1" t="s">
        <v>1718</v>
      </c>
      <c r="M491" s="1" t="s">
        <v>1737</v>
      </c>
      <c r="N491" t="s">
        <v>1979</v>
      </c>
      <c r="O491" t="s">
        <v>2164</v>
      </c>
      <c r="P491" t="s">
        <v>3090</v>
      </c>
      <c r="Q491">
        <v>57</v>
      </c>
      <c r="R491" s="1" t="s">
        <v>1839</v>
      </c>
      <c r="S491">
        <v>366</v>
      </c>
      <c r="T491">
        <v>20862</v>
      </c>
    </row>
    <row r="492" spans="1:20" x14ac:dyDescent="0.4">
      <c r="A492" s="1" t="s">
        <v>171</v>
      </c>
      <c r="B492" s="1" t="s">
        <v>1460</v>
      </c>
      <c r="C492" s="1" t="s">
        <v>1844</v>
      </c>
      <c r="D492" s="1" t="s">
        <v>1846</v>
      </c>
      <c r="E492">
        <v>20251217</v>
      </c>
      <c r="F492" s="1" t="s">
        <v>1469</v>
      </c>
      <c r="G492">
        <v>4</v>
      </c>
      <c r="H492" s="1" t="s">
        <v>1475</v>
      </c>
      <c r="I492" t="s">
        <v>1855</v>
      </c>
      <c r="J492" s="1" t="s">
        <v>1548</v>
      </c>
      <c r="K492" s="1" t="s">
        <v>1604</v>
      </c>
      <c r="L492" s="1" t="s">
        <v>1718</v>
      </c>
      <c r="M492" s="1" t="s">
        <v>1737</v>
      </c>
      <c r="N492" t="s">
        <v>1979</v>
      </c>
      <c r="O492" t="s">
        <v>2164</v>
      </c>
      <c r="P492" t="s">
        <v>3090</v>
      </c>
      <c r="Q492">
        <v>57</v>
      </c>
      <c r="R492" s="1" t="s">
        <v>1839</v>
      </c>
      <c r="S492">
        <v>366</v>
      </c>
      <c r="T492">
        <v>20862</v>
      </c>
    </row>
    <row r="493" spans="1:20" x14ac:dyDescent="0.4">
      <c r="A493" s="1" t="s">
        <v>172</v>
      </c>
      <c r="B493" s="1" t="s">
        <v>1453</v>
      </c>
      <c r="C493" s="1" t="s">
        <v>1844</v>
      </c>
      <c r="D493" s="1" t="s">
        <v>1846</v>
      </c>
      <c r="E493">
        <v>20251217</v>
      </c>
      <c r="F493" s="1" t="s">
        <v>1469</v>
      </c>
      <c r="G493">
        <v>4</v>
      </c>
      <c r="H493" s="1" t="s">
        <v>1475</v>
      </c>
      <c r="I493" t="s">
        <v>1855</v>
      </c>
      <c r="J493" s="1" t="s">
        <v>1548</v>
      </c>
      <c r="K493" s="1" t="s">
        <v>1604</v>
      </c>
      <c r="L493" s="1" t="s">
        <v>1718</v>
      </c>
      <c r="M493" s="1" t="s">
        <v>1737</v>
      </c>
      <c r="N493" t="s">
        <v>1979</v>
      </c>
      <c r="O493" t="s">
        <v>2164</v>
      </c>
      <c r="P493" t="s">
        <v>3090</v>
      </c>
      <c r="Q493">
        <v>57</v>
      </c>
      <c r="R493" s="1" t="s">
        <v>1839</v>
      </c>
      <c r="S493">
        <v>366</v>
      </c>
      <c r="T493">
        <v>20862</v>
      </c>
    </row>
    <row r="494" spans="1:20" x14ac:dyDescent="0.4">
      <c r="A494" s="1" t="s">
        <v>172</v>
      </c>
      <c r="B494" s="1" t="s">
        <v>1454</v>
      </c>
      <c r="C494" s="1" t="s">
        <v>1844</v>
      </c>
      <c r="D494" s="1" t="s">
        <v>1846</v>
      </c>
      <c r="E494">
        <v>20251217</v>
      </c>
      <c r="F494" s="1" t="s">
        <v>1469</v>
      </c>
      <c r="G494">
        <v>4</v>
      </c>
      <c r="H494" s="1" t="s">
        <v>1475</v>
      </c>
      <c r="I494" t="s">
        <v>1855</v>
      </c>
      <c r="J494" s="1" t="s">
        <v>1548</v>
      </c>
      <c r="K494" s="1" t="s">
        <v>1604</v>
      </c>
      <c r="L494" s="1" t="s">
        <v>1718</v>
      </c>
      <c r="M494" s="1" t="s">
        <v>1737</v>
      </c>
      <c r="N494" t="s">
        <v>1979</v>
      </c>
      <c r="O494" t="s">
        <v>2164</v>
      </c>
      <c r="P494" t="s">
        <v>3090</v>
      </c>
      <c r="Q494">
        <v>68.400000000000006</v>
      </c>
      <c r="R494" s="1" t="s">
        <v>1839</v>
      </c>
      <c r="S494">
        <v>366</v>
      </c>
      <c r="T494">
        <v>25034</v>
      </c>
    </row>
    <row r="495" spans="1:20" x14ac:dyDescent="0.4">
      <c r="A495" s="1" t="s">
        <v>172</v>
      </c>
      <c r="B495" s="1" t="s">
        <v>1455</v>
      </c>
      <c r="C495" s="1" t="s">
        <v>1844</v>
      </c>
      <c r="D495" s="1" t="s">
        <v>1846</v>
      </c>
      <c r="E495">
        <v>20251217</v>
      </c>
      <c r="F495" s="1" t="s">
        <v>1469</v>
      </c>
      <c r="G495">
        <v>4</v>
      </c>
      <c r="H495" s="1" t="s">
        <v>1475</v>
      </c>
      <c r="I495" t="s">
        <v>1855</v>
      </c>
      <c r="J495" s="1" t="s">
        <v>1548</v>
      </c>
      <c r="K495" s="1" t="s">
        <v>1604</v>
      </c>
      <c r="L495" s="1" t="s">
        <v>1718</v>
      </c>
      <c r="M495" s="1" t="s">
        <v>1737</v>
      </c>
      <c r="N495" t="s">
        <v>1979</v>
      </c>
      <c r="O495" t="s">
        <v>2164</v>
      </c>
      <c r="P495" t="s">
        <v>3090</v>
      </c>
      <c r="Q495">
        <v>57</v>
      </c>
      <c r="R495" s="1" t="s">
        <v>1839</v>
      </c>
      <c r="S495">
        <v>366</v>
      </c>
      <c r="T495">
        <v>20862</v>
      </c>
    </row>
    <row r="496" spans="1:20" x14ac:dyDescent="0.4">
      <c r="A496" s="1" t="s">
        <v>172</v>
      </c>
      <c r="B496" s="1" t="s">
        <v>1456</v>
      </c>
      <c r="C496" s="1" t="s">
        <v>1844</v>
      </c>
      <c r="D496" s="1" t="s">
        <v>1846</v>
      </c>
      <c r="E496">
        <v>20251217</v>
      </c>
      <c r="F496" s="1" t="s">
        <v>1469</v>
      </c>
      <c r="G496">
        <v>4</v>
      </c>
      <c r="H496" s="1" t="s">
        <v>1475</v>
      </c>
      <c r="I496" t="s">
        <v>1855</v>
      </c>
      <c r="J496" s="1" t="s">
        <v>1548</v>
      </c>
      <c r="K496" s="1" t="s">
        <v>1604</v>
      </c>
      <c r="L496" s="1" t="s">
        <v>1718</v>
      </c>
      <c r="M496" s="1" t="s">
        <v>1737</v>
      </c>
      <c r="N496" t="s">
        <v>1979</v>
      </c>
      <c r="O496" t="s">
        <v>2164</v>
      </c>
      <c r="P496" t="s">
        <v>3090</v>
      </c>
      <c r="Q496">
        <v>57</v>
      </c>
      <c r="R496" s="1" t="s">
        <v>1839</v>
      </c>
      <c r="S496">
        <v>366</v>
      </c>
      <c r="T496">
        <v>20862</v>
      </c>
    </row>
    <row r="497" spans="1:20" x14ac:dyDescent="0.4">
      <c r="A497" s="1" t="s">
        <v>172</v>
      </c>
      <c r="B497" s="1" t="s">
        <v>1457</v>
      </c>
      <c r="C497" s="1" t="s">
        <v>1844</v>
      </c>
      <c r="D497" s="1" t="s">
        <v>1846</v>
      </c>
      <c r="E497">
        <v>20251217</v>
      </c>
      <c r="F497" s="1" t="s">
        <v>1469</v>
      </c>
      <c r="G497">
        <v>4</v>
      </c>
      <c r="H497" s="1" t="s">
        <v>1475</v>
      </c>
      <c r="I497" t="s">
        <v>1855</v>
      </c>
      <c r="J497" s="1" t="s">
        <v>1548</v>
      </c>
      <c r="K497" s="1" t="s">
        <v>1604</v>
      </c>
      <c r="L497" s="1" t="s">
        <v>1718</v>
      </c>
      <c r="M497" s="1" t="s">
        <v>1737</v>
      </c>
      <c r="N497" t="s">
        <v>1979</v>
      </c>
      <c r="O497" t="s">
        <v>2164</v>
      </c>
      <c r="P497" t="s">
        <v>3090</v>
      </c>
      <c r="Q497">
        <v>57</v>
      </c>
      <c r="R497" s="1" t="s">
        <v>1839</v>
      </c>
      <c r="S497">
        <v>366</v>
      </c>
      <c r="T497">
        <v>20862</v>
      </c>
    </row>
    <row r="498" spans="1:20" x14ac:dyDescent="0.4">
      <c r="A498" s="1" t="s">
        <v>172</v>
      </c>
      <c r="B498" s="1" t="s">
        <v>1458</v>
      </c>
      <c r="C498" s="1" t="s">
        <v>1844</v>
      </c>
      <c r="D498" s="1" t="s">
        <v>1846</v>
      </c>
      <c r="E498">
        <v>20251217</v>
      </c>
      <c r="F498" s="1" t="s">
        <v>1469</v>
      </c>
      <c r="G498">
        <v>4</v>
      </c>
      <c r="H498" s="1" t="s">
        <v>1475</v>
      </c>
      <c r="I498" t="s">
        <v>1855</v>
      </c>
      <c r="J498" s="1" t="s">
        <v>1548</v>
      </c>
      <c r="K498" s="1" t="s">
        <v>1604</v>
      </c>
      <c r="L498" s="1" t="s">
        <v>1718</v>
      </c>
      <c r="M498" s="1" t="s">
        <v>1737</v>
      </c>
      <c r="N498" t="s">
        <v>1979</v>
      </c>
      <c r="O498" t="s">
        <v>2164</v>
      </c>
      <c r="P498" t="s">
        <v>3090</v>
      </c>
      <c r="Q498">
        <v>57</v>
      </c>
      <c r="R498" s="1" t="s">
        <v>1839</v>
      </c>
      <c r="S498">
        <v>366</v>
      </c>
      <c r="T498">
        <v>20862</v>
      </c>
    </row>
    <row r="499" spans="1:20" x14ac:dyDescent="0.4">
      <c r="A499" s="1" t="s">
        <v>172</v>
      </c>
      <c r="B499" s="1" t="s">
        <v>1459</v>
      </c>
      <c r="C499" s="1" t="s">
        <v>1844</v>
      </c>
      <c r="D499" s="1" t="s">
        <v>1846</v>
      </c>
      <c r="E499">
        <v>20251217</v>
      </c>
      <c r="F499" s="1" t="s">
        <v>1469</v>
      </c>
      <c r="G499">
        <v>4</v>
      </c>
      <c r="H499" s="1" t="s">
        <v>1475</v>
      </c>
      <c r="I499" t="s">
        <v>1855</v>
      </c>
      <c r="J499" s="1" t="s">
        <v>1548</v>
      </c>
      <c r="K499" s="1" t="s">
        <v>1604</v>
      </c>
      <c r="L499" s="1" t="s">
        <v>1718</v>
      </c>
      <c r="M499" s="1" t="s">
        <v>1737</v>
      </c>
      <c r="N499" t="s">
        <v>1979</v>
      </c>
      <c r="O499" t="s">
        <v>2164</v>
      </c>
      <c r="P499" t="s">
        <v>3090</v>
      </c>
      <c r="Q499">
        <v>57</v>
      </c>
      <c r="R499" s="1" t="s">
        <v>1839</v>
      </c>
      <c r="S499">
        <v>366</v>
      </c>
      <c r="T499">
        <v>20862</v>
      </c>
    </row>
    <row r="500" spans="1:20" x14ac:dyDescent="0.4">
      <c r="A500" s="1" t="s">
        <v>172</v>
      </c>
      <c r="B500" s="1" t="s">
        <v>1460</v>
      </c>
      <c r="C500" s="1" t="s">
        <v>1844</v>
      </c>
      <c r="D500" s="1" t="s">
        <v>1846</v>
      </c>
      <c r="E500">
        <v>20251217</v>
      </c>
      <c r="F500" s="1" t="s">
        <v>1469</v>
      </c>
      <c r="G500">
        <v>4</v>
      </c>
      <c r="H500" s="1" t="s">
        <v>1475</v>
      </c>
      <c r="I500" t="s">
        <v>1855</v>
      </c>
      <c r="J500" s="1" t="s">
        <v>1548</v>
      </c>
      <c r="K500" s="1" t="s">
        <v>1604</v>
      </c>
      <c r="L500" s="1" t="s">
        <v>1718</v>
      </c>
      <c r="M500" s="1" t="s">
        <v>1737</v>
      </c>
      <c r="N500" t="s">
        <v>1979</v>
      </c>
      <c r="O500" t="s">
        <v>2164</v>
      </c>
      <c r="P500" t="s">
        <v>3090</v>
      </c>
      <c r="Q500">
        <v>68.400000000000006</v>
      </c>
      <c r="R500" s="1" t="s">
        <v>1839</v>
      </c>
      <c r="S500">
        <v>366</v>
      </c>
      <c r="T500">
        <v>25034</v>
      </c>
    </row>
    <row r="501" spans="1:20" x14ac:dyDescent="0.4">
      <c r="A501" s="1" t="s">
        <v>173</v>
      </c>
      <c r="B501" s="1" t="s">
        <v>1453</v>
      </c>
      <c r="C501" s="1" t="s">
        <v>1844</v>
      </c>
      <c r="D501" s="1" t="s">
        <v>1846</v>
      </c>
      <c r="E501">
        <v>20251217</v>
      </c>
      <c r="F501" s="1" t="s">
        <v>1469</v>
      </c>
      <c r="G501">
        <v>4</v>
      </c>
      <c r="H501" s="1" t="s">
        <v>1475</v>
      </c>
      <c r="I501" t="s">
        <v>1855</v>
      </c>
      <c r="J501" s="1" t="s">
        <v>1548</v>
      </c>
      <c r="K501" s="1" t="s">
        <v>1604</v>
      </c>
      <c r="L501" s="1" t="s">
        <v>1718</v>
      </c>
      <c r="M501" s="1" t="s">
        <v>1737</v>
      </c>
      <c r="N501" t="s">
        <v>1979</v>
      </c>
      <c r="O501" t="s">
        <v>2164</v>
      </c>
      <c r="P501" t="s">
        <v>3090</v>
      </c>
      <c r="Q501">
        <v>57</v>
      </c>
      <c r="R501" s="1" t="s">
        <v>1839</v>
      </c>
      <c r="S501">
        <v>366</v>
      </c>
      <c r="T501">
        <v>20862</v>
      </c>
    </row>
    <row r="502" spans="1:20" x14ac:dyDescent="0.4">
      <c r="A502" s="1" t="s">
        <v>173</v>
      </c>
      <c r="B502" s="1" t="s">
        <v>1454</v>
      </c>
      <c r="C502" s="1" t="s">
        <v>1844</v>
      </c>
      <c r="D502" s="1" t="s">
        <v>1846</v>
      </c>
      <c r="E502">
        <v>20251217</v>
      </c>
      <c r="F502" s="1" t="s">
        <v>1469</v>
      </c>
      <c r="G502">
        <v>4</v>
      </c>
      <c r="H502" s="1" t="s">
        <v>1475</v>
      </c>
      <c r="I502" t="s">
        <v>1855</v>
      </c>
      <c r="J502" s="1" t="s">
        <v>1548</v>
      </c>
      <c r="K502" s="1" t="s">
        <v>1604</v>
      </c>
      <c r="L502" s="1" t="s">
        <v>1718</v>
      </c>
      <c r="M502" s="1" t="s">
        <v>1737</v>
      </c>
      <c r="N502" t="s">
        <v>1979</v>
      </c>
      <c r="O502" t="s">
        <v>2164</v>
      </c>
      <c r="P502" t="s">
        <v>3090</v>
      </c>
      <c r="Q502">
        <v>57</v>
      </c>
      <c r="R502" s="1" t="s">
        <v>1839</v>
      </c>
      <c r="S502">
        <v>366</v>
      </c>
      <c r="T502">
        <v>20862</v>
      </c>
    </row>
    <row r="503" spans="1:20" x14ac:dyDescent="0.4">
      <c r="A503" s="1" t="s">
        <v>173</v>
      </c>
      <c r="B503" s="1" t="s">
        <v>1455</v>
      </c>
      <c r="C503" s="1" t="s">
        <v>1844</v>
      </c>
      <c r="D503" s="1" t="s">
        <v>1846</v>
      </c>
      <c r="E503">
        <v>20251217</v>
      </c>
      <c r="F503" s="1" t="s">
        <v>1469</v>
      </c>
      <c r="G503">
        <v>4</v>
      </c>
      <c r="H503" s="1" t="s">
        <v>1475</v>
      </c>
      <c r="I503" t="s">
        <v>1855</v>
      </c>
      <c r="J503" s="1" t="s">
        <v>1548</v>
      </c>
      <c r="K503" s="1" t="s">
        <v>1604</v>
      </c>
      <c r="L503" s="1" t="s">
        <v>1718</v>
      </c>
      <c r="M503" s="1" t="s">
        <v>1737</v>
      </c>
      <c r="N503" t="s">
        <v>1979</v>
      </c>
      <c r="O503" t="s">
        <v>2164</v>
      </c>
      <c r="P503" t="s">
        <v>3090</v>
      </c>
      <c r="Q503">
        <v>57</v>
      </c>
      <c r="R503" s="1" t="s">
        <v>1839</v>
      </c>
      <c r="S503">
        <v>366</v>
      </c>
      <c r="T503">
        <v>20862</v>
      </c>
    </row>
    <row r="504" spans="1:20" x14ac:dyDescent="0.4">
      <c r="A504" s="1" t="s">
        <v>173</v>
      </c>
      <c r="B504" s="1" t="s">
        <v>1456</v>
      </c>
      <c r="C504" s="1" t="s">
        <v>1844</v>
      </c>
      <c r="D504" s="1" t="s">
        <v>1846</v>
      </c>
      <c r="E504">
        <v>20251217</v>
      </c>
      <c r="F504" s="1" t="s">
        <v>1469</v>
      </c>
      <c r="G504">
        <v>4</v>
      </c>
      <c r="H504" s="1" t="s">
        <v>1475</v>
      </c>
      <c r="I504" t="s">
        <v>1855</v>
      </c>
      <c r="J504" s="1" t="s">
        <v>1548</v>
      </c>
      <c r="K504" s="1" t="s">
        <v>1604</v>
      </c>
      <c r="L504" s="1" t="s">
        <v>1718</v>
      </c>
      <c r="M504" s="1" t="s">
        <v>1737</v>
      </c>
      <c r="N504" t="s">
        <v>1979</v>
      </c>
      <c r="O504" t="s">
        <v>2164</v>
      </c>
      <c r="P504" t="s">
        <v>3090</v>
      </c>
      <c r="Q504">
        <v>49.4</v>
      </c>
      <c r="R504" s="1" t="s">
        <v>1839</v>
      </c>
      <c r="S504">
        <v>366</v>
      </c>
      <c r="T504">
        <v>18080</v>
      </c>
    </row>
    <row r="505" spans="1:20" x14ac:dyDescent="0.4">
      <c r="A505" s="1" t="s">
        <v>173</v>
      </c>
      <c r="B505" s="1" t="s">
        <v>1457</v>
      </c>
      <c r="C505" s="1" t="s">
        <v>1844</v>
      </c>
      <c r="D505" s="1" t="s">
        <v>1846</v>
      </c>
      <c r="E505">
        <v>20251217</v>
      </c>
      <c r="F505" s="1" t="s">
        <v>1469</v>
      </c>
      <c r="G505">
        <v>4</v>
      </c>
      <c r="H505" s="1" t="s">
        <v>1475</v>
      </c>
      <c r="I505" t="s">
        <v>1855</v>
      </c>
      <c r="J505" s="1" t="s">
        <v>1548</v>
      </c>
      <c r="K505" s="1" t="s">
        <v>1604</v>
      </c>
      <c r="L505" s="1" t="s">
        <v>1718</v>
      </c>
      <c r="M505" s="1" t="s">
        <v>1737</v>
      </c>
      <c r="N505" t="s">
        <v>1979</v>
      </c>
      <c r="O505" t="s">
        <v>2164</v>
      </c>
      <c r="P505" t="s">
        <v>3090</v>
      </c>
      <c r="Q505">
        <v>57</v>
      </c>
      <c r="R505" s="1" t="s">
        <v>1839</v>
      </c>
      <c r="S505">
        <v>366</v>
      </c>
      <c r="T505">
        <v>20862</v>
      </c>
    </row>
    <row r="506" spans="1:20" x14ac:dyDescent="0.4">
      <c r="A506" s="1" t="s">
        <v>173</v>
      </c>
      <c r="B506" s="1" t="s">
        <v>1458</v>
      </c>
      <c r="C506" s="1" t="s">
        <v>1844</v>
      </c>
      <c r="D506" s="1" t="s">
        <v>1846</v>
      </c>
      <c r="E506">
        <v>20251217</v>
      </c>
      <c r="F506" s="1" t="s">
        <v>1469</v>
      </c>
      <c r="G506">
        <v>4</v>
      </c>
      <c r="H506" s="1" t="s">
        <v>1475</v>
      </c>
      <c r="I506" t="s">
        <v>1855</v>
      </c>
      <c r="J506" s="1" t="s">
        <v>1548</v>
      </c>
      <c r="K506" s="1" t="s">
        <v>1604</v>
      </c>
      <c r="L506" s="1" t="s">
        <v>1718</v>
      </c>
      <c r="M506" s="1" t="s">
        <v>1737</v>
      </c>
      <c r="N506" t="s">
        <v>1979</v>
      </c>
      <c r="O506" t="s">
        <v>2164</v>
      </c>
      <c r="P506" t="s">
        <v>3090</v>
      </c>
      <c r="Q506">
        <v>57</v>
      </c>
      <c r="R506" s="1" t="s">
        <v>1839</v>
      </c>
      <c r="S506">
        <v>366</v>
      </c>
      <c r="T506">
        <v>20862</v>
      </c>
    </row>
    <row r="507" spans="1:20" x14ac:dyDescent="0.4">
      <c r="A507" s="1" t="s">
        <v>173</v>
      </c>
      <c r="B507" s="1" t="s">
        <v>1459</v>
      </c>
      <c r="C507" s="1" t="s">
        <v>1844</v>
      </c>
      <c r="D507" s="1" t="s">
        <v>1846</v>
      </c>
      <c r="E507">
        <v>20251217</v>
      </c>
      <c r="F507" s="1" t="s">
        <v>1469</v>
      </c>
      <c r="G507">
        <v>4</v>
      </c>
      <c r="H507" s="1" t="s">
        <v>1475</v>
      </c>
      <c r="I507" t="s">
        <v>1855</v>
      </c>
      <c r="J507" s="1" t="s">
        <v>1548</v>
      </c>
      <c r="K507" s="1" t="s">
        <v>1604</v>
      </c>
      <c r="L507" s="1" t="s">
        <v>1718</v>
      </c>
      <c r="M507" s="1" t="s">
        <v>1737</v>
      </c>
      <c r="N507" t="s">
        <v>1979</v>
      </c>
      <c r="O507" t="s">
        <v>2164</v>
      </c>
      <c r="P507" t="s">
        <v>3090</v>
      </c>
      <c r="Q507">
        <v>57</v>
      </c>
      <c r="R507" s="1" t="s">
        <v>1839</v>
      </c>
      <c r="S507">
        <v>366</v>
      </c>
      <c r="T507">
        <v>20862</v>
      </c>
    </row>
    <row r="508" spans="1:20" x14ac:dyDescent="0.4">
      <c r="A508" s="1" t="s">
        <v>173</v>
      </c>
      <c r="B508" s="1" t="s">
        <v>1460</v>
      </c>
      <c r="C508" s="1" t="s">
        <v>1844</v>
      </c>
      <c r="D508" s="1" t="s">
        <v>1846</v>
      </c>
      <c r="E508">
        <v>20251217</v>
      </c>
      <c r="F508" s="1" t="s">
        <v>1469</v>
      </c>
      <c r="G508">
        <v>4</v>
      </c>
      <c r="H508" s="1" t="s">
        <v>1475</v>
      </c>
      <c r="I508" t="s">
        <v>1855</v>
      </c>
      <c r="J508" s="1" t="s">
        <v>1548</v>
      </c>
      <c r="K508" s="1" t="s">
        <v>1604</v>
      </c>
      <c r="L508" s="1" t="s">
        <v>1718</v>
      </c>
      <c r="M508" s="1" t="s">
        <v>1737</v>
      </c>
      <c r="N508" t="s">
        <v>1979</v>
      </c>
      <c r="O508" t="s">
        <v>2164</v>
      </c>
      <c r="P508" t="s">
        <v>3090</v>
      </c>
      <c r="Q508">
        <v>49.02</v>
      </c>
      <c r="R508" s="1" t="s">
        <v>1839</v>
      </c>
      <c r="S508">
        <v>366</v>
      </c>
      <c r="T508">
        <v>17941</v>
      </c>
    </row>
    <row r="509" spans="1:20" x14ac:dyDescent="0.4">
      <c r="A509" s="1" t="s">
        <v>174</v>
      </c>
      <c r="B509" s="1" t="s">
        <v>1453</v>
      </c>
      <c r="C509" s="1" t="s">
        <v>1844</v>
      </c>
      <c r="D509" s="1" t="s">
        <v>1846</v>
      </c>
      <c r="E509">
        <v>20251219</v>
      </c>
      <c r="F509" s="1" t="s">
        <v>1469</v>
      </c>
      <c r="G509">
        <v>4</v>
      </c>
      <c r="H509" s="1" t="s">
        <v>1475</v>
      </c>
      <c r="I509" t="s">
        <v>1855</v>
      </c>
      <c r="J509" s="1" t="s">
        <v>1544</v>
      </c>
      <c r="K509" s="1" t="s">
        <v>1605</v>
      </c>
      <c r="L509" s="1" t="s">
        <v>1718</v>
      </c>
      <c r="M509" s="1" t="s">
        <v>1761</v>
      </c>
      <c r="N509" t="s">
        <v>1980</v>
      </c>
      <c r="O509" t="s">
        <v>2164</v>
      </c>
      <c r="P509" t="s">
        <v>3091</v>
      </c>
      <c r="Q509">
        <v>108.83</v>
      </c>
      <c r="R509" s="1" t="s">
        <v>1839</v>
      </c>
      <c r="S509">
        <v>2824</v>
      </c>
      <c r="T509">
        <v>307335</v>
      </c>
    </row>
    <row r="510" spans="1:20" x14ac:dyDescent="0.4">
      <c r="A510" s="1" t="s">
        <v>174</v>
      </c>
      <c r="B510" s="1" t="s">
        <v>1454</v>
      </c>
      <c r="C510" s="1" t="s">
        <v>1844</v>
      </c>
      <c r="D510" s="1" t="s">
        <v>1846</v>
      </c>
      <c r="E510">
        <v>20251219</v>
      </c>
      <c r="F510" s="1" t="s">
        <v>1469</v>
      </c>
      <c r="G510">
        <v>4</v>
      </c>
      <c r="H510" s="1" t="s">
        <v>1475</v>
      </c>
      <c r="I510" t="s">
        <v>1855</v>
      </c>
      <c r="J510" s="1" t="s">
        <v>1544</v>
      </c>
      <c r="K510" s="1" t="s">
        <v>1605</v>
      </c>
      <c r="L510" s="1" t="s">
        <v>1718</v>
      </c>
      <c r="M510" s="1" t="s">
        <v>1761</v>
      </c>
      <c r="N510" t="s">
        <v>1980</v>
      </c>
      <c r="O510" t="s">
        <v>2164</v>
      </c>
      <c r="P510" t="s">
        <v>3091</v>
      </c>
      <c r="Q510">
        <v>120.12</v>
      </c>
      <c r="R510" s="1" t="s">
        <v>1839</v>
      </c>
      <c r="S510">
        <v>2824</v>
      </c>
      <c r="T510">
        <v>339218</v>
      </c>
    </row>
    <row r="511" spans="1:20" x14ac:dyDescent="0.4">
      <c r="A511" s="1" t="s">
        <v>174</v>
      </c>
      <c r="B511" s="1" t="s">
        <v>1455</v>
      </c>
      <c r="C511" s="1" t="s">
        <v>1844</v>
      </c>
      <c r="D511" s="1" t="s">
        <v>1846</v>
      </c>
      <c r="E511">
        <v>20251219</v>
      </c>
      <c r="F511" s="1" t="s">
        <v>1469</v>
      </c>
      <c r="G511">
        <v>4</v>
      </c>
      <c r="H511" s="1" t="s">
        <v>1475</v>
      </c>
      <c r="I511" t="s">
        <v>1855</v>
      </c>
      <c r="J511" s="1" t="s">
        <v>1544</v>
      </c>
      <c r="K511" s="1" t="s">
        <v>1605</v>
      </c>
      <c r="L511" s="1" t="s">
        <v>1718</v>
      </c>
      <c r="M511" s="1" t="s">
        <v>1761</v>
      </c>
      <c r="N511" t="s">
        <v>1980</v>
      </c>
      <c r="O511" t="s">
        <v>2164</v>
      </c>
      <c r="P511" t="s">
        <v>3091</v>
      </c>
      <c r="Q511">
        <v>120.12</v>
      </c>
      <c r="R511" s="1" t="s">
        <v>1839</v>
      </c>
      <c r="S511">
        <v>2824</v>
      </c>
      <c r="T511">
        <v>339218</v>
      </c>
    </row>
    <row r="512" spans="1:20" x14ac:dyDescent="0.4">
      <c r="A512" s="1" t="s">
        <v>174</v>
      </c>
      <c r="B512" s="1" t="s">
        <v>1456</v>
      </c>
      <c r="C512" s="1" t="s">
        <v>1844</v>
      </c>
      <c r="D512" s="1" t="s">
        <v>1846</v>
      </c>
      <c r="E512">
        <v>20251219</v>
      </c>
      <c r="F512" s="1" t="s">
        <v>1469</v>
      </c>
      <c r="G512">
        <v>4</v>
      </c>
      <c r="H512" s="1" t="s">
        <v>1475</v>
      </c>
      <c r="I512" t="s">
        <v>1855</v>
      </c>
      <c r="J512" s="1" t="s">
        <v>1544</v>
      </c>
      <c r="K512" s="1" t="s">
        <v>1605</v>
      </c>
      <c r="L512" s="1" t="s">
        <v>1718</v>
      </c>
      <c r="M512" s="1" t="s">
        <v>1761</v>
      </c>
      <c r="N512" t="s">
        <v>1980</v>
      </c>
      <c r="O512" t="s">
        <v>2164</v>
      </c>
      <c r="P512" t="s">
        <v>3091</v>
      </c>
      <c r="Q512">
        <v>115.38</v>
      </c>
      <c r="R512" s="1" t="s">
        <v>1839</v>
      </c>
      <c r="S512">
        <v>2824</v>
      </c>
      <c r="T512">
        <v>325833</v>
      </c>
    </row>
    <row r="513" spans="1:20" x14ac:dyDescent="0.4">
      <c r="A513" s="1" t="s">
        <v>174</v>
      </c>
      <c r="B513" s="1" t="s">
        <v>1457</v>
      </c>
      <c r="C513" s="1" t="s">
        <v>1844</v>
      </c>
      <c r="D513" s="1" t="s">
        <v>1846</v>
      </c>
      <c r="E513">
        <v>20251219</v>
      </c>
      <c r="F513" s="1" t="s">
        <v>1469</v>
      </c>
      <c r="G513">
        <v>4</v>
      </c>
      <c r="H513" s="1" t="s">
        <v>1475</v>
      </c>
      <c r="I513" t="s">
        <v>1855</v>
      </c>
      <c r="J513" s="1" t="s">
        <v>1544</v>
      </c>
      <c r="K513" s="1" t="s">
        <v>1605</v>
      </c>
      <c r="L513" s="1" t="s">
        <v>1718</v>
      </c>
      <c r="M513" s="1" t="s">
        <v>1761</v>
      </c>
      <c r="N513" t="s">
        <v>1980</v>
      </c>
      <c r="O513" t="s">
        <v>2164</v>
      </c>
      <c r="P513" t="s">
        <v>3091</v>
      </c>
      <c r="Q513">
        <v>76.8</v>
      </c>
      <c r="R513" s="1" t="s">
        <v>1839</v>
      </c>
      <c r="S513">
        <v>2824</v>
      </c>
      <c r="T513">
        <v>216883</v>
      </c>
    </row>
    <row r="514" spans="1:20" x14ac:dyDescent="0.4">
      <c r="A514" s="1" t="s">
        <v>174</v>
      </c>
      <c r="B514" s="1" t="s">
        <v>1458</v>
      </c>
      <c r="C514" s="1" t="s">
        <v>1844</v>
      </c>
      <c r="D514" s="1" t="s">
        <v>1846</v>
      </c>
      <c r="E514">
        <v>20251219</v>
      </c>
      <c r="F514" s="1" t="s">
        <v>1469</v>
      </c>
      <c r="G514">
        <v>4</v>
      </c>
      <c r="H514" s="1" t="s">
        <v>1475</v>
      </c>
      <c r="I514" t="s">
        <v>1855</v>
      </c>
      <c r="J514" s="1" t="s">
        <v>1544</v>
      </c>
      <c r="K514" s="1" t="s">
        <v>1605</v>
      </c>
      <c r="L514" s="1" t="s">
        <v>1718</v>
      </c>
      <c r="M514" s="1" t="s">
        <v>1761</v>
      </c>
      <c r="N514" t="s">
        <v>1980</v>
      </c>
      <c r="O514" t="s">
        <v>2164</v>
      </c>
      <c r="P514" t="s">
        <v>3091</v>
      </c>
      <c r="Q514">
        <v>57.51</v>
      </c>
      <c r="R514" s="1" t="s">
        <v>1839</v>
      </c>
      <c r="S514">
        <v>2824</v>
      </c>
      <c r="T514">
        <v>162408</v>
      </c>
    </row>
    <row r="515" spans="1:20" x14ac:dyDescent="0.4">
      <c r="A515" s="1" t="s">
        <v>174</v>
      </c>
      <c r="B515" s="1" t="s">
        <v>1459</v>
      </c>
      <c r="C515" s="1" t="s">
        <v>1844</v>
      </c>
      <c r="D515" s="1" t="s">
        <v>1846</v>
      </c>
      <c r="E515">
        <v>20251219</v>
      </c>
      <c r="F515" s="1" t="s">
        <v>1469</v>
      </c>
      <c r="G515">
        <v>4</v>
      </c>
      <c r="H515" s="1" t="s">
        <v>1475</v>
      </c>
      <c r="I515" t="s">
        <v>1855</v>
      </c>
      <c r="J515" s="1" t="s">
        <v>1544</v>
      </c>
      <c r="K515" s="1" t="s">
        <v>1605</v>
      </c>
      <c r="L515" s="1" t="s">
        <v>1718</v>
      </c>
      <c r="M515" s="1" t="s">
        <v>1761</v>
      </c>
      <c r="N515" t="s">
        <v>1980</v>
      </c>
      <c r="O515" t="s">
        <v>2164</v>
      </c>
      <c r="P515" t="s">
        <v>3091</v>
      </c>
      <c r="Q515">
        <v>101.92</v>
      </c>
      <c r="R515" s="1" t="s">
        <v>1839</v>
      </c>
      <c r="S515">
        <v>2824</v>
      </c>
      <c r="T515">
        <v>287822</v>
      </c>
    </row>
    <row r="516" spans="1:20" x14ac:dyDescent="0.4">
      <c r="A516" s="1" t="s">
        <v>174</v>
      </c>
      <c r="B516" s="1" t="s">
        <v>1460</v>
      </c>
      <c r="C516" s="1" t="s">
        <v>1844</v>
      </c>
      <c r="D516" s="1" t="s">
        <v>1846</v>
      </c>
      <c r="E516">
        <v>20251219</v>
      </c>
      <c r="F516" s="1" t="s">
        <v>1469</v>
      </c>
      <c r="G516">
        <v>4</v>
      </c>
      <c r="H516" s="1" t="s">
        <v>1475</v>
      </c>
      <c r="I516" t="s">
        <v>1855</v>
      </c>
      <c r="J516" s="1" t="s">
        <v>1544</v>
      </c>
      <c r="K516" s="1" t="s">
        <v>1605</v>
      </c>
      <c r="L516" s="1" t="s">
        <v>1718</v>
      </c>
      <c r="M516" s="1" t="s">
        <v>1761</v>
      </c>
      <c r="N516" t="s">
        <v>1980</v>
      </c>
      <c r="O516" t="s">
        <v>2164</v>
      </c>
      <c r="P516" t="s">
        <v>3091</v>
      </c>
      <c r="Q516">
        <v>101.92</v>
      </c>
      <c r="R516" s="1" t="s">
        <v>1839</v>
      </c>
      <c r="S516">
        <v>2824</v>
      </c>
      <c r="T516">
        <v>287822</v>
      </c>
    </row>
    <row r="517" spans="1:20" x14ac:dyDescent="0.4">
      <c r="A517" s="1" t="s">
        <v>174</v>
      </c>
      <c r="B517" s="1" t="s">
        <v>1461</v>
      </c>
      <c r="C517" s="1" t="s">
        <v>1844</v>
      </c>
      <c r="D517" s="1" t="s">
        <v>1846</v>
      </c>
      <c r="E517">
        <v>20251219</v>
      </c>
      <c r="F517" s="1" t="s">
        <v>1469</v>
      </c>
      <c r="G517">
        <v>4</v>
      </c>
      <c r="H517" s="1" t="s">
        <v>1475</v>
      </c>
      <c r="I517" t="s">
        <v>1855</v>
      </c>
      <c r="J517" s="1" t="s">
        <v>1544</v>
      </c>
      <c r="K517" s="1" t="s">
        <v>1605</v>
      </c>
      <c r="L517" s="1" t="s">
        <v>1718</v>
      </c>
      <c r="M517" s="1" t="s">
        <v>1761</v>
      </c>
      <c r="N517" t="s">
        <v>1980</v>
      </c>
      <c r="O517" t="s">
        <v>2164</v>
      </c>
      <c r="P517" t="s">
        <v>3091</v>
      </c>
      <c r="Q517">
        <v>101.92</v>
      </c>
      <c r="R517" s="1" t="s">
        <v>1839</v>
      </c>
      <c r="S517">
        <v>2824</v>
      </c>
      <c r="T517">
        <v>287822</v>
      </c>
    </row>
    <row r="518" spans="1:20" x14ac:dyDescent="0.4">
      <c r="A518" s="1" t="s">
        <v>174</v>
      </c>
      <c r="B518" s="1" t="s">
        <v>1462</v>
      </c>
      <c r="C518" s="1" t="s">
        <v>1844</v>
      </c>
      <c r="D518" s="1" t="s">
        <v>1846</v>
      </c>
      <c r="E518">
        <v>20251219</v>
      </c>
      <c r="F518" s="1" t="s">
        <v>1469</v>
      </c>
      <c r="G518">
        <v>4</v>
      </c>
      <c r="H518" s="1" t="s">
        <v>1475</v>
      </c>
      <c r="I518" t="s">
        <v>1855</v>
      </c>
      <c r="J518" s="1" t="s">
        <v>1544</v>
      </c>
      <c r="K518" s="1" t="s">
        <v>1605</v>
      </c>
      <c r="L518" s="1" t="s">
        <v>1718</v>
      </c>
      <c r="M518" s="1" t="s">
        <v>1761</v>
      </c>
      <c r="N518" t="s">
        <v>1980</v>
      </c>
      <c r="O518" t="s">
        <v>2164</v>
      </c>
      <c r="P518" t="s">
        <v>3091</v>
      </c>
      <c r="Q518">
        <v>97.55</v>
      </c>
      <c r="R518" s="1" t="s">
        <v>1839</v>
      </c>
      <c r="S518">
        <v>2824</v>
      </c>
      <c r="T518">
        <v>275481</v>
      </c>
    </row>
    <row r="519" spans="1:20" x14ac:dyDescent="0.4">
      <c r="A519" s="1" t="s">
        <v>175</v>
      </c>
      <c r="B519" s="1" t="s">
        <v>1453</v>
      </c>
      <c r="C519" s="1" t="s">
        <v>1844</v>
      </c>
      <c r="D519" s="1" t="s">
        <v>1846</v>
      </c>
      <c r="E519">
        <v>20251219</v>
      </c>
      <c r="F519" s="1" t="s">
        <v>1469</v>
      </c>
      <c r="G519">
        <v>4</v>
      </c>
      <c r="H519" s="1" t="s">
        <v>1475</v>
      </c>
      <c r="I519" t="s">
        <v>1855</v>
      </c>
      <c r="J519" s="1" t="s">
        <v>1548</v>
      </c>
      <c r="K519" s="1" t="s">
        <v>1606</v>
      </c>
      <c r="L519" s="1" t="s">
        <v>1718</v>
      </c>
      <c r="M519" s="1" t="s">
        <v>1735</v>
      </c>
      <c r="N519" t="s">
        <v>1981</v>
      </c>
      <c r="O519" t="s">
        <v>2164</v>
      </c>
      <c r="P519" t="s">
        <v>3037</v>
      </c>
      <c r="Q519">
        <v>45.5</v>
      </c>
      <c r="R519" s="1" t="s">
        <v>1839</v>
      </c>
      <c r="S519">
        <v>2539</v>
      </c>
      <c r="T519">
        <v>115524</v>
      </c>
    </row>
    <row r="520" spans="1:20" x14ac:dyDescent="0.4">
      <c r="A520" s="1" t="s">
        <v>175</v>
      </c>
      <c r="B520" s="1" t="s">
        <v>1454</v>
      </c>
      <c r="C520" s="1" t="s">
        <v>1844</v>
      </c>
      <c r="D520" s="1" t="s">
        <v>1846</v>
      </c>
      <c r="E520">
        <v>20251219</v>
      </c>
      <c r="F520" s="1" t="s">
        <v>1469</v>
      </c>
      <c r="G520">
        <v>4</v>
      </c>
      <c r="H520" s="1" t="s">
        <v>1475</v>
      </c>
      <c r="I520" t="s">
        <v>1855</v>
      </c>
      <c r="J520" s="1" t="s">
        <v>1548</v>
      </c>
      <c r="K520" s="1" t="s">
        <v>1606</v>
      </c>
      <c r="L520" s="1" t="s">
        <v>1718</v>
      </c>
      <c r="M520" s="1" t="s">
        <v>1735</v>
      </c>
      <c r="N520" t="s">
        <v>1981</v>
      </c>
      <c r="O520" t="s">
        <v>2164</v>
      </c>
      <c r="P520" t="s">
        <v>3037</v>
      </c>
      <c r="Q520">
        <v>45.5</v>
      </c>
      <c r="R520" s="1" t="s">
        <v>1839</v>
      </c>
      <c r="S520">
        <v>2539</v>
      </c>
      <c r="T520">
        <v>115524</v>
      </c>
    </row>
    <row r="521" spans="1:20" x14ac:dyDescent="0.4">
      <c r="A521" s="1" t="s">
        <v>175</v>
      </c>
      <c r="B521" s="1" t="s">
        <v>1455</v>
      </c>
      <c r="C521" s="1" t="s">
        <v>1844</v>
      </c>
      <c r="D521" s="1" t="s">
        <v>1846</v>
      </c>
      <c r="E521">
        <v>20251219</v>
      </c>
      <c r="F521" s="1" t="s">
        <v>1469</v>
      </c>
      <c r="G521">
        <v>4</v>
      </c>
      <c r="H521" s="1" t="s">
        <v>1475</v>
      </c>
      <c r="I521" t="s">
        <v>1855</v>
      </c>
      <c r="J521" s="1" t="s">
        <v>1548</v>
      </c>
      <c r="K521" s="1" t="s">
        <v>1606</v>
      </c>
      <c r="L521" s="1" t="s">
        <v>1718</v>
      </c>
      <c r="M521" s="1" t="s">
        <v>1735</v>
      </c>
      <c r="N521" t="s">
        <v>1981</v>
      </c>
      <c r="O521" t="s">
        <v>2164</v>
      </c>
      <c r="P521" t="s">
        <v>3037</v>
      </c>
      <c r="Q521">
        <v>45.5</v>
      </c>
      <c r="R521" s="1" t="s">
        <v>1839</v>
      </c>
      <c r="S521">
        <v>2539</v>
      </c>
      <c r="T521">
        <v>115524</v>
      </c>
    </row>
    <row r="522" spans="1:20" x14ac:dyDescent="0.4">
      <c r="A522" s="1" t="s">
        <v>175</v>
      </c>
      <c r="B522" s="1" t="s">
        <v>1456</v>
      </c>
      <c r="C522" s="1" t="s">
        <v>1844</v>
      </c>
      <c r="D522" s="1" t="s">
        <v>1846</v>
      </c>
      <c r="E522">
        <v>20251219</v>
      </c>
      <c r="F522" s="1" t="s">
        <v>1469</v>
      </c>
      <c r="G522">
        <v>4</v>
      </c>
      <c r="H522" s="1" t="s">
        <v>1475</v>
      </c>
      <c r="I522" t="s">
        <v>1855</v>
      </c>
      <c r="J522" s="1" t="s">
        <v>1548</v>
      </c>
      <c r="K522" s="1" t="s">
        <v>1606</v>
      </c>
      <c r="L522" s="1" t="s">
        <v>1718</v>
      </c>
      <c r="M522" s="1" t="s">
        <v>1735</v>
      </c>
      <c r="N522" t="s">
        <v>1981</v>
      </c>
      <c r="O522" t="s">
        <v>2164</v>
      </c>
      <c r="P522" t="s">
        <v>3037</v>
      </c>
      <c r="Q522">
        <v>45.5</v>
      </c>
      <c r="R522" s="1" t="s">
        <v>1839</v>
      </c>
      <c r="S522">
        <v>2539</v>
      </c>
      <c r="T522">
        <v>115524</v>
      </c>
    </row>
    <row r="523" spans="1:20" x14ac:dyDescent="0.4">
      <c r="A523" s="1" t="s">
        <v>175</v>
      </c>
      <c r="B523" s="1" t="s">
        <v>1457</v>
      </c>
      <c r="C523" s="1" t="s">
        <v>1844</v>
      </c>
      <c r="D523" s="1" t="s">
        <v>1846</v>
      </c>
      <c r="E523">
        <v>20251219</v>
      </c>
      <c r="F523" s="1" t="s">
        <v>1469</v>
      </c>
      <c r="G523">
        <v>4</v>
      </c>
      <c r="H523" s="1" t="s">
        <v>1475</v>
      </c>
      <c r="I523" t="s">
        <v>1855</v>
      </c>
      <c r="J523" s="1" t="s">
        <v>1548</v>
      </c>
      <c r="K523" s="1" t="s">
        <v>1606</v>
      </c>
      <c r="L523" s="1" t="s">
        <v>1718</v>
      </c>
      <c r="M523" s="1" t="s">
        <v>1735</v>
      </c>
      <c r="N523" t="s">
        <v>1981</v>
      </c>
      <c r="O523" t="s">
        <v>2164</v>
      </c>
      <c r="P523" t="s">
        <v>3037</v>
      </c>
      <c r="Q523">
        <v>45.5</v>
      </c>
      <c r="R523" s="1" t="s">
        <v>1839</v>
      </c>
      <c r="S523">
        <v>2539</v>
      </c>
      <c r="T523">
        <v>115524</v>
      </c>
    </row>
    <row r="524" spans="1:20" x14ac:dyDescent="0.4">
      <c r="A524" s="1" t="s">
        <v>175</v>
      </c>
      <c r="B524" s="1" t="s">
        <v>1458</v>
      </c>
      <c r="C524" s="1" t="s">
        <v>1844</v>
      </c>
      <c r="D524" s="1" t="s">
        <v>1846</v>
      </c>
      <c r="E524">
        <v>20251219</v>
      </c>
      <c r="F524" s="1" t="s">
        <v>1469</v>
      </c>
      <c r="G524">
        <v>4</v>
      </c>
      <c r="H524" s="1" t="s">
        <v>1475</v>
      </c>
      <c r="I524" t="s">
        <v>1855</v>
      </c>
      <c r="J524" s="1" t="s">
        <v>1548</v>
      </c>
      <c r="K524" s="1" t="s">
        <v>1606</v>
      </c>
      <c r="L524" s="1" t="s">
        <v>1718</v>
      </c>
      <c r="M524" s="1" t="s">
        <v>1735</v>
      </c>
      <c r="N524" t="s">
        <v>1981</v>
      </c>
      <c r="O524" t="s">
        <v>2164</v>
      </c>
      <c r="P524" t="s">
        <v>3037</v>
      </c>
      <c r="Q524">
        <v>45.5</v>
      </c>
      <c r="R524" s="1" t="s">
        <v>1839</v>
      </c>
      <c r="S524">
        <v>2539</v>
      </c>
      <c r="T524">
        <v>115524</v>
      </c>
    </row>
    <row r="525" spans="1:20" x14ac:dyDescent="0.4">
      <c r="A525" s="1" t="s">
        <v>175</v>
      </c>
      <c r="B525" s="1" t="s">
        <v>1459</v>
      </c>
      <c r="C525" s="1" t="s">
        <v>1844</v>
      </c>
      <c r="D525" s="1" t="s">
        <v>1846</v>
      </c>
      <c r="E525">
        <v>20251219</v>
      </c>
      <c r="F525" s="1" t="s">
        <v>1469</v>
      </c>
      <c r="G525">
        <v>4</v>
      </c>
      <c r="H525" s="1" t="s">
        <v>1475</v>
      </c>
      <c r="I525" t="s">
        <v>1855</v>
      </c>
      <c r="J525" s="1" t="s">
        <v>1548</v>
      </c>
      <c r="K525" s="1" t="s">
        <v>1606</v>
      </c>
      <c r="L525" s="1" t="s">
        <v>1718</v>
      </c>
      <c r="M525" s="1" t="s">
        <v>1735</v>
      </c>
      <c r="N525" t="s">
        <v>1981</v>
      </c>
      <c r="O525" t="s">
        <v>2164</v>
      </c>
      <c r="P525" t="s">
        <v>3037</v>
      </c>
      <c r="Q525">
        <v>48.04</v>
      </c>
      <c r="R525" s="1" t="s">
        <v>1839</v>
      </c>
      <c r="S525">
        <v>2539</v>
      </c>
      <c r="T525">
        <v>121973</v>
      </c>
    </row>
    <row r="526" spans="1:20" x14ac:dyDescent="0.4">
      <c r="A526" s="1" t="s">
        <v>175</v>
      </c>
      <c r="B526" s="1" t="s">
        <v>1460</v>
      </c>
      <c r="C526" s="1" t="s">
        <v>1844</v>
      </c>
      <c r="D526" s="1" t="s">
        <v>1846</v>
      </c>
      <c r="E526">
        <v>20251219</v>
      </c>
      <c r="F526" s="1" t="s">
        <v>1469</v>
      </c>
      <c r="G526">
        <v>4</v>
      </c>
      <c r="H526" s="1" t="s">
        <v>1475</v>
      </c>
      <c r="I526" t="s">
        <v>1855</v>
      </c>
      <c r="J526" s="1" t="s">
        <v>1548</v>
      </c>
      <c r="K526" s="1" t="s">
        <v>1606</v>
      </c>
      <c r="L526" s="1" t="s">
        <v>1718</v>
      </c>
      <c r="M526" s="1" t="s">
        <v>1735</v>
      </c>
      <c r="N526" t="s">
        <v>1981</v>
      </c>
      <c r="O526" t="s">
        <v>2164</v>
      </c>
      <c r="P526" t="s">
        <v>3037</v>
      </c>
      <c r="Q526">
        <v>43.86</v>
      </c>
      <c r="R526" s="1" t="s">
        <v>1839</v>
      </c>
      <c r="S526">
        <v>2539</v>
      </c>
      <c r="T526">
        <v>111360</v>
      </c>
    </row>
    <row r="527" spans="1:20" x14ac:dyDescent="0.4">
      <c r="A527" s="1" t="s">
        <v>175</v>
      </c>
      <c r="B527" s="1" t="s">
        <v>1461</v>
      </c>
      <c r="C527" s="1" t="s">
        <v>1844</v>
      </c>
      <c r="D527" s="1" t="s">
        <v>1846</v>
      </c>
      <c r="E527">
        <v>20251219</v>
      </c>
      <c r="F527" s="1" t="s">
        <v>1469</v>
      </c>
      <c r="G527">
        <v>4</v>
      </c>
      <c r="H527" s="1" t="s">
        <v>1475</v>
      </c>
      <c r="I527" t="s">
        <v>1855</v>
      </c>
      <c r="J527" s="1" t="s">
        <v>1548</v>
      </c>
      <c r="K527" s="1" t="s">
        <v>1606</v>
      </c>
      <c r="L527" s="1" t="s">
        <v>1718</v>
      </c>
      <c r="M527" s="1" t="s">
        <v>1735</v>
      </c>
      <c r="N527" t="s">
        <v>1981</v>
      </c>
      <c r="O527" t="s">
        <v>2164</v>
      </c>
      <c r="P527" t="s">
        <v>3037</v>
      </c>
      <c r="Q527">
        <v>45.5</v>
      </c>
      <c r="R527" s="1" t="s">
        <v>1839</v>
      </c>
      <c r="S527">
        <v>2539</v>
      </c>
      <c r="T527">
        <v>115524</v>
      </c>
    </row>
    <row r="528" spans="1:20" x14ac:dyDescent="0.4">
      <c r="A528" s="1" t="s">
        <v>175</v>
      </c>
      <c r="B528" s="1" t="s">
        <v>1462</v>
      </c>
      <c r="C528" s="1" t="s">
        <v>1844</v>
      </c>
      <c r="D528" s="1" t="s">
        <v>1846</v>
      </c>
      <c r="E528">
        <v>20251219</v>
      </c>
      <c r="F528" s="1" t="s">
        <v>1469</v>
      </c>
      <c r="G528">
        <v>4</v>
      </c>
      <c r="H528" s="1" t="s">
        <v>1475</v>
      </c>
      <c r="I528" t="s">
        <v>1855</v>
      </c>
      <c r="J528" s="1" t="s">
        <v>1548</v>
      </c>
      <c r="K528" s="1" t="s">
        <v>1606</v>
      </c>
      <c r="L528" s="1" t="s">
        <v>1718</v>
      </c>
      <c r="M528" s="1" t="s">
        <v>1735</v>
      </c>
      <c r="N528" t="s">
        <v>1981</v>
      </c>
      <c r="O528" t="s">
        <v>2164</v>
      </c>
      <c r="P528" t="s">
        <v>3037</v>
      </c>
      <c r="Q528">
        <v>45.5</v>
      </c>
      <c r="R528" s="1" t="s">
        <v>1839</v>
      </c>
      <c r="S528">
        <v>2539</v>
      </c>
      <c r="T528">
        <v>115524</v>
      </c>
    </row>
    <row r="529" spans="1:20" x14ac:dyDescent="0.4">
      <c r="A529" s="1" t="s">
        <v>175</v>
      </c>
      <c r="B529" s="1" t="s">
        <v>1463</v>
      </c>
      <c r="C529" s="1" t="s">
        <v>1844</v>
      </c>
      <c r="D529" s="1" t="s">
        <v>1846</v>
      </c>
      <c r="E529">
        <v>20251219</v>
      </c>
      <c r="F529" s="1" t="s">
        <v>1469</v>
      </c>
      <c r="G529">
        <v>4</v>
      </c>
      <c r="H529" s="1" t="s">
        <v>1475</v>
      </c>
      <c r="I529" t="s">
        <v>1855</v>
      </c>
      <c r="J529" s="1" t="s">
        <v>1548</v>
      </c>
      <c r="K529" s="1" t="s">
        <v>1606</v>
      </c>
      <c r="L529" s="1" t="s">
        <v>1718</v>
      </c>
      <c r="M529" s="1" t="s">
        <v>1735</v>
      </c>
      <c r="N529" t="s">
        <v>1981</v>
      </c>
      <c r="O529" t="s">
        <v>2164</v>
      </c>
      <c r="P529" t="s">
        <v>3037</v>
      </c>
      <c r="Q529">
        <v>45.5</v>
      </c>
      <c r="R529" s="1" t="s">
        <v>1839</v>
      </c>
      <c r="S529">
        <v>2539</v>
      </c>
      <c r="T529">
        <v>115524</v>
      </c>
    </row>
    <row r="530" spans="1:20" x14ac:dyDescent="0.4">
      <c r="A530" s="1" t="s">
        <v>176</v>
      </c>
      <c r="B530" s="1" t="s">
        <v>1453</v>
      </c>
      <c r="C530" s="1" t="s">
        <v>1844</v>
      </c>
      <c r="D530" s="1" t="s">
        <v>1846</v>
      </c>
      <c r="E530">
        <v>20251219</v>
      </c>
      <c r="F530" s="1" t="s">
        <v>1469</v>
      </c>
      <c r="G530">
        <v>4</v>
      </c>
      <c r="H530" s="1" t="s">
        <v>1475</v>
      </c>
      <c r="I530" t="s">
        <v>1855</v>
      </c>
      <c r="J530" s="1" t="s">
        <v>1548</v>
      </c>
      <c r="K530" s="1" t="s">
        <v>1606</v>
      </c>
      <c r="L530" s="1" t="s">
        <v>1718</v>
      </c>
      <c r="M530" s="1" t="s">
        <v>1735</v>
      </c>
      <c r="N530" t="s">
        <v>1981</v>
      </c>
      <c r="O530" t="s">
        <v>2164</v>
      </c>
      <c r="P530" t="s">
        <v>3037</v>
      </c>
      <c r="Q530">
        <v>37.5</v>
      </c>
      <c r="R530" s="1" t="s">
        <v>1841</v>
      </c>
      <c r="S530">
        <v>2539</v>
      </c>
      <c r="T530">
        <v>95212</v>
      </c>
    </row>
    <row r="531" spans="1:20" x14ac:dyDescent="0.4">
      <c r="A531" s="1" t="s">
        <v>176</v>
      </c>
      <c r="B531" s="1" t="s">
        <v>1454</v>
      </c>
      <c r="C531" s="1" t="s">
        <v>1844</v>
      </c>
      <c r="D531" s="1" t="s">
        <v>1846</v>
      </c>
      <c r="E531">
        <v>20251219</v>
      </c>
      <c r="F531" s="1" t="s">
        <v>1469</v>
      </c>
      <c r="G531">
        <v>4</v>
      </c>
      <c r="H531" s="1" t="s">
        <v>1475</v>
      </c>
      <c r="I531" t="s">
        <v>1855</v>
      </c>
      <c r="J531" s="1" t="s">
        <v>1548</v>
      </c>
      <c r="K531" s="1" t="s">
        <v>1606</v>
      </c>
      <c r="L531" s="1" t="s">
        <v>1718</v>
      </c>
      <c r="M531" s="1" t="s">
        <v>1735</v>
      </c>
      <c r="N531" t="s">
        <v>1981</v>
      </c>
      <c r="O531" t="s">
        <v>2164</v>
      </c>
      <c r="P531" t="s">
        <v>3037</v>
      </c>
      <c r="Q531">
        <v>37.5</v>
      </c>
      <c r="R531" s="1" t="s">
        <v>1841</v>
      </c>
      <c r="S531">
        <v>2539</v>
      </c>
      <c r="T531">
        <v>95212</v>
      </c>
    </row>
    <row r="532" spans="1:20" x14ac:dyDescent="0.4">
      <c r="A532" s="1" t="s">
        <v>176</v>
      </c>
      <c r="B532" s="1" t="s">
        <v>1455</v>
      </c>
      <c r="C532" s="1" t="s">
        <v>1844</v>
      </c>
      <c r="D532" s="1" t="s">
        <v>1846</v>
      </c>
      <c r="E532">
        <v>20251219</v>
      </c>
      <c r="F532" s="1" t="s">
        <v>1469</v>
      </c>
      <c r="G532">
        <v>4</v>
      </c>
      <c r="H532" s="1" t="s">
        <v>1475</v>
      </c>
      <c r="I532" t="s">
        <v>1855</v>
      </c>
      <c r="J532" s="1" t="s">
        <v>1548</v>
      </c>
      <c r="K532" s="1" t="s">
        <v>1606</v>
      </c>
      <c r="L532" s="1" t="s">
        <v>1718</v>
      </c>
      <c r="M532" s="1" t="s">
        <v>1735</v>
      </c>
      <c r="N532" t="s">
        <v>1981</v>
      </c>
      <c r="O532" t="s">
        <v>2164</v>
      </c>
      <c r="P532" t="s">
        <v>3037</v>
      </c>
      <c r="Q532">
        <v>37.5</v>
      </c>
      <c r="R532" s="1" t="s">
        <v>1841</v>
      </c>
      <c r="S532">
        <v>2539</v>
      </c>
      <c r="T532">
        <v>95212</v>
      </c>
    </row>
    <row r="533" spans="1:20" x14ac:dyDescent="0.4">
      <c r="A533" s="1" t="s">
        <v>176</v>
      </c>
      <c r="B533" s="1" t="s">
        <v>1456</v>
      </c>
      <c r="C533" s="1" t="s">
        <v>1844</v>
      </c>
      <c r="D533" s="1" t="s">
        <v>1846</v>
      </c>
      <c r="E533">
        <v>20251219</v>
      </c>
      <c r="F533" s="1" t="s">
        <v>1469</v>
      </c>
      <c r="G533">
        <v>4</v>
      </c>
      <c r="H533" s="1" t="s">
        <v>1475</v>
      </c>
      <c r="I533" t="s">
        <v>1855</v>
      </c>
      <c r="J533" s="1" t="s">
        <v>1548</v>
      </c>
      <c r="K533" s="1" t="s">
        <v>1606</v>
      </c>
      <c r="L533" s="1" t="s">
        <v>1718</v>
      </c>
      <c r="M533" s="1" t="s">
        <v>1735</v>
      </c>
      <c r="N533" t="s">
        <v>1981</v>
      </c>
      <c r="O533" t="s">
        <v>2164</v>
      </c>
      <c r="P533" t="s">
        <v>3037</v>
      </c>
      <c r="Q533">
        <v>37.5</v>
      </c>
      <c r="R533" s="1" t="s">
        <v>1841</v>
      </c>
      <c r="S533">
        <v>2539</v>
      </c>
      <c r="T533">
        <v>95212</v>
      </c>
    </row>
    <row r="534" spans="1:20" x14ac:dyDescent="0.4">
      <c r="A534" s="1" t="s">
        <v>176</v>
      </c>
      <c r="B534" s="1" t="s">
        <v>1457</v>
      </c>
      <c r="C534" s="1" t="s">
        <v>1844</v>
      </c>
      <c r="D534" s="1" t="s">
        <v>1846</v>
      </c>
      <c r="E534">
        <v>20251219</v>
      </c>
      <c r="F534" s="1" t="s">
        <v>1469</v>
      </c>
      <c r="G534">
        <v>4</v>
      </c>
      <c r="H534" s="1" t="s">
        <v>1475</v>
      </c>
      <c r="I534" t="s">
        <v>1855</v>
      </c>
      <c r="J534" s="1" t="s">
        <v>1548</v>
      </c>
      <c r="K534" s="1" t="s">
        <v>1606</v>
      </c>
      <c r="L534" s="1" t="s">
        <v>1718</v>
      </c>
      <c r="M534" s="1" t="s">
        <v>1735</v>
      </c>
      <c r="N534" t="s">
        <v>1981</v>
      </c>
      <c r="O534" t="s">
        <v>2164</v>
      </c>
      <c r="P534" t="s">
        <v>3037</v>
      </c>
      <c r="Q534">
        <v>37.5</v>
      </c>
      <c r="R534" s="1" t="s">
        <v>1841</v>
      </c>
      <c r="S534">
        <v>2539</v>
      </c>
      <c r="T534">
        <v>95212</v>
      </c>
    </row>
    <row r="535" spans="1:20" x14ac:dyDescent="0.4">
      <c r="A535" s="1" t="s">
        <v>176</v>
      </c>
      <c r="B535" s="1" t="s">
        <v>1458</v>
      </c>
      <c r="C535" s="1" t="s">
        <v>1844</v>
      </c>
      <c r="D535" s="1" t="s">
        <v>1846</v>
      </c>
      <c r="E535">
        <v>20251219</v>
      </c>
      <c r="F535" s="1" t="s">
        <v>1469</v>
      </c>
      <c r="G535">
        <v>4</v>
      </c>
      <c r="H535" s="1" t="s">
        <v>1475</v>
      </c>
      <c r="I535" t="s">
        <v>1855</v>
      </c>
      <c r="J535" s="1" t="s">
        <v>1548</v>
      </c>
      <c r="K535" s="1" t="s">
        <v>1606</v>
      </c>
      <c r="L535" s="1" t="s">
        <v>1718</v>
      </c>
      <c r="M535" s="1" t="s">
        <v>1735</v>
      </c>
      <c r="N535" t="s">
        <v>1981</v>
      </c>
      <c r="O535" t="s">
        <v>2164</v>
      </c>
      <c r="P535" t="s">
        <v>3037</v>
      </c>
      <c r="Q535">
        <v>37.5</v>
      </c>
      <c r="R535" s="1" t="s">
        <v>1841</v>
      </c>
      <c r="S535">
        <v>2539</v>
      </c>
      <c r="T535">
        <v>95212</v>
      </c>
    </row>
    <row r="536" spans="1:20" x14ac:dyDescent="0.4">
      <c r="A536" s="1" t="s">
        <v>176</v>
      </c>
      <c r="B536" s="1" t="s">
        <v>1459</v>
      </c>
      <c r="C536" s="1" t="s">
        <v>1844</v>
      </c>
      <c r="D536" s="1" t="s">
        <v>1846</v>
      </c>
      <c r="E536">
        <v>20251219</v>
      </c>
      <c r="F536" s="1" t="s">
        <v>1469</v>
      </c>
      <c r="G536">
        <v>4</v>
      </c>
      <c r="H536" s="1" t="s">
        <v>1475</v>
      </c>
      <c r="I536" t="s">
        <v>1855</v>
      </c>
      <c r="J536" s="1" t="s">
        <v>1548</v>
      </c>
      <c r="K536" s="1" t="s">
        <v>1606</v>
      </c>
      <c r="L536" s="1" t="s">
        <v>1718</v>
      </c>
      <c r="M536" s="1" t="s">
        <v>1735</v>
      </c>
      <c r="N536" t="s">
        <v>1981</v>
      </c>
      <c r="O536" t="s">
        <v>2164</v>
      </c>
      <c r="P536" t="s">
        <v>3037</v>
      </c>
      <c r="Q536">
        <v>39.6</v>
      </c>
      <c r="R536" s="1" t="s">
        <v>1841</v>
      </c>
      <c r="S536">
        <v>2539</v>
      </c>
      <c r="T536">
        <v>100544</v>
      </c>
    </row>
    <row r="537" spans="1:20" x14ac:dyDescent="0.4">
      <c r="A537" s="1" t="s">
        <v>176</v>
      </c>
      <c r="B537" s="1" t="s">
        <v>1460</v>
      </c>
      <c r="C537" s="1" t="s">
        <v>1844</v>
      </c>
      <c r="D537" s="1" t="s">
        <v>1846</v>
      </c>
      <c r="E537">
        <v>20251219</v>
      </c>
      <c r="F537" s="1" t="s">
        <v>1469</v>
      </c>
      <c r="G537">
        <v>4</v>
      </c>
      <c r="H537" s="1" t="s">
        <v>1475</v>
      </c>
      <c r="I537" t="s">
        <v>1855</v>
      </c>
      <c r="J537" s="1" t="s">
        <v>1548</v>
      </c>
      <c r="K537" s="1" t="s">
        <v>1606</v>
      </c>
      <c r="L537" s="1" t="s">
        <v>1718</v>
      </c>
      <c r="M537" s="1" t="s">
        <v>1735</v>
      </c>
      <c r="N537" t="s">
        <v>1981</v>
      </c>
      <c r="O537" t="s">
        <v>2164</v>
      </c>
      <c r="P537" t="s">
        <v>3037</v>
      </c>
      <c r="Q537">
        <v>37.5</v>
      </c>
      <c r="R537" s="1" t="s">
        <v>1841</v>
      </c>
      <c r="S537">
        <v>2539</v>
      </c>
      <c r="T537">
        <v>95212</v>
      </c>
    </row>
    <row r="538" spans="1:20" x14ac:dyDescent="0.4">
      <c r="A538" s="1" t="s">
        <v>176</v>
      </c>
      <c r="B538" s="1" t="s">
        <v>1461</v>
      </c>
      <c r="C538" s="1" t="s">
        <v>1844</v>
      </c>
      <c r="D538" s="1" t="s">
        <v>1846</v>
      </c>
      <c r="E538">
        <v>20251219</v>
      </c>
      <c r="F538" s="1" t="s">
        <v>1469</v>
      </c>
      <c r="G538">
        <v>4</v>
      </c>
      <c r="H538" s="1" t="s">
        <v>1475</v>
      </c>
      <c r="I538" t="s">
        <v>1855</v>
      </c>
      <c r="J538" s="1" t="s">
        <v>1548</v>
      </c>
      <c r="K538" s="1" t="s">
        <v>1606</v>
      </c>
      <c r="L538" s="1" t="s">
        <v>1718</v>
      </c>
      <c r="M538" s="1" t="s">
        <v>1735</v>
      </c>
      <c r="N538" t="s">
        <v>1981</v>
      </c>
      <c r="O538" t="s">
        <v>2164</v>
      </c>
      <c r="P538" t="s">
        <v>3037</v>
      </c>
      <c r="Q538">
        <v>37.5</v>
      </c>
      <c r="R538" s="1" t="s">
        <v>1841</v>
      </c>
      <c r="S538">
        <v>2539</v>
      </c>
      <c r="T538">
        <v>95212</v>
      </c>
    </row>
    <row r="539" spans="1:20" x14ac:dyDescent="0.4">
      <c r="A539" s="1" t="s">
        <v>176</v>
      </c>
      <c r="B539" s="1" t="s">
        <v>1462</v>
      </c>
      <c r="C539" s="1" t="s">
        <v>1844</v>
      </c>
      <c r="D539" s="1" t="s">
        <v>1846</v>
      </c>
      <c r="E539">
        <v>20251219</v>
      </c>
      <c r="F539" s="1" t="s">
        <v>1469</v>
      </c>
      <c r="G539">
        <v>4</v>
      </c>
      <c r="H539" s="1" t="s">
        <v>1475</v>
      </c>
      <c r="I539" t="s">
        <v>1855</v>
      </c>
      <c r="J539" s="1" t="s">
        <v>1548</v>
      </c>
      <c r="K539" s="1" t="s">
        <v>1606</v>
      </c>
      <c r="L539" s="1" t="s">
        <v>1718</v>
      </c>
      <c r="M539" s="1" t="s">
        <v>1735</v>
      </c>
      <c r="N539" t="s">
        <v>1981</v>
      </c>
      <c r="O539" t="s">
        <v>2164</v>
      </c>
      <c r="P539" t="s">
        <v>3037</v>
      </c>
      <c r="Q539">
        <v>37.5</v>
      </c>
      <c r="R539" s="1" t="s">
        <v>1841</v>
      </c>
      <c r="S539">
        <v>2539</v>
      </c>
      <c r="T539">
        <v>95212</v>
      </c>
    </row>
    <row r="540" spans="1:20" x14ac:dyDescent="0.4">
      <c r="A540" s="1" t="s">
        <v>176</v>
      </c>
      <c r="B540" s="1" t="s">
        <v>1463</v>
      </c>
      <c r="C540" s="1" t="s">
        <v>1844</v>
      </c>
      <c r="D540" s="1" t="s">
        <v>1846</v>
      </c>
      <c r="E540">
        <v>20251219</v>
      </c>
      <c r="F540" s="1" t="s">
        <v>1469</v>
      </c>
      <c r="G540">
        <v>4</v>
      </c>
      <c r="H540" s="1" t="s">
        <v>1475</v>
      </c>
      <c r="I540" t="s">
        <v>1855</v>
      </c>
      <c r="J540" s="1" t="s">
        <v>1548</v>
      </c>
      <c r="K540" s="1" t="s">
        <v>1606</v>
      </c>
      <c r="L540" s="1" t="s">
        <v>1718</v>
      </c>
      <c r="M540" s="1" t="s">
        <v>1735</v>
      </c>
      <c r="N540" t="s">
        <v>1981</v>
      </c>
      <c r="O540" t="s">
        <v>2164</v>
      </c>
      <c r="P540" t="s">
        <v>3037</v>
      </c>
      <c r="Q540">
        <v>37.5</v>
      </c>
      <c r="R540" s="1" t="s">
        <v>1841</v>
      </c>
      <c r="S540">
        <v>2539</v>
      </c>
      <c r="T540">
        <v>95212</v>
      </c>
    </row>
    <row r="541" spans="1:20" x14ac:dyDescent="0.4">
      <c r="A541" s="1" t="s">
        <v>177</v>
      </c>
      <c r="B541" s="1" t="s">
        <v>1453</v>
      </c>
      <c r="C541" s="1" t="s">
        <v>1844</v>
      </c>
      <c r="D541" s="1" t="s">
        <v>1847</v>
      </c>
      <c r="E541">
        <v>20251219</v>
      </c>
      <c r="F541" s="1" t="s">
        <v>1469</v>
      </c>
      <c r="G541">
        <v>4</v>
      </c>
      <c r="H541" s="1" t="s">
        <v>1475</v>
      </c>
      <c r="I541" t="s">
        <v>1855</v>
      </c>
      <c r="J541" s="1" t="s">
        <v>1548</v>
      </c>
      <c r="K541" s="1" t="s">
        <v>1606</v>
      </c>
      <c r="L541" s="1" t="s">
        <v>1718</v>
      </c>
      <c r="M541" s="1" t="s">
        <v>1735</v>
      </c>
      <c r="N541" t="s">
        <v>1981</v>
      </c>
      <c r="O541" t="s">
        <v>2164</v>
      </c>
      <c r="P541" t="s">
        <v>3037</v>
      </c>
      <c r="Q541">
        <v>-37.5</v>
      </c>
      <c r="R541" s="1" t="s">
        <v>1841</v>
      </c>
      <c r="S541">
        <v>2539</v>
      </c>
      <c r="T541">
        <v>-95212</v>
      </c>
    </row>
    <row r="542" spans="1:20" x14ac:dyDescent="0.4">
      <c r="A542" s="1" t="s">
        <v>177</v>
      </c>
      <c r="B542" s="1" t="s">
        <v>1454</v>
      </c>
      <c r="C542" s="1" t="s">
        <v>1844</v>
      </c>
      <c r="D542" s="1" t="s">
        <v>1847</v>
      </c>
      <c r="E542">
        <v>20251219</v>
      </c>
      <c r="F542" s="1" t="s">
        <v>1469</v>
      </c>
      <c r="G542">
        <v>4</v>
      </c>
      <c r="H542" s="1" t="s">
        <v>1475</v>
      </c>
      <c r="I542" t="s">
        <v>1855</v>
      </c>
      <c r="J542" s="1" t="s">
        <v>1548</v>
      </c>
      <c r="K542" s="1" t="s">
        <v>1606</v>
      </c>
      <c r="L542" s="1" t="s">
        <v>1718</v>
      </c>
      <c r="M542" s="1" t="s">
        <v>1735</v>
      </c>
      <c r="N542" t="s">
        <v>1981</v>
      </c>
      <c r="O542" t="s">
        <v>2164</v>
      </c>
      <c r="P542" t="s">
        <v>3037</v>
      </c>
      <c r="Q542">
        <v>-37.5</v>
      </c>
      <c r="R542" s="1" t="s">
        <v>1841</v>
      </c>
      <c r="S542">
        <v>2539</v>
      </c>
      <c r="T542">
        <v>-95212</v>
      </c>
    </row>
    <row r="543" spans="1:20" x14ac:dyDescent="0.4">
      <c r="A543" s="1" t="s">
        <v>177</v>
      </c>
      <c r="B543" s="1" t="s">
        <v>1455</v>
      </c>
      <c r="C543" s="1" t="s">
        <v>1844</v>
      </c>
      <c r="D543" s="1" t="s">
        <v>1847</v>
      </c>
      <c r="E543">
        <v>20251219</v>
      </c>
      <c r="F543" s="1" t="s">
        <v>1469</v>
      </c>
      <c r="G543">
        <v>4</v>
      </c>
      <c r="H543" s="1" t="s">
        <v>1475</v>
      </c>
      <c r="I543" t="s">
        <v>1855</v>
      </c>
      <c r="J543" s="1" t="s">
        <v>1548</v>
      </c>
      <c r="K543" s="1" t="s">
        <v>1606</v>
      </c>
      <c r="L543" s="1" t="s">
        <v>1718</v>
      </c>
      <c r="M543" s="1" t="s">
        <v>1735</v>
      </c>
      <c r="N543" t="s">
        <v>1981</v>
      </c>
      <c r="O543" t="s">
        <v>2164</v>
      </c>
      <c r="P543" t="s">
        <v>3037</v>
      </c>
      <c r="Q543">
        <v>-37.5</v>
      </c>
      <c r="R543" s="1" t="s">
        <v>1841</v>
      </c>
      <c r="S543">
        <v>2539</v>
      </c>
      <c r="T543">
        <v>-95212</v>
      </c>
    </row>
    <row r="544" spans="1:20" x14ac:dyDescent="0.4">
      <c r="A544" s="1" t="s">
        <v>177</v>
      </c>
      <c r="B544" s="1" t="s">
        <v>1456</v>
      </c>
      <c r="C544" s="1" t="s">
        <v>1844</v>
      </c>
      <c r="D544" s="1" t="s">
        <v>1847</v>
      </c>
      <c r="E544">
        <v>20251219</v>
      </c>
      <c r="F544" s="1" t="s">
        <v>1469</v>
      </c>
      <c r="G544">
        <v>4</v>
      </c>
      <c r="H544" s="1" t="s">
        <v>1475</v>
      </c>
      <c r="I544" t="s">
        <v>1855</v>
      </c>
      <c r="J544" s="1" t="s">
        <v>1548</v>
      </c>
      <c r="K544" s="1" t="s">
        <v>1606</v>
      </c>
      <c r="L544" s="1" t="s">
        <v>1718</v>
      </c>
      <c r="M544" s="1" t="s">
        <v>1735</v>
      </c>
      <c r="N544" t="s">
        <v>1981</v>
      </c>
      <c r="O544" t="s">
        <v>2164</v>
      </c>
      <c r="P544" t="s">
        <v>3037</v>
      </c>
      <c r="Q544">
        <v>-37.5</v>
      </c>
      <c r="R544" s="1" t="s">
        <v>1841</v>
      </c>
      <c r="S544">
        <v>2539</v>
      </c>
      <c r="T544">
        <v>-95212</v>
      </c>
    </row>
    <row r="545" spans="1:20" x14ac:dyDescent="0.4">
      <c r="A545" s="1" t="s">
        <v>177</v>
      </c>
      <c r="B545" s="1" t="s">
        <v>1457</v>
      </c>
      <c r="C545" s="1" t="s">
        <v>1844</v>
      </c>
      <c r="D545" s="1" t="s">
        <v>1847</v>
      </c>
      <c r="E545">
        <v>20251219</v>
      </c>
      <c r="F545" s="1" t="s">
        <v>1469</v>
      </c>
      <c r="G545">
        <v>4</v>
      </c>
      <c r="H545" s="1" t="s">
        <v>1475</v>
      </c>
      <c r="I545" t="s">
        <v>1855</v>
      </c>
      <c r="J545" s="1" t="s">
        <v>1548</v>
      </c>
      <c r="K545" s="1" t="s">
        <v>1606</v>
      </c>
      <c r="L545" s="1" t="s">
        <v>1718</v>
      </c>
      <c r="M545" s="1" t="s">
        <v>1735</v>
      </c>
      <c r="N545" t="s">
        <v>1981</v>
      </c>
      <c r="O545" t="s">
        <v>2164</v>
      </c>
      <c r="P545" t="s">
        <v>3037</v>
      </c>
      <c r="Q545">
        <v>-37.5</v>
      </c>
      <c r="R545" s="1" t="s">
        <v>1841</v>
      </c>
      <c r="S545">
        <v>2539</v>
      </c>
      <c r="T545">
        <v>-95212</v>
      </c>
    </row>
    <row r="546" spans="1:20" x14ac:dyDescent="0.4">
      <c r="A546" s="1" t="s">
        <v>177</v>
      </c>
      <c r="B546" s="1" t="s">
        <v>1458</v>
      </c>
      <c r="C546" s="1" t="s">
        <v>1844</v>
      </c>
      <c r="D546" s="1" t="s">
        <v>1847</v>
      </c>
      <c r="E546">
        <v>20251219</v>
      </c>
      <c r="F546" s="1" t="s">
        <v>1469</v>
      </c>
      <c r="G546">
        <v>4</v>
      </c>
      <c r="H546" s="1" t="s">
        <v>1475</v>
      </c>
      <c r="I546" t="s">
        <v>1855</v>
      </c>
      <c r="J546" s="1" t="s">
        <v>1548</v>
      </c>
      <c r="K546" s="1" t="s">
        <v>1606</v>
      </c>
      <c r="L546" s="1" t="s">
        <v>1718</v>
      </c>
      <c r="M546" s="1" t="s">
        <v>1735</v>
      </c>
      <c r="N546" t="s">
        <v>1981</v>
      </c>
      <c r="O546" t="s">
        <v>2164</v>
      </c>
      <c r="P546" t="s">
        <v>3037</v>
      </c>
      <c r="Q546">
        <v>-37.5</v>
      </c>
      <c r="R546" s="1" t="s">
        <v>1841</v>
      </c>
      <c r="S546">
        <v>2539</v>
      </c>
      <c r="T546">
        <v>-95212</v>
      </c>
    </row>
    <row r="547" spans="1:20" x14ac:dyDescent="0.4">
      <c r="A547" s="1" t="s">
        <v>177</v>
      </c>
      <c r="B547" s="1" t="s">
        <v>1459</v>
      </c>
      <c r="C547" s="1" t="s">
        <v>1844</v>
      </c>
      <c r="D547" s="1" t="s">
        <v>1847</v>
      </c>
      <c r="E547">
        <v>20251219</v>
      </c>
      <c r="F547" s="1" t="s">
        <v>1469</v>
      </c>
      <c r="G547">
        <v>4</v>
      </c>
      <c r="H547" s="1" t="s">
        <v>1475</v>
      </c>
      <c r="I547" t="s">
        <v>1855</v>
      </c>
      <c r="J547" s="1" t="s">
        <v>1548</v>
      </c>
      <c r="K547" s="1" t="s">
        <v>1606</v>
      </c>
      <c r="L547" s="1" t="s">
        <v>1718</v>
      </c>
      <c r="M547" s="1" t="s">
        <v>1735</v>
      </c>
      <c r="N547" t="s">
        <v>1981</v>
      </c>
      <c r="O547" t="s">
        <v>2164</v>
      </c>
      <c r="P547" t="s">
        <v>3037</v>
      </c>
      <c r="Q547">
        <v>-39.6</v>
      </c>
      <c r="R547" s="1" t="s">
        <v>1841</v>
      </c>
      <c r="S547">
        <v>2539</v>
      </c>
      <c r="T547">
        <v>-100544</v>
      </c>
    </row>
    <row r="548" spans="1:20" x14ac:dyDescent="0.4">
      <c r="A548" s="1" t="s">
        <v>177</v>
      </c>
      <c r="B548" s="1" t="s">
        <v>1460</v>
      </c>
      <c r="C548" s="1" t="s">
        <v>1844</v>
      </c>
      <c r="D548" s="1" t="s">
        <v>1847</v>
      </c>
      <c r="E548">
        <v>20251219</v>
      </c>
      <c r="F548" s="1" t="s">
        <v>1469</v>
      </c>
      <c r="G548">
        <v>4</v>
      </c>
      <c r="H548" s="1" t="s">
        <v>1475</v>
      </c>
      <c r="I548" t="s">
        <v>1855</v>
      </c>
      <c r="J548" s="1" t="s">
        <v>1548</v>
      </c>
      <c r="K548" s="1" t="s">
        <v>1606</v>
      </c>
      <c r="L548" s="1" t="s">
        <v>1718</v>
      </c>
      <c r="M548" s="1" t="s">
        <v>1735</v>
      </c>
      <c r="N548" t="s">
        <v>1981</v>
      </c>
      <c r="O548" t="s">
        <v>2164</v>
      </c>
      <c r="P548" t="s">
        <v>3037</v>
      </c>
      <c r="Q548">
        <v>-37.5</v>
      </c>
      <c r="R548" s="1" t="s">
        <v>1841</v>
      </c>
      <c r="S548">
        <v>2539</v>
      </c>
      <c r="T548">
        <v>-95212</v>
      </c>
    </row>
    <row r="549" spans="1:20" x14ac:dyDescent="0.4">
      <c r="A549" s="1" t="s">
        <v>177</v>
      </c>
      <c r="B549" s="1" t="s">
        <v>1461</v>
      </c>
      <c r="C549" s="1" t="s">
        <v>1844</v>
      </c>
      <c r="D549" s="1" t="s">
        <v>1847</v>
      </c>
      <c r="E549">
        <v>20251219</v>
      </c>
      <c r="F549" s="1" t="s">
        <v>1469</v>
      </c>
      <c r="G549">
        <v>4</v>
      </c>
      <c r="H549" s="1" t="s">
        <v>1475</v>
      </c>
      <c r="I549" t="s">
        <v>1855</v>
      </c>
      <c r="J549" s="1" t="s">
        <v>1548</v>
      </c>
      <c r="K549" s="1" t="s">
        <v>1606</v>
      </c>
      <c r="L549" s="1" t="s">
        <v>1718</v>
      </c>
      <c r="M549" s="1" t="s">
        <v>1735</v>
      </c>
      <c r="N549" t="s">
        <v>1981</v>
      </c>
      <c r="O549" t="s">
        <v>2164</v>
      </c>
      <c r="P549" t="s">
        <v>3037</v>
      </c>
      <c r="Q549">
        <v>-37.5</v>
      </c>
      <c r="R549" s="1" t="s">
        <v>1841</v>
      </c>
      <c r="S549">
        <v>2539</v>
      </c>
      <c r="T549">
        <v>-95212</v>
      </c>
    </row>
    <row r="550" spans="1:20" x14ac:dyDescent="0.4">
      <c r="A550" s="1" t="s">
        <v>177</v>
      </c>
      <c r="B550" s="1" t="s">
        <v>1462</v>
      </c>
      <c r="C550" s="1" t="s">
        <v>1844</v>
      </c>
      <c r="D550" s="1" t="s">
        <v>1847</v>
      </c>
      <c r="E550">
        <v>20251219</v>
      </c>
      <c r="F550" s="1" t="s">
        <v>1469</v>
      </c>
      <c r="G550">
        <v>4</v>
      </c>
      <c r="H550" s="1" t="s">
        <v>1475</v>
      </c>
      <c r="I550" t="s">
        <v>1855</v>
      </c>
      <c r="J550" s="1" t="s">
        <v>1548</v>
      </c>
      <c r="K550" s="1" t="s">
        <v>1606</v>
      </c>
      <c r="L550" s="1" t="s">
        <v>1718</v>
      </c>
      <c r="M550" s="1" t="s">
        <v>1735</v>
      </c>
      <c r="N550" t="s">
        <v>1981</v>
      </c>
      <c r="O550" t="s">
        <v>2164</v>
      </c>
      <c r="P550" t="s">
        <v>3037</v>
      </c>
      <c r="Q550">
        <v>-37.5</v>
      </c>
      <c r="R550" s="1" t="s">
        <v>1841</v>
      </c>
      <c r="S550">
        <v>2539</v>
      </c>
      <c r="T550">
        <v>-95212</v>
      </c>
    </row>
    <row r="551" spans="1:20" x14ac:dyDescent="0.4">
      <c r="A551" s="1" t="s">
        <v>177</v>
      </c>
      <c r="B551" s="1" t="s">
        <v>1463</v>
      </c>
      <c r="C551" s="1" t="s">
        <v>1844</v>
      </c>
      <c r="D551" s="1" t="s">
        <v>1847</v>
      </c>
      <c r="E551">
        <v>20251219</v>
      </c>
      <c r="F551" s="1" t="s">
        <v>1469</v>
      </c>
      <c r="G551">
        <v>4</v>
      </c>
      <c r="H551" s="1" t="s">
        <v>1475</v>
      </c>
      <c r="I551" t="s">
        <v>1855</v>
      </c>
      <c r="J551" s="1" t="s">
        <v>1548</v>
      </c>
      <c r="K551" s="1" t="s">
        <v>1606</v>
      </c>
      <c r="L551" s="1" t="s">
        <v>1718</v>
      </c>
      <c r="M551" s="1" t="s">
        <v>1735</v>
      </c>
      <c r="N551" t="s">
        <v>1981</v>
      </c>
      <c r="O551" t="s">
        <v>2164</v>
      </c>
      <c r="P551" t="s">
        <v>3037</v>
      </c>
      <c r="Q551">
        <v>-37.5</v>
      </c>
      <c r="R551" s="1" t="s">
        <v>1841</v>
      </c>
      <c r="S551">
        <v>2539</v>
      </c>
      <c r="T551">
        <v>-95212</v>
      </c>
    </row>
    <row r="552" spans="1:20" x14ac:dyDescent="0.4">
      <c r="A552" s="1" t="s">
        <v>178</v>
      </c>
      <c r="B552" s="1" t="s">
        <v>1453</v>
      </c>
      <c r="C552" s="1" t="s">
        <v>1844</v>
      </c>
      <c r="D552" s="1" t="s">
        <v>1846</v>
      </c>
      <c r="E552">
        <v>20251219</v>
      </c>
      <c r="F552" s="1" t="s">
        <v>1469</v>
      </c>
      <c r="G552">
        <v>4</v>
      </c>
      <c r="H552" s="1" t="s">
        <v>1475</v>
      </c>
      <c r="I552" t="s">
        <v>1855</v>
      </c>
      <c r="J552" s="1" t="s">
        <v>1548</v>
      </c>
      <c r="K552" s="1" t="s">
        <v>1606</v>
      </c>
      <c r="L552" s="1" t="s">
        <v>1718</v>
      </c>
      <c r="M552" s="1" t="s">
        <v>1735</v>
      </c>
      <c r="N552" t="s">
        <v>1981</v>
      </c>
      <c r="O552" t="s">
        <v>2164</v>
      </c>
      <c r="P552" t="s">
        <v>3037</v>
      </c>
      <c r="Q552">
        <v>37.5</v>
      </c>
      <c r="R552" s="1" t="s">
        <v>1839</v>
      </c>
      <c r="S552">
        <v>2539</v>
      </c>
      <c r="T552">
        <v>95212</v>
      </c>
    </row>
    <row r="553" spans="1:20" x14ac:dyDescent="0.4">
      <c r="A553" s="1" t="s">
        <v>178</v>
      </c>
      <c r="B553" s="1" t="s">
        <v>1454</v>
      </c>
      <c r="C553" s="1" t="s">
        <v>1844</v>
      </c>
      <c r="D553" s="1" t="s">
        <v>1846</v>
      </c>
      <c r="E553">
        <v>20251219</v>
      </c>
      <c r="F553" s="1" t="s">
        <v>1469</v>
      </c>
      <c r="G553">
        <v>4</v>
      </c>
      <c r="H553" s="1" t="s">
        <v>1475</v>
      </c>
      <c r="I553" t="s">
        <v>1855</v>
      </c>
      <c r="J553" s="1" t="s">
        <v>1548</v>
      </c>
      <c r="K553" s="1" t="s">
        <v>1606</v>
      </c>
      <c r="L553" s="1" t="s">
        <v>1718</v>
      </c>
      <c r="M553" s="1" t="s">
        <v>1735</v>
      </c>
      <c r="N553" t="s">
        <v>1981</v>
      </c>
      <c r="O553" t="s">
        <v>2164</v>
      </c>
      <c r="P553" t="s">
        <v>3037</v>
      </c>
      <c r="Q553">
        <v>37.5</v>
      </c>
      <c r="R553" s="1" t="s">
        <v>1839</v>
      </c>
      <c r="S553">
        <v>2539</v>
      </c>
      <c r="T553">
        <v>95212</v>
      </c>
    </row>
    <row r="554" spans="1:20" x14ac:dyDescent="0.4">
      <c r="A554" s="1" t="s">
        <v>178</v>
      </c>
      <c r="B554" s="1" t="s">
        <v>1455</v>
      </c>
      <c r="C554" s="1" t="s">
        <v>1844</v>
      </c>
      <c r="D554" s="1" t="s">
        <v>1846</v>
      </c>
      <c r="E554">
        <v>20251219</v>
      </c>
      <c r="F554" s="1" t="s">
        <v>1469</v>
      </c>
      <c r="G554">
        <v>4</v>
      </c>
      <c r="H554" s="1" t="s">
        <v>1475</v>
      </c>
      <c r="I554" t="s">
        <v>1855</v>
      </c>
      <c r="J554" s="1" t="s">
        <v>1548</v>
      </c>
      <c r="K554" s="1" t="s">
        <v>1606</v>
      </c>
      <c r="L554" s="1" t="s">
        <v>1718</v>
      </c>
      <c r="M554" s="1" t="s">
        <v>1735</v>
      </c>
      <c r="N554" t="s">
        <v>1981</v>
      </c>
      <c r="O554" t="s">
        <v>2164</v>
      </c>
      <c r="P554" t="s">
        <v>3037</v>
      </c>
      <c r="Q554">
        <v>37.5</v>
      </c>
      <c r="R554" s="1" t="s">
        <v>1839</v>
      </c>
      <c r="S554">
        <v>2539</v>
      </c>
      <c r="T554">
        <v>95212</v>
      </c>
    </row>
    <row r="555" spans="1:20" x14ac:dyDescent="0.4">
      <c r="A555" s="1" t="s">
        <v>178</v>
      </c>
      <c r="B555" s="1" t="s">
        <v>1456</v>
      </c>
      <c r="C555" s="1" t="s">
        <v>1844</v>
      </c>
      <c r="D555" s="1" t="s">
        <v>1846</v>
      </c>
      <c r="E555">
        <v>20251219</v>
      </c>
      <c r="F555" s="1" t="s">
        <v>1469</v>
      </c>
      <c r="G555">
        <v>4</v>
      </c>
      <c r="H555" s="1" t="s">
        <v>1475</v>
      </c>
      <c r="I555" t="s">
        <v>1855</v>
      </c>
      <c r="J555" s="1" t="s">
        <v>1548</v>
      </c>
      <c r="K555" s="1" t="s">
        <v>1606</v>
      </c>
      <c r="L555" s="1" t="s">
        <v>1718</v>
      </c>
      <c r="M555" s="1" t="s">
        <v>1735</v>
      </c>
      <c r="N555" t="s">
        <v>1981</v>
      </c>
      <c r="O555" t="s">
        <v>2164</v>
      </c>
      <c r="P555" t="s">
        <v>3037</v>
      </c>
      <c r="Q555">
        <v>37.5</v>
      </c>
      <c r="R555" s="1" t="s">
        <v>1839</v>
      </c>
      <c r="S555">
        <v>2539</v>
      </c>
      <c r="T555">
        <v>95212</v>
      </c>
    </row>
    <row r="556" spans="1:20" x14ac:dyDescent="0.4">
      <c r="A556" s="1" t="s">
        <v>178</v>
      </c>
      <c r="B556" s="1" t="s">
        <v>1457</v>
      </c>
      <c r="C556" s="1" t="s">
        <v>1844</v>
      </c>
      <c r="D556" s="1" t="s">
        <v>1846</v>
      </c>
      <c r="E556">
        <v>20251219</v>
      </c>
      <c r="F556" s="1" t="s">
        <v>1469</v>
      </c>
      <c r="G556">
        <v>4</v>
      </c>
      <c r="H556" s="1" t="s">
        <v>1475</v>
      </c>
      <c r="I556" t="s">
        <v>1855</v>
      </c>
      <c r="J556" s="1" t="s">
        <v>1548</v>
      </c>
      <c r="K556" s="1" t="s">
        <v>1606</v>
      </c>
      <c r="L556" s="1" t="s">
        <v>1718</v>
      </c>
      <c r="M556" s="1" t="s">
        <v>1735</v>
      </c>
      <c r="N556" t="s">
        <v>1981</v>
      </c>
      <c r="O556" t="s">
        <v>2164</v>
      </c>
      <c r="P556" t="s">
        <v>3037</v>
      </c>
      <c r="Q556">
        <v>37.5</v>
      </c>
      <c r="R556" s="1" t="s">
        <v>1839</v>
      </c>
      <c r="S556">
        <v>2539</v>
      </c>
      <c r="T556">
        <v>95212</v>
      </c>
    </row>
    <row r="557" spans="1:20" x14ac:dyDescent="0.4">
      <c r="A557" s="1" t="s">
        <v>178</v>
      </c>
      <c r="B557" s="1" t="s">
        <v>1458</v>
      </c>
      <c r="C557" s="1" t="s">
        <v>1844</v>
      </c>
      <c r="D557" s="1" t="s">
        <v>1846</v>
      </c>
      <c r="E557">
        <v>20251219</v>
      </c>
      <c r="F557" s="1" t="s">
        <v>1469</v>
      </c>
      <c r="G557">
        <v>4</v>
      </c>
      <c r="H557" s="1" t="s">
        <v>1475</v>
      </c>
      <c r="I557" t="s">
        <v>1855</v>
      </c>
      <c r="J557" s="1" t="s">
        <v>1548</v>
      </c>
      <c r="K557" s="1" t="s">
        <v>1606</v>
      </c>
      <c r="L557" s="1" t="s">
        <v>1718</v>
      </c>
      <c r="M557" s="1" t="s">
        <v>1735</v>
      </c>
      <c r="N557" t="s">
        <v>1981</v>
      </c>
      <c r="O557" t="s">
        <v>2164</v>
      </c>
      <c r="P557" t="s">
        <v>3037</v>
      </c>
      <c r="Q557">
        <v>37.5</v>
      </c>
      <c r="R557" s="1" t="s">
        <v>1839</v>
      </c>
      <c r="S557">
        <v>2539</v>
      </c>
      <c r="T557">
        <v>95212</v>
      </c>
    </row>
    <row r="558" spans="1:20" x14ac:dyDescent="0.4">
      <c r="A558" s="1" t="s">
        <v>178</v>
      </c>
      <c r="B558" s="1" t="s">
        <v>1459</v>
      </c>
      <c r="C558" s="1" t="s">
        <v>1844</v>
      </c>
      <c r="D558" s="1" t="s">
        <v>1846</v>
      </c>
      <c r="E558">
        <v>20251219</v>
      </c>
      <c r="F558" s="1" t="s">
        <v>1469</v>
      </c>
      <c r="G558">
        <v>4</v>
      </c>
      <c r="H558" s="1" t="s">
        <v>1475</v>
      </c>
      <c r="I558" t="s">
        <v>1855</v>
      </c>
      <c r="J558" s="1" t="s">
        <v>1548</v>
      </c>
      <c r="K558" s="1" t="s">
        <v>1606</v>
      </c>
      <c r="L558" s="1" t="s">
        <v>1718</v>
      </c>
      <c r="M558" s="1" t="s">
        <v>1735</v>
      </c>
      <c r="N558" t="s">
        <v>1981</v>
      </c>
      <c r="O558" t="s">
        <v>2164</v>
      </c>
      <c r="P558" t="s">
        <v>3037</v>
      </c>
      <c r="Q558">
        <v>39.6</v>
      </c>
      <c r="R558" s="1" t="s">
        <v>1839</v>
      </c>
      <c r="S558">
        <v>2539</v>
      </c>
      <c r="T558">
        <v>100544</v>
      </c>
    </row>
    <row r="559" spans="1:20" x14ac:dyDescent="0.4">
      <c r="A559" s="1" t="s">
        <v>178</v>
      </c>
      <c r="B559" s="1" t="s">
        <v>1460</v>
      </c>
      <c r="C559" s="1" t="s">
        <v>1844</v>
      </c>
      <c r="D559" s="1" t="s">
        <v>1846</v>
      </c>
      <c r="E559">
        <v>20251219</v>
      </c>
      <c r="F559" s="1" t="s">
        <v>1469</v>
      </c>
      <c r="G559">
        <v>4</v>
      </c>
      <c r="H559" s="1" t="s">
        <v>1475</v>
      </c>
      <c r="I559" t="s">
        <v>1855</v>
      </c>
      <c r="J559" s="1" t="s">
        <v>1548</v>
      </c>
      <c r="K559" s="1" t="s">
        <v>1606</v>
      </c>
      <c r="L559" s="1" t="s">
        <v>1718</v>
      </c>
      <c r="M559" s="1" t="s">
        <v>1735</v>
      </c>
      <c r="N559" t="s">
        <v>1981</v>
      </c>
      <c r="O559" t="s">
        <v>2164</v>
      </c>
      <c r="P559" t="s">
        <v>3037</v>
      </c>
      <c r="Q559">
        <v>37.5</v>
      </c>
      <c r="R559" s="1" t="s">
        <v>1839</v>
      </c>
      <c r="S559">
        <v>2539</v>
      </c>
      <c r="T559">
        <v>95212</v>
      </c>
    </row>
    <row r="560" spans="1:20" x14ac:dyDescent="0.4">
      <c r="A560" s="1" t="s">
        <v>178</v>
      </c>
      <c r="B560" s="1" t="s">
        <v>1461</v>
      </c>
      <c r="C560" s="1" t="s">
        <v>1844</v>
      </c>
      <c r="D560" s="1" t="s">
        <v>1846</v>
      </c>
      <c r="E560">
        <v>20251219</v>
      </c>
      <c r="F560" s="1" t="s">
        <v>1469</v>
      </c>
      <c r="G560">
        <v>4</v>
      </c>
      <c r="H560" s="1" t="s">
        <v>1475</v>
      </c>
      <c r="I560" t="s">
        <v>1855</v>
      </c>
      <c r="J560" s="1" t="s">
        <v>1548</v>
      </c>
      <c r="K560" s="1" t="s">
        <v>1606</v>
      </c>
      <c r="L560" s="1" t="s">
        <v>1718</v>
      </c>
      <c r="M560" s="1" t="s">
        <v>1735</v>
      </c>
      <c r="N560" t="s">
        <v>1981</v>
      </c>
      <c r="O560" t="s">
        <v>2164</v>
      </c>
      <c r="P560" t="s">
        <v>3037</v>
      </c>
      <c r="Q560">
        <v>37.5</v>
      </c>
      <c r="R560" s="1" t="s">
        <v>1839</v>
      </c>
      <c r="S560">
        <v>2539</v>
      </c>
      <c r="T560">
        <v>95212</v>
      </c>
    </row>
    <row r="561" spans="1:20" x14ac:dyDescent="0.4">
      <c r="A561" s="1" t="s">
        <v>178</v>
      </c>
      <c r="B561" s="1" t="s">
        <v>1462</v>
      </c>
      <c r="C561" s="1" t="s">
        <v>1844</v>
      </c>
      <c r="D561" s="1" t="s">
        <v>1846</v>
      </c>
      <c r="E561">
        <v>20251219</v>
      </c>
      <c r="F561" s="1" t="s">
        <v>1469</v>
      </c>
      <c r="G561">
        <v>4</v>
      </c>
      <c r="H561" s="1" t="s">
        <v>1475</v>
      </c>
      <c r="I561" t="s">
        <v>1855</v>
      </c>
      <c r="J561" s="1" t="s">
        <v>1548</v>
      </c>
      <c r="K561" s="1" t="s">
        <v>1606</v>
      </c>
      <c r="L561" s="1" t="s">
        <v>1718</v>
      </c>
      <c r="M561" s="1" t="s">
        <v>1735</v>
      </c>
      <c r="N561" t="s">
        <v>1981</v>
      </c>
      <c r="O561" t="s">
        <v>2164</v>
      </c>
      <c r="P561" t="s">
        <v>3037</v>
      </c>
      <c r="Q561">
        <v>37.5</v>
      </c>
      <c r="R561" s="1" t="s">
        <v>1839</v>
      </c>
      <c r="S561">
        <v>2539</v>
      </c>
      <c r="T561">
        <v>95212</v>
      </c>
    </row>
    <row r="562" spans="1:20" x14ac:dyDescent="0.4">
      <c r="A562" s="1" t="s">
        <v>178</v>
      </c>
      <c r="B562" s="1" t="s">
        <v>1463</v>
      </c>
      <c r="C562" s="1" t="s">
        <v>1844</v>
      </c>
      <c r="D562" s="1" t="s">
        <v>1846</v>
      </c>
      <c r="E562">
        <v>20251219</v>
      </c>
      <c r="F562" s="1" t="s">
        <v>1469</v>
      </c>
      <c r="G562">
        <v>4</v>
      </c>
      <c r="H562" s="1" t="s">
        <v>1475</v>
      </c>
      <c r="I562" t="s">
        <v>1855</v>
      </c>
      <c r="J562" s="1" t="s">
        <v>1548</v>
      </c>
      <c r="K562" s="1" t="s">
        <v>1606</v>
      </c>
      <c r="L562" s="1" t="s">
        <v>1718</v>
      </c>
      <c r="M562" s="1" t="s">
        <v>1735</v>
      </c>
      <c r="N562" t="s">
        <v>1981</v>
      </c>
      <c r="O562" t="s">
        <v>2164</v>
      </c>
      <c r="P562" t="s">
        <v>3037</v>
      </c>
      <c r="Q562">
        <v>37.5</v>
      </c>
      <c r="R562" s="1" t="s">
        <v>1839</v>
      </c>
      <c r="S562">
        <v>2539</v>
      </c>
      <c r="T562">
        <v>95212</v>
      </c>
    </row>
    <row r="563" spans="1:20" x14ac:dyDescent="0.4">
      <c r="A563" s="1" t="s">
        <v>179</v>
      </c>
      <c r="B563" s="1" t="s">
        <v>1453</v>
      </c>
      <c r="C563" s="1" t="s">
        <v>1844</v>
      </c>
      <c r="D563" s="1" t="s">
        <v>1846</v>
      </c>
      <c r="E563">
        <v>20251219</v>
      </c>
      <c r="F563" s="1" t="s">
        <v>1469</v>
      </c>
      <c r="G563">
        <v>4</v>
      </c>
      <c r="H563" s="1" t="s">
        <v>1475</v>
      </c>
      <c r="I563" t="s">
        <v>1855</v>
      </c>
      <c r="J563" s="1" t="s">
        <v>1548</v>
      </c>
      <c r="K563" s="1" t="s">
        <v>1606</v>
      </c>
      <c r="L563" s="1" t="s">
        <v>1718</v>
      </c>
      <c r="M563" s="1" t="s">
        <v>1735</v>
      </c>
      <c r="N563" t="s">
        <v>1981</v>
      </c>
      <c r="O563" t="s">
        <v>2164</v>
      </c>
      <c r="P563" t="s">
        <v>3037</v>
      </c>
      <c r="Q563">
        <v>47.68</v>
      </c>
      <c r="R563" s="1" t="s">
        <v>1839</v>
      </c>
      <c r="S563">
        <v>2539</v>
      </c>
      <c r="T563">
        <v>121059</v>
      </c>
    </row>
    <row r="564" spans="1:20" x14ac:dyDescent="0.4">
      <c r="A564" s="1" t="s">
        <v>179</v>
      </c>
      <c r="B564" s="1" t="s">
        <v>1454</v>
      </c>
      <c r="C564" s="1" t="s">
        <v>1844</v>
      </c>
      <c r="D564" s="1" t="s">
        <v>1846</v>
      </c>
      <c r="E564">
        <v>20251219</v>
      </c>
      <c r="F564" s="1" t="s">
        <v>1469</v>
      </c>
      <c r="G564">
        <v>4</v>
      </c>
      <c r="H564" s="1" t="s">
        <v>1475</v>
      </c>
      <c r="I564" t="s">
        <v>1855</v>
      </c>
      <c r="J564" s="1" t="s">
        <v>1548</v>
      </c>
      <c r="K564" s="1" t="s">
        <v>1606</v>
      </c>
      <c r="L564" s="1" t="s">
        <v>1718</v>
      </c>
      <c r="M564" s="1" t="s">
        <v>1735</v>
      </c>
      <c r="N564" t="s">
        <v>1981</v>
      </c>
      <c r="O564" t="s">
        <v>2164</v>
      </c>
      <c r="P564" t="s">
        <v>3037</v>
      </c>
      <c r="Q564">
        <v>35.299999999999997</v>
      </c>
      <c r="R564" s="1" t="s">
        <v>1839</v>
      </c>
      <c r="S564">
        <v>2539</v>
      </c>
      <c r="T564">
        <v>89626</v>
      </c>
    </row>
    <row r="565" spans="1:20" x14ac:dyDescent="0.4">
      <c r="A565" s="1" t="s">
        <v>179</v>
      </c>
      <c r="B565" s="1" t="s">
        <v>1455</v>
      </c>
      <c r="C565" s="1" t="s">
        <v>1844</v>
      </c>
      <c r="D565" s="1" t="s">
        <v>1846</v>
      </c>
      <c r="E565">
        <v>20251219</v>
      </c>
      <c r="F565" s="1" t="s">
        <v>1469</v>
      </c>
      <c r="G565">
        <v>4</v>
      </c>
      <c r="H565" s="1" t="s">
        <v>1475</v>
      </c>
      <c r="I565" t="s">
        <v>1855</v>
      </c>
      <c r="J565" s="1" t="s">
        <v>1548</v>
      </c>
      <c r="K565" s="1" t="s">
        <v>1606</v>
      </c>
      <c r="L565" s="1" t="s">
        <v>1718</v>
      </c>
      <c r="M565" s="1" t="s">
        <v>1735</v>
      </c>
      <c r="N565" t="s">
        <v>1981</v>
      </c>
      <c r="O565" t="s">
        <v>2164</v>
      </c>
      <c r="P565" t="s">
        <v>3037</v>
      </c>
      <c r="Q565">
        <v>41.86</v>
      </c>
      <c r="R565" s="1" t="s">
        <v>1839</v>
      </c>
      <c r="S565">
        <v>2539</v>
      </c>
      <c r="T565">
        <v>106282</v>
      </c>
    </row>
    <row r="566" spans="1:20" x14ac:dyDescent="0.4">
      <c r="A566" s="1" t="s">
        <v>179</v>
      </c>
      <c r="B566" s="1" t="s">
        <v>1456</v>
      </c>
      <c r="C566" s="1" t="s">
        <v>1844</v>
      </c>
      <c r="D566" s="1" t="s">
        <v>1846</v>
      </c>
      <c r="E566">
        <v>20251219</v>
      </c>
      <c r="F566" s="1" t="s">
        <v>1469</v>
      </c>
      <c r="G566">
        <v>4</v>
      </c>
      <c r="H566" s="1" t="s">
        <v>1475</v>
      </c>
      <c r="I566" t="s">
        <v>1855</v>
      </c>
      <c r="J566" s="1" t="s">
        <v>1548</v>
      </c>
      <c r="K566" s="1" t="s">
        <v>1606</v>
      </c>
      <c r="L566" s="1" t="s">
        <v>1718</v>
      </c>
      <c r="M566" s="1" t="s">
        <v>1735</v>
      </c>
      <c r="N566" t="s">
        <v>1981</v>
      </c>
      <c r="O566" t="s">
        <v>2164</v>
      </c>
      <c r="P566" t="s">
        <v>3037</v>
      </c>
      <c r="Q566">
        <v>45.5</v>
      </c>
      <c r="R566" s="1" t="s">
        <v>1839</v>
      </c>
      <c r="S566">
        <v>2539</v>
      </c>
      <c r="T566">
        <v>115524</v>
      </c>
    </row>
    <row r="567" spans="1:20" x14ac:dyDescent="0.4">
      <c r="A567" s="1" t="s">
        <v>179</v>
      </c>
      <c r="B567" s="1" t="s">
        <v>1457</v>
      </c>
      <c r="C567" s="1" t="s">
        <v>1844</v>
      </c>
      <c r="D567" s="1" t="s">
        <v>1846</v>
      </c>
      <c r="E567">
        <v>20251219</v>
      </c>
      <c r="F567" s="1" t="s">
        <v>1469</v>
      </c>
      <c r="G567">
        <v>4</v>
      </c>
      <c r="H567" s="1" t="s">
        <v>1475</v>
      </c>
      <c r="I567" t="s">
        <v>1855</v>
      </c>
      <c r="J567" s="1" t="s">
        <v>1548</v>
      </c>
      <c r="K567" s="1" t="s">
        <v>1606</v>
      </c>
      <c r="L567" s="1" t="s">
        <v>1718</v>
      </c>
      <c r="M567" s="1" t="s">
        <v>1735</v>
      </c>
      <c r="N567" t="s">
        <v>1981</v>
      </c>
      <c r="O567" t="s">
        <v>2164</v>
      </c>
      <c r="P567" t="s">
        <v>3037</v>
      </c>
      <c r="Q567">
        <v>45.5</v>
      </c>
      <c r="R567" s="1" t="s">
        <v>1839</v>
      </c>
      <c r="S567">
        <v>2539</v>
      </c>
      <c r="T567">
        <v>115524</v>
      </c>
    </row>
    <row r="568" spans="1:20" x14ac:dyDescent="0.4">
      <c r="A568" s="1" t="s">
        <v>179</v>
      </c>
      <c r="B568" s="1" t="s">
        <v>1458</v>
      </c>
      <c r="C568" s="1" t="s">
        <v>1844</v>
      </c>
      <c r="D568" s="1" t="s">
        <v>1846</v>
      </c>
      <c r="E568">
        <v>20251219</v>
      </c>
      <c r="F568" s="1" t="s">
        <v>1469</v>
      </c>
      <c r="G568">
        <v>4</v>
      </c>
      <c r="H568" s="1" t="s">
        <v>1475</v>
      </c>
      <c r="I568" t="s">
        <v>1855</v>
      </c>
      <c r="J568" s="1" t="s">
        <v>1548</v>
      </c>
      <c r="K568" s="1" t="s">
        <v>1606</v>
      </c>
      <c r="L568" s="1" t="s">
        <v>1718</v>
      </c>
      <c r="M568" s="1" t="s">
        <v>1735</v>
      </c>
      <c r="N568" t="s">
        <v>1981</v>
      </c>
      <c r="O568" t="s">
        <v>2164</v>
      </c>
      <c r="P568" t="s">
        <v>3037</v>
      </c>
      <c r="Q568">
        <v>45.5</v>
      </c>
      <c r="R568" s="1" t="s">
        <v>1839</v>
      </c>
      <c r="S568">
        <v>2539</v>
      </c>
      <c r="T568">
        <v>115524</v>
      </c>
    </row>
    <row r="569" spans="1:20" x14ac:dyDescent="0.4">
      <c r="A569" s="1" t="s">
        <v>179</v>
      </c>
      <c r="B569" s="1" t="s">
        <v>1459</v>
      </c>
      <c r="C569" s="1" t="s">
        <v>1844</v>
      </c>
      <c r="D569" s="1" t="s">
        <v>1846</v>
      </c>
      <c r="E569">
        <v>20251219</v>
      </c>
      <c r="F569" s="1" t="s">
        <v>1469</v>
      </c>
      <c r="G569">
        <v>4</v>
      </c>
      <c r="H569" s="1" t="s">
        <v>1475</v>
      </c>
      <c r="I569" t="s">
        <v>1855</v>
      </c>
      <c r="J569" s="1" t="s">
        <v>1548</v>
      </c>
      <c r="K569" s="1" t="s">
        <v>1606</v>
      </c>
      <c r="L569" s="1" t="s">
        <v>1718</v>
      </c>
      <c r="M569" s="1" t="s">
        <v>1735</v>
      </c>
      <c r="N569" t="s">
        <v>1981</v>
      </c>
      <c r="O569" t="s">
        <v>2164</v>
      </c>
      <c r="P569" t="s">
        <v>3037</v>
      </c>
      <c r="Q569">
        <v>45.5</v>
      </c>
      <c r="R569" s="1" t="s">
        <v>1839</v>
      </c>
      <c r="S569">
        <v>2539</v>
      </c>
      <c r="T569">
        <v>115524</v>
      </c>
    </row>
    <row r="570" spans="1:20" x14ac:dyDescent="0.4">
      <c r="A570" s="1" t="s">
        <v>179</v>
      </c>
      <c r="B570" s="1" t="s">
        <v>1460</v>
      </c>
      <c r="C570" s="1" t="s">
        <v>1844</v>
      </c>
      <c r="D570" s="1" t="s">
        <v>1846</v>
      </c>
      <c r="E570">
        <v>20251219</v>
      </c>
      <c r="F570" s="1" t="s">
        <v>1469</v>
      </c>
      <c r="G570">
        <v>4</v>
      </c>
      <c r="H570" s="1" t="s">
        <v>1475</v>
      </c>
      <c r="I570" t="s">
        <v>1855</v>
      </c>
      <c r="J570" s="1" t="s">
        <v>1548</v>
      </c>
      <c r="K570" s="1" t="s">
        <v>1606</v>
      </c>
      <c r="L570" s="1" t="s">
        <v>1718</v>
      </c>
      <c r="M570" s="1" t="s">
        <v>1735</v>
      </c>
      <c r="N570" t="s">
        <v>1981</v>
      </c>
      <c r="O570" t="s">
        <v>2164</v>
      </c>
      <c r="P570" t="s">
        <v>3037</v>
      </c>
      <c r="Q570">
        <v>45.13</v>
      </c>
      <c r="R570" s="1" t="s">
        <v>1839</v>
      </c>
      <c r="S570">
        <v>2539</v>
      </c>
      <c r="T570">
        <v>114585</v>
      </c>
    </row>
    <row r="571" spans="1:20" x14ac:dyDescent="0.4">
      <c r="A571" s="1" t="s">
        <v>180</v>
      </c>
      <c r="B571" s="1" t="s">
        <v>1453</v>
      </c>
      <c r="C571" s="1" t="s">
        <v>1844</v>
      </c>
      <c r="D571" s="1" t="s">
        <v>1846</v>
      </c>
      <c r="E571">
        <v>20251219</v>
      </c>
      <c r="F571" s="1" t="s">
        <v>1469</v>
      </c>
      <c r="G571">
        <v>4</v>
      </c>
      <c r="H571" s="1" t="s">
        <v>1475</v>
      </c>
      <c r="I571" t="s">
        <v>1855</v>
      </c>
      <c r="J571" s="1" t="s">
        <v>1548</v>
      </c>
      <c r="K571" s="1" t="s">
        <v>1606</v>
      </c>
      <c r="L571" s="1" t="s">
        <v>1718</v>
      </c>
      <c r="M571" s="1" t="s">
        <v>1735</v>
      </c>
      <c r="N571" t="s">
        <v>1981</v>
      </c>
      <c r="O571" t="s">
        <v>2164</v>
      </c>
      <c r="P571" t="s">
        <v>3037</v>
      </c>
      <c r="Q571">
        <v>39.299999999999997</v>
      </c>
      <c r="R571" s="1" t="s">
        <v>1839</v>
      </c>
      <c r="S571">
        <v>2539</v>
      </c>
      <c r="T571">
        <v>99782</v>
      </c>
    </row>
    <row r="572" spans="1:20" x14ac:dyDescent="0.4">
      <c r="A572" s="1" t="s">
        <v>180</v>
      </c>
      <c r="B572" s="1" t="s">
        <v>1454</v>
      </c>
      <c r="C572" s="1" t="s">
        <v>1844</v>
      </c>
      <c r="D572" s="1" t="s">
        <v>1846</v>
      </c>
      <c r="E572">
        <v>20251219</v>
      </c>
      <c r="F572" s="1" t="s">
        <v>1469</v>
      </c>
      <c r="G572">
        <v>4</v>
      </c>
      <c r="H572" s="1" t="s">
        <v>1475</v>
      </c>
      <c r="I572" t="s">
        <v>1855</v>
      </c>
      <c r="J572" s="1" t="s">
        <v>1548</v>
      </c>
      <c r="K572" s="1" t="s">
        <v>1606</v>
      </c>
      <c r="L572" s="1" t="s">
        <v>1718</v>
      </c>
      <c r="M572" s="1" t="s">
        <v>1735</v>
      </c>
      <c r="N572" t="s">
        <v>1981</v>
      </c>
      <c r="O572" t="s">
        <v>2164</v>
      </c>
      <c r="P572" t="s">
        <v>3037</v>
      </c>
      <c r="Q572">
        <v>37.950000000000003</v>
      </c>
      <c r="R572" s="1" t="s">
        <v>1839</v>
      </c>
      <c r="S572">
        <v>2539</v>
      </c>
      <c r="T572">
        <v>96355</v>
      </c>
    </row>
    <row r="573" spans="1:20" x14ac:dyDescent="0.4">
      <c r="A573" s="1" t="s">
        <v>180</v>
      </c>
      <c r="B573" s="1" t="s">
        <v>1455</v>
      </c>
      <c r="C573" s="1" t="s">
        <v>1844</v>
      </c>
      <c r="D573" s="1" t="s">
        <v>1846</v>
      </c>
      <c r="E573">
        <v>20251219</v>
      </c>
      <c r="F573" s="1" t="s">
        <v>1469</v>
      </c>
      <c r="G573">
        <v>4</v>
      </c>
      <c r="H573" s="1" t="s">
        <v>1475</v>
      </c>
      <c r="I573" t="s">
        <v>1855</v>
      </c>
      <c r="J573" s="1" t="s">
        <v>1548</v>
      </c>
      <c r="K573" s="1" t="s">
        <v>1606</v>
      </c>
      <c r="L573" s="1" t="s">
        <v>1718</v>
      </c>
      <c r="M573" s="1" t="s">
        <v>1735</v>
      </c>
      <c r="N573" t="s">
        <v>1981</v>
      </c>
      <c r="O573" t="s">
        <v>2164</v>
      </c>
      <c r="P573" t="s">
        <v>3037</v>
      </c>
      <c r="Q573">
        <v>37.5</v>
      </c>
      <c r="R573" s="1" t="s">
        <v>1839</v>
      </c>
      <c r="S573">
        <v>2539</v>
      </c>
      <c r="T573">
        <v>95212</v>
      </c>
    </row>
    <row r="574" spans="1:20" x14ac:dyDescent="0.4">
      <c r="A574" s="1" t="s">
        <v>180</v>
      </c>
      <c r="B574" s="1" t="s">
        <v>1456</v>
      </c>
      <c r="C574" s="1" t="s">
        <v>1844</v>
      </c>
      <c r="D574" s="1" t="s">
        <v>1846</v>
      </c>
      <c r="E574">
        <v>20251219</v>
      </c>
      <c r="F574" s="1" t="s">
        <v>1469</v>
      </c>
      <c r="G574">
        <v>4</v>
      </c>
      <c r="H574" s="1" t="s">
        <v>1475</v>
      </c>
      <c r="I574" t="s">
        <v>1855</v>
      </c>
      <c r="J574" s="1" t="s">
        <v>1548</v>
      </c>
      <c r="K574" s="1" t="s">
        <v>1606</v>
      </c>
      <c r="L574" s="1" t="s">
        <v>1718</v>
      </c>
      <c r="M574" s="1" t="s">
        <v>1735</v>
      </c>
      <c r="N574" t="s">
        <v>1981</v>
      </c>
      <c r="O574" t="s">
        <v>2164</v>
      </c>
      <c r="P574" t="s">
        <v>3037</v>
      </c>
      <c r="Q574">
        <v>37.5</v>
      </c>
      <c r="R574" s="1" t="s">
        <v>1839</v>
      </c>
      <c r="S574">
        <v>2539</v>
      </c>
      <c r="T574">
        <v>95212</v>
      </c>
    </row>
    <row r="575" spans="1:20" x14ac:dyDescent="0.4">
      <c r="A575" s="1" t="s">
        <v>180</v>
      </c>
      <c r="B575" s="1" t="s">
        <v>1457</v>
      </c>
      <c r="C575" s="1" t="s">
        <v>1844</v>
      </c>
      <c r="D575" s="1" t="s">
        <v>1846</v>
      </c>
      <c r="E575">
        <v>20251219</v>
      </c>
      <c r="F575" s="1" t="s">
        <v>1469</v>
      </c>
      <c r="G575">
        <v>4</v>
      </c>
      <c r="H575" s="1" t="s">
        <v>1475</v>
      </c>
      <c r="I575" t="s">
        <v>1855</v>
      </c>
      <c r="J575" s="1" t="s">
        <v>1548</v>
      </c>
      <c r="K575" s="1" t="s">
        <v>1606</v>
      </c>
      <c r="L575" s="1" t="s">
        <v>1718</v>
      </c>
      <c r="M575" s="1" t="s">
        <v>1735</v>
      </c>
      <c r="N575" t="s">
        <v>1981</v>
      </c>
      <c r="O575" t="s">
        <v>2164</v>
      </c>
      <c r="P575" t="s">
        <v>3037</v>
      </c>
      <c r="Q575">
        <v>37.5</v>
      </c>
      <c r="R575" s="1" t="s">
        <v>1839</v>
      </c>
      <c r="S575">
        <v>2539</v>
      </c>
      <c r="T575">
        <v>95212</v>
      </c>
    </row>
    <row r="576" spans="1:20" x14ac:dyDescent="0.4">
      <c r="A576" s="1" t="s">
        <v>180</v>
      </c>
      <c r="B576" s="1" t="s">
        <v>1458</v>
      </c>
      <c r="C576" s="1" t="s">
        <v>1844</v>
      </c>
      <c r="D576" s="1" t="s">
        <v>1846</v>
      </c>
      <c r="E576">
        <v>20251219</v>
      </c>
      <c r="F576" s="1" t="s">
        <v>1469</v>
      </c>
      <c r="G576">
        <v>4</v>
      </c>
      <c r="H576" s="1" t="s">
        <v>1475</v>
      </c>
      <c r="I576" t="s">
        <v>1855</v>
      </c>
      <c r="J576" s="1" t="s">
        <v>1548</v>
      </c>
      <c r="K576" s="1" t="s">
        <v>1606</v>
      </c>
      <c r="L576" s="1" t="s">
        <v>1718</v>
      </c>
      <c r="M576" s="1" t="s">
        <v>1735</v>
      </c>
      <c r="N576" t="s">
        <v>1981</v>
      </c>
      <c r="O576" t="s">
        <v>2164</v>
      </c>
      <c r="P576" t="s">
        <v>3037</v>
      </c>
      <c r="Q576">
        <v>37.5</v>
      </c>
      <c r="R576" s="1" t="s">
        <v>1839</v>
      </c>
      <c r="S576">
        <v>2539</v>
      </c>
      <c r="T576">
        <v>95212</v>
      </c>
    </row>
    <row r="577" spans="1:20" x14ac:dyDescent="0.4">
      <c r="A577" s="1" t="s">
        <v>180</v>
      </c>
      <c r="B577" s="1" t="s">
        <v>1459</v>
      </c>
      <c r="C577" s="1" t="s">
        <v>1844</v>
      </c>
      <c r="D577" s="1" t="s">
        <v>1846</v>
      </c>
      <c r="E577">
        <v>20251219</v>
      </c>
      <c r="F577" s="1" t="s">
        <v>1469</v>
      </c>
      <c r="G577">
        <v>4</v>
      </c>
      <c r="H577" s="1" t="s">
        <v>1475</v>
      </c>
      <c r="I577" t="s">
        <v>1855</v>
      </c>
      <c r="J577" s="1" t="s">
        <v>1548</v>
      </c>
      <c r="K577" s="1" t="s">
        <v>1606</v>
      </c>
      <c r="L577" s="1" t="s">
        <v>1718</v>
      </c>
      <c r="M577" s="1" t="s">
        <v>1735</v>
      </c>
      <c r="N577" t="s">
        <v>1981</v>
      </c>
      <c r="O577" t="s">
        <v>2164</v>
      </c>
      <c r="P577" t="s">
        <v>3037</v>
      </c>
      <c r="Q577">
        <v>37.5</v>
      </c>
      <c r="R577" s="1" t="s">
        <v>1839</v>
      </c>
      <c r="S577">
        <v>2539</v>
      </c>
      <c r="T577">
        <v>95212</v>
      </c>
    </row>
    <row r="578" spans="1:20" x14ac:dyDescent="0.4">
      <c r="A578" s="1" t="s">
        <v>180</v>
      </c>
      <c r="B578" s="1" t="s">
        <v>1460</v>
      </c>
      <c r="C578" s="1" t="s">
        <v>1844</v>
      </c>
      <c r="D578" s="1" t="s">
        <v>1846</v>
      </c>
      <c r="E578">
        <v>20251219</v>
      </c>
      <c r="F578" s="1" t="s">
        <v>1469</v>
      </c>
      <c r="G578">
        <v>4</v>
      </c>
      <c r="H578" s="1" t="s">
        <v>1475</v>
      </c>
      <c r="I578" t="s">
        <v>1855</v>
      </c>
      <c r="J578" s="1" t="s">
        <v>1548</v>
      </c>
      <c r="K578" s="1" t="s">
        <v>1606</v>
      </c>
      <c r="L578" s="1" t="s">
        <v>1718</v>
      </c>
      <c r="M578" s="1" t="s">
        <v>1735</v>
      </c>
      <c r="N578" t="s">
        <v>1981</v>
      </c>
      <c r="O578" t="s">
        <v>2164</v>
      </c>
      <c r="P578" t="s">
        <v>3037</v>
      </c>
      <c r="Q578">
        <v>37.200000000000003</v>
      </c>
      <c r="R578" s="1" t="s">
        <v>1839</v>
      </c>
      <c r="S578">
        <v>2539</v>
      </c>
      <c r="T578">
        <v>94450</v>
      </c>
    </row>
    <row r="579" spans="1:20" x14ac:dyDescent="0.4">
      <c r="A579" s="1" t="s">
        <v>181</v>
      </c>
      <c r="B579" s="1" t="s">
        <v>1453</v>
      </c>
      <c r="C579" s="1" t="s">
        <v>1844</v>
      </c>
      <c r="D579" s="1" t="s">
        <v>1846</v>
      </c>
      <c r="E579">
        <v>20251219</v>
      </c>
      <c r="F579" s="1" t="s">
        <v>1469</v>
      </c>
      <c r="G579">
        <v>4</v>
      </c>
      <c r="H579" s="1" t="s">
        <v>1475</v>
      </c>
      <c r="I579" t="s">
        <v>1855</v>
      </c>
      <c r="J579" s="1" t="s">
        <v>1548</v>
      </c>
      <c r="K579" s="1" t="s">
        <v>1606</v>
      </c>
      <c r="L579" s="1" t="s">
        <v>1718</v>
      </c>
      <c r="M579" s="1" t="s">
        <v>1735</v>
      </c>
      <c r="N579" t="s">
        <v>1981</v>
      </c>
      <c r="O579" t="s">
        <v>2164</v>
      </c>
      <c r="P579" t="s">
        <v>3037</v>
      </c>
      <c r="Q579">
        <v>38.22</v>
      </c>
      <c r="R579" s="1" t="s">
        <v>1839</v>
      </c>
      <c r="S579">
        <v>2539</v>
      </c>
      <c r="T579">
        <v>97040</v>
      </c>
    </row>
    <row r="580" spans="1:20" x14ac:dyDescent="0.4">
      <c r="A580" s="1" t="s">
        <v>181</v>
      </c>
      <c r="B580" s="1" t="s">
        <v>1454</v>
      </c>
      <c r="C580" s="1" t="s">
        <v>1844</v>
      </c>
      <c r="D580" s="1" t="s">
        <v>1846</v>
      </c>
      <c r="E580">
        <v>20251219</v>
      </c>
      <c r="F580" s="1" t="s">
        <v>1469</v>
      </c>
      <c r="G580">
        <v>4</v>
      </c>
      <c r="H580" s="1" t="s">
        <v>1475</v>
      </c>
      <c r="I580" t="s">
        <v>1855</v>
      </c>
      <c r="J580" s="1" t="s">
        <v>1548</v>
      </c>
      <c r="K580" s="1" t="s">
        <v>1606</v>
      </c>
      <c r="L580" s="1" t="s">
        <v>1718</v>
      </c>
      <c r="M580" s="1" t="s">
        <v>1735</v>
      </c>
      <c r="N580" t="s">
        <v>1981</v>
      </c>
      <c r="O580" t="s">
        <v>2164</v>
      </c>
      <c r="P580" t="s">
        <v>3037</v>
      </c>
      <c r="Q580">
        <v>38.22</v>
      </c>
      <c r="R580" s="1" t="s">
        <v>1839</v>
      </c>
      <c r="S580">
        <v>2539</v>
      </c>
      <c r="T580">
        <v>97040</v>
      </c>
    </row>
    <row r="581" spans="1:20" x14ac:dyDescent="0.4">
      <c r="A581" s="1" t="s">
        <v>181</v>
      </c>
      <c r="B581" s="1" t="s">
        <v>1455</v>
      </c>
      <c r="C581" s="1" t="s">
        <v>1844</v>
      </c>
      <c r="D581" s="1" t="s">
        <v>1846</v>
      </c>
      <c r="E581">
        <v>20251219</v>
      </c>
      <c r="F581" s="1" t="s">
        <v>1469</v>
      </c>
      <c r="G581">
        <v>4</v>
      </c>
      <c r="H581" s="1" t="s">
        <v>1475</v>
      </c>
      <c r="I581" t="s">
        <v>1855</v>
      </c>
      <c r="J581" s="1" t="s">
        <v>1548</v>
      </c>
      <c r="K581" s="1" t="s">
        <v>1606</v>
      </c>
      <c r="L581" s="1" t="s">
        <v>1718</v>
      </c>
      <c r="M581" s="1" t="s">
        <v>1735</v>
      </c>
      <c r="N581" t="s">
        <v>1981</v>
      </c>
      <c r="O581" t="s">
        <v>2164</v>
      </c>
      <c r="P581" t="s">
        <v>3037</v>
      </c>
      <c r="Q581">
        <v>39.31</v>
      </c>
      <c r="R581" s="1" t="s">
        <v>1839</v>
      </c>
      <c r="S581">
        <v>2539</v>
      </c>
      <c r="T581">
        <v>99808</v>
      </c>
    </row>
    <row r="582" spans="1:20" x14ac:dyDescent="0.4">
      <c r="A582" s="1" t="s">
        <v>181</v>
      </c>
      <c r="B582" s="1" t="s">
        <v>1456</v>
      </c>
      <c r="C582" s="1" t="s">
        <v>1844</v>
      </c>
      <c r="D582" s="1" t="s">
        <v>1846</v>
      </c>
      <c r="E582">
        <v>20251219</v>
      </c>
      <c r="F582" s="1" t="s">
        <v>1469</v>
      </c>
      <c r="G582">
        <v>4</v>
      </c>
      <c r="H582" s="1" t="s">
        <v>1475</v>
      </c>
      <c r="I582" t="s">
        <v>1855</v>
      </c>
      <c r="J582" s="1" t="s">
        <v>1548</v>
      </c>
      <c r="K582" s="1" t="s">
        <v>1606</v>
      </c>
      <c r="L582" s="1" t="s">
        <v>1718</v>
      </c>
      <c r="M582" s="1" t="s">
        <v>1735</v>
      </c>
      <c r="N582" t="s">
        <v>1981</v>
      </c>
      <c r="O582" t="s">
        <v>2164</v>
      </c>
      <c r="P582" t="s">
        <v>3037</v>
      </c>
      <c r="Q582">
        <v>41.86</v>
      </c>
      <c r="R582" s="1" t="s">
        <v>1839</v>
      </c>
      <c r="S582">
        <v>2539</v>
      </c>
      <c r="T582">
        <v>106282</v>
      </c>
    </row>
    <row r="583" spans="1:20" x14ac:dyDescent="0.4">
      <c r="A583" s="1" t="s">
        <v>181</v>
      </c>
      <c r="B583" s="1" t="s">
        <v>1457</v>
      </c>
      <c r="C583" s="1" t="s">
        <v>1844</v>
      </c>
      <c r="D583" s="1" t="s">
        <v>1846</v>
      </c>
      <c r="E583">
        <v>20251219</v>
      </c>
      <c r="F583" s="1" t="s">
        <v>1469</v>
      </c>
      <c r="G583">
        <v>4</v>
      </c>
      <c r="H583" s="1" t="s">
        <v>1475</v>
      </c>
      <c r="I583" t="s">
        <v>1855</v>
      </c>
      <c r="J583" s="1" t="s">
        <v>1548</v>
      </c>
      <c r="K583" s="1" t="s">
        <v>1606</v>
      </c>
      <c r="L583" s="1" t="s">
        <v>1718</v>
      </c>
      <c r="M583" s="1" t="s">
        <v>1735</v>
      </c>
      <c r="N583" t="s">
        <v>1981</v>
      </c>
      <c r="O583" t="s">
        <v>2164</v>
      </c>
      <c r="P583" t="s">
        <v>3037</v>
      </c>
      <c r="Q583">
        <v>41.86</v>
      </c>
      <c r="R583" s="1" t="s">
        <v>1839</v>
      </c>
      <c r="S583">
        <v>2539</v>
      </c>
      <c r="T583">
        <v>106282</v>
      </c>
    </row>
    <row r="584" spans="1:20" x14ac:dyDescent="0.4">
      <c r="A584" s="1" t="s">
        <v>181</v>
      </c>
      <c r="B584" s="1" t="s">
        <v>1458</v>
      </c>
      <c r="C584" s="1" t="s">
        <v>1844</v>
      </c>
      <c r="D584" s="1" t="s">
        <v>1846</v>
      </c>
      <c r="E584">
        <v>20251219</v>
      </c>
      <c r="F584" s="1" t="s">
        <v>1469</v>
      </c>
      <c r="G584">
        <v>4</v>
      </c>
      <c r="H584" s="1" t="s">
        <v>1475</v>
      </c>
      <c r="I584" t="s">
        <v>1855</v>
      </c>
      <c r="J584" s="1" t="s">
        <v>1548</v>
      </c>
      <c r="K584" s="1" t="s">
        <v>1606</v>
      </c>
      <c r="L584" s="1" t="s">
        <v>1718</v>
      </c>
      <c r="M584" s="1" t="s">
        <v>1735</v>
      </c>
      <c r="N584" t="s">
        <v>1981</v>
      </c>
      <c r="O584" t="s">
        <v>2164</v>
      </c>
      <c r="P584" t="s">
        <v>3037</v>
      </c>
      <c r="Q584">
        <v>41.86</v>
      </c>
      <c r="R584" s="1" t="s">
        <v>1839</v>
      </c>
      <c r="S584">
        <v>2539</v>
      </c>
      <c r="T584">
        <v>106282</v>
      </c>
    </row>
    <row r="585" spans="1:20" x14ac:dyDescent="0.4">
      <c r="A585" s="1" t="s">
        <v>181</v>
      </c>
      <c r="B585" s="1" t="s">
        <v>1459</v>
      </c>
      <c r="C585" s="1" t="s">
        <v>1844</v>
      </c>
      <c r="D585" s="1" t="s">
        <v>1846</v>
      </c>
      <c r="E585">
        <v>20251219</v>
      </c>
      <c r="F585" s="1" t="s">
        <v>1469</v>
      </c>
      <c r="G585">
        <v>4</v>
      </c>
      <c r="H585" s="1" t="s">
        <v>1475</v>
      </c>
      <c r="I585" t="s">
        <v>1855</v>
      </c>
      <c r="J585" s="1" t="s">
        <v>1548</v>
      </c>
      <c r="K585" s="1" t="s">
        <v>1606</v>
      </c>
      <c r="L585" s="1" t="s">
        <v>1718</v>
      </c>
      <c r="M585" s="1" t="s">
        <v>1735</v>
      </c>
      <c r="N585" t="s">
        <v>1981</v>
      </c>
      <c r="O585" t="s">
        <v>2164</v>
      </c>
      <c r="P585" t="s">
        <v>3037</v>
      </c>
      <c r="Q585">
        <v>45.31</v>
      </c>
      <c r="R585" s="1" t="s">
        <v>1839</v>
      </c>
      <c r="S585">
        <v>2539</v>
      </c>
      <c r="T585">
        <v>115042</v>
      </c>
    </row>
    <row r="586" spans="1:20" x14ac:dyDescent="0.4">
      <c r="A586" s="1" t="s">
        <v>182</v>
      </c>
      <c r="B586" s="1" t="s">
        <v>1453</v>
      </c>
      <c r="C586" s="1" t="s">
        <v>1844</v>
      </c>
      <c r="D586" s="1" t="s">
        <v>1846</v>
      </c>
      <c r="E586">
        <v>20251219</v>
      </c>
      <c r="F586" s="1" t="s">
        <v>1469</v>
      </c>
      <c r="G586">
        <v>4</v>
      </c>
      <c r="H586" s="1" t="s">
        <v>1475</v>
      </c>
      <c r="I586" t="s">
        <v>1855</v>
      </c>
      <c r="J586" s="1" t="s">
        <v>1548</v>
      </c>
      <c r="K586" s="1" t="s">
        <v>1606</v>
      </c>
      <c r="L586" s="1" t="s">
        <v>1718</v>
      </c>
      <c r="M586" s="1" t="s">
        <v>1735</v>
      </c>
      <c r="N586" t="s">
        <v>1981</v>
      </c>
      <c r="O586" t="s">
        <v>2164</v>
      </c>
      <c r="P586" t="s">
        <v>3037</v>
      </c>
      <c r="Q586">
        <v>31.5</v>
      </c>
      <c r="R586" s="1" t="s">
        <v>1839</v>
      </c>
      <c r="S586">
        <v>2539</v>
      </c>
      <c r="T586">
        <v>79978</v>
      </c>
    </row>
    <row r="587" spans="1:20" x14ac:dyDescent="0.4">
      <c r="A587" s="1" t="s">
        <v>182</v>
      </c>
      <c r="B587" s="1" t="s">
        <v>1454</v>
      </c>
      <c r="C587" s="1" t="s">
        <v>1844</v>
      </c>
      <c r="D587" s="1" t="s">
        <v>1846</v>
      </c>
      <c r="E587">
        <v>20251219</v>
      </c>
      <c r="F587" s="1" t="s">
        <v>1469</v>
      </c>
      <c r="G587">
        <v>4</v>
      </c>
      <c r="H587" s="1" t="s">
        <v>1475</v>
      </c>
      <c r="I587" t="s">
        <v>1855</v>
      </c>
      <c r="J587" s="1" t="s">
        <v>1548</v>
      </c>
      <c r="K587" s="1" t="s">
        <v>1606</v>
      </c>
      <c r="L587" s="1" t="s">
        <v>1718</v>
      </c>
      <c r="M587" s="1" t="s">
        <v>1735</v>
      </c>
      <c r="N587" t="s">
        <v>1981</v>
      </c>
      <c r="O587" t="s">
        <v>2164</v>
      </c>
      <c r="P587" t="s">
        <v>3037</v>
      </c>
      <c r="Q587">
        <v>31.5</v>
      </c>
      <c r="R587" s="1" t="s">
        <v>1839</v>
      </c>
      <c r="S587">
        <v>2539</v>
      </c>
      <c r="T587">
        <v>79978</v>
      </c>
    </row>
    <row r="588" spans="1:20" x14ac:dyDescent="0.4">
      <c r="A588" s="1" t="s">
        <v>182</v>
      </c>
      <c r="B588" s="1" t="s">
        <v>1455</v>
      </c>
      <c r="C588" s="1" t="s">
        <v>1844</v>
      </c>
      <c r="D588" s="1" t="s">
        <v>1846</v>
      </c>
      <c r="E588">
        <v>20251219</v>
      </c>
      <c r="F588" s="1" t="s">
        <v>1469</v>
      </c>
      <c r="G588">
        <v>4</v>
      </c>
      <c r="H588" s="1" t="s">
        <v>1475</v>
      </c>
      <c r="I588" t="s">
        <v>1855</v>
      </c>
      <c r="J588" s="1" t="s">
        <v>1548</v>
      </c>
      <c r="K588" s="1" t="s">
        <v>1606</v>
      </c>
      <c r="L588" s="1" t="s">
        <v>1718</v>
      </c>
      <c r="M588" s="1" t="s">
        <v>1735</v>
      </c>
      <c r="N588" t="s">
        <v>1981</v>
      </c>
      <c r="O588" t="s">
        <v>2164</v>
      </c>
      <c r="P588" t="s">
        <v>3037</v>
      </c>
      <c r="Q588">
        <v>32.4</v>
      </c>
      <c r="R588" s="1" t="s">
        <v>1839</v>
      </c>
      <c r="S588">
        <v>2539</v>
      </c>
      <c r="T588">
        <v>82263</v>
      </c>
    </row>
    <row r="589" spans="1:20" x14ac:dyDescent="0.4">
      <c r="A589" s="1" t="s">
        <v>182</v>
      </c>
      <c r="B589" s="1" t="s">
        <v>1456</v>
      </c>
      <c r="C589" s="1" t="s">
        <v>1844</v>
      </c>
      <c r="D589" s="1" t="s">
        <v>1846</v>
      </c>
      <c r="E589">
        <v>20251219</v>
      </c>
      <c r="F589" s="1" t="s">
        <v>1469</v>
      </c>
      <c r="G589">
        <v>4</v>
      </c>
      <c r="H589" s="1" t="s">
        <v>1475</v>
      </c>
      <c r="I589" t="s">
        <v>1855</v>
      </c>
      <c r="J589" s="1" t="s">
        <v>1548</v>
      </c>
      <c r="K589" s="1" t="s">
        <v>1606</v>
      </c>
      <c r="L589" s="1" t="s">
        <v>1718</v>
      </c>
      <c r="M589" s="1" t="s">
        <v>1735</v>
      </c>
      <c r="N589" t="s">
        <v>1981</v>
      </c>
      <c r="O589" t="s">
        <v>2164</v>
      </c>
      <c r="P589" t="s">
        <v>3037</v>
      </c>
      <c r="Q589">
        <v>34.5</v>
      </c>
      <c r="R589" s="1" t="s">
        <v>1839</v>
      </c>
      <c r="S589">
        <v>2539</v>
      </c>
      <c r="T589">
        <v>87595</v>
      </c>
    </row>
    <row r="590" spans="1:20" x14ac:dyDescent="0.4">
      <c r="A590" s="1" t="s">
        <v>182</v>
      </c>
      <c r="B590" s="1" t="s">
        <v>1457</v>
      </c>
      <c r="C590" s="1" t="s">
        <v>1844</v>
      </c>
      <c r="D590" s="1" t="s">
        <v>1846</v>
      </c>
      <c r="E590">
        <v>20251219</v>
      </c>
      <c r="F590" s="1" t="s">
        <v>1469</v>
      </c>
      <c r="G590">
        <v>4</v>
      </c>
      <c r="H590" s="1" t="s">
        <v>1475</v>
      </c>
      <c r="I590" t="s">
        <v>1855</v>
      </c>
      <c r="J590" s="1" t="s">
        <v>1548</v>
      </c>
      <c r="K590" s="1" t="s">
        <v>1606</v>
      </c>
      <c r="L590" s="1" t="s">
        <v>1718</v>
      </c>
      <c r="M590" s="1" t="s">
        <v>1735</v>
      </c>
      <c r="N590" t="s">
        <v>1981</v>
      </c>
      <c r="O590" t="s">
        <v>2164</v>
      </c>
      <c r="P590" t="s">
        <v>3037</v>
      </c>
      <c r="Q590">
        <v>34.5</v>
      </c>
      <c r="R590" s="1" t="s">
        <v>1839</v>
      </c>
      <c r="S590">
        <v>2539</v>
      </c>
      <c r="T590">
        <v>87595</v>
      </c>
    </row>
    <row r="591" spans="1:20" x14ac:dyDescent="0.4">
      <c r="A591" s="1" t="s">
        <v>182</v>
      </c>
      <c r="B591" s="1" t="s">
        <v>1458</v>
      </c>
      <c r="C591" s="1" t="s">
        <v>1844</v>
      </c>
      <c r="D591" s="1" t="s">
        <v>1846</v>
      </c>
      <c r="E591">
        <v>20251219</v>
      </c>
      <c r="F591" s="1" t="s">
        <v>1469</v>
      </c>
      <c r="G591">
        <v>4</v>
      </c>
      <c r="H591" s="1" t="s">
        <v>1475</v>
      </c>
      <c r="I591" t="s">
        <v>1855</v>
      </c>
      <c r="J591" s="1" t="s">
        <v>1548</v>
      </c>
      <c r="K591" s="1" t="s">
        <v>1606</v>
      </c>
      <c r="L591" s="1" t="s">
        <v>1718</v>
      </c>
      <c r="M591" s="1" t="s">
        <v>1735</v>
      </c>
      <c r="N591" t="s">
        <v>1981</v>
      </c>
      <c r="O591" t="s">
        <v>2164</v>
      </c>
      <c r="P591" t="s">
        <v>3037</v>
      </c>
      <c r="Q591">
        <v>34.5</v>
      </c>
      <c r="R591" s="1" t="s">
        <v>1839</v>
      </c>
      <c r="S591">
        <v>2539</v>
      </c>
      <c r="T591">
        <v>87595</v>
      </c>
    </row>
    <row r="592" spans="1:20" x14ac:dyDescent="0.4">
      <c r="A592" s="1" t="s">
        <v>182</v>
      </c>
      <c r="B592" s="1" t="s">
        <v>1459</v>
      </c>
      <c r="C592" s="1" t="s">
        <v>1844</v>
      </c>
      <c r="D592" s="1" t="s">
        <v>1846</v>
      </c>
      <c r="E592">
        <v>20251219</v>
      </c>
      <c r="F592" s="1" t="s">
        <v>1469</v>
      </c>
      <c r="G592">
        <v>4</v>
      </c>
      <c r="H592" s="1" t="s">
        <v>1475</v>
      </c>
      <c r="I592" t="s">
        <v>1855</v>
      </c>
      <c r="J592" s="1" t="s">
        <v>1548</v>
      </c>
      <c r="K592" s="1" t="s">
        <v>1606</v>
      </c>
      <c r="L592" s="1" t="s">
        <v>1718</v>
      </c>
      <c r="M592" s="1" t="s">
        <v>1735</v>
      </c>
      <c r="N592" t="s">
        <v>1981</v>
      </c>
      <c r="O592" t="s">
        <v>2164</v>
      </c>
      <c r="P592" t="s">
        <v>3037</v>
      </c>
      <c r="Q592">
        <v>37.35</v>
      </c>
      <c r="R592" s="1" t="s">
        <v>1839</v>
      </c>
      <c r="S592">
        <v>2539</v>
      </c>
      <c r="T592">
        <v>94831</v>
      </c>
    </row>
    <row r="593" spans="1:20" x14ac:dyDescent="0.4">
      <c r="A593" s="1" t="s">
        <v>183</v>
      </c>
      <c r="B593" s="1" t="s">
        <v>1453</v>
      </c>
      <c r="C593" s="1" t="s">
        <v>1844</v>
      </c>
      <c r="D593" s="1" t="s">
        <v>1848</v>
      </c>
      <c r="E593">
        <v>20251220</v>
      </c>
      <c r="F593" s="1" t="s">
        <v>1469</v>
      </c>
      <c r="G593">
        <v>4</v>
      </c>
      <c r="H593" s="1" t="s">
        <v>1475</v>
      </c>
      <c r="I593" t="s">
        <v>1855</v>
      </c>
      <c r="J593" s="1" t="s">
        <v>1544</v>
      </c>
      <c r="K593" s="1" t="s">
        <v>1607</v>
      </c>
      <c r="L593" s="1" t="s">
        <v>1718</v>
      </c>
      <c r="M593" s="1" t="s">
        <v>1768</v>
      </c>
      <c r="N593" t="s">
        <v>1970</v>
      </c>
      <c r="O593" t="s">
        <v>2164</v>
      </c>
      <c r="P593" t="s">
        <v>3092</v>
      </c>
      <c r="Q593">
        <v>-18</v>
      </c>
      <c r="R593" s="1" t="s">
        <v>1839</v>
      </c>
      <c r="S593">
        <v>1807</v>
      </c>
      <c r="T593">
        <v>-32526</v>
      </c>
    </row>
    <row r="594" spans="1:20" x14ac:dyDescent="0.4">
      <c r="A594" s="1" t="s">
        <v>184</v>
      </c>
      <c r="B594" s="1" t="s">
        <v>1453</v>
      </c>
      <c r="C594" s="1" t="s">
        <v>1844</v>
      </c>
      <c r="D594" s="1" t="s">
        <v>1846</v>
      </c>
      <c r="E594">
        <v>20251219</v>
      </c>
      <c r="F594" s="1" t="s">
        <v>1469</v>
      </c>
      <c r="G594">
        <v>4</v>
      </c>
      <c r="H594" s="1" t="s">
        <v>1475</v>
      </c>
      <c r="I594" t="s">
        <v>1855</v>
      </c>
      <c r="J594" s="1" t="s">
        <v>1544</v>
      </c>
      <c r="K594" s="1" t="s">
        <v>1596</v>
      </c>
      <c r="L594" s="1" t="s">
        <v>1718</v>
      </c>
      <c r="M594" s="1" t="s">
        <v>1763</v>
      </c>
      <c r="N594" t="s">
        <v>1971</v>
      </c>
      <c r="O594" t="s">
        <v>2164</v>
      </c>
      <c r="P594" t="s">
        <v>3081</v>
      </c>
      <c r="Q594">
        <v>144.5</v>
      </c>
      <c r="R594" s="1" t="s">
        <v>1839</v>
      </c>
      <c r="S594">
        <v>1195</v>
      </c>
      <c r="T594">
        <v>172677</v>
      </c>
    </row>
    <row r="595" spans="1:20" x14ac:dyDescent="0.4">
      <c r="A595" s="1" t="s">
        <v>184</v>
      </c>
      <c r="B595" s="1" t="s">
        <v>1454</v>
      </c>
      <c r="C595" s="1" t="s">
        <v>1844</v>
      </c>
      <c r="D595" s="1" t="s">
        <v>1846</v>
      </c>
      <c r="E595">
        <v>20251219</v>
      </c>
      <c r="F595" s="1" t="s">
        <v>1469</v>
      </c>
      <c r="G595">
        <v>4</v>
      </c>
      <c r="H595" s="1" t="s">
        <v>1475</v>
      </c>
      <c r="I595" t="s">
        <v>1855</v>
      </c>
      <c r="J595" s="1" t="s">
        <v>1544</v>
      </c>
      <c r="K595" s="1" t="s">
        <v>1596</v>
      </c>
      <c r="L595" s="1" t="s">
        <v>1718</v>
      </c>
      <c r="M595" s="1" t="s">
        <v>1763</v>
      </c>
      <c r="N595" t="s">
        <v>1971</v>
      </c>
      <c r="O595" t="s">
        <v>2164</v>
      </c>
      <c r="P595" t="s">
        <v>3081</v>
      </c>
      <c r="Q595">
        <v>138.32</v>
      </c>
      <c r="R595" s="1" t="s">
        <v>1839</v>
      </c>
      <c r="S595">
        <v>1195</v>
      </c>
      <c r="T595">
        <v>165292</v>
      </c>
    </row>
    <row r="596" spans="1:20" x14ac:dyDescent="0.4">
      <c r="A596" s="1" t="s">
        <v>184</v>
      </c>
      <c r="B596" s="1" t="s">
        <v>1455</v>
      </c>
      <c r="C596" s="1" t="s">
        <v>1844</v>
      </c>
      <c r="D596" s="1" t="s">
        <v>1846</v>
      </c>
      <c r="E596">
        <v>20251219</v>
      </c>
      <c r="F596" s="1" t="s">
        <v>1469</v>
      </c>
      <c r="G596">
        <v>4</v>
      </c>
      <c r="H596" s="1" t="s">
        <v>1475</v>
      </c>
      <c r="I596" t="s">
        <v>1855</v>
      </c>
      <c r="J596" s="1" t="s">
        <v>1544</v>
      </c>
      <c r="K596" s="1" t="s">
        <v>1596</v>
      </c>
      <c r="L596" s="1" t="s">
        <v>1718</v>
      </c>
      <c r="M596" s="1" t="s">
        <v>1763</v>
      </c>
      <c r="N596" t="s">
        <v>1971</v>
      </c>
      <c r="O596" t="s">
        <v>2164</v>
      </c>
      <c r="P596" t="s">
        <v>3081</v>
      </c>
      <c r="Q596">
        <v>138.32</v>
      </c>
      <c r="R596" s="1" t="s">
        <v>1839</v>
      </c>
      <c r="S596">
        <v>1195</v>
      </c>
      <c r="T596">
        <v>165292</v>
      </c>
    </row>
    <row r="597" spans="1:20" x14ac:dyDescent="0.4">
      <c r="A597" s="1" t="s">
        <v>184</v>
      </c>
      <c r="B597" s="1" t="s">
        <v>1456</v>
      </c>
      <c r="C597" s="1" t="s">
        <v>1844</v>
      </c>
      <c r="D597" s="1" t="s">
        <v>1846</v>
      </c>
      <c r="E597">
        <v>20251219</v>
      </c>
      <c r="F597" s="1" t="s">
        <v>1469</v>
      </c>
      <c r="G597">
        <v>4</v>
      </c>
      <c r="H597" s="1" t="s">
        <v>1475</v>
      </c>
      <c r="I597" t="s">
        <v>1855</v>
      </c>
      <c r="J597" s="1" t="s">
        <v>1544</v>
      </c>
      <c r="K597" s="1" t="s">
        <v>1596</v>
      </c>
      <c r="L597" s="1" t="s">
        <v>1718</v>
      </c>
      <c r="M597" s="1" t="s">
        <v>1763</v>
      </c>
      <c r="N597" t="s">
        <v>1971</v>
      </c>
      <c r="O597" t="s">
        <v>2164</v>
      </c>
      <c r="P597" t="s">
        <v>3081</v>
      </c>
      <c r="Q597">
        <v>138.32</v>
      </c>
      <c r="R597" s="1" t="s">
        <v>1839</v>
      </c>
      <c r="S597">
        <v>1195</v>
      </c>
      <c r="T597">
        <v>165292</v>
      </c>
    </row>
    <row r="598" spans="1:20" x14ac:dyDescent="0.4">
      <c r="A598" s="1" t="s">
        <v>184</v>
      </c>
      <c r="B598" s="1" t="s">
        <v>1457</v>
      </c>
      <c r="C598" s="1" t="s">
        <v>1844</v>
      </c>
      <c r="D598" s="1" t="s">
        <v>1846</v>
      </c>
      <c r="E598">
        <v>20251219</v>
      </c>
      <c r="F598" s="1" t="s">
        <v>1469</v>
      </c>
      <c r="G598">
        <v>4</v>
      </c>
      <c r="H598" s="1" t="s">
        <v>1475</v>
      </c>
      <c r="I598" t="s">
        <v>1855</v>
      </c>
      <c r="J598" s="1" t="s">
        <v>1544</v>
      </c>
      <c r="K598" s="1" t="s">
        <v>1596</v>
      </c>
      <c r="L598" s="1" t="s">
        <v>1718</v>
      </c>
      <c r="M598" s="1" t="s">
        <v>1763</v>
      </c>
      <c r="N598" t="s">
        <v>1971</v>
      </c>
      <c r="O598" t="s">
        <v>2164</v>
      </c>
      <c r="P598" t="s">
        <v>3081</v>
      </c>
      <c r="Q598">
        <v>138.32</v>
      </c>
      <c r="R598" s="1" t="s">
        <v>1839</v>
      </c>
      <c r="S598">
        <v>1195</v>
      </c>
      <c r="T598">
        <v>165292</v>
      </c>
    </row>
    <row r="599" spans="1:20" x14ac:dyDescent="0.4">
      <c r="A599" s="1" t="s">
        <v>184</v>
      </c>
      <c r="B599" s="1" t="s">
        <v>1458</v>
      </c>
      <c r="C599" s="1" t="s">
        <v>1844</v>
      </c>
      <c r="D599" s="1" t="s">
        <v>1846</v>
      </c>
      <c r="E599">
        <v>20251219</v>
      </c>
      <c r="F599" s="1" t="s">
        <v>1469</v>
      </c>
      <c r="G599">
        <v>4</v>
      </c>
      <c r="H599" s="1" t="s">
        <v>1475</v>
      </c>
      <c r="I599" t="s">
        <v>1855</v>
      </c>
      <c r="J599" s="1" t="s">
        <v>1544</v>
      </c>
      <c r="K599" s="1" t="s">
        <v>1596</v>
      </c>
      <c r="L599" s="1" t="s">
        <v>1718</v>
      </c>
      <c r="M599" s="1" t="s">
        <v>1763</v>
      </c>
      <c r="N599" t="s">
        <v>1971</v>
      </c>
      <c r="O599" t="s">
        <v>2164</v>
      </c>
      <c r="P599" t="s">
        <v>3081</v>
      </c>
      <c r="Q599">
        <v>138.32</v>
      </c>
      <c r="R599" s="1" t="s">
        <v>1839</v>
      </c>
      <c r="S599">
        <v>1195</v>
      </c>
      <c r="T599">
        <v>165292</v>
      </c>
    </row>
    <row r="600" spans="1:20" x14ac:dyDescent="0.4">
      <c r="A600" s="1" t="s">
        <v>184</v>
      </c>
      <c r="B600" s="1" t="s">
        <v>1459</v>
      </c>
      <c r="C600" s="1" t="s">
        <v>1844</v>
      </c>
      <c r="D600" s="1" t="s">
        <v>1846</v>
      </c>
      <c r="E600">
        <v>20251219</v>
      </c>
      <c r="F600" s="1" t="s">
        <v>1469</v>
      </c>
      <c r="G600">
        <v>4</v>
      </c>
      <c r="H600" s="1" t="s">
        <v>1475</v>
      </c>
      <c r="I600" t="s">
        <v>1855</v>
      </c>
      <c r="J600" s="1" t="s">
        <v>1544</v>
      </c>
      <c r="K600" s="1" t="s">
        <v>1596</v>
      </c>
      <c r="L600" s="1" t="s">
        <v>1718</v>
      </c>
      <c r="M600" s="1" t="s">
        <v>1763</v>
      </c>
      <c r="N600" t="s">
        <v>1971</v>
      </c>
      <c r="O600" t="s">
        <v>2164</v>
      </c>
      <c r="P600" t="s">
        <v>3081</v>
      </c>
      <c r="Q600">
        <v>140.13999999999999</v>
      </c>
      <c r="R600" s="1" t="s">
        <v>1839</v>
      </c>
      <c r="S600">
        <v>1195</v>
      </c>
      <c r="T600">
        <v>167467</v>
      </c>
    </row>
    <row r="601" spans="1:20" x14ac:dyDescent="0.4">
      <c r="A601" s="1" t="s">
        <v>184</v>
      </c>
      <c r="B601" s="1" t="s">
        <v>1460</v>
      </c>
      <c r="C601" s="1" t="s">
        <v>1844</v>
      </c>
      <c r="D601" s="1" t="s">
        <v>1846</v>
      </c>
      <c r="E601">
        <v>20251219</v>
      </c>
      <c r="F601" s="1" t="s">
        <v>1469</v>
      </c>
      <c r="G601">
        <v>4</v>
      </c>
      <c r="H601" s="1" t="s">
        <v>1475</v>
      </c>
      <c r="I601" t="s">
        <v>1855</v>
      </c>
      <c r="J601" s="1" t="s">
        <v>1544</v>
      </c>
      <c r="K601" s="1" t="s">
        <v>1596</v>
      </c>
      <c r="L601" s="1" t="s">
        <v>1718</v>
      </c>
      <c r="M601" s="1" t="s">
        <v>1763</v>
      </c>
      <c r="N601" t="s">
        <v>1971</v>
      </c>
      <c r="O601" t="s">
        <v>2164</v>
      </c>
      <c r="P601" t="s">
        <v>3081</v>
      </c>
      <c r="Q601">
        <v>138.32</v>
      </c>
      <c r="R601" s="1" t="s">
        <v>1839</v>
      </c>
      <c r="S601">
        <v>1195</v>
      </c>
      <c r="T601">
        <v>165292</v>
      </c>
    </row>
    <row r="602" spans="1:20" x14ac:dyDescent="0.4">
      <c r="A602" s="1" t="s">
        <v>184</v>
      </c>
      <c r="B602" s="1" t="s">
        <v>1461</v>
      </c>
      <c r="C602" s="1" t="s">
        <v>1844</v>
      </c>
      <c r="D602" s="1" t="s">
        <v>1846</v>
      </c>
      <c r="E602">
        <v>20251219</v>
      </c>
      <c r="F602" s="1" t="s">
        <v>1469</v>
      </c>
      <c r="G602">
        <v>4</v>
      </c>
      <c r="H602" s="1" t="s">
        <v>1475</v>
      </c>
      <c r="I602" t="s">
        <v>1855</v>
      </c>
      <c r="J602" s="1" t="s">
        <v>1544</v>
      </c>
      <c r="K602" s="1" t="s">
        <v>1596</v>
      </c>
      <c r="L602" s="1" t="s">
        <v>1718</v>
      </c>
      <c r="M602" s="1" t="s">
        <v>1763</v>
      </c>
      <c r="N602" t="s">
        <v>1971</v>
      </c>
      <c r="O602" t="s">
        <v>2164</v>
      </c>
      <c r="P602" t="s">
        <v>3081</v>
      </c>
      <c r="Q602">
        <v>116.11</v>
      </c>
      <c r="R602" s="1" t="s">
        <v>1839</v>
      </c>
      <c r="S602">
        <v>1195</v>
      </c>
      <c r="T602">
        <v>138751</v>
      </c>
    </row>
    <row r="603" spans="1:20" x14ac:dyDescent="0.4">
      <c r="A603" s="1" t="s">
        <v>184</v>
      </c>
      <c r="B603" s="1" t="s">
        <v>1462</v>
      </c>
      <c r="C603" s="1" t="s">
        <v>1844</v>
      </c>
      <c r="D603" s="1" t="s">
        <v>1846</v>
      </c>
      <c r="E603">
        <v>20251219</v>
      </c>
      <c r="F603" s="1" t="s">
        <v>1469</v>
      </c>
      <c r="G603">
        <v>4</v>
      </c>
      <c r="H603" s="1" t="s">
        <v>1475</v>
      </c>
      <c r="I603" t="s">
        <v>1855</v>
      </c>
      <c r="J603" s="1" t="s">
        <v>1544</v>
      </c>
      <c r="K603" s="1" t="s">
        <v>1596</v>
      </c>
      <c r="L603" s="1" t="s">
        <v>1718</v>
      </c>
      <c r="M603" s="1" t="s">
        <v>1763</v>
      </c>
      <c r="N603" t="s">
        <v>1971</v>
      </c>
      <c r="O603" t="s">
        <v>2164</v>
      </c>
      <c r="P603" t="s">
        <v>3081</v>
      </c>
      <c r="Q603">
        <v>145.6</v>
      </c>
      <c r="R603" s="1" t="s">
        <v>1839</v>
      </c>
      <c r="S603">
        <v>1195</v>
      </c>
      <c r="T603">
        <v>173992</v>
      </c>
    </row>
    <row r="604" spans="1:20" x14ac:dyDescent="0.4">
      <c r="A604" s="1" t="s">
        <v>184</v>
      </c>
      <c r="B604" s="1" t="s">
        <v>1463</v>
      </c>
      <c r="C604" s="1" t="s">
        <v>1844</v>
      </c>
      <c r="D604" s="1" t="s">
        <v>1846</v>
      </c>
      <c r="E604">
        <v>20251219</v>
      </c>
      <c r="F604" s="1" t="s">
        <v>1469</v>
      </c>
      <c r="G604">
        <v>4</v>
      </c>
      <c r="H604" s="1" t="s">
        <v>1475</v>
      </c>
      <c r="I604" t="s">
        <v>1855</v>
      </c>
      <c r="J604" s="1" t="s">
        <v>1544</v>
      </c>
      <c r="K604" s="1" t="s">
        <v>1596</v>
      </c>
      <c r="L604" s="1" t="s">
        <v>1718</v>
      </c>
      <c r="M604" s="1" t="s">
        <v>1763</v>
      </c>
      <c r="N604" t="s">
        <v>1971</v>
      </c>
      <c r="O604" t="s">
        <v>2164</v>
      </c>
      <c r="P604" t="s">
        <v>3081</v>
      </c>
      <c r="Q604">
        <v>141.96</v>
      </c>
      <c r="R604" s="1" t="s">
        <v>1839</v>
      </c>
      <c r="S604">
        <v>1195</v>
      </c>
      <c r="T604">
        <v>169642</v>
      </c>
    </row>
    <row r="605" spans="1:20" x14ac:dyDescent="0.4">
      <c r="A605" s="1" t="s">
        <v>185</v>
      </c>
      <c r="B605" s="1" t="s">
        <v>1453</v>
      </c>
      <c r="C605" s="1" t="s">
        <v>1844</v>
      </c>
      <c r="D605" s="1" t="s">
        <v>1846</v>
      </c>
      <c r="E605">
        <v>20251219</v>
      </c>
      <c r="F605" s="1" t="s">
        <v>1469</v>
      </c>
      <c r="G605">
        <v>4</v>
      </c>
      <c r="H605" s="1" t="s">
        <v>1475</v>
      </c>
      <c r="I605" t="s">
        <v>1855</v>
      </c>
      <c r="J605" s="1" t="s">
        <v>1544</v>
      </c>
      <c r="K605" s="1" t="s">
        <v>1608</v>
      </c>
      <c r="L605" s="1" t="s">
        <v>1718</v>
      </c>
      <c r="M605" s="1" t="s">
        <v>1769</v>
      </c>
      <c r="N605" t="s">
        <v>1982</v>
      </c>
      <c r="O605" t="s">
        <v>2164</v>
      </c>
      <c r="P605" t="s">
        <v>3093</v>
      </c>
      <c r="Q605">
        <v>91</v>
      </c>
      <c r="R605" s="1" t="s">
        <v>1839</v>
      </c>
      <c r="S605">
        <v>2287</v>
      </c>
      <c r="T605">
        <v>208117</v>
      </c>
    </row>
    <row r="606" spans="1:20" x14ac:dyDescent="0.4">
      <c r="A606" s="1" t="s">
        <v>185</v>
      </c>
      <c r="B606" s="1" t="s">
        <v>1454</v>
      </c>
      <c r="C606" s="1" t="s">
        <v>1844</v>
      </c>
      <c r="D606" s="1" t="s">
        <v>1846</v>
      </c>
      <c r="E606">
        <v>20251219</v>
      </c>
      <c r="F606" s="1" t="s">
        <v>1469</v>
      </c>
      <c r="G606">
        <v>4</v>
      </c>
      <c r="H606" s="1" t="s">
        <v>1475</v>
      </c>
      <c r="I606" t="s">
        <v>1855</v>
      </c>
      <c r="J606" s="1" t="s">
        <v>1544</v>
      </c>
      <c r="K606" s="1" t="s">
        <v>1608</v>
      </c>
      <c r="L606" s="1" t="s">
        <v>1718</v>
      </c>
      <c r="M606" s="1" t="s">
        <v>1769</v>
      </c>
      <c r="N606" t="s">
        <v>1982</v>
      </c>
      <c r="O606" t="s">
        <v>2164</v>
      </c>
      <c r="P606" t="s">
        <v>3093</v>
      </c>
      <c r="Q606">
        <v>91</v>
      </c>
      <c r="R606" s="1" t="s">
        <v>1839</v>
      </c>
      <c r="S606">
        <v>2287</v>
      </c>
      <c r="T606">
        <v>208117</v>
      </c>
    </row>
    <row r="607" spans="1:20" x14ac:dyDescent="0.4">
      <c r="A607" s="1" t="s">
        <v>185</v>
      </c>
      <c r="B607" s="1" t="s">
        <v>1455</v>
      </c>
      <c r="C607" s="1" t="s">
        <v>1844</v>
      </c>
      <c r="D607" s="1" t="s">
        <v>1846</v>
      </c>
      <c r="E607">
        <v>20251219</v>
      </c>
      <c r="F607" s="1" t="s">
        <v>1469</v>
      </c>
      <c r="G607">
        <v>4</v>
      </c>
      <c r="H607" s="1" t="s">
        <v>1475</v>
      </c>
      <c r="I607" t="s">
        <v>1855</v>
      </c>
      <c r="J607" s="1" t="s">
        <v>1544</v>
      </c>
      <c r="K607" s="1" t="s">
        <v>1608</v>
      </c>
      <c r="L607" s="1" t="s">
        <v>1718</v>
      </c>
      <c r="M607" s="1" t="s">
        <v>1769</v>
      </c>
      <c r="N607" t="s">
        <v>1982</v>
      </c>
      <c r="O607" t="s">
        <v>2164</v>
      </c>
      <c r="P607" t="s">
        <v>3093</v>
      </c>
      <c r="Q607">
        <v>91</v>
      </c>
      <c r="R607" s="1" t="s">
        <v>1839</v>
      </c>
      <c r="S607">
        <v>2287</v>
      </c>
      <c r="T607">
        <v>208117</v>
      </c>
    </row>
    <row r="608" spans="1:20" x14ac:dyDescent="0.4">
      <c r="A608" s="1" t="s">
        <v>185</v>
      </c>
      <c r="B608" s="1" t="s">
        <v>1456</v>
      </c>
      <c r="C608" s="1" t="s">
        <v>1844</v>
      </c>
      <c r="D608" s="1" t="s">
        <v>1846</v>
      </c>
      <c r="E608">
        <v>20251219</v>
      </c>
      <c r="F608" s="1" t="s">
        <v>1469</v>
      </c>
      <c r="G608">
        <v>4</v>
      </c>
      <c r="H608" s="1" t="s">
        <v>1475</v>
      </c>
      <c r="I608" t="s">
        <v>1855</v>
      </c>
      <c r="J608" s="1" t="s">
        <v>1544</v>
      </c>
      <c r="K608" s="1" t="s">
        <v>1608</v>
      </c>
      <c r="L608" s="1" t="s">
        <v>1718</v>
      </c>
      <c r="M608" s="1" t="s">
        <v>1769</v>
      </c>
      <c r="N608" t="s">
        <v>1982</v>
      </c>
      <c r="O608" t="s">
        <v>2164</v>
      </c>
      <c r="P608" t="s">
        <v>3093</v>
      </c>
      <c r="Q608">
        <v>94.64</v>
      </c>
      <c r="R608" s="1" t="s">
        <v>1839</v>
      </c>
      <c r="S608">
        <v>2287</v>
      </c>
      <c r="T608">
        <v>216441</v>
      </c>
    </row>
    <row r="609" spans="1:20" x14ac:dyDescent="0.4">
      <c r="A609" s="1" t="s">
        <v>185</v>
      </c>
      <c r="B609" s="1" t="s">
        <v>1457</v>
      </c>
      <c r="C609" s="1" t="s">
        <v>1844</v>
      </c>
      <c r="D609" s="1" t="s">
        <v>1846</v>
      </c>
      <c r="E609">
        <v>20251219</v>
      </c>
      <c r="F609" s="1" t="s">
        <v>1469</v>
      </c>
      <c r="G609">
        <v>4</v>
      </c>
      <c r="H609" s="1" t="s">
        <v>1475</v>
      </c>
      <c r="I609" t="s">
        <v>1855</v>
      </c>
      <c r="J609" s="1" t="s">
        <v>1544</v>
      </c>
      <c r="K609" s="1" t="s">
        <v>1608</v>
      </c>
      <c r="L609" s="1" t="s">
        <v>1718</v>
      </c>
      <c r="M609" s="1" t="s">
        <v>1769</v>
      </c>
      <c r="N609" t="s">
        <v>1982</v>
      </c>
      <c r="O609" t="s">
        <v>2164</v>
      </c>
      <c r="P609" t="s">
        <v>3093</v>
      </c>
      <c r="Q609">
        <v>80.08</v>
      </c>
      <c r="R609" s="1" t="s">
        <v>1839</v>
      </c>
      <c r="S609">
        <v>2287</v>
      </c>
      <c r="T609">
        <v>183142</v>
      </c>
    </row>
    <row r="610" spans="1:20" x14ac:dyDescent="0.4">
      <c r="A610" s="1" t="s">
        <v>185</v>
      </c>
      <c r="B610" s="1" t="s">
        <v>1458</v>
      </c>
      <c r="C610" s="1" t="s">
        <v>1844</v>
      </c>
      <c r="D610" s="1" t="s">
        <v>1846</v>
      </c>
      <c r="E610">
        <v>20251219</v>
      </c>
      <c r="F610" s="1" t="s">
        <v>1469</v>
      </c>
      <c r="G610">
        <v>4</v>
      </c>
      <c r="H610" s="1" t="s">
        <v>1475</v>
      </c>
      <c r="I610" t="s">
        <v>1855</v>
      </c>
      <c r="J610" s="1" t="s">
        <v>1544</v>
      </c>
      <c r="K610" s="1" t="s">
        <v>1608</v>
      </c>
      <c r="L610" s="1" t="s">
        <v>1718</v>
      </c>
      <c r="M610" s="1" t="s">
        <v>1769</v>
      </c>
      <c r="N610" t="s">
        <v>1982</v>
      </c>
      <c r="O610" t="s">
        <v>2164</v>
      </c>
      <c r="P610" t="s">
        <v>3093</v>
      </c>
      <c r="Q610">
        <v>80.08</v>
      </c>
      <c r="R610" s="1" t="s">
        <v>1839</v>
      </c>
      <c r="S610">
        <v>2287</v>
      </c>
      <c r="T610">
        <v>183142</v>
      </c>
    </row>
    <row r="611" spans="1:20" x14ac:dyDescent="0.4">
      <c r="A611" s="1" t="s">
        <v>185</v>
      </c>
      <c r="B611" s="1" t="s">
        <v>1459</v>
      </c>
      <c r="C611" s="1" t="s">
        <v>1844</v>
      </c>
      <c r="D611" s="1" t="s">
        <v>1846</v>
      </c>
      <c r="E611">
        <v>20251219</v>
      </c>
      <c r="F611" s="1" t="s">
        <v>1469</v>
      </c>
      <c r="G611">
        <v>4</v>
      </c>
      <c r="H611" s="1" t="s">
        <v>1475</v>
      </c>
      <c r="I611" t="s">
        <v>1855</v>
      </c>
      <c r="J611" s="1" t="s">
        <v>1544</v>
      </c>
      <c r="K611" s="1" t="s">
        <v>1608</v>
      </c>
      <c r="L611" s="1" t="s">
        <v>1718</v>
      </c>
      <c r="M611" s="1" t="s">
        <v>1769</v>
      </c>
      <c r="N611" t="s">
        <v>1982</v>
      </c>
      <c r="O611" t="s">
        <v>2164</v>
      </c>
      <c r="P611" t="s">
        <v>3093</v>
      </c>
      <c r="Q611">
        <v>80.08</v>
      </c>
      <c r="R611" s="1" t="s">
        <v>1839</v>
      </c>
      <c r="S611">
        <v>2287</v>
      </c>
      <c r="T611">
        <v>183142</v>
      </c>
    </row>
    <row r="612" spans="1:20" x14ac:dyDescent="0.4">
      <c r="A612" s="1" t="s">
        <v>185</v>
      </c>
      <c r="B612" s="1" t="s">
        <v>1460</v>
      </c>
      <c r="C612" s="1" t="s">
        <v>1844</v>
      </c>
      <c r="D612" s="1" t="s">
        <v>1846</v>
      </c>
      <c r="E612">
        <v>20251219</v>
      </c>
      <c r="F612" s="1" t="s">
        <v>1469</v>
      </c>
      <c r="G612">
        <v>4</v>
      </c>
      <c r="H612" s="1" t="s">
        <v>1475</v>
      </c>
      <c r="I612" t="s">
        <v>1855</v>
      </c>
      <c r="J612" s="1" t="s">
        <v>1544</v>
      </c>
      <c r="K612" s="1" t="s">
        <v>1608</v>
      </c>
      <c r="L612" s="1" t="s">
        <v>1718</v>
      </c>
      <c r="M612" s="1" t="s">
        <v>1769</v>
      </c>
      <c r="N612" t="s">
        <v>1982</v>
      </c>
      <c r="O612" t="s">
        <v>2164</v>
      </c>
      <c r="P612" t="s">
        <v>3093</v>
      </c>
      <c r="Q612">
        <v>84.81</v>
      </c>
      <c r="R612" s="1" t="s">
        <v>1839</v>
      </c>
      <c r="S612">
        <v>2287</v>
      </c>
      <c r="T612">
        <v>193960</v>
      </c>
    </row>
    <row r="613" spans="1:20" x14ac:dyDescent="0.4">
      <c r="A613" s="1" t="s">
        <v>186</v>
      </c>
      <c r="B613" s="1" t="s">
        <v>1453</v>
      </c>
      <c r="C613" s="1" t="s">
        <v>1844</v>
      </c>
      <c r="D613" s="1" t="s">
        <v>1846</v>
      </c>
      <c r="E613">
        <v>20251219</v>
      </c>
      <c r="F613" s="1" t="s">
        <v>1469</v>
      </c>
      <c r="G613">
        <v>4</v>
      </c>
      <c r="H613" s="1" t="s">
        <v>1475</v>
      </c>
      <c r="I613" t="s">
        <v>1855</v>
      </c>
      <c r="J613" s="1" t="s">
        <v>1544</v>
      </c>
      <c r="K613" s="1" t="s">
        <v>1609</v>
      </c>
      <c r="L613" s="1" t="s">
        <v>1718</v>
      </c>
      <c r="M613" s="1" t="s">
        <v>1770</v>
      </c>
      <c r="N613" t="s">
        <v>1983</v>
      </c>
      <c r="O613" t="s">
        <v>2164</v>
      </c>
      <c r="P613" t="s">
        <v>3094</v>
      </c>
      <c r="Q613">
        <v>106.28</v>
      </c>
      <c r="R613" s="1" t="s">
        <v>1839</v>
      </c>
      <c r="S613">
        <v>1730</v>
      </c>
      <c r="T613">
        <v>183864</v>
      </c>
    </row>
    <row r="614" spans="1:20" x14ac:dyDescent="0.4">
      <c r="A614" s="1" t="s">
        <v>186</v>
      </c>
      <c r="B614" s="1" t="s">
        <v>1454</v>
      </c>
      <c r="C614" s="1" t="s">
        <v>1844</v>
      </c>
      <c r="D614" s="1" t="s">
        <v>1846</v>
      </c>
      <c r="E614">
        <v>20251219</v>
      </c>
      <c r="F614" s="1" t="s">
        <v>1469</v>
      </c>
      <c r="G614">
        <v>4</v>
      </c>
      <c r="H614" s="1" t="s">
        <v>1475</v>
      </c>
      <c r="I614" t="s">
        <v>1855</v>
      </c>
      <c r="J614" s="1" t="s">
        <v>1544</v>
      </c>
      <c r="K614" s="1" t="s">
        <v>1609</v>
      </c>
      <c r="L614" s="1" t="s">
        <v>1718</v>
      </c>
      <c r="M614" s="1" t="s">
        <v>1770</v>
      </c>
      <c r="N614" t="s">
        <v>1983</v>
      </c>
      <c r="O614" t="s">
        <v>2164</v>
      </c>
      <c r="P614" t="s">
        <v>3094</v>
      </c>
      <c r="Q614">
        <v>25.11</v>
      </c>
      <c r="R614" s="1" t="s">
        <v>1839</v>
      </c>
      <c r="S614">
        <v>1730</v>
      </c>
      <c r="T614">
        <v>43440</v>
      </c>
    </row>
    <row r="615" spans="1:20" x14ac:dyDescent="0.4">
      <c r="A615" s="1" t="s">
        <v>186</v>
      </c>
      <c r="B615" s="1" t="s">
        <v>1455</v>
      </c>
      <c r="C615" s="1" t="s">
        <v>1844</v>
      </c>
      <c r="D615" s="1" t="s">
        <v>1846</v>
      </c>
      <c r="E615">
        <v>20251219</v>
      </c>
      <c r="F615" s="1" t="s">
        <v>1469</v>
      </c>
      <c r="G615">
        <v>4</v>
      </c>
      <c r="H615" s="1" t="s">
        <v>1475</v>
      </c>
      <c r="I615" t="s">
        <v>1855</v>
      </c>
      <c r="J615" s="1" t="s">
        <v>1544</v>
      </c>
      <c r="K615" s="1" t="s">
        <v>1609</v>
      </c>
      <c r="L615" s="1" t="s">
        <v>1718</v>
      </c>
      <c r="M615" s="1" t="s">
        <v>1770</v>
      </c>
      <c r="N615" t="s">
        <v>1983</v>
      </c>
      <c r="O615" t="s">
        <v>2164</v>
      </c>
      <c r="P615" t="s">
        <v>3094</v>
      </c>
      <c r="Q615">
        <v>57.14</v>
      </c>
      <c r="R615" s="1" t="s">
        <v>1839</v>
      </c>
      <c r="S615">
        <v>1730</v>
      </c>
      <c r="T615">
        <v>98852</v>
      </c>
    </row>
    <row r="616" spans="1:20" x14ac:dyDescent="0.4">
      <c r="A616" s="1" t="s">
        <v>186</v>
      </c>
      <c r="B616" s="1" t="s">
        <v>1456</v>
      </c>
      <c r="C616" s="1" t="s">
        <v>1844</v>
      </c>
      <c r="D616" s="1" t="s">
        <v>1846</v>
      </c>
      <c r="E616">
        <v>20251219</v>
      </c>
      <c r="F616" s="1" t="s">
        <v>1469</v>
      </c>
      <c r="G616">
        <v>4</v>
      </c>
      <c r="H616" s="1" t="s">
        <v>1475</v>
      </c>
      <c r="I616" t="s">
        <v>1855</v>
      </c>
      <c r="J616" s="1" t="s">
        <v>1544</v>
      </c>
      <c r="K616" s="1" t="s">
        <v>1609</v>
      </c>
      <c r="L616" s="1" t="s">
        <v>1718</v>
      </c>
      <c r="M616" s="1" t="s">
        <v>1770</v>
      </c>
      <c r="N616" t="s">
        <v>1983</v>
      </c>
      <c r="O616" t="s">
        <v>2164</v>
      </c>
      <c r="P616" t="s">
        <v>3094</v>
      </c>
      <c r="Q616">
        <v>25.48</v>
      </c>
      <c r="R616" s="1" t="s">
        <v>1839</v>
      </c>
      <c r="S616">
        <v>1730</v>
      </c>
      <c r="T616">
        <v>44080</v>
      </c>
    </row>
    <row r="617" spans="1:20" x14ac:dyDescent="0.4">
      <c r="A617" s="1" t="s">
        <v>186</v>
      </c>
      <c r="B617" s="1" t="s">
        <v>1457</v>
      </c>
      <c r="C617" s="1" t="s">
        <v>1844</v>
      </c>
      <c r="D617" s="1" t="s">
        <v>1846</v>
      </c>
      <c r="E617">
        <v>20251219</v>
      </c>
      <c r="F617" s="1" t="s">
        <v>1469</v>
      </c>
      <c r="G617">
        <v>4</v>
      </c>
      <c r="H617" s="1" t="s">
        <v>1475</v>
      </c>
      <c r="I617" t="s">
        <v>1855</v>
      </c>
      <c r="J617" s="1" t="s">
        <v>1544</v>
      </c>
      <c r="K617" s="1" t="s">
        <v>1609</v>
      </c>
      <c r="L617" s="1" t="s">
        <v>1724</v>
      </c>
      <c r="M617" s="1" t="s">
        <v>1770</v>
      </c>
      <c r="N617" t="s">
        <v>1983</v>
      </c>
      <c r="O617" t="s">
        <v>2170</v>
      </c>
      <c r="P617" t="s">
        <v>3094</v>
      </c>
      <c r="Q617">
        <v>12.37</v>
      </c>
      <c r="R617" s="1" t="s">
        <v>1839</v>
      </c>
      <c r="S617">
        <v>1384</v>
      </c>
      <c r="T617">
        <v>17120</v>
      </c>
    </row>
    <row r="618" spans="1:20" x14ac:dyDescent="0.4">
      <c r="A618" s="1" t="s">
        <v>186</v>
      </c>
      <c r="B618" s="1" t="s">
        <v>1458</v>
      </c>
      <c r="C618" s="1" t="s">
        <v>1844</v>
      </c>
      <c r="D618" s="1" t="s">
        <v>1846</v>
      </c>
      <c r="E618">
        <v>20251219</v>
      </c>
      <c r="F618" s="1" t="s">
        <v>1469</v>
      </c>
      <c r="G618">
        <v>4</v>
      </c>
      <c r="H618" s="1" t="s">
        <v>1475</v>
      </c>
      <c r="I618" t="s">
        <v>1855</v>
      </c>
      <c r="J618" s="1" t="s">
        <v>1544</v>
      </c>
      <c r="K618" s="1" t="s">
        <v>1609</v>
      </c>
      <c r="L618" s="1" t="s">
        <v>1718</v>
      </c>
      <c r="M618" s="1" t="s">
        <v>1770</v>
      </c>
      <c r="N618" t="s">
        <v>1983</v>
      </c>
      <c r="O618" t="s">
        <v>2164</v>
      </c>
      <c r="P618" t="s">
        <v>3094</v>
      </c>
      <c r="Q618">
        <v>22.93</v>
      </c>
      <c r="R618" s="1" t="s">
        <v>1839</v>
      </c>
      <c r="S618">
        <v>1730</v>
      </c>
      <c r="T618">
        <v>39668</v>
      </c>
    </row>
    <row r="619" spans="1:20" x14ac:dyDescent="0.4">
      <c r="A619" s="1" t="s">
        <v>186</v>
      </c>
      <c r="B619" s="1" t="s">
        <v>1459</v>
      </c>
      <c r="C619" s="1" t="s">
        <v>1844</v>
      </c>
      <c r="D619" s="1" t="s">
        <v>1846</v>
      </c>
      <c r="E619">
        <v>20251219</v>
      </c>
      <c r="F619" s="1" t="s">
        <v>1469</v>
      </c>
      <c r="G619">
        <v>4</v>
      </c>
      <c r="H619" s="1" t="s">
        <v>1475</v>
      </c>
      <c r="I619" t="s">
        <v>1855</v>
      </c>
      <c r="J619" s="1" t="s">
        <v>1544</v>
      </c>
      <c r="K619" s="1" t="s">
        <v>1609</v>
      </c>
      <c r="L619" s="1" t="s">
        <v>1718</v>
      </c>
      <c r="M619" s="1" t="s">
        <v>1770</v>
      </c>
      <c r="N619" t="s">
        <v>1983</v>
      </c>
      <c r="O619" t="s">
        <v>2164</v>
      </c>
      <c r="P619" t="s">
        <v>3094</v>
      </c>
      <c r="Q619">
        <v>109.2</v>
      </c>
      <c r="R619" s="1" t="s">
        <v>1839</v>
      </c>
      <c r="S619">
        <v>1730</v>
      </c>
      <c r="T619">
        <v>188916</v>
      </c>
    </row>
    <row r="620" spans="1:20" x14ac:dyDescent="0.4">
      <c r="A620" s="1" t="s">
        <v>186</v>
      </c>
      <c r="B620" s="1" t="s">
        <v>1460</v>
      </c>
      <c r="C620" s="1" t="s">
        <v>1844</v>
      </c>
      <c r="D620" s="1" t="s">
        <v>1846</v>
      </c>
      <c r="E620">
        <v>20251219</v>
      </c>
      <c r="F620" s="1" t="s">
        <v>1469</v>
      </c>
      <c r="G620">
        <v>4</v>
      </c>
      <c r="H620" s="1" t="s">
        <v>1475</v>
      </c>
      <c r="I620" t="s">
        <v>1855</v>
      </c>
      <c r="J620" s="1" t="s">
        <v>1544</v>
      </c>
      <c r="K620" s="1" t="s">
        <v>1609</v>
      </c>
      <c r="L620" s="1" t="s">
        <v>1718</v>
      </c>
      <c r="M620" s="1" t="s">
        <v>1770</v>
      </c>
      <c r="N620" t="s">
        <v>1983</v>
      </c>
      <c r="O620" t="s">
        <v>2164</v>
      </c>
      <c r="P620" t="s">
        <v>3094</v>
      </c>
      <c r="Q620">
        <v>51.68</v>
      </c>
      <c r="R620" s="1" t="s">
        <v>1839</v>
      </c>
      <c r="S620">
        <v>1730</v>
      </c>
      <c r="T620">
        <v>89406</v>
      </c>
    </row>
    <row r="621" spans="1:20" x14ac:dyDescent="0.4">
      <c r="A621" s="1" t="s">
        <v>186</v>
      </c>
      <c r="B621" s="1" t="s">
        <v>1461</v>
      </c>
      <c r="C621" s="1" t="s">
        <v>1844</v>
      </c>
      <c r="D621" s="1" t="s">
        <v>1846</v>
      </c>
      <c r="E621">
        <v>20251219</v>
      </c>
      <c r="F621" s="1" t="s">
        <v>1469</v>
      </c>
      <c r="G621">
        <v>4</v>
      </c>
      <c r="H621" s="1" t="s">
        <v>1475</v>
      </c>
      <c r="I621" t="s">
        <v>1855</v>
      </c>
      <c r="J621" s="1" t="s">
        <v>1544</v>
      </c>
      <c r="K621" s="1" t="s">
        <v>1609</v>
      </c>
      <c r="L621" s="1" t="s">
        <v>1718</v>
      </c>
      <c r="M621" s="1" t="s">
        <v>1770</v>
      </c>
      <c r="N621" t="s">
        <v>1983</v>
      </c>
      <c r="O621" t="s">
        <v>2164</v>
      </c>
      <c r="P621" t="s">
        <v>3094</v>
      </c>
      <c r="Q621">
        <v>130.31</v>
      </c>
      <c r="R621" s="1" t="s">
        <v>1839</v>
      </c>
      <c r="S621">
        <v>1730</v>
      </c>
      <c r="T621">
        <v>225436</v>
      </c>
    </row>
    <row r="622" spans="1:20" x14ac:dyDescent="0.4">
      <c r="A622" s="1" t="s">
        <v>187</v>
      </c>
      <c r="B622" s="1" t="s">
        <v>1453</v>
      </c>
      <c r="C622" s="1" t="s">
        <v>1844</v>
      </c>
      <c r="D622" s="1" t="s">
        <v>1731</v>
      </c>
      <c r="E622">
        <v>20251220</v>
      </c>
      <c r="F622" s="1" t="s">
        <v>1469</v>
      </c>
      <c r="G622">
        <v>4</v>
      </c>
      <c r="H622" s="1" t="s">
        <v>1475</v>
      </c>
      <c r="I622" t="s">
        <v>1855</v>
      </c>
      <c r="J622" s="1" t="s">
        <v>1544</v>
      </c>
      <c r="K622" s="1" t="s">
        <v>1610</v>
      </c>
      <c r="L622" s="1" t="s">
        <v>1718</v>
      </c>
      <c r="M622" s="1" t="s">
        <v>1771</v>
      </c>
      <c r="N622" t="s">
        <v>1984</v>
      </c>
      <c r="O622" t="s">
        <v>2164</v>
      </c>
      <c r="P622" t="s">
        <v>3095</v>
      </c>
      <c r="Q622">
        <v>63.33</v>
      </c>
      <c r="R622" s="1" t="s">
        <v>1839</v>
      </c>
      <c r="S622">
        <v>1899</v>
      </c>
      <c r="T622">
        <v>120263</v>
      </c>
    </row>
    <row r="623" spans="1:20" x14ac:dyDescent="0.4">
      <c r="A623" s="1" t="s">
        <v>187</v>
      </c>
      <c r="B623" s="1" t="s">
        <v>1454</v>
      </c>
      <c r="C623" s="1" t="s">
        <v>1844</v>
      </c>
      <c r="D623" s="1" t="s">
        <v>1731</v>
      </c>
      <c r="E623">
        <v>20251220</v>
      </c>
      <c r="F623" s="1" t="s">
        <v>1469</v>
      </c>
      <c r="G623">
        <v>4</v>
      </c>
      <c r="H623" s="1" t="s">
        <v>1475</v>
      </c>
      <c r="I623" t="s">
        <v>1855</v>
      </c>
      <c r="J623" s="1" t="s">
        <v>1544</v>
      </c>
      <c r="K623" s="1" t="s">
        <v>1610</v>
      </c>
      <c r="L623" s="1" t="s">
        <v>1718</v>
      </c>
      <c r="M623" s="1" t="s">
        <v>1771</v>
      </c>
      <c r="N623" t="s">
        <v>1984</v>
      </c>
      <c r="O623" t="s">
        <v>2164</v>
      </c>
      <c r="P623" t="s">
        <v>3095</v>
      </c>
      <c r="Q623">
        <v>82.26</v>
      </c>
      <c r="R623" s="1" t="s">
        <v>1839</v>
      </c>
      <c r="S623">
        <v>1899</v>
      </c>
      <c r="T623">
        <v>156211</v>
      </c>
    </row>
    <row r="624" spans="1:20" x14ac:dyDescent="0.4">
      <c r="A624" s="1" t="s">
        <v>187</v>
      </c>
      <c r="B624" s="1" t="s">
        <v>1455</v>
      </c>
      <c r="C624" s="1" t="s">
        <v>1844</v>
      </c>
      <c r="D624" s="1" t="s">
        <v>1731</v>
      </c>
      <c r="E624">
        <v>20251220</v>
      </c>
      <c r="F624" s="1" t="s">
        <v>1469</v>
      </c>
      <c r="G624">
        <v>4</v>
      </c>
      <c r="H624" s="1" t="s">
        <v>1475</v>
      </c>
      <c r="I624" t="s">
        <v>1855</v>
      </c>
      <c r="J624" s="1" t="s">
        <v>1544</v>
      </c>
      <c r="K624" s="1" t="s">
        <v>1610</v>
      </c>
      <c r="L624" s="1" t="s">
        <v>1718</v>
      </c>
      <c r="M624" s="1" t="s">
        <v>1771</v>
      </c>
      <c r="N624" t="s">
        <v>1984</v>
      </c>
      <c r="O624" t="s">
        <v>2164</v>
      </c>
      <c r="P624" t="s">
        <v>3095</v>
      </c>
      <c r="Q624">
        <v>36.4</v>
      </c>
      <c r="R624" s="1" t="s">
        <v>1839</v>
      </c>
      <c r="S624">
        <v>1899</v>
      </c>
      <c r="T624">
        <v>69123</v>
      </c>
    </row>
    <row r="625" spans="1:20" x14ac:dyDescent="0.4">
      <c r="A625" s="1" t="s">
        <v>187</v>
      </c>
      <c r="B625" s="1" t="s">
        <v>1456</v>
      </c>
      <c r="C625" s="1" t="s">
        <v>1844</v>
      </c>
      <c r="D625" s="1" t="s">
        <v>1731</v>
      </c>
      <c r="E625">
        <v>20251220</v>
      </c>
      <c r="F625" s="1" t="s">
        <v>1469</v>
      </c>
      <c r="G625">
        <v>4</v>
      </c>
      <c r="H625" s="1" t="s">
        <v>1475</v>
      </c>
      <c r="I625" t="s">
        <v>1855</v>
      </c>
      <c r="J625" s="1" t="s">
        <v>1544</v>
      </c>
      <c r="K625" s="1" t="s">
        <v>1610</v>
      </c>
      <c r="L625" s="1" t="s">
        <v>1718</v>
      </c>
      <c r="M625" s="1" t="s">
        <v>1771</v>
      </c>
      <c r="N625" t="s">
        <v>1984</v>
      </c>
      <c r="O625" t="s">
        <v>2164</v>
      </c>
      <c r="P625" t="s">
        <v>3095</v>
      </c>
      <c r="Q625">
        <v>43.68</v>
      </c>
      <c r="R625" s="1" t="s">
        <v>1839</v>
      </c>
      <c r="S625">
        <v>1899</v>
      </c>
      <c r="T625">
        <v>82948</v>
      </c>
    </row>
    <row r="626" spans="1:20" x14ac:dyDescent="0.4">
      <c r="A626" s="1" t="s">
        <v>188</v>
      </c>
      <c r="B626" s="1" t="s">
        <v>1453</v>
      </c>
      <c r="C626" s="1" t="s">
        <v>1844</v>
      </c>
      <c r="D626" s="1" t="s">
        <v>1848</v>
      </c>
      <c r="E626">
        <v>20251220</v>
      </c>
      <c r="F626" s="1" t="s">
        <v>1469</v>
      </c>
      <c r="G626">
        <v>4</v>
      </c>
      <c r="H626" s="1" t="s">
        <v>1475</v>
      </c>
      <c r="I626" t="s">
        <v>1855</v>
      </c>
      <c r="J626" s="1" t="s">
        <v>1544</v>
      </c>
      <c r="K626" s="1" t="s">
        <v>1585</v>
      </c>
      <c r="L626" s="1" t="s">
        <v>1718</v>
      </c>
      <c r="M626" s="1" t="s">
        <v>1754</v>
      </c>
      <c r="N626" t="s">
        <v>1960</v>
      </c>
      <c r="O626" t="s">
        <v>2164</v>
      </c>
      <c r="P626" t="s">
        <v>3067</v>
      </c>
      <c r="Q626">
        <v>-5.82</v>
      </c>
      <c r="R626" s="1" t="s">
        <v>1839</v>
      </c>
      <c r="S626">
        <v>2852</v>
      </c>
      <c r="T626">
        <v>-16598</v>
      </c>
    </row>
    <row r="627" spans="1:20" x14ac:dyDescent="0.4">
      <c r="A627" s="1" t="s">
        <v>189</v>
      </c>
      <c r="B627" s="1" t="s">
        <v>1453</v>
      </c>
      <c r="C627" s="1" t="s">
        <v>1844</v>
      </c>
      <c r="D627" s="1" t="s">
        <v>1731</v>
      </c>
      <c r="E627">
        <v>20251220</v>
      </c>
      <c r="F627" s="1" t="s">
        <v>1469</v>
      </c>
      <c r="G627">
        <v>4</v>
      </c>
      <c r="H627" s="1" t="s">
        <v>1475</v>
      </c>
      <c r="I627" t="s">
        <v>1855</v>
      </c>
      <c r="J627" s="1" t="s">
        <v>1544</v>
      </c>
      <c r="K627" s="1" t="s">
        <v>1611</v>
      </c>
      <c r="L627" s="1" t="s">
        <v>1718</v>
      </c>
      <c r="M627" s="1" t="s">
        <v>1772</v>
      </c>
      <c r="N627" t="s">
        <v>1985</v>
      </c>
      <c r="O627" t="s">
        <v>2164</v>
      </c>
      <c r="P627" t="s">
        <v>3096</v>
      </c>
      <c r="Q627">
        <v>103.74</v>
      </c>
      <c r="R627" s="1" t="s">
        <v>1839</v>
      </c>
      <c r="S627">
        <v>1962</v>
      </c>
      <c r="T627">
        <v>203537</v>
      </c>
    </row>
    <row r="628" spans="1:20" x14ac:dyDescent="0.4">
      <c r="A628" s="1" t="s">
        <v>189</v>
      </c>
      <c r="B628" s="1" t="s">
        <v>1454</v>
      </c>
      <c r="C628" s="1" t="s">
        <v>1844</v>
      </c>
      <c r="D628" s="1" t="s">
        <v>1731</v>
      </c>
      <c r="E628">
        <v>20251220</v>
      </c>
      <c r="F628" s="1" t="s">
        <v>1469</v>
      </c>
      <c r="G628">
        <v>4</v>
      </c>
      <c r="H628" s="1" t="s">
        <v>1475</v>
      </c>
      <c r="I628" t="s">
        <v>1855</v>
      </c>
      <c r="J628" s="1" t="s">
        <v>1544</v>
      </c>
      <c r="K628" s="1" t="s">
        <v>1611</v>
      </c>
      <c r="L628" s="1" t="s">
        <v>1718</v>
      </c>
      <c r="M628" s="1" t="s">
        <v>1772</v>
      </c>
      <c r="N628" t="s">
        <v>1985</v>
      </c>
      <c r="O628" t="s">
        <v>2164</v>
      </c>
      <c r="P628" t="s">
        <v>3096</v>
      </c>
      <c r="Q628">
        <v>127.4</v>
      </c>
      <c r="R628" s="1" t="s">
        <v>1839</v>
      </c>
      <c r="S628">
        <v>1962</v>
      </c>
      <c r="T628">
        <v>249958</v>
      </c>
    </row>
    <row r="629" spans="1:20" x14ac:dyDescent="0.4">
      <c r="A629" s="1" t="s">
        <v>189</v>
      </c>
      <c r="B629" s="1" t="s">
        <v>1455</v>
      </c>
      <c r="C629" s="1" t="s">
        <v>1844</v>
      </c>
      <c r="D629" s="1" t="s">
        <v>1731</v>
      </c>
      <c r="E629">
        <v>20251220</v>
      </c>
      <c r="F629" s="1" t="s">
        <v>1469</v>
      </c>
      <c r="G629">
        <v>4</v>
      </c>
      <c r="H629" s="1" t="s">
        <v>1475</v>
      </c>
      <c r="I629" t="s">
        <v>1855</v>
      </c>
      <c r="J629" s="1" t="s">
        <v>1544</v>
      </c>
      <c r="K629" s="1" t="s">
        <v>1611</v>
      </c>
      <c r="L629" s="1" t="s">
        <v>1718</v>
      </c>
      <c r="M629" s="1" t="s">
        <v>1772</v>
      </c>
      <c r="N629" t="s">
        <v>1985</v>
      </c>
      <c r="O629" t="s">
        <v>2164</v>
      </c>
      <c r="P629" t="s">
        <v>3096</v>
      </c>
      <c r="Q629">
        <v>128.85</v>
      </c>
      <c r="R629" s="1" t="s">
        <v>1839</v>
      </c>
      <c r="S629">
        <v>1962</v>
      </c>
      <c r="T629">
        <v>252803</v>
      </c>
    </row>
    <row r="630" spans="1:20" x14ac:dyDescent="0.4">
      <c r="A630" s="1" t="s">
        <v>189</v>
      </c>
      <c r="B630" s="1" t="s">
        <v>1456</v>
      </c>
      <c r="C630" s="1" t="s">
        <v>1844</v>
      </c>
      <c r="D630" s="1" t="s">
        <v>1731</v>
      </c>
      <c r="E630">
        <v>20251220</v>
      </c>
      <c r="F630" s="1" t="s">
        <v>1469</v>
      </c>
      <c r="G630">
        <v>4</v>
      </c>
      <c r="H630" s="1" t="s">
        <v>1475</v>
      </c>
      <c r="I630" t="s">
        <v>1855</v>
      </c>
      <c r="J630" s="1" t="s">
        <v>1544</v>
      </c>
      <c r="K630" s="1" t="s">
        <v>1611</v>
      </c>
      <c r="L630" s="1" t="s">
        <v>1718</v>
      </c>
      <c r="M630" s="1" t="s">
        <v>1772</v>
      </c>
      <c r="N630" t="s">
        <v>1985</v>
      </c>
      <c r="O630" t="s">
        <v>2164</v>
      </c>
      <c r="P630" t="s">
        <v>3096</v>
      </c>
      <c r="Q630">
        <v>121.94</v>
      </c>
      <c r="R630" s="1" t="s">
        <v>1839</v>
      </c>
      <c r="S630">
        <v>1962</v>
      </c>
      <c r="T630">
        <v>239246</v>
      </c>
    </row>
    <row r="631" spans="1:20" x14ac:dyDescent="0.4">
      <c r="A631" s="1" t="s">
        <v>190</v>
      </c>
      <c r="B631" s="1" t="s">
        <v>1453</v>
      </c>
      <c r="C631" s="1" t="s">
        <v>1844</v>
      </c>
      <c r="D631" s="1" t="s">
        <v>1731</v>
      </c>
      <c r="E631">
        <v>20251220</v>
      </c>
      <c r="F631" s="1" t="s">
        <v>1469</v>
      </c>
      <c r="G631">
        <v>4</v>
      </c>
      <c r="H631" s="1" t="s">
        <v>1475</v>
      </c>
      <c r="I631" t="s">
        <v>1855</v>
      </c>
      <c r="J631" s="1" t="s">
        <v>1545</v>
      </c>
      <c r="K631" s="1" t="s">
        <v>1592</v>
      </c>
      <c r="L631" s="1" t="s">
        <v>1719</v>
      </c>
      <c r="M631" s="1" t="s">
        <v>1761</v>
      </c>
      <c r="N631" t="s">
        <v>1967</v>
      </c>
      <c r="O631" t="s">
        <v>2165</v>
      </c>
      <c r="P631" t="s">
        <v>3076</v>
      </c>
      <c r="Q631">
        <v>1243.8399999999999</v>
      </c>
      <c r="R631" s="1" t="s">
        <v>1839</v>
      </c>
      <c r="S631">
        <v>2809</v>
      </c>
      <c r="T631">
        <v>3493946</v>
      </c>
    </row>
    <row r="632" spans="1:20" x14ac:dyDescent="0.4">
      <c r="A632" s="1" t="s">
        <v>191</v>
      </c>
      <c r="B632" s="1" t="s">
        <v>1453</v>
      </c>
      <c r="C632" s="1" t="s">
        <v>1844</v>
      </c>
      <c r="D632" s="1" t="s">
        <v>1846</v>
      </c>
      <c r="E632">
        <v>20251222</v>
      </c>
      <c r="F632" s="1" t="s">
        <v>1469</v>
      </c>
      <c r="G632">
        <v>4</v>
      </c>
      <c r="H632" s="1" t="s">
        <v>1475</v>
      </c>
      <c r="I632" t="s">
        <v>1855</v>
      </c>
      <c r="J632" s="1" t="s">
        <v>1544</v>
      </c>
      <c r="K632" s="1" t="s">
        <v>1609</v>
      </c>
      <c r="L632" s="1" t="s">
        <v>1718</v>
      </c>
      <c r="M632" s="1" t="s">
        <v>1770</v>
      </c>
      <c r="N632" t="s">
        <v>1983</v>
      </c>
      <c r="O632" t="s">
        <v>2164</v>
      </c>
      <c r="P632" t="s">
        <v>3094</v>
      </c>
      <c r="Q632">
        <v>98.28</v>
      </c>
      <c r="R632" s="1" t="s">
        <v>1839</v>
      </c>
      <c r="S632">
        <v>1730</v>
      </c>
      <c r="T632">
        <v>170024</v>
      </c>
    </row>
    <row r="633" spans="1:20" x14ac:dyDescent="0.4">
      <c r="A633" s="1" t="s">
        <v>191</v>
      </c>
      <c r="B633" s="1" t="s">
        <v>1454</v>
      </c>
      <c r="C633" s="1" t="s">
        <v>1844</v>
      </c>
      <c r="D633" s="1" t="s">
        <v>1846</v>
      </c>
      <c r="E633">
        <v>20251222</v>
      </c>
      <c r="F633" s="1" t="s">
        <v>1469</v>
      </c>
      <c r="G633">
        <v>4</v>
      </c>
      <c r="H633" s="1" t="s">
        <v>1475</v>
      </c>
      <c r="I633" t="s">
        <v>1855</v>
      </c>
      <c r="J633" s="1" t="s">
        <v>1544</v>
      </c>
      <c r="K633" s="1" t="s">
        <v>1609</v>
      </c>
      <c r="L633" s="1" t="s">
        <v>1718</v>
      </c>
      <c r="M633" s="1" t="s">
        <v>1770</v>
      </c>
      <c r="N633" t="s">
        <v>1983</v>
      </c>
      <c r="O633" t="s">
        <v>2164</v>
      </c>
      <c r="P633" t="s">
        <v>3094</v>
      </c>
      <c r="Q633">
        <v>98.28</v>
      </c>
      <c r="R633" s="1" t="s">
        <v>1839</v>
      </c>
      <c r="S633">
        <v>1730</v>
      </c>
      <c r="T633">
        <v>170024</v>
      </c>
    </row>
    <row r="634" spans="1:20" x14ac:dyDescent="0.4">
      <c r="A634" s="1" t="s">
        <v>191</v>
      </c>
      <c r="B634" s="1" t="s">
        <v>1455</v>
      </c>
      <c r="C634" s="1" t="s">
        <v>1844</v>
      </c>
      <c r="D634" s="1" t="s">
        <v>1846</v>
      </c>
      <c r="E634">
        <v>20251222</v>
      </c>
      <c r="F634" s="1" t="s">
        <v>1469</v>
      </c>
      <c r="G634">
        <v>4</v>
      </c>
      <c r="H634" s="1" t="s">
        <v>1475</v>
      </c>
      <c r="I634" t="s">
        <v>1855</v>
      </c>
      <c r="J634" s="1" t="s">
        <v>1544</v>
      </c>
      <c r="K634" s="1" t="s">
        <v>1609</v>
      </c>
      <c r="L634" s="1" t="s">
        <v>1718</v>
      </c>
      <c r="M634" s="1" t="s">
        <v>1770</v>
      </c>
      <c r="N634" t="s">
        <v>1983</v>
      </c>
      <c r="O634" t="s">
        <v>2164</v>
      </c>
      <c r="P634" t="s">
        <v>3094</v>
      </c>
      <c r="Q634">
        <v>98.28</v>
      </c>
      <c r="R634" s="1" t="s">
        <v>1839</v>
      </c>
      <c r="S634">
        <v>1730</v>
      </c>
      <c r="T634">
        <v>170024</v>
      </c>
    </row>
    <row r="635" spans="1:20" x14ac:dyDescent="0.4">
      <c r="A635" s="1" t="s">
        <v>191</v>
      </c>
      <c r="B635" s="1" t="s">
        <v>1456</v>
      </c>
      <c r="C635" s="1" t="s">
        <v>1844</v>
      </c>
      <c r="D635" s="1" t="s">
        <v>1846</v>
      </c>
      <c r="E635">
        <v>20251222</v>
      </c>
      <c r="F635" s="1" t="s">
        <v>1469</v>
      </c>
      <c r="G635">
        <v>4</v>
      </c>
      <c r="H635" s="1" t="s">
        <v>1475</v>
      </c>
      <c r="I635" t="s">
        <v>1855</v>
      </c>
      <c r="J635" s="1" t="s">
        <v>1544</v>
      </c>
      <c r="K635" s="1" t="s">
        <v>1609</v>
      </c>
      <c r="L635" s="1" t="s">
        <v>1718</v>
      </c>
      <c r="M635" s="1" t="s">
        <v>1770</v>
      </c>
      <c r="N635" t="s">
        <v>1983</v>
      </c>
      <c r="O635" t="s">
        <v>2164</v>
      </c>
      <c r="P635" t="s">
        <v>3094</v>
      </c>
      <c r="Q635">
        <v>93.18</v>
      </c>
      <c r="R635" s="1" t="s">
        <v>1839</v>
      </c>
      <c r="S635">
        <v>1730</v>
      </c>
      <c r="T635">
        <v>161201</v>
      </c>
    </row>
    <row r="636" spans="1:20" x14ac:dyDescent="0.4">
      <c r="A636" s="1" t="s">
        <v>192</v>
      </c>
      <c r="B636" s="1" t="s">
        <v>1453</v>
      </c>
      <c r="C636" s="1" t="s">
        <v>1844</v>
      </c>
      <c r="D636" s="1" t="s">
        <v>1847</v>
      </c>
      <c r="E636">
        <v>20251222</v>
      </c>
      <c r="F636" s="1" t="s">
        <v>1469</v>
      </c>
      <c r="G636">
        <v>4</v>
      </c>
      <c r="H636" s="1" t="s">
        <v>1475</v>
      </c>
      <c r="I636" t="s">
        <v>1855</v>
      </c>
      <c r="J636" s="1" t="s">
        <v>1544</v>
      </c>
      <c r="K636" s="1" t="s">
        <v>1609</v>
      </c>
      <c r="L636" s="1" t="s">
        <v>1718</v>
      </c>
      <c r="M636" s="1" t="s">
        <v>1770</v>
      </c>
      <c r="N636" t="s">
        <v>1983</v>
      </c>
      <c r="O636" t="s">
        <v>2164</v>
      </c>
      <c r="P636" t="s">
        <v>3094</v>
      </c>
      <c r="Q636">
        <v>-98.28</v>
      </c>
      <c r="R636" s="1" t="s">
        <v>1839</v>
      </c>
      <c r="S636">
        <v>1730</v>
      </c>
      <c r="T636">
        <v>-170024</v>
      </c>
    </row>
    <row r="637" spans="1:20" x14ac:dyDescent="0.4">
      <c r="A637" s="1" t="s">
        <v>192</v>
      </c>
      <c r="B637" s="1" t="s">
        <v>1454</v>
      </c>
      <c r="C637" s="1" t="s">
        <v>1844</v>
      </c>
      <c r="D637" s="1" t="s">
        <v>1847</v>
      </c>
      <c r="E637">
        <v>20251222</v>
      </c>
      <c r="F637" s="1" t="s">
        <v>1469</v>
      </c>
      <c r="G637">
        <v>4</v>
      </c>
      <c r="H637" s="1" t="s">
        <v>1475</v>
      </c>
      <c r="I637" t="s">
        <v>1855</v>
      </c>
      <c r="J637" s="1" t="s">
        <v>1544</v>
      </c>
      <c r="K637" s="1" t="s">
        <v>1609</v>
      </c>
      <c r="L637" s="1" t="s">
        <v>1718</v>
      </c>
      <c r="M637" s="1" t="s">
        <v>1770</v>
      </c>
      <c r="N637" t="s">
        <v>1983</v>
      </c>
      <c r="O637" t="s">
        <v>2164</v>
      </c>
      <c r="P637" t="s">
        <v>3094</v>
      </c>
      <c r="Q637">
        <v>-98.28</v>
      </c>
      <c r="R637" s="1" t="s">
        <v>1839</v>
      </c>
      <c r="S637">
        <v>1730</v>
      </c>
      <c r="T637">
        <v>-170024</v>
      </c>
    </row>
    <row r="638" spans="1:20" x14ac:dyDescent="0.4">
      <c r="A638" s="1" t="s">
        <v>192</v>
      </c>
      <c r="B638" s="1" t="s">
        <v>1455</v>
      </c>
      <c r="C638" s="1" t="s">
        <v>1844</v>
      </c>
      <c r="D638" s="1" t="s">
        <v>1847</v>
      </c>
      <c r="E638">
        <v>20251222</v>
      </c>
      <c r="F638" s="1" t="s">
        <v>1469</v>
      </c>
      <c r="G638">
        <v>4</v>
      </c>
      <c r="H638" s="1" t="s">
        <v>1475</v>
      </c>
      <c r="I638" t="s">
        <v>1855</v>
      </c>
      <c r="J638" s="1" t="s">
        <v>1544</v>
      </c>
      <c r="K638" s="1" t="s">
        <v>1609</v>
      </c>
      <c r="L638" s="1" t="s">
        <v>1718</v>
      </c>
      <c r="M638" s="1" t="s">
        <v>1770</v>
      </c>
      <c r="N638" t="s">
        <v>1983</v>
      </c>
      <c r="O638" t="s">
        <v>2164</v>
      </c>
      <c r="P638" t="s">
        <v>3094</v>
      </c>
      <c r="Q638">
        <v>-98.28</v>
      </c>
      <c r="R638" s="1" t="s">
        <v>1839</v>
      </c>
      <c r="S638">
        <v>1730</v>
      </c>
      <c r="T638">
        <v>-170024</v>
      </c>
    </row>
    <row r="639" spans="1:20" x14ac:dyDescent="0.4">
      <c r="A639" s="1" t="s">
        <v>192</v>
      </c>
      <c r="B639" s="1" t="s">
        <v>1456</v>
      </c>
      <c r="C639" s="1" t="s">
        <v>1844</v>
      </c>
      <c r="D639" s="1" t="s">
        <v>1847</v>
      </c>
      <c r="E639">
        <v>20251222</v>
      </c>
      <c r="F639" s="1" t="s">
        <v>1469</v>
      </c>
      <c r="G639">
        <v>4</v>
      </c>
      <c r="H639" s="1" t="s">
        <v>1475</v>
      </c>
      <c r="I639" t="s">
        <v>1855</v>
      </c>
      <c r="J639" s="1" t="s">
        <v>1544</v>
      </c>
      <c r="K639" s="1" t="s">
        <v>1609</v>
      </c>
      <c r="L639" s="1" t="s">
        <v>1718</v>
      </c>
      <c r="M639" s="1" t="s">
        <v>1770</v>
      </c>
      <c r="N639" t="s">
        <v>1983</v>
      </c>
      <c r="O639" t="s">
        <v>2164</v>
      </c>
      <c r="P639" t="s">
        <v>3094</v>
      </c>
      <c r="Q639">
        <v>-93.18</v>
      </c>
      <c r="R639" s="1" t="s">
        <v>1839</v>
      </c>
      <c r="S639">
        <v>1730</v>
      </c>
      <c r="T639">
        <v>-161201</v>
      </c>
    </row>
    <row r="640" spans="1:20" x14ac:dyDescent="0.4">
      <c r="A640" s="1" t="s">
        <v>193</v>
      </c>
      <c r="B640" s="1" t="s">
        <v>1453</v>
      </c>
      <c r="C640" s="1" t="s">
        <v>1844</v>
      </c>
      <c r="D640" s="1" t="s">
        <v>1846</v>
      </c>
      <c r="E640">
        <v>20251222</v>
      </c>
      <c r="F640" s="1" t="s">
        <v>1469</v>
      </c>
      <c r="G640">
        <v>4</v>
      </c>
      <c r="H640" s="1" t="s">
        <v>1475</v>
      </c>
      <c r="I640" t="s">
        <v>1855</v>
      </c>
      <c r="J640" s="1" t="s">
        <v>1544</v>
      </c>
      <c r="K640" s="1" t="s">
        <v>1609</v>
      </c>
      <c r="L640" s="1" t="s">
        <v>1718</v>
      </c>
      <c r="M640" s="1" t="s">
        <v>1770</v>
      </c>
      <c r="N640" t="s">
        <v>1983</v>
      </c>
      <c r="O640" t="s">
        <v>2164</v>
      </c>
      <c r="P640" t="s">
        <v>3094</v>
      </c>
      <c r="Q640">
        <v>98.28</v>
      </c>
      <c r="R640" s="1" t="s">
        <v>1839</v>
      </c>
      <c r="S640">
        <v>1730</v>
      </c>
      <c r="T640">
        <v>170024</v>
      </c>
    </row>
    <row r="641" spans="1:20" x14ac:dyDescent="0.4">
      <c r="A641" s="1" t="s">
        <v>193</v>
      </c>
      <c r="B641" s="1" t="s">
        <v>1454</v>
      </c>
      <c r="C641" s="1" t="s">
        <v>1844</v>
      </c>
      <c r="D641" s="1" t="s">
        <v>1846</v>
      </c>
      <c r="E641">
        <v>20251222</v>
      </c>
      <c r="F641" s="1" t="s">
        <v>1469</v>
      </c>
      <c r="G641">
        <v>4</v>
      </c>
      <c r="H641" s="1" t="s">
        <v>1475</v>
      </c>
      <c r="I641" t="s">
        <v>1855</v>
      </c>
      <c r="J641" s="1" t="s">
        <v>1544</v>
      </c>
      <c r="K641" s="1" t="s">
        <v>1609</v>
      </c>
      <c r="L641" s="1" t="s">
        <v>1718</v>
      </c>
      <c r="M641" s="1" t="s">
        <v>1770</v>
      </c>
      <c r="N641" t="s">
        <v>1983</v>
      </c>
      <c r="O641" t="s">
        <v>2164</v>
      </c>
      <c r="P641" t="s">
        <v>3094</v>
      </c>
      <c r="Q641">
        <v>98.28</v>
      </c>
      <c r="R641" s="1" t="s">
        <v>1839</v>
      </c>
      <c r="S641">
        <v>1730</v>
      </c>
      <c r="T641">
        <v>170024</v>
      </c>
    </row>
    <row r="642" spans="1:20" x14ac:dyDescent="0.4">
      <c r="A642" s="1" t="s">
        <v>193</v>
      </c>
      <c r="B642" s="1" t="s">
        <v>1455</v>
      </c>
      <c r="C642" s="1" t="s">
        <v>1844</v>
      </c>
      <c r="D642" s="1" t="s">
        <v>1846</v>
      </c>
      <c r="E642">
        <v>20251222</v>
      </c>
      <c r="F642" s="1" t="s">
        <v>1469</v>
      </c>
      <c r="G642">
        <v>4</v>
      </c>
      <c r="H642" s="1" t="s">
        <v>1475</v>
      </c>
      <c r="I642" t="s">
        <v>1855</v>
      </c>
      <c r="J642" s="1" t="s">
        <v>1544</v>
      </c>
      <c r="K642" s="1" t="s">
        <v>1609</v>
      </c>
      <c r="L642" s="1" t="s">
        <v>1718</v>
      </c>
      <c r="M642" s="1" t="s">
        <v>1770</v>
      </c>
      <c r="N642" t="s">
        <v>1983</v>
      </c>
      <c r="O642" t="s">
        <v>2164</v>
      </c>
      <c r="P642" t="s">
        <v>3094</v>
      </c>
      <c r="Q642">
        <v>98.28</v>
      </c>
      <c r="R642" s="1" t="s">
        <v>1839</v>
      </c>
      <c r="S642">
        <v>1730</v>
      </c>
      <c r="T642">
        <v>170024</v>
      </c>
    </row>
    <row r="643" spans="1:20" x14ac:dyDescent="0.4">
      <c r="A643" s="1" t="s">
        <v>193</v>
      </c>
      <c r="B643" s="1" t="s">
        <v>1456</v>
      </c>
      <c r="C643" s="1" t="s">
        <v>1844</v>
      </c>
      <c r="D643" s="1" t="s">
        <v>1846</v>
      </c>
      <c r="E643">
        <v>20251222</v>
      </c>
      <c r="F643" s="1" t="s">
        <v>1469</v>
      </c>
      <c r="G643">
        <v>4</v>
      </c>
      <c r="H643" s="1" t="s">
        <v>1475</v>
      </c>
      <c r="I643" t="s">
        <v>1855</v>
      </c>
      <c r="J643" s="1" t="s">
        <v>1544</v>
      </c>
      <c r="K643" s="1" t="s">
        <v>1609</v>
      </c>
      <c r="L643" s="1" t="s">
        <v>1718</v>
      </c>
      <c r="M643" s="1" t="s">
        <v>1770</v>
      </c>
      <c r="N643" t="s">
        <v>1983</v>
      </c>
      <c r="O643" t="s">
        <v>2164</v>
      </c>
      <c r="P643" t="s">
        <v>3094</v>
      </c>
      <c r="Q643">
        <v>93.18</v>
      </c>
      <c r="R643" s="1" t="s">
        <v>1839</v>
      </c>
      <c r="S643">
        <v>1730</v>
      </c>
      <c r="T643">
        <v>161201</v>
      </c>
    </row>
    <row r="644" spans="1:20" x14ac:dyDescent="0.4">
      <c r="A644" s="1" t="s">
        <v>194</v>
      </c>
      <c r="B644" s="1" t="s">
        <v>1453</v>
      </c>
      <c r="C644" s="1" t="s">
        <v>1844</v>
      </c>
      <c r="D644" s="1" t="s">
        <v>1731</v>
      </c>
      <c r="E644">
        <v>20251223</v>
      </c>
      <c r="F644" s="1" t="s">
        <v>1469</v>
      </c>
      <c r="G644">
        <v>4</v>
      </c>
      <c r="H644" s="1" t="s">
        <v>1475</v>
      </c>
      <c r="I644" t="s">
        <v>1855</v>
      </c>
      <c r="J644" s="1" t="s">
        <v>1548</v>
      </c>
      <c r="K644" s="1" t="s">
        <v>1612</v>
      </c>
      <c r="L644" s="1" t="s">
        <v>1718</v>
      </c>
      <c r="M644" s="1" t="s">
        <v>1737</v>
      </c>
      <c r="N644" t="s">
        <v>1986</v>
      </c>
      <c r="O644" t="s">
        <v>2164</v>
      </c>
      <c r="P644" t="s">
        <v>2157</v>
      </c>
      <c r="Q644">
        <v>12.3</v>
      </c>
      <c r="R644" s="1" t="s">
        <v>1839</v>
      </c>
      <c r="S644">
        <v>1083</v>
      </c>
      <c r="T644">
        <v>13320</v>
      </c>
    </row>
    <row r="645" spans="1:20" x14ac:dyDescent="0.4">
      <c r="A645" s="1" t="s">
        <v>194</v>
      </c>
      <c r="B645" s="1" t="s">
        <v>1454</v>
      </c>
      <c r="C645" s="1" t="s">
        <v>1844</v>
      </c>
      <c r="D645" s="1" t="s">
        <v>1731</v>
      </c>
      <c r="E645">
        <v>20251223</v>
      </c>
      <c r="F645" s="1" t="s">
        <v>1469</v>
      </c>
      <c r="G645">
        <v>4</v>
      </c>
      <c r="H645" s="1" t="s">
        <v>1475</v>
      </c>
      <c r="I645" t="s">
        <v>1855</v>
      </c>
      <c r="J645" s="1" t="s">
        <v>1548</v>
      </c>
      <c r="K645" s="1" t="s">
        <v>1612</v>
      </c>
      <c r="L645" s="1" t="s">
        <v>1718</v>
      </c>
      <c r="M645" s="1" t="s">
        <v>1737</v>
      </c>
      <c r="N645" t="s">
        <v>1986</v>
      </c>
      <c r="O645" t="s">
        <v>2164</v>
      </c>
      <c r="P645" t="s">
        <v>2157</v>
      </c>
      <c r="Q645">
        <v>12.3</v>
      </c>
      <c r="R645" s="1" t="s">
        <v>1839</v>
      </c>
      <c r="S645">
        <v>1083</v>
      </c>
      <c r="T645">
        <v>13320</v>
      </c>
    </row>
    <row r="646" spans="1:20" x14ac:dyDescent="0.4">
      <c r="A646" s="1" t="s">
        <v>194</v>
      </c>
      <c r="B646" s="1" t="s">
        <v>1455</v>
      </c>
      <c r="C646" s="1" t="s">
        <v>1844</v>
      </c>
      <c r="D646" s="1" t="s">
        <v>1731</v>
      </c>
      <c r="E646">
        <v>20251223</v>
      </c>
      <c r="F646" s="1" t="s">
        <v>1469</v>
      </c>
      <c r="G646">
        <v>4</v>
      </c>
      <c r="H646" s="1" t="s">
        <v>1475</v>
      </c>
      <c r="I646" t="s">
        <v>1855</v>
      </c>
      <c r="J646" s="1" t="s">
        <v>1548</v>
      </c>
      <c r="K646" s="1" t="s">
        <v>1612</v>
      </c>
      <c r="L646" s="1" t="s">
        <v>1718</v>
      </c>
      <c r="M646" s="1" t="s">
        <v>1737</v>
      </c>
      <c r="N646" t="s">
        <v>1986</v>
      </c>
      <c r="O646" t="s">
        <v>2164</v>
      </c>
      <c r="P646" t="s">
        <v>2157</v>
      </c>
      <c r="Q646">
        <v>12.3</v>
      </c>
      <c r="R646" s="1" t="s">
        <v>1839</v>
      </c>
      <c r="S646">
        <v>1083</v>
      </c>
      <c r="T646">
        <v>13320</v>
      </c>
    </row>
    <row r="647" spans="1:20" x14ac:dyDescent="0.4">
      <c r="A647" s="1" t="s">
        <v>194</v>
      </c>
      <c r="B647" s="1" t="s">
        <v>1456</v>
      </c>
      <c r="C647" s="1" t="s">
        <v>1844</v>
      </c>
      <c r="D647" s="1" t="s">
        <v>1731</v>
      </c>
      <c r="E647">
        <v>20251223</v>
      </c>
      <c r="F647" s="1" t="s">
        <v>1469</v>
      </c>
      <c r="G647">
        <v>4</v>
      </c>
      <c r="H647" s="1" t="s">
        <v>1475</v>
      </c>
      <c r="I647" t="s">
        <v>1855</v>
      </c>
      <c r="J647" s="1" t="s">
        <v>1548</v>
      </c>
      <c r="K647" s="1" t="s">
        <v>1612</v>
      </c>
      <c r="L647" s="1" t="s">
        <v>1718</v>
      </c>
      <c r="M647" s="1" t="s">
        <v>1737</v>
      </c>
      <c r="N647" t="s">
        <v>1986</v>
      </c>
      <c r="O647" t="s">
        <v>2164</v>
      </c>
      <c r="P647" t="s">
        <v>2157</v>
      </c>
      <c r="Q647">
        <v>12.3</v>
      </c>
      <c r="R647" s="1" t="s">
        <v>1839</v>
      </c>
      <c r="S647">
        <v>1083</v>
      </c>
      <c r="T647">
        <v>13320</v>
      </c>
    </row>
    <row r="648" spans="1:20" x14ac:dyDescent="0.4">
      <c r="A648" s="1" t="s">
        <v>194</v>
      </c>
      <c r="B648" s="1" t="s">
        <v>1457</v>
      </c>
      <c r="C648" s="1" t="s">
        <v>1844</v>
      </c>
      <c r="D648" s="1" t="s">
        <v>1731</v>
      </c>
      <c r="E648">
        <v>20251223</v>
      </c>
      <c r="F648" s="1" t="s">
        <v>1469</v>
      </c>
      <c r="G648">
        <v>4</v>
      </c>
      <c r="H648" s="1" t="s">
        <v>1475</v>
      </c>
      <c r="I648" t="s">
        <v>1855</v>
      </c>
      <c r="J648" s="1" t="s">
        <v>1548</v>
      </c>
      <c r="K648" s="1" t="s">
        <v>1612</v>
      </c>
      <c r="L648" s="1" t="s">
        <v>1718</v>
      </c>
      <c r="M648" s="1" t="s">
        <v>1737</v>
      </c>
      <c r="N648" t="s">
        <v>1986</v>
      </c>
      <c r="O648" t="s">
        <v>2164</v>
      </c>
      <c r="P648" t="s">
        <v>2157</v>
      </c>
      <c r="Q648">
        <v>12.3</v>
      </c>
      <c r="R648" s="1" t="s">
        <v>1839</v>
      </c>
      <c r="S648">
        <v>1083</v>
      </c>
      <c r="T648">
        <v>13320</v>
      </c>
    </row>
    <row r="649" spans="1:20" x14ac:dyDescent="0.4">
      <c r="A649" s="1" t="s">
        <v>194</v>
      </c>
      <c r="B649" s="1" t="s">
        <v>1458</v>
      </c>
      <c r="C649" s="1" t="s">
        <v>1844</v>
      </c>
      <c r="D649" s="1" t="s">
        <v>1731</v>
      </c>
      <c r="E649">
        <v>20251223</v>
      </c>
      <c r="F649" s="1" t="s">
        <v>1469</v>
      </c>
      <c r="G649">
        <v>4</v>
      </c>
      <c r="H649" s="1" t="s">
        <v>1475</v>
      </c>
      <c r="I649" t="s">
        <v>1855</v>
      </c>
      <c r="J649" s="1" t="s">
        <v>1548</v>
      </c>
      <c r="K649" s="1" t="s">
        <v>1612</v>
      </c>
      <c r="L649" s="1" t="s">
        <v>1718</v>
      </c>
      <c r="M649" s="1" t="s">
        <v>1737</v>
      </c>
      <c r="N649" t="s">
        <v>1986</v>
      </c>
      <c r="O649" t="s">
        <v>2164</v>
      </c>
      <c r="P649" t="s">
        <v>2157</v>
      </c>
      <c r="Q649">
        <v>12.3</v>
      </c>
      <c r="R649" s="1" t="s">
        <v>1839</v>
      </c>
      <c r="S649">
        <v>1083</v>
      </c>
      <c r="T649">
        <v>13320</v>
      </c>
    </row>
    <row r="650" spans="1:20" x14ac:dyDescent="0.4">
      <c r="A650" s="1" t="s">
        <v>194</v>
      </c>
      <c r="B650" s="1" t="s">
        <v>1459</v>
      </c>
      <c r="C650" s="1" t="s">
        <v>1844</v>
      </c>
      <c r="D650" s="1" t="s">
        <v>1731</v>
      </c>
      <c r="E650">
        <v>20251223</v>
      </c>
      <c r="F650" s="1" t="s">
        <v>1469</v>
      </c>
      <c r="G650">
        <v>4</v>
      </c>
      <c r="H650" s="1" t="s">
        <v>1475</v>
      </c>
      <c r="I650" t="s">
        <v>1855</v>
      </c>
      <c r="J650" s="1" t="s">
        <v>1548</v>
      </c>
      <c r="K650" s="1" t="s">
        <v>1612</v>
      </c>
      <c r="L650" s="1" t="s">
        <v>1718</v>
      </c>
      <c r="M650" s="1" t="s">
        <v>1737</v>
      </c>
      <c r="N650" t="s">
        <v>1986</v>
      </c>
      <c r="O650" t="s">
        <v>2164</v>
      </c>
      <c r="P650" t="s">
        <v>2157</v>
      </c>
      <c r="Q650">
        <v>12.3</v>
      </c>
      <c r="R650" s="1" t="s">
        <v>1839</v>
      </c>
      <c r="S650">
        <v>1083</v>
      </c>
      <c r="T650">
        <v>13320</v>
      </c>
    </row>
    <row r="651" spans="1:20" x14ac:dyDescent="0.4">
      <c r="A651" s="1" t="s">
        <v>194</v>
      </c>
      <c r="B651" s="1" t="s">
        <v>1460</v>
      </c>
      <c r="C651" s="1" t="s">
        <v>1844</v>
      </c>
      <c r="D651" s="1" t="s">
        <v>1731</v>
      </c>
      <c r="E651">
        <v>20251223</v>
      </c>
      <c r="F651" s="1" t="s">
        <v>1469</v>
      </c>
      <c r="G651">
        <v>4</v>
      </c>
      <c r="H651" s="1" t="s">
        <v>1475</v>
      </c>
      <c r="I651" t="s">
        <v>1855</v>
      </c>
      <c r="J651" s="1" t="s">
        <v>1548</v>
      </c>
      <c r="K651" s="1" t="s">
        <v>1612</v>
      </c>
      <c r="L651" s="1" t="s">
        <v>1718</v>
      </c>
      <c r="M651" s="1" t="s">
        <v>1737</v>
      </c>
      <c r="N651" t="s">
        <v>1986</v>
      </c>
      <c r="O651" t="s">
        <v>2164</v>
      </c>
      <c r="P651" t="s">
        <v>2157</v>
      </c>
      <c r="Q651">
        <v>12.3</v>
      </c>
      <c r="R651" s="1" t="s">
        <v>1839</v>
      </c>
      <c r="S651">
        <v>1083</v>
      </c>
      <c r="T651">
        <v>13320</v>
      </c>
    </row>
    <row r="652" spans="1:20" x14ac:dyDescent="0.4">
      <c r="A652" s="1" t="s">
        <v>194</v>
      </c>
      <c r="B652" s="1" t="s">
        <v>1461</v>
      </c>
      <c r="C652" s="1" t="s">
        <v>1844</v>
      </c>
      <c r="D652" s="1" t="s">
        <v>1731</v>
      </c>
      <c r="E652">
        <v>20251223</v>
      </c>
      <c r="F652" s="1" t="s">
        <v>1469</v>
      </c>
      <c r="G652">
        <v>4</v>
      </c>
      <c r="H652" s="1" t="s">
        <v>1475</v>
      </c>
      <c r="I652" t="s">
        <v>1855</v>
      </c>
      <c r="J652" s="1" t="s">
        <v>1548</v>
      </c>
      <c r="K652" s="1" t="s">
        <v>1612</v>
      </c>
      <c r="L652" s="1" t="s">
        <v>1718</v>
      </c>
      <c r="M652" s="1" t="s">
        <v>1737</v>
      </c>
      <c r="N652" t="s">
        <v>1986</v>
      </c>
      <c r="O652" t="s">
        <v>2164</v>
      </c>
      <c r="P652" t="s">
        <v>2157</v>
      </c>
      <c r="Q652">
        <v>12.3</v>
      </c>
      <c r="R652" s="1" t="s">
        <v>1839</v>
      </c>
      <c r="S652">
        <v>1083</v>
      </c>
      <c r="T652">
        <v>13320</v>
      </c>
    </row>
    <row r="653" spans="1:20" x14ac:dyDescent="0.4">
      <c r="A653" s="1" t="s">
        <v>194</v>
      </c>
      <c r="B653" s="1" t="s">
        <v>1462</v>
      </c>
      <c r="C653" s="1" t="s">
        <v>1844</v>
      </c>
      <c r="D653" s="1" t="s">
        <v>1731</v>
      </c>
      <c r="E653">
        <v>20251223</v>
      </c>
      <c r="F653" s="1" t="s">
        <v>1469</v>
      </c>
      <c r="G653">
        <v>4</v>
      </c>
      <c r="H653" s="1" t="s">
        <v>1475</v>
      </c>
      <c r="I653" t="s">
        <v>1855</v>
      </c>
      <c r="J653" s="1" t="s">
        <v>1548</v>
      </c>
      <c r="K653" s="1" t="s">
        <v>1612</v>
      </c>
      <c r="L653" s="1" t="s">
        <v>1718</v>
      </c>
      <c r="M653" s="1" t="s">
        <v>1737</v>
      </c>
      <c r="N653" t="s">
        <v>1986</v>
      </c>
      <c r="O653" t="s">
        <v>2164</v>
      </c>
      <c r="P653" t="s">
        <v>2157</v>
      </c>
      <c r="Q653">
        <v>12.42</v>
      </c>
      <c r="R653" s="1" t="s">
        <v>1839</v>
      </c>
      <c r="S653">
        <v>1083</v>
      </c>
      <c r="T653">
        <v>13450</v>
      </c>
    </row>
    <row r="654" spans="1:20" x14ac:dyDescent="0.4">
      <c r="A654" s="1" t="s">
        <v>195</v>
      </c>
      <c r="B654" s="1" t="s">
        <v>1453</v>
      </c>
      <c r="C654" s="1" t="s">
        <v>1844</v>
      </c>
      <c r="D654" s="1" t="s">
        <v>1731</v>
      </c>
      <c r="E654">
        <v>20251223</v>
      </c>
      <c r="F654" s="1" t="s">
        <v>1469</v>
      </c>
      <c r="G654">
        <v>4</v>
      </c>
      <c r="H654" s="1" t="s">
        <v>1475</v>
      </c>
      <c r="I654" t="s">
        <v>1855</v>
      </c>
      <c r="J654" s="1" t="s">
        <v>1548</v>
      </c>
      <c r="K654" s="1" t="s">
        <v>1612</v>
      </c>
      <c r="L654" s="1" t="s">
        <v>1718</v>
      </c>
      <c r="M654" s="1" t="s">
        <v>1737</v>
      </c>
      <c r="N654" t="s">
        <v>1986</v>
      </c>
      <c r="O654" t="s">
        <v>2164</v>
      </c>
      <c r="P654" t="s">
        <v>2157</v>
      </c>
      <c r="Q654">
        <v>12.36</v>
      </c>
      <c r="R654" s="1" t="s">
        <v>1839</v>
      </c>
      <c r="S654">
        <v>1083</v>
      </c>
      <c r="T654">
        <v>13385</v>
      </c>
    </row>
    <row r="655" spans="1:20" x14ac:dyDescent="0.4">
      <c r="A655" s="1" t="s">
        <v>195</v>
      </c>
      <c r="B655" s="1" t="s">
        <v>1454</v>
      </c>
      <c r="C655" s="1" t="s">
        <v>1844</v>
      </c>
      <c r="D655" s="1" t="s">
        <v>1731</v>
      </c>
      <c r="E655">
        <v>20251223</v>
      </c>
      <c r="F655" s="1" t="s">
        <v>1469</v>
      </c>
      <c r="G655">
        <v>4</v>
      </c>
      <c r="H655" s="1" t="s">
        <v>1475</v>
      </c>
      <c r="I655" t="s">
        <v>1855</v>
      </c>
      <c r="J655" s="1" t="s">
        <v>1548</v>
      </c>
      <c r="K655" s="1" t="s">
        <v>1612</v>
      </c>
      <c r="L655" s="1" t="s">
        <v>1718</v>
      </c>
      <c r="M655" s="1" t="s">
        <v>1737</v>
      </c>
      <c r="N655" t="s">
        <v>1986</v>
      </c>
      <c r="O655" t="s">
        <v>2164</v>
      </c>
      <c r="P655" t="s">
        <v>2157</v>
      </c>
      <c r="Q655">
        <v>12.42</v>
      </c>
      <c r="R655" s="1" t="s">
        <v>1839</v>
      </c>
      <c r="S655">
        <v>1083</v>
      </c>
      <c r="T655">
        <v>13450</v>
      </c>
    </row>
    <row r="656" spans="1:20" x14ac:dyDescent="0.4">
      <c r="A656" s="1" t="s">
        <v>195</v>
      </c>
      <c r="B656" s="1" t="s">
        <v>1455</v>
      </c>
      <c r="C656" s="1" t="s">
        <v>1844</v>
      </c>
      <c r="D656" s="1" t="s">
        <v>1731</v>
      </c>
      <c r="E656">
        <v>20251223</v>
      </c>
      <c r="F656" s="1" t="s">
        <v>1469</v>
      </c>
      <c r="G656">
        <v>4</v>
      </c>
      <c r="H656" s="1" t="s">
        <v>1475</v>
      </c>
      <c r="I656" t="s">
        <v>1855</v>
      </c>
      <c r="J656" s="1" t="s">
        <v>1548</v>
      </c>
      <c r="K656" s="1" t="s">
        <v>1612</v>
      </c>
      <c r="L656" s="1" t="s">
        <v>1718</v>
      </c>
      <c r="M656" s="1" t="s">
        <v>1737</v>
      </c>
      <c r="N656" t="s">
        <v>1986</v>
      </c>
      <c r="O656" t="s">
        <v>2164</v>
      </c>
      <c r="P656" t="s">
        <v>2157</v>
      </c>
      <c r="Q656">
        <v>12.3</v>
      </c>
      <c r="R656" s="1" t="s">
        <v>1839</v>
      </c>
      <c r="S656">
        <v>1083</v>
      </c>
      <c r="T656">
        <v>13320</v>
      </c>
    </row>
    <row r="657" spans="1:20" x14ac:dyDescent="0.4">
      <c r="A657" s="1" t="s">
        <v>195</v>
      </c>
      <c r="B657" s="1" t="s">
        <v>1456</v>
      </c>
      <c r="C657" s="1" t="s">
        <v>1844</v>
      </c>
      <c r="D657" s="1" t="s">
        <v>1731</v>
      </c>
      <c r="E657">
        <v>20251223</v>
      </c>
      <c r="F657" s="1" t="s">
        <v>1469</v>
      </c>
      <c r="G657">
        <v>4</v>
      </c>
      <c r="H657" s="1" t="s">
        <v>1475</v>
      </c>
      <c r="I657" t="s">
        <v>1855</v>
      </c>
      <c r="J657" s="1" t="s">
        <v>1548</v>
      </c>
      <c r="K657" s="1" t="s">
        <v>1612</v>
      </c>
      <c r="L657" s="1" t="s">
        <v>1718</v>
      </c>
      <c r="M657" s="1" t="s">
        <v>1737</v>
      </c>
      <c r="N657" t="s">
        <v>1986</v>
      </c>
      <c r="O657" t="s">
        <v>2164</v>
      </c>
      <c r="P657" t="s">
        <v>2157</v>
      </c>
      <c r="Q657">
        <v>12.3</v>
      </c>
      <c r="R657" s="1" t="s">
        <v>1839</v>
      </c>
      <c r="S657">
        <v>1083</v>
      </c>
      <c r="T657">
        <v>13320</v>
      </c>
    </row>
    <row r="658" spans="1:20" x14ac:dyDescent="0.4">
      <c r="A658" s="1" t="s">
        <v>195</v>
      </c>
      <c r="B658" s="1" t="s">
        <v>1457</v>
      </c>
      <c r="C658" s="1" t="s">
        <v>1844</v>
      </c>
      <c r="D658" s="1" t="s">
        <v>1731</v>
      </c>
      <c r="E658">
        <v>20251223</v>
      </c>
      <c r="F658" s="1" t="s">
        <v>1469</v>
      </c>
      <c r="G658">
        <v>4</v>
      </c>
      <c r="H658" s="1" t="s">
        <v>1475</v>
      </c>
      <c r="I658" t="s">
        <v>1855</v>
      </c>
      <c r="J658" s="1" t="s">
        <v>1548</v>
      </c>
      <c r="K658" s="1" t="s">
        <v>1612</v>
      </c>
      <c r="L658" s="1" t="s">
        <v>1718</v>
      </c>
      <c r="M658" s="1" t="s">
        <v>1737</v>
      </c>
      <c r="N658" t="s">
        <v>1986</v>
      </c>
      <c r="O658" t="s">
        <v>2164</v>
      </c>
      <c r="P658" t="s">
        <v>2157</v>
      </c>
      <c r="Q658">
        <v>12.3</v>
      </c>
      <c r="R658" s="1" t="s">
        <v>1839</v>
      </c>
      <c r="S658">
        <v>1083</v>
      </c>
      <c r="T658">
        <v>13320</v>
      </c>
    </row>
    <row r="659" spans="1:20" x14ac:dyDescent="0.4">
      <c r="A659" s="1" t="s">
        <v>195</v>
      </c>
      <c r="B659" s="1" t="s">
        <v>1458</v>
      </c>
      <c r="C659" s="1" t="s">
        <v>1844</v>
      </c>
      <c r="D659" s="1" t="s">
        <v>1731</v>
      </c>
      <c r="E659">
        <v>20251223</v>
      </c>
      <c r="F659" s="1" t="s">
        <v>1469</v>
      </c>
      <c r="G659">
        <v>4</v>
      </c>
      <c r="H659" s="1" t="s">
        <v>1475</v>
      </c>
      <c r="I659" t="s">
        <v>1855</v>
      </c>
      <c r="J659" s="1" t="s">
        <v>1548</v>
      </c>
      <c r="K659" s="1" t="s">
        <v>1612</v>
      </c>
      <c r="L659" s="1" t="s">
        <v>1718</v>
      </c>
      <c r="M659" s="1" t="s">
        <v>1737</v>
      </c>
      <c r="N659" t="s">
        <v>1986</v>
      </c>
      <c r="O659" t="s">
        <v>2164</v>
      </c>
      <c r="P659" t="s">
        <v>2157</v>
      </c>
      <c r="Q659">
        <v>12.3</v>
      </c>
      <c r="R659" s="1" t="s">
        <v>1839</v>
      </c>
      <c r="S659">
        <v>1083</v>
      </c>
      <c r="T659">
        <v>13320</v>
      </c>
    </row>
    <row r="660" spans="1:20" x14ac:dyDescent="0.4">
      <c r="A660" s="1" t="s">
        <v>195</v>
      </c>
      <c r="B660" s="1" t="s">
        <v>1459</v>
      </c>
      <c r="C660" s="1" t="s">
        <v>1844</v>
      </c>
      <c r="D660" s="1" t="s">
        <v>1731</v>
      </c>
      <c r="E660">
        <v>20251223</v>
      </c>
      <c r="F660" s="1" t="s">
        <v>1469</v>
      </c>
      <c r="G660">
        <v>4</v>
      </c>
      <c r="H660" s="1" t="s">
        <v>1475</v>
      </c>
      <c r="I660" t="s">
        <v>1855</v>
      </c>
      <c r="J660" s="1" t="s">
        <v>1548</v>
      </c>
      <c r="K660" s="1" t="s">
        <v>1612</v>
      </c>
      <c r="L660" s="1" t="s">
        <v>1718</v>
      </c>
      <c r="M660" s="1" t="s">
        <v>1737</v>
      </c>
      <c r="N660" t="s">
        <v>1986</v>
      </c>
      <c r="O660" t="s">
        <v>2164</v>
      </c>
      <c r="P660" t="s">
        <v>2157</v>
      </c>
      <c r="Q660">
        <v>12.3</v>
      </c>
      <c r="R660" s="1" t="s">
        <v>1839</v>
      </c>
      <c r="S660">
        <v>1083</v>
      </c>
      <c r="T660">
        <v>13320</v>
      </c>
    </row>
    <row r="661" spans="1:20" x14ac:dyDescent="0.4">
      <c r="A661" s="1" t="s">
        <v>195</v>
      </c>
      <c r="B661" s="1" t="s">
        <v>1460</v>
      </c>
      <c r="C661" s="1" t="s">
        <v>1844</v>
      </c>
      <c r="D661" s="1" t="s">
        <v>1731</v>
      </c>
      <c r="E661">
        <v>20251223</v>
      </c>
      <c r="F661" s="1" t="s">
        <v>1469</v>
      </c>
      <c r="G661">
        <v>4</v>
      </c>
      <c r="H661" s="1" t="s">
        <v>1475</v>
      </c>
      <c r="I661" t="s">
        <v>1855</v>
      </c>
      <c r="J661" s="1" t="s">
        <v>1548</v>
      </c>
      <c r="K661" s="1" t="s">
        <v>1612</v>
      </c>
      <c r="L661" s="1" t="s">
        <v>1718</v>
      </c>
      <c r="M661" s="1" t="s">
        <v>1737</v>
      </c>
      <c r="N661" t="s">
        <v>1986</v>
      </c>
      <c r="O661" t="s">
        <v>2164</v>
      </c>
      <c r="P661" t="s">
        <v>2157</v>
      </c>
      <c r="Q661">
        <v>12.3</v>
      </c>
      <c r="R661" s="1" t="s">
        <v>1839</v>
      </c>
      <c r="S661">
        <v>1083</v>
      </c>
      <c r="T661">
        <v>13320</v>
      </c>
    </row>
    <row r="662" spans="1:20" x14ac:dyDescent="0.4">
      <c r="A662" s="1" t="s">
        <v>195</v>
      </c>
      <c r="B662" s="1" t="s">
        <v>1461</v>
      </c>
      <c r="C662" s="1" t="s">
        <v>1844</v>
      </c>
      <c r="D662" s="1" t="s">
        <v>1731</v>
      </c>
      <c r="E662">
        <v>20251223</v>
      </c>
      <c r="F662" s="1" t="s">
        <v>1469</v>
      </c>
      <c r="G662">
        <v>4</v>
      </c>
      <c r="H662" s="1" t="s">
        <v>1475</v>
      </c>
      <c r="I662" t="s">
        <v>1855</v>
      </c>
      <c r="J662" s="1" t="s">
        <v>1548</v>
      </c>
      <c r="K662" s="1" t="s">
        <v>1612</v>
      </c>
      <c r="L662" s="1" t="s">
        <v>1718</v>
      </c>
      <c r="M662" s="1" t="s">
        <v>1737</v>
      </c>
      <c r="N662" t="s">
        <v>1986</v>
      </c>
      <c r="O662" t="s">
        <v>2164</v>
      </c>
      <c r="P662" t="s">
        <v>2157</v>
      </c>
      <c r="Q662">
        <v>12.3</v>
      </c>
      <c r="R662" s="1" t="s">
        <v>1839</v>
      </c>
      <c r="S662">
        <v>1083</v>
      </c>
      <c r="T662">
        <v>13320</v>
      </c>
    </row>
    <row r="663" spans="1:20" x14ac:dyDescent="0.4">
      <c r="A663" s="1" t="s">
        <v>195</v>
      </c>
      <c r="B663" s="1" t="s">
        <v>1462</v>
      </c>
      <c r="C663" s="1" t="s">
        <v>1844</v>
      </c>
      <c r="D663" s="1" t="s">
        <v>1731</v>
      </c>
      <c r="E663">
        <v>20251223</v>
      </c>
      <c r="F663" s="1" t="s">
        <v>1469</v>
      </c>
      <c r="G663">
        <v>4</v>
      </c>
      <c r="H663" s="1" t="s">
        <v>1475</v>
      </c>
      <c r="I663" t="s">
        <v>1855</v>
      </c>
      <c r="J663" s="1" t="s">
        <v>1548</v>
      </c>
      <c r="K663" s="1" t="s">
        <v>1612</v>
      </c>
      <c r="L663" s="1" t="s">
        <v>1718</v>
      </c>
      <c r="M663" s="1" t="s">
        <v>1737</v>
      </c>
      <c r="N663" t="s">
        <v>1986</v>
      </c>
      <c r="O663" t="s">
        <v>2164</v>
      </c>
      <c r="P663" t="s">
        <v>2157</v>
      </c>
      <c r="Q663">
        <v>12.3</v>
      </c>
      <c r="R663" s="1" t="s">
        <v>1839</v>
      </c>
      <c r="S663">
        <v>1083</v>
      </c>
      <c r="T663">
        <v>13320</v>
      </c>
    </row>
    <row r="664" spans="1:20" x14ac:dyDescent="0.4">
      <c r="A664" s="1" t="s">
        <v>196</v>
      </c>
      <c r="B664" s="1" t="s">
        <v>1453</v>
      </c>
      <c r="C664" s="1" t="s">
        <v>1844</v>
      </c>
      <c r="D664" s="1" t="s">
        <v>1731</v>
      </c>
      <c r="E664">
        <v>20251223</v>
      </c>
      <c r="F664" s="1" t="s">
        <v>1469</v>
      </c>
      <c r="G664">
        <v>4</v>
      </c>
      <c r="H664" s="1" t="s">
        <v>1475</v>
      </c>
      <c r="I664" t="s">
        <v>1855</v>
      </c>
      <c r="J664" s="1" t="s">
        <v>1548</v>
      </c>
      <c r="K664" s="1" t="s">
        <v>1612</v>
      </c>
      <c r="L664" s="1" t="s">
        <v>1718</v>
      </c>
      <c r="M664" s="1" t="s">
        <v>1737</v>
      </c>
      <c r="N664" t="s">
        <v>1986</v>
      </c>
      <c r="O664" t="s">
        <v>2164</v>
      </c>
      <c r="P664" t="s">
        <v>2157</v>
      </c>
      <c r="Q664">
        <v>12.3</v>
      </c>
      <c r="R664" s="1" t="s">
        <v>1839</v>
      </c>
      <c r="S664">
        <v>1083</v>
      </c>
      <c r="T664">
        <v>13320</v>
      </c>
    </row>
    <row r="665" spans="1:20" x14ac:dyDescent="0.4">
      <c r="A665" s="1" t="s">
        <v>196</v>
      </c>
      <c r="B665" s="1" t="s">
        <v>1454</v>
      </c>
      <c r="C665" s="1" t="s">
        <v>1844</v>
      </c>
      <c r="D665" s="1" t="s">
        <v>1731</v>
      </c>
      <c r="E665">
        <v>20251223</v>
      </c>
      <c r="F665" s="1" t="s">
        <v>1469</v>
      </c>
      <c r="G665">
        <v>4</v>
      </c>
      <c r="H665" s="1" t="s">
        <v>1475</v>
      </c>
      <c r="I665" t="s">
        <v>1855</v>
      </c>
      <c r="J665" s="1" t="s">
        <v>1548</v>
      </c>
      <c r="K665" s="1" t="s">
        <v>1612</v>
      </c>
      <c r="L665" s="1" t="s">
        <v>1718</v>
      </c>
      <c r="M665" s="1" t="s">
        <v>1737</v>
      </c>
      <c r="N665" t="s">
        <v>1986</v>
      </c>
      <c r="O665" t="s">
        <v>2164</v>
      </c>
      <c r="P665" t="s">
        <v>2157</v>
      </c>
      <c r="Q665">
        <v>12.3</v>
      </c>
      <c r="R665" s="1" t="s">
        <v>1839</v>
      </c>
      <c r="S665">
        <v>1083</v>
      </c>
      <c r="T665">
        <v>13320</v>
      </c>
    </row>
    <row r="666" spans="1:20" x14ac:dyDescent="0.4">
      <c r="A666" s="1" t="s">
        <v>196</v>
      </c>
      <c r="B666" s="1" t="s">
        <v>1455</v>
      </c>
      <c r="C666" s="1" t="s">
        <v>1844</v>
      </c>
      <c r="D666" s="1" t="s">
        <v>1731</v>
      </c>
      <c r="E666">
        <v>20251223</v>
      </c>
      <c r="F666" s="1" t="s">
        <v>1469</v>
      </c>
      <c r="G666">
        <v>4</v>
      </c>
      <c r="H666" s="1" t="s">
        <v>1475</v>
      </c>
      <c r="I666" t="s">
        <v>1855</v>
      </c>
      <c r="J666" s="1" t="s">
        <v>1548</v>
      </c>
      <c r="K666" s="1" t="s">
        <v>1612</v>
      </c>
      <c r="L666" s="1" t="s">
        <v>1718</v>
      </c>
      <c r="M666" s="1" t="s">
        <v>1737</v>
      </c>
      <c r="N666" t="s">
        <v>1986</v>
      </c>
      <c r="O666" t="s">
        <v>2164</v>
      </c>
      <c r="P666" t="s">
        <v>2157</v>
      </c>
      <c r="Q666">
        <v>12.3</v>
      </c>
      <c r="R666" s="1" t="s">
        <v>1839</v>
      </c>
      <c r="S666">
        <v>1083</v>
      </c>
      <c r="T666">
        <v>13320</v>
      </c>
    </row>
    <row r="667" spans="1:20" x14ac:dyDescent="0.4">
      <c r="A667" s="1" t="s">
        <v>196</v>
      </c>
      <c r="B667" s="1" t="s">
        <v>1456</v>
      </c>
      <c r="C667" s="1" t="s">
        <v>1844</v>
      </c>
      <c r="D667" s="1" t="s">
        <v>1731</v>
      </c>
      <c r="E667">
        <v>20251223</v>
      </c>
      <c r="F667" s="1" t="s">
        <v>1469</v>
      </c>
      <c r="G667">
        <v>4</v>
      </c>
      <c r="H667" s="1" t="s">
        <v>1475</v>
      </c>
      <c r="I667" t="s">
        <v>1855</v>
      </c>
      <c r="J667" s="1" t="s">
        <v>1548</v>
      </c>
      <c r="K667" s="1" t="s">
        <v>1612</v>
      </c>
      <c r="L667" s="1" t="s">
        <v>1718</v>
      </c>
      <c r="M667" s="1" t="s">
        <v>1737</v>
      </c>
      <c r="N667" t="s">
        <v>1986</v>
      </c>
      <c r="O667" t="s">
        <v>2164</v>
      </c>
      <c r="P667" t="s">
        <v>2157</v>
      </c>
      <c r="Q667">
        <v>12.3</v>
      </c>
      <c r="R667" s="1" t="s">
        <v>1839</v>
      </c>
      <c r="S667">
        <v>1083</v>
      </c>
      <c r="T667">
        <v>13320</v>
      </c>
    </row>
    <row r="668" spans="1:20" x14ac:dyDescent="0.4">
      <c r="A668" s="1" t="s">
        <v>196</v>
      </c>
      <c r="B668" s="1" t="s">
        <v>1457</v>
      </c>
      <c r="C668" s="1" t="s">
        <v>1844</v>
      </c>
      <c r="D668" s="1" t="s">
        <v>1731</v>
      </c>
      <c r="E668">
        <v>20251223</v>
      </c>
      <c r="F668" s="1" t="s">
        <v>1469</v>
      </c>
      <c r="G668">
        <v>4</v>
      </c>
      <c r="H668" s="1" t="s">
        <v>1475</v>
      </c>
      <c r="I668" t="s">
        <v>1855</v>
      </c>
      <c r="J668" s="1" t="s">
        <v>1548</v>
      </c>
      <c r="K668" s="1" t="s">
        <v>1612</v>
      </c>
      <c r="L668" s="1" t="s">
        <v>1718</v>
      </c>
      <c r="M668" s="1" t="s">
        <v>1737</v>
      </c>
      <c r="N668" t="s">
        <v>1986</v>
      </c>
      <c r="O668" t="s">
        <v>2164</v>
      </c>
      <c r="P668" t="s">
        <v>2157</v>
      </c>
      <c r="Q668">
        <v>12.3</v>
      </c>
      <c r="R668" s="1" t="s">
        <v>1839</v>
      </c>
      <c r="S668">
        <v>1083</v>
      </c>
      <c r="T668">
        <v>13320</v>
      </c>
    </row>
    <row r="669" spans="1:20" x14ac:dyDescent="0.4">
      <c r="A669" s="1" t="s">
        <v>196</v>
      </c>
      <c r="B669" s="1" t="s">
        <v>1458</v>
      </c>
      <c r="C669" s="1" t="s">
        <v>1844</v>
      </c>
      <c r="D669" s="1" t="s">
        <v>1731</v>
      </c>
      <c r="E669">
        <v>20251223</v>
      </c>
      <c r="F669" s="1" t="s">
        <v>1469</v>
      </c>
      <c r="G669">
        <v>4</v>
      </c>
      <c r="H669" s="1" t="s">
        <v>1475</v>
      </c>
      <c r="I669" t="s">
        <v>1855</v>
      </c>
      <c r="J669" s="1" t="s">
        <v>1548</v>
      </c>
      <c r="K669" s="1" t="s">
        <v>1612</v>
      </c>
      <c r="L669" s="1" t="s">
        <v>1718</v>
      </c>
      <c r="M669" s="1" t="s">
        <v>1737</v>
      </c>
      <c r="N669" t="s">
        <v>1986</v>
      </c>
      <c r="O669" t="s">
        <v>2164</v>
      </c>
      <c r="P669" t="s">
        <v>2157</v>
      </c>
      <c r="Q669">
        <v>12.3</v>
      </c>
      <c r="R669" s="1" t="s">
        <v>1839</v>
      </c>
      <c r="S669">
        <v>1083</v>
      </c>
      <c r="T669">
        <v>13320</v>
      </c>
    </row>
    <row r="670" spans="1:20" x14ac:dyDescent="0.4">
      <c r="A670" s="1" t="s">
        <v>196</v>
      </c>
      <c r="B670" s="1" t="s">
        <v>1459</v>
      </c>
      <c r="C670" s="1" t="s">
        <v>1844</v>
      </c>
      <c r="D670" s="1" t="s">
        <v>1731</v>
      </c>
      <c r="E670">
        <v>20251223</v>
      </c>
      <c r="F670" s="1" t="s">
        <v>1469</v>
      </c>
      <c r="G670">
        <v>4</v>
      </c>
      <c r="H670" s="1" t="s">
        <v>1475</v>
      </c>
      <c r="I670" t="s">
        <v>1855</v>
      </c>
      <c r="J670" s="1" t="s">
        <v>1548</v>
      </c>
      <c r="K670" s="1" t="s">
        <v>1612</v>
      </c>
      <c r="L670" s="1" t="s">
        <v>1718</v>
      </c>
      <c r="M670" s="1" t="s">
        <v>1737</v>
      </c>
      <c r="N670" t="s">
        <v>1986</v>
      </c>
      <c r="O670" t="s">
        <v>2164</v>
      </c>
      <c r="P670" t="s">
        <v>2157</v>
      </c>
      <c r="Q670">
        <v>12.3</v>
      </c>
      <c r="R670" s="1" t="s">
        <v>1839</v>
      </c>
      <c r="S670">
        <v>1083</v>
      </c>
      <c r="T670">
        <v>13320</v>
      </c>
    </row>
    <row r="671" spans="1:20" x14ac:dyDescent="0.4">
      <c r="A671" s="1" t="s">
        <v>196</v>
      </c>
      <c r="B671" s="1" t="s">
        <v>1460</v>
      </c>
      <c r="C671" s="1" t="s">
        <v>1844</v>
      </c>
      <c r="D671" s="1" t="s">
        <v>1731</v>
      </c>
      <c r="E671">
        <v>20251223</v>
      </c>
      <c r="F671" s="1" t="s">
        <v>1469</v>
      </c>
      <c r="G671">
        <v>4</v>
      </c>
      <c r="H671" s="1" t="s">
        <v>1475</v>
      </c>
      <c r="I671" t="s">
        <v>1855</v>
      </c>
      <c r="J671" s="1" t="s">
        <v>1548</v>
      </c>
      <c r="K671" s="1" t="s">
        <v>1612</v>
      </c>
      <c r="L671" s="1" t="s">
        <v>1718</v>
      </c>
      <c r="M671" s="1" t="s">
        <v>1737</v>
      </c>
      <c r="N671" t="s">
        <v>1986</v>
      </c>
      <c r="O671" t="s">
        <v>2164</v>
      </c>
      <c r="P671" t="s">
        <v>2157</v>
      </c>
      <c r="Q671">
        <v>12.3</v>
      </c>
      <c r="R671" s="1" t="s">
        <v>1839</v>
      </c>
      <c r="S671">
        <v>1083</v>
      </c>
      <c r="T671">
        <v>13320</v>
      </c>
    </row>
    <row r="672" spans="1:20" x14ac:dyDescent="0.4">
      <c r="A672" s="1" t="s">
        <v>196</v>
      </c>
      <c r="B672" s="1" t="s">
        <v>1461</v>
      </c>
      <c r="C672" s="1" t="s">
        <v>1844</v>
      </c>
      <c r="D672" s="1" t="s">
        <v>1731</v>
      </c>
      <c r="E672">
        <v>20251223</v>
      </c>
      <c r="F672" s="1" t="s">
        <v>1469</v>
      </c>
      <c r="G672">
        <v>4</v>
      </c>
      <c r="H672" s="1" t="s">
        <v>1475</v>
      </c>
      <c r="I672" t="s">
        <v>1855</v>
      </c>
      <c r="J672" s="1" t="s">
        <v>1548</v>
      </c>
      <c r="K672" s="1" t="s">
        <v>1612</v>
      </c>
      <c r="L672" s="1" t="s">
        <v>1718</v>
      </c>
      <c r="M672" s="1" t="s">
        <v>1737</v>
      </c>
      <c r="N672" t="s">
        <v>1986</v>
      </c>
      <c r="O672" t="s">
        <v>2164</v>
      </c>
      <c r="P672" t="s">
        <v>2157</v>
      </c>
      <c r="Q672">
        <v>12.3</v>
      </c>
      <c r="R672" s="1" t="s">
        <v>1839</v>
      </c>
      <c r="S672">
        <v>1083</v>
      </c>
      <c r="T672">
        <v>13320</v>
      </c>
    </row>
    <row r="673" spans="1:20" x14ac:dyDescent="0.4">
      <c r="A673" s="1" t="s">
        <v>197</v>
      </c>
      <c r="B673" s="1" t="s">
        <v>1453</v>
      </c>
      <c r="C673" s="1" t="s">
        <v>1844</v>
      </c>
      <c r="D673" s="1" t="s">
        <v>1848</v>
      </c>
      <c r="E673">
        <v>20251225</v>
      </c>
      <c r="F673" s="1" t="s">
        <v>1469</v>
      </c>
      <c r="G673">
        <v>4</v>
      </c>
      <c r="H673" s="1" t="s">
        <v>1475</v>
      </c>
      <c r="I673" t="s">
        <v>1855</v>
      </c>
      <c r="J673" s="1" t="s">
        <v>1544</v>
      </c>
      <c r="K673" s="1" t="s">
        <v>1608</v>
      </c>
      <c r="L673" s="1" t="s">
        <v>1718</v>
      </c>
      <c r="M673" s="1" t="s">
        <v>1769</v>
      </c>
      <c r="N673" t="s">
        <v>1982</v>
      </c>
      <c r="O673" t="s">
        <v>2164</v>
      </c>
      <c r="P673" t="s">
        <v>3093</v>
      </c>
      <c r="Q673">
        <v>-94.64</v>
      </c>
      <c r="R673" s="1" t="s">
        <v>1839</v>
      </c>
      <c r="S673">
        <v>2287</v>
      </c>
      <c r="T673">
        <v>-216441</v>
      </c>
    </row>
    <row r="674" spans="1:20" x14ac:dyDescent="0.4">
      <c r="A674" s="1" t="s">
        <v>197</v>
      </c>
      <c r="B674" s="1" t="s">
        <v>1454</v>
      </c>
      <c r="C674" s="1" t="s">
        <v>1844</v>
      </c>
      <c r="D674" s="1" t="s">
        <v>1848</v>
      </c>
      <c r="E674">
        <v>20251225</v>
      </c>
      <c r="F674" s="1" t="s">
        <v>1469</v>
      </c>
      <c r="G674">
        <v>4</v>
      </c>
      <c r="H674" s="1" t="s">
        <v>1475</v>
      </c>
      <c r="I674" t="s">
        <v>1855</v>
      </c>
      <c r="J674" s="1" t="s">
        <v>1544</v>
      </c>
      <c r="K674" s="1" t="s">
        <v>1608</v>
      </c>
      <c r="L674" s="1" t="s">
        <v>1718</v>
      </c>
      <c r="M674" s="1" t="s">
        <v>1769</v>
      </c>
      <c r="N674" t="s">
        <v>1982</v>
      </c>
      <c r="O674" t="s">
        <v>2164</v>
      </c>
      <c r="P674" t="s">
        <v>3093</v>
      </c>
      <c r="Q674">
        <v>-80.08</v>
      </c>
      <c r="R674" s="1" t="s">
        <v>1839</v>
      </c>
      <c r="S674">
        <v>2287</v>
      </c>
      <c r="T674">
        <v>-183142</v>
      </c>
    </row>
    <row r="675" spans="1:20" x14ac:dyDescent="0.4">
      <c r="A675" s="1" t="s">
        <v>197</v>
      </c>
      <c r="B675" s="1" t="s">
        <v>1455</v>
      </c>
      <c r="C675" s="1" t="s">
        <v>1844</v>
      </c>
      <c r="D675" s="1" t="s">
        <v>1848</v>
      </c>
      <c r="E675">
        <v>20251225</v>
      </c>
      <c r="F675" s="1" t="s">
        <v>1469</v>
      </c>
      <c r="G675">
        <v>4</v>
      </c>
      <c r="H675" s="1" t="s">
        <v>1475</v>
      </c>
      <c r="I675" t="s">
        <v>1855</v>
      </c>
      <c r="J675" s="1" t="s">
        <v>1544</v>
      </c>
      <c r="K675" s="1" t="s">
        <v>1608</v>
      </c>
      <c r="L675" s="1" t="s">
        <v>1718</v>
      </c>
      <c r="M675" s="1" t="s">
        <v>1769</v>
      </c>
      <c r="N675" t="s">
        <v>1982</v>
      </c>
      <c r="O675" t="s">
        <v>2164</v>
      </c>
      <c r="P675" t="s">
        <v>3093</v>
      </c>
      <c r="Q675">
        <v>-80.08</v>
      </c>
      <c r="R675" s="1" t="s">
        <v>1839</v>
      </c>
      <c r="S675">
        <v>2287</v>
      </c>
      <c r="T675">
        <v>-183142</v>
      </c>
    </row>
    <row r="676" spans="1:20" x14ac:dyDescent="0.4">
      <c r="A676" s="1" t="s">
        <v>197</v>
      </c>
      <c r="B676" s="1" t="s">
        <v>1456</v>
      </c>
      <c r="C676" s="1" t="s">
        <v>1844</v>
      </c>
      <c r="D676" s="1" t="s">
        <v>1848</v>
      </c>
      <c r="E676">
        <v>20251225</v>
      </c>
      <c r="F676" s="1" t="s">
        <v>1469</v>
      </c>
      <c r="G676">
        <v>4</v>
      </c>
      <c r="H676" s="1" t="s">
        <v>1475</v>
      </c>
      <c r="I676" t="s">
        <v>1855</v>
      </c>
      <c r="J676" s="1" t="s">
        <v>1544</v>
      </c>
      <c r="K676" s="1" t="s">
        <v>1608</v>
      </c>
      <c r="L676" s="1" t="s">
        <v>1718</v>
      </c>
      <c r="M676" s="1" t="s">
        <v>1769</v>
      </c>
      <c r="N676" t="s">
        <v>1982</v>
      </c>
      <c r="O676" t="s">
        <v>2164</v>
      </c>
      <c r="P676" t="s">
        <v>3093</v>
      </c>
      <c r="Q676">
        <v>-80.08</v>
      </c>
      <c r="R676" s="1" t="s">
        <v>1839</v>
      </c>
      <c r="S676">
        <v>2287</v>
      </c>
      <c r="T676">
        <v>-183142</v>
      </c>
    </row>
    <row r="677" spans="1:20" x14ac:dyDescent="0.4">
      <c r="A677" s="1" t="s">
        <v>198</v>
      </c>
      <c r="B677" s="1" t="s">
        <v>1453</v>
      </c>
      <c r="C677" s="1" t="s">
        <v>1844</v>
      </c>
      <c r="D677" s="1" t="s">
        <v>1846</v>
      </c>
      <c r="E677">
        <v>20251223</v>
      </c>
      <c r="F677" s="1" t="s">
        <v>1469</v>
      </c>
      <c r="G677">
        <v>4</v>
      </c>
      <c r="H677" s="1" t="s">
        <v>1475</v>
      </c>
      <c r="I677" t="s">
        <v>1855</v>
      </c>
      <c r="J677" s="1" t="s">
        <v>1548</v>
      </c>
      <c r="K677" s="1" t="s">
        <v>1606</v>
      </c>
      <c r="L677" s="1" t="s">
        <v>1718</v>
      </c>
      <c r="M677" s="1" t="s">
        <v>1735</v>
      </c>
      <c r="N677" t="s">
        <v>1981</v>
      </c>
      <c r="O677" t="s">
        <v>2164</v>
      </c>
      <c r="P677" t="s">
        <v>3037</v>
      </c>
      <c r="Q677">
        <v>45.5</v>
      </c>
      <c r="R677" s="1" t="s">
        <v>1839</v>
      </c>
      <c r="S677">
        <v>2539</v>
      </c>
      <c r="T677">
        <v>115524</v>
      </c>
    </row>
    <row r="678" spans="1:20" x14ac:dyDescent="0.4">
      <c r="A678" s="1" t="s">
        <v>198</v>
      </c>
      <c r="B678" s="1" t="s">
        <v>1454</v>
      </c>
      <c r="C678" s="1" t="s">
        <v>1844</v>
      </c>
      <c r="D678" s="1" t="s">
        <v>1846</v>
      </c>
      <c r="E678">
        <v>20251223</v>
      </c>
      <c r="F678" s="1" t="s">
        <v>1469</v>
      </c>
      <c r="G678">
        <v>4</v>
      </c>
      <c r="H678" s="1" t="s">
        <v>1475</v>
      </c>
      <c r="I678" t="s">
        <v>1855</v>
      </c>
      <c r="J678" s="1" t="s">
        <v>1548</v>
      </c>
      <c r="K678" s="1" t="s">
        <v>1606</v>
      </c>
      <c r="L678" s="1" t="s">
        <v>1718</v>
      </c>
      <c r="M678" s="1" t="s">
        <v>1735</v>
      </c>
      <c r="N678" t="s">
        <v>1981</v>
      </c>
      <c r="O678" t="s">
        <v>2164</v>
      </c>
      <c r="P678" t="s">
        <v>3037</v>
      </c>
      <c r="Q678">
        <v>45.5</v>
      </c>
      <c r="R678" s="1" t="s">
        <v>1839</v>
      </c>
      <c r="S678">
        <v>2539</v>
      </c>
      <c r="T678">
        <v>115524</v>
      </c>
    </row>
    <row r="679" spans="1:20" x14ac:dyDescent="0.4">
      <c r="A679" s="1" t="s">
        <v>198</v>
      </c>
      <c r="B679" s="1" t="s">
        <v>1455</v>
      </c>
      <c r="C679" s="1" t="s">
        <v>1844</v>
      </c>
      <c r="D679" s="1" t="s">
        <v>1846</v>
      </c>
      <c r="E679">
        <v>20251223</v>
      </c>
      <c r="F679" s="1" t="s">
        <v>1469</v>
      </c>
      <c r="G679">
        <v>4</v>
      </c>
      <c r="H679" s="1" t="s">
        <v>1475</v>
      </c>
      <c r="I679" t="s">
        <v>1855</v>
      </c>
      <c r="J679" s="1" t="s">
        <v>1548</v>
      </c>
      <c r="K679" s="1" t="s">
        <v>1606</v>
      </c>
      <c r="L679" s="1" t="s">
        <v>1718</v>
      </c>
      <c r="M679" s="1" t="s">
        <v>1735</v>
      </c>
      <c r="N679" t="s">
        <v>1981</v>
      </c>
      <c r="O679" t="s">
        <v>2164</v>
      </c>
      <c r="P679" t="s">
        <v>3037</v>
      </c>
      <c r="Q679">
        <v>45.5</v>
      </c>
      <c r="R679" s="1" t="s">
        <v>1839</v>
      </c>
      <c r="S679">
        <v>2539</v>
      </c>
      <c r="T679">
        <v>115524</v>
      </c>
    </row>
    <row r="680" spans="1:20" x14ac:dyDescent="0.4">
      <c r="A680" s="1" t="s">
        <v>198</v>
      </c>
      <c r="B680" s="1" t="s">
        <v>1456</v>
      </c>
      <c r="C680" s="1" t="s">
        <v>1844</v>
      </c>
      <c r="D680" s="1" t="s">
        <v>1846</v>
      </c>
      <c r="E680">
        <v>20251223</v>
      </c>
      <c r="F680" s="1" t="s">
        <v>1469</v>
      </c>
      <c r="G680">
        <v>4</v>
      </c>
      <c r="H680" s="1" t="s">
        <v>1475</v>
      </c>
      <c r="I680" t="s">
        <v>1855</v>
      </c>
      <c r="J680" s="1" t="s">
        <v>1548</v>
      </c>
      <c r="K680" s="1" t="s">
        <v>1606</v>
      </c>
      <c r="L680" s="1" t="s">
        <v>1718</v>
      </c>
      <c r="M680" s="1" t="s">
        <v>1735</v>
      </c>
      <c r="N680" t="s">
        <v>1981</v>
      </c>
      <c r="O680" t="s">
        <v>2164</v>
      </c>
      <c r="P680" t="s">
        <v>3037</v>
      </c>
      <c r="Q680">
        <v>45.5</v>
      </c>
      <c r="R680" s="1" t="s">
        <v>1839</v>
      </c>
      <c r="S680">
        <v>2539</v>
      </c>
      <c r="T680">
        <v>115524</v>
      </c>
    </row>
    <row r="681" spans="1:20" x14ac:dyDescent="0.4">
      <c r="A681" s="1" t="s">
        <v>198</v>
      </c>
      <c r="B681" s="1" t="s">
        <v>1457</v>
      </c>
      <c r="C681" s="1" t="s">
        <v>1844</v>
      </c>
      <c r="D681" s="1" t="s">
        <v>1846</v>
      </c>
      <c r="E681">
        <v>20251223</v>
      </c>
      <c r="F681" s="1" t="s">
        <v>1469</v>
      </c>
      <c r="G681">
        <v>4</v>
      </c>
      <c r="H681" s="1" t="s">
        <v>1475</v>
      </c>
      <c r="I681" t="s">
        <v>1855</v>
      </c>
      <c r="J681" s="1" t="s">
        <v>1548</v>
      </c>
      <c r="K681" s="1" t="s">
        <v>1606</v>
      </c>
      <c r="L681" s="1" t="s">
        <v>1718</v>
      </c>
      <c r="M681" s="1" t="s">
        <v>1735</v>
      </c>
      <c r="N681" t="s">
        <v>1981</v>
      </c>
      <c r="O681" t="s">
        <v>2164</v>
      </c>
      <c r="P681" t="s">
        <v>3037</v>
      </c>
      <c r="Q681">
        <v>45.5</v>
      </c>
      <c r="R681" s="1" t="s">
        <v>1839</v>
      </c>
      <c r="S681">
        <v>2539</v>
      </c>
      <c r="T681">
        <v>115524</v>
      </c>
    </row>
    <row r="682" spans="1:20" x14ac:dyDescent="0.4">
      <c r="A682" s="1" t="s">
        <v>198</v>
      </c>
      <c r="B682" s="1" t="s">
        <v>1458</v>
      </c>
      <c r="C682" s="1" t="s">
        <v>1844</v>
      </c>
      <c r="D682" s="1" t="s">
        <v>1846</v>
      </c>
      <c r="E682">
        <v>20251223</v>
      </c>
      <c r="F682" s="1" t="s">
        <v>1469</v>
      </c>
      <c r="G682">
        <v>4</v>
      </c>
      <c r="H682" s="1" t="s">
        <v>1475</v>
      </c>
      <c r="I682" t="s">
        <v>1855</v>
      </c>
      <c r="J682" s="1" t="s">
        <v>1548</v>
      </c>
      <c r="K682" s="1" t="s">
        <v>1606</v>
      </c>
      <c r="L682" s="1" t="s">
        <v>1718</v>
      </c>
      <c r="M682" s="1" t="s">
        <v>1735</v>
      </c>
      <c r="N682" t="s">
        <v>1981</v>
      </c>
      <c r="O682" t="s">
        <v>2164</v>
      </c>
      <c r="P682" t="s">
        <v>3037</v>
      </c>
      <c r="Q682">
        <v>45.5</v>
      </c>
      <c r="R682" s="1" t="s">
        <v>1839</v>
      </c>
      <c r="S682">
        <v>2539</v>
      </c>
      <c r="T682">
        <v>115524</v>
      </c>
    </row>
    <row r="683" spans="1:20" x14ac:dyDescent="0.4">
      <c r="A683" s="1" t="s">
        <v>198</v>
      </c>
      <c r="B683" s="1" t="s">
        <v>1459</v>
      </c>
      <c r="C683" s="1" t="s">
        <v>1844</v>
      </c>
      <c r="D683" s="1" t="s">
        <v>1846</v>
      </c>
      <c r="E683">
        <v>20251223</v>
      </c>
      <c r="F683" s="1" t="s">
        <v>1469</v>
      </c>
      <c r="G683">
        <v>4</v>
      </c>
      <c r="H683" s="1" t="s">
        <v>1475</v>
      </c>
      <c r="I683" t="s">
        <v>1855</v>
      </c>
      <c r="J683" s="1" t="s">
        <v>1548</v>
      </c>
      <c r="K683" s="1" t="s">
        <v>1606</v>
      </c>
      <c r="L683" s="1" t="s">
        <v>1718</v>
      </c>
      <c r="M683" s="1" t="s">
        <v>1735</v>
      </c>
      <c r="N683" t="s">
        <v>1981</v>
      </c>
      <c r="O683" t="s">
        <v>2164</v>
      </c>
      <c r="P683" t="s">
        <v>3037</v>
      </c>
      <c r="Q683">
        <v>45.5</v>
      </c>
      <c r="R683" s="1" t="s">
        <v>1839</v>
      </c>
      <c r="S683">
        <v>2539</v>
      </c>
      <c r="T683">
        <v>115524</v>
      </c>
    </row>
    <row r="684" spans="1:20" x14ac:dyDescent="0.4">
      <c r="A684" s="1" t="s">
        <v>198</v>
      </c>
      <c r="B684" s="1" t="s">
        <v>1460</v>
      </c>
      <c r="C684" s="1" t="s">
        <v>1844</v>
      </c>
      <c r="D684" s="1" t="s">
        <v>1846</v>
      </c>
      <c r="E684">
        <v>20251223</v>
      </c>
      <c r="F684" s="1" t="s">
        <v>1469</v>
      </c>
      <c r="G684">
        <v>4</v>
      </c>
      <c r="H684" s="1" t="s">
        <v>1475</v>
      </c>
      <c r="I684" t="s">
        <v>1855</v>
      </c>
      <c r="J684" s="1" t="s">
        <v>1548</v>
      </c>
      <c r="K684" s="1" t="s">
        <v>1606</v>
      </c>
      <c r="L684" s="1" t="s">
        <v>1718</v>
      </c>
      <c r="M684" s="1" t="s">
        <v>1735</v>
      </c>
      <c r="N684" t="s">
        <v>1981</v>
      </c>
      <c r="O684" t="s">
        <v>2164</v>
      </c>
      <c r="P684" t="s">
        <v>3037</v>
      </c>
      <c r="Q684">
        <v>48.23</v>
      </c>
      <c r="R684" s="1" t="s">
        <v>1839</v>
      </c>
      <c r="S684">
        <v>2539</v>
      </c>
      <c r="T684">
        <v>122455</v>
      </c>
    </row>
    <row r="685" spans="1:20" x14ac:dyDescent="0.4">
      <c r="A685" s="1" t="s">
        <v>198</v>
      </c>
      <c r="B685" s="1" t="s">
        <v>1461</v>
      </c>
      <c r="C685" s="1" t="s">
        <v>1844</v>
      </c>
      <c r="D685" s="1" t="s">
        <v>1846</v>
      </c>
      <c r="E685">
        <v>20251223</v>
      </c>
      <c r="F685" s="1" t="s">
        <v>1469</v>
      </c>
      <c r="G685">
        <v>4</v>
      </c>
      <c r="H685" s="1" t="s">
        <v>1475</v>
      </c>
      <c r="I685" t="s">
        <v>1855</v>
      </c>
      <c r="J685" s="1" t="s">
        <v>1548</v>
      </c>
      <c r="K685" s="1" t="s">
        <v>1606</v>
      </c>
      <c r="L685" s="1" t="s">
        <v>1718</v>
      </c>
      <c r="M685" s="1" t="s">
        <v>1735</v>
      </c>
      <c r="N685" t="s">
        <v>1981</v>
      </c>
      <c r="O685" t="s">
        <v>2164</v>
      </c>
      <c r="P685" t="s">
        <v>3037</v>
      </c>
      <c r="Q685">
        <v>45.5</v>
      </c>
      <c r="R685" s="1" t="s">
        <v>1839</v>
      </c>
      <c r="S685">
        <v>2539</v>
      </c>
      <c r="T685">
        <v>115524</v>
      </c>
    </row>
    <row r="686" spans="1:20" x14ac:dyDescent="0.4">
      <c r="A686" s="1" t="s">
        <v>198</v>
      </c>
      <c r="B686" s="1" t="s">
        <v>1462</v>
      </c>
      <c r="C686" s="1" t="s">
        <v>1844</v>
      </c>
      <c r="D686" s="1" t="s">
        <v>1846</v>
      </c>
      <c r="E686">
        <v>20251223</v>
      </c>
      <c r="F686" s="1" t="s">
        <v>1469</v>
      </c>
      <c r="G686">
        <v>4</v>
      </c>
      <c r="H686" s="1" t="s">
        <v>1475</v>
      </c>
      <c r="I686" t="s">
        <v>1855</v>
      </c>
      <c r="J686" s="1" t="s">
        <v>1548</v>
      </c>
      <c r="K686" s="1" t="s">
        <v>1606</v>
      </c>
      <c r="L686" s="1" t="s">
        <v>1718</v>
      </c>
      <c r="M686" s="1" t="s">
        <v>1735</v>
      </c>
      <c r="N686" t="s">
        <v>1981</v>
      </c>
      <c r="O686" t="s">
        <v>2164</v>
      </c>
      <c r="P686" t="s">
        <v>3037</v>
      </c>
      <c r="Q686">
        <v>45.5</v>
      </c>
      <c r="R686" s="1" t="s">
        <v>1839</v>
      </c>
      <c r="S686">
        <v>2539</v>
      </c>
      <c r="T686">
        <v>115524</v>
      </c>
    </row>
    <row r="687" spans="1:20" x14ac:dyDescent="0.4">
      <c r="A687" s="1" t="s">
        <v>199</v>
      </c>
      <c r="B687" s="1" t="s">
        <v>1453</v>
      </c>
      <c r="C687" s="1" t="s">
        <v>1844</v>
      </c>
      <c r="D687" s="1" t="s">
        <v>1846</v>
      </c>
      <c r="E687">
        <v>20251223</v>
      </c>
      <c r="F687" s="1" t="s">
        <v>1469</v>
      </c>
      <c r="G687">
        <v>4</v>
      </c>
      <c r="H687" s="1" t="s">
        <v>1475</v>
      </c>
      <c r="I687" t="s">
        <v>1855</v>
      </c>
      <c r="J687" s="1" t="s">
        <v>1548</v>
      </c>
      <c r="K687" s="1" t="s">
        <v>1606</v>
      </c>
      <c r="L687" s="1" t="s">
        <v>1718</v>
      </c>
      <c r="M687" s="1" t="s">
        <v>1735</v>
      </c>
      <c r="N687" t="s">
        <v>1981</v>
      </c>
      <c r="O687" t="s">
        <v>2164</v>
      </c>
      <c r="P687" t="s">
        <v>3037</v>
      </c>
      <c r="Q687">
        <v>45.5</v>
      </c>
      <c r="R687" s="1" t="s">
        <v>1839</v>
      </c>
      <c r="S687">
        <v>2539</v>
      </c>
      <c r="T687">
        <v>115524</v>
      </c>
    </row>
    <row r="688" spans="1:20" x14ac:dyDescent="0.4">
      <c r="A688" s="1" t="s">
        <v>199</v>
      </c>
      <c r="B688" s="1" t="s">
        <v>1454</v>
      </c>
      <c r="C688" s="1" t="s">
        <v>1844</v>
      </c>
      <c r="D688" s="1" t="s">
        <v>1846</v>
      </c>
      <c r="E688">
        <v>20251223</v>
      </c>
      <c r="F688" s="1" t="s">
        <v>1469</v>
      </c>
      <c r="G688">
        <v>4</v>
      </c>
      <c r="H688" s="1" t="s">
        <v>1475</v>
      </c>
      <c r="I688" t="s">
        <v>1855</v>
      </c>
      <c r="J688" s="1" t="s">
        <v>1548</v>
      </c>
      <c r="K688" s="1" t="s">
        <v>1606</v>
      </c>
      <c r="L688" s="1" t="s">
        <v>1718</v>
      </c>
      <c r="M688" s="1" t="s">
        <v>1735</v>
      </c>
      <c r="N688" t="s">
        <v>1981</v>
      </c>
      <c r="O688" t="s">
        <v>2164</v>
      </c>
      <c r="P688" t="s">
        <v>3037</v>
      </c>
      <c r="Q688">
        <v>45.5</v>
      </c>
      <c r="R688" s="1" t="s">
        <v>1839</v>
      </c>
      <c r="S688">
        <v>2539</v>
      </c>
      <c r="T688">
        <v>115524</v>
      </c>
    </row>
    <row r="689" spans="1:20" x14ac:dyDescent="0.4">
      <c r="A689" s="1" t="s">
        <v>199</v>
      </c>
      <c r="B689" s="1" t="s">
        <v>1455</v>
      </c>
      <c r="C689" s="1" t="s">
        <v>1844</v>
      </c>
      <c r="D689" s="1" t="s">
        <v>1846</v>
      </c>
      <c r="E689">
        <v>20251223</v>
      </c>
      <c r="F689" s="1" t="s">
        <v>1469</v>
      </c>
      <c r="G689">
        <v>4</v>
      </c>
      <c r="H689" s="1" t="s">
        <v>1475</v>
      </c>
      <c r="I689" t="s">
        <v>1855</v>
      </c>
      <c r="J689" s="1" t="s">
        <v>1548</v>
      </c>
      <c r="K689" s="1" t="s">
        <v>1606</v>
      </c>
      <c r="L689" s="1" t="s">
        <v>1718</v>
      </c>
      <c r="M689" s="1" t="s">
        <v>1735</v>
      </c>
      <c r="N689" t="s">
        <v>1981</v>
      </c>
      <c r="O689" t="s">
        <v>2164</v>
      </c>
      <c r="P689" t="s">
        <v>3037</v>
      </c>
      <c r="Q689">
        <v>45.5</v>
      </c>
      <c r="R689" s="1" t="s">
        <v>1839</v>
      </c>
      <c r="S689">
        <v>2539</v>
      </c>
      <c r="T689">
        <v>115524</v>
      </c>
    </row>
    <row r="690" spans="1:20" x14ac:dyDescent="0.4">
      <c r="A690" s="1" t="s">
        <v>199</v>
      </c>
      <c r="B690" s="1" t="s">
        <v>1456</v>
      </c>
      <c r="C690" s="1" t="s">
        <v>1844</v>
      </c>
      <c r="D690" s="1" t="s">
        <v>1846</v>
      </c>
      <c r="E690">
        <v>20251223</v>
      </c>
      <c r="F690" s="1" t="s">
        <v>1469</v>
      </c>
      <c r="G690">
        <v>4</v>
      </c>
      <c r="H690" s="1" t="s">
        <v>1475</v>
      </c>
      <c r="I690" t="s">
        <v>1855</v>
      </c>
      <c r="J690" s="1" t="s">
        <v>1548</v>
      </c>
      <c r="K690" s="1" t="s">
        <v>1606</v>
      </c>
      <c r="L690" s="1" t="s">
        <v>1718</v>
      </c>
      <c r="M690" s="1" t="s">
        <v>1735</v>
      </c>
      <c r="N690" t="s">
        <v>1981</v>
      </c>
      <c r="O690" t="s">
        <v>2164</v>
      </c>
      <c r="P690" t="s">
        <v>3037</v>
      </c>
      <c r="Q690">
        <v>45.5</v>
      </c>
      <c r="R690" s="1" t="s">
        <v>1839</v>
      </c>
      <c r="S690">
        <v>2539</v>
      </c>
      <c r="T690">
        <v>115524</v>
      </c>
    </row>
    <row r="691" spans="1:20" x14ac:dyDescent="0.4">
      <c r="A691" s="1" t="s">
        <v>199</v>
      </c>
      <c r="B691" s="1" t="s">
        <v>1457</v>
      </c>
      <c r="C691" s="1" t="s">
        <v>1844</v>
      </c>
      <c r="D691" s="1" t="s">
        <v>1846</v>
      </c>
      <c r="E691">
        <v>20251223</v>
      </c>
      <c r="F691" s="1" t="s">
        <v>1469</v>
      </c>
      <c r="G691">
        <v>4</v>
      </c>
      <c r="H691" s="1" t="s">
        <v>1475</v>
      </c>
      <c r="I691" t="s">
        <v>1855</v>
      </c>
      <c r="J691" s="1" t="s">
        <v>1548</v>
      </c>
      <c r="K691" s="1" t="s">
        <v>1606</v>
      </c>
      <c r="L691" s="1" t="s">
        <v>1718</v>
      </c>
      <c r="M691" s="1" t="s">
        <v>1735</v>
      </c>
      <c r="N691" t="s">
        <v>1981</v>
      </c>
      <c r="O691" t="s">
        <v>2164</v>
      </c>
      <c r="P691" t="s">
        <v>3037</v>
      </c>
      <c r="Q691">
        <v>45.5</v>
      </c>
      <c r="R691" s="1" t="s">
        <v>1839</v>
      </c>
      <c r="S691">
        <v>2539</v>
      </c>
      <c r="T691">
        <v>115524</v>
      </c>
    </row>
    <row r="692" spans="1:20" x14ac:dyDescent="0.4">
      <c r="A692" s="1" t="s">
        <v>199</v>
      </c>
      <c r="B692" s="1" t="s">
        <v>1458</v>
      </c>
      <c r="C692" s="1" t="s">
        <v>1844</v>
      </c>
      <c r="D692" s="1" t="s">
        <v>1846</v>
      </c>
      <c r="E692">
        <v>20251223</v>
      </c>
      <c r="F692" s="1" t="s">
        <v>1469</v>
      </c>
      <c r="G692">
        <v>4</v>
      </c>
      <c r="H692" s="1" t="s">
        <v>1475</v>
      </c>
      <c r="I692" t="s">
        <v>1855</v>
      </c>
      <c r="J692" s="1" t="s">
        <v>1548</v>
      </c>
      <c r="K692" s="1" t="s">
        <v>1606</v>
      </c>
      <c r="L692" s="1" t="s">
        <v>1718</v>
      </c>
      <c r="M692" s="1" t="s">
        <v>1735</v>
      </c>
      <c r="N692" t="s">
        <v>1981</v>
      </c>
      <c r="O692" t="s">
        <v>2164</v>
      </c>
      <c r="P692" t="s">
        <v>3037</v>
      </c>
      <c r="Q692">
        <v>48.77</v>
      </c>
      <c r="R692" s="1" t="s">
        <v>1839</v>
      </c>
      <c r="S692">
        <v>2539</v>
      </c>
      <c r="T692">
        <v>123827</v>
      </c>
    </row>
    <row r="693" spans="1:20" x14ac:dyDescent="0.4">
      <c r="A693" s="1" t="s">
        <v>199</v>
      </c>
      <c r="B693" s="1" t="s">
        <v>1459</v>
      </c>
      <c r="C693" s="1" t="s">
        <v>1844</v>
      </c>
      <c r="D693" s="1" t="s">
        <v>1846</v>
      </c>
      <c r="E693">
        <v>20251223</v>
      </c>
      <c r="F693" s="1" t="s">
        <v>1469</v>
      </c>
      <c r="G693">
        <v>4</v>
      </c>
      <c r="H693" s="1" t="s">
        <v>1475</v>
      </c>
      <c r="I693" t="s">
        <v>1855</v>
      </c>
      <c r="J693" s="1" t="s">
        <v>1548</v>
      </c>
      <c r="K693" s="1" t="s">
        <v>1606</v>
      </c>
      <c r="L693" s="1" t="s">
        <v>1718</v>
      </c>
      <c r="M693" s="1" t="s">
        <v>1735</v>
      </c>
      <c r="N693" t="s">
        <v>1981</v>
      </c>
      <c r="O693" t="s">
        <v>2164</v>
      </c>
      <c r="P693" t="s">
        <v>3037</v>
      </c>
      <c r="Q693">
        <v>45.5</v>
      </c>
      <c r="R693" s="1" t="s">
        <v>1839</v>
      </c>
      <c r="S693">
        <v>2539</v>
      </c>
      <c r="T693">
        <v>115524</v>
      </c>
    </row>
    <row r="694" spans="1:20" x14ac:dyDescent="0.4">
      <c r="A694" s="1" t="s">
        <v>199</v>
      </c>
      <c r="B694" s="1" t="s">
        <v>1460</v>
      </c>
      <c r="C694" s="1" t="s">
        <v>1844</v>
      </c>
      <c r="D694" s="1" t="s">
        <v>1846</v>
      </c>
      <c r="E694">
        <v>20251223</v>
      </c>
      <c r="F694" s="1" t="s">
        <v>1469</v>
      </c>
      <c r="G694">
        <v>4</v>
      </c>
      <c r="H694" s="1" t="s">
        <v>1475</v>
      </c>
      <c r="I694" t="s">
        <v>1855</v>
      </c>
      <c r="J694" s="1" t="s">
        <v>1548</v>
      </c>
      <c r="K694" s="1" t="s">
        <v>1606</v>
      </c>
      <c r="L694" s="1" t="s">
        <v>1718</v>
      </c>
      <c r="M694" s="1" t="s">
        <v>1735</v>
      </c>
      <c r="N694" t="s">
        <v>1981</v>
      </c>
      <c r="O694" t="s">
        <v>2164</v>
      </c>
      <c r="P694" t="s">
        <v>3037</v>
      </c>
      <c r="Q694">
        <v>45.86</v>
      </c>
      <c r="R694" s="1" t="s">
        <v>1839</v>
      </c>
      <c r="S694">
        <v>2539</v>
      </c>
      <c r="T694">
        <v>116438</v>
      </c>
    </row>
    <row r="695" spans="1:20" x14ac:dyDescent="0.4">
      <c r="A695" s="1" t="s">
        <v>199</v>
      </c>
      <c r="B695" s="1" t="s">
        <v>1461</v>
      </c>
      <c r="C695" s="1" t="s">
        <v>1844</v>
      </c>
      <c r="D695" s="1" t="s">
        <v>1846</v>
      </c>
      <c r="E695">
        <v>20251223</v>
      </c>
      <c r="F695" s="1" t="s">
        <v>1469</v>
      </c>
      <c r="G695">
        <v>4</v>
      </c>
      <c r="H695" s="1" t="s">
        <v>1475</v>
      </c>
      <c r="I695" t="s">
        <v>1855</v>
      </c>
      <c r="J695" s="1" t="s">
        <v>1548</v>
      </c>
      <c r="K695" s="1" t="s">
        <v>1606</v>
      </c>
      <c r="L695" s="1" t="s">
        <v>1718</v>
      </c>
      <c r="M695" s="1" t="s">
        <v>1735</v>
      </c>
      <c r="N695" t="s">
        <v>1981</v>
      </c>
      <c r="O695" t="s">
        <v>2164</v>
      </c>
      <c r="P695" t="s">
        <v>3037</v>
      </c>
      <c r="Q695">
        <v>45.5</v>
      </c>
      <c r="R695" s="1" t="s">
        <v>1839</v>
      </c>
      <c r="S695">
        <v>2539</v>
      </c>
      <c r="T695">
        <v>115524</v>
      </c>
    </row>
    <row r="696" spans="1:20" x14ac:dyDescent="0.4">
      <c r="A696" s="1" t="s">
        <v>199</v>
      </c>
      <c r="B696" s="1" t="s">
        <v>1462</v>
      </c>
      <c r="C696" s="1" t="s">
        <v>1844</v>
      </c>
      <c r="D696" s="1" t="s">
        <v>1846</v>
      </c>
      <c r="E696">
        <v>20251223</v>
      </c>
      <c r="F696" s="1" t="s">
        <v>1469</v>
      </c>
      <c r="G696">
        <v>4</v>
      </c>
      <c r="H696" s="1" t="s">
        <v>1475</v>
      </c>
      <c r="I696" t="s">
        <v>1855</v>
      </c>
      <c r="J696" s="1" t="s">
        <v>1548</v>
      </c>
      <c r="K696" s="1" t="s">
        <v>1606</v>
      </c>
      <c r="L696" s="1" t="s">
        <v>1718</v>
      </c>
      <c r="M696" s="1" t="s">
        <v>1735</v>
      </c>
      <c r="N696" t="s">
        <v>1981</v>
      </c>
      <c r="O696" t="s">
        <v>2164</v>
      </c>
      <c r="P696" t="s">
        <v>3037</v>
      </c>
      <c r="Q696">
        <v>45.5</v>
      </c>
      <c r="R696" s="1" t="s">
        <v>1839</v>
      </c>
      <c r="S696">
        <v>2539</v>
      </c>
      <c r="T696">
        <v>115524</v>
      </c>
    </row>
    <row r="697" spans="1:20" x14ac:dyDescent="0.4">
      <c r="A697" s="1" t="s">
        <v>200</v>
      </c>
      <c r="B697" s="1" t="s">
        <v>1453</v>
      </c>
      <c r="C697" s="1" t="s">
        <v>1844</v>
      </c>
      <c r="D697" s="1" t="s">
        <v>1846</v>
      </c>
      <c r="E697">
        <v>20251223</v>
      </c>
      <c r="F697" s="1" t="s">
        <v>1469</v>
      </c>
      <c r="G697">
        <v>4</v>
      </c>
      <c r="H697" s="1" t="s">
        <v>1475</v>
      </c>
      <c r="I697" t="s">
        <v>1855</v>
      </c>
      <c r="J697" s="1" t="s">
        <v>1548</v>
      </c>
      <c r="K697" s="1" t="s">
        <v>1606</v>
      </c>
      <c r="L697" s="1" t="s">
        <v>1718</v>
      </c>
      <c r="M697" s="1" t="s">
        <v>1735</v>
      </c>
      <c r="N697" t="s">
        <v>1981</v>
      </c>
      <c r="O697" t="s">
        <v>2164</v>
      </c>
      <c r="P697" t="s">
        <v>3037</v>
      </c>
      <c r="Q697">
        <v>45.5</v>
      </c>
      <c r="R697" s="1" t="s">
        <v>1839</v>
      </c>
      <c r="S697">
        <v>2539</v>
      </c>
      <c r="T697">
        <v>115524</v>
      </c>
    </row>
    <row r="698" spans="1:20" x14ac:dyDescent="0.4">
      <c r="A698" s="1" t="s">
        <v>200</v>
      </c>
      <c r="B698" s="1" t="s">
        <v>1454</v>
      </c>
      <c r="C698" s="1" t="s">
        <v>1844</v>
      </c>
      <c r="D698" s="1" t="s">
        <v>1846</v>
      </c>
      <c r="E698">
        <v>20251223</v>
      </c>
      <c r="F698" s="1" t="s">
        <v>1469</v>
      </c>
      <c r="G698">
        <v>4</v>
      </c>
      <c r="H698" s="1" t="s">
        <v>1475</v>
      </c>
      <c r="I698" t="s">
        <v>1855</v>
      </c>
      <c r="J698" s="1" t="s">
        <v>1548</v>
      </c>
      <c r="K698" s="1" t="s">
        <v>1606</v>
      </c>
      <c r="L698" s="1" t="s">
        <v>1718</v>
      </c>
      <c r="M698" s="1" t="s">
        <v>1735</v>
      </c>
      <c r="N698" t="s">
        <v>1981</v>
      </c>
      <c r="O698" t="s">
        <v>2164</v>
      </c>
      <c r="P698" t="s">
        <v>3037</v>
      </c>
      <c r="Q698">
        <v>45.5</v>
      </c>
      <c r="R698" s="1" t="s">
        <v>1839</v>
      </c>
      <c r="S698">
        <v>2539</v>
      </c>
      <c r="T698">
        <v>115524</v>
      </c>
    </row>
    <row r="699" spans="1:20" x14ac:dyDescent="0.4">
      <c r="A699" s="1" t="s">
        <v>200</v>
      </c>
      <c r="B699" s="1" t="s">
        <v>1455</v>
      </c>
      <c r="C699" s="1" t="s">
        <v>1844</v>
      </c>
      <c r="D699" s="1" t="s">
        <v>1846</v>
      </c>
      <c r="E699">
        <v>20251223</v>
      </c>
      <c r="F699" s="1" t="s">
        <v>1469</v>
      </c>
      <c r="G699">
        <v>4</v>
      </c>
      <c r="H699" s="1" t="s">
        <v>1475</v>
      </c>
      <c r="I699" t="s">
        <v>1855</v>
      </c>
      <c r="J699" s="1" t="s">
        <v>1548</v>
      </c>
      <c r="K699" s="1" t="s">
        <v>1606</v>
      </c>
      <c r="L699" s="1" t="s">
        <v>1718</v>
      </c>
      <c r="M699" s="1" t="s">
        <v>1735</v>
      </c>
      <c r="N699" t="s">
        <v>1981</v>
      </c>
      <c r="O699" t="s">
        <v>2164</v>
      </c>
      <c r="P699" t="s">
        <v>3037</v>
      </c>
      <c r="Q699">
        <v>48.04</v>
      </c>
      <c r="R699" s="1" t="s">
        <v>1839</v>
      </c>
      <c r="S699">
        <v>2539</v>
      </c>
      <c r="T699">
        <v>121973</v>
      </c>
    </row>
    <row r="700" spans="1:20" x14ac:dyDescent="0.4">
      <c r="A700" s="1" t="s">
        <v>200</v>
      </c>
      <c r="B700" s="1" t="s">
        <v>1456</v>
      </c>
      <c r="C700" s="1" t="s">
        <v>1844</v>
      </c>
      <c r="D700" s="1" t="s">
        <v>1846</v>
      </c>
      <c r="E700">
        <v>20251223</v>
      </c>
      <c r="F700" s="1" t="s">
        <v>1469</v>
      </c>
      <c r="G700">
        <v>4</v>
      </c>
      <c r="H700" s="1" t="s">
        <v>1475</v>
      </c>
      <c r="I700" t="s">
        <v>1855</v>
      </c>
      <c r="J700" s="1" t="s">
        <v>1548</v>
      </c>
      <c r="K700" s="1" t="s">
        <v>1606</v>
      </c>
      <c r="L700" s="1" t="s">
        <v>1718</v>
      </c>
      <c r="M700" s="1" t="s">
        <v>1735</v>
      </c>
      <c r="N700" t="s">
        <v>1981</v>
      </c>
      <c r="O700" t="s">
        <v>2164</v>
      </c>
      <c r="P700" t="s">
        <v>3037</v>
      </c>
      <c r="Q700">
        <v>42.22</v>
      </c>
      <c r="R700" s="1" t="s">
        <v>1839</v>
      </c>
      <c r="S700">
        <v>2539</v>
      </c>
      <c r="T700">
        <v>107196</v>
      </c>
    </row>
    <row r="701" spans="1:20" x14ac:dyDescent="0.4">
      <c r="A701" s="1" t="s">
        <v>200</v>
      </c>
      <c r="B701" s="1" t="s">
        <v>1457</v>
      </c>
      <c r="C701" s="1" t="s">
        <v>1844</v>
      </c>
      <c r="D701" s="1" t="s">
        <v>1846</v>
      </c>
      <c r="E701">
        <v>20251223</v>
      </c>
      <c r="F701" s="1" t="s">
        <v>1469</v>
      </c>
      <c r="G701">
        <v>4</v>
      </c>
      <c r="H701" s="1" t="s">
        <v>1475</v>
      </c>
      <c r="I701" t="s">
        <v>1855</v>
      </c>
      <c r="J701" s="1" t="s">
        <v>1548</v>
      </c>
      <c r="K701" s="1" t="s">
        <v>1606</v>
      </c>
      <c r="L701" s="1" t="s">
        <v>1718</v>
      </c>
      <c r="M701" s="1" t="s">
        <v>1735</v>
      </c>
      <c r="N701" t="s">
        <v>1981</v>
      </c>
      <c r="O701" t="s">
        <v>2164</v>
      </c>
      <c r="P701" t="s">
        <v>3037</v>
      </c>
      <c r="Q701">
        <v>45.5</v>
      </c>
      <c r="R701" s="1" t="s">
        <v>1839</v>
      </c>
      <c r="S701">
        <v>2539</v>
      </c>
      <c r="T701">
        <v>115524</v>
      </c>
    </row>
    <row r="702" spans="1:20" x14ac:dyDescent="0.4">
      <c r="A702" s="1" t="s">
        <v>200</v>
      </c>
      <c r="B702" s="1" t="s">
        <v>1458</v>
      </c>
      <c r="C702" s="1" t="s">
        <v>1844</v>
      </c>
      <c r="D702" s="1" t="s">
        <v>1846</v>
      </c>
      <c r="E702">
        <v>20251223</v>
      </c>
      <c r="F702" s="1" t="s">
        <v>1469</v>
      </c>
      <c r="G702">
        <v>4</v>
      </c>
      <c r="H702" s="1" t="s">
        <v>1475</v>
      </c>
      <c r="I702" t="s">
        <v>1855</v>
      </c>
      <c r="J702" s="1" t="s">
        <v>1548</v>
      </c>
      <c r="K702" s="1" t="s">
        <v>1606</v>
      </c>
      <c r="L702" s="1" t="s">
        <v>1718</v>
      </c>
      <c r="M702" s="1" t="s">
        <v>1735</v>
      </c>
      <c r="N702" t="s">
        <v>1981</v>
      </c>
      <c r="O702" t="s">
        <v>2164</v>
      </c>
      <c r="P702" t="s">
        <v>3037</v>
      </c>
      <c r="Q702">
        <v>45.86</v>
      </c>
      <c r="R702" s="1" t="s">
        <v>1839</v>
      </c>
      <c r="S702">
        <v>2539</v>
      </c>
      <c r="T702">
        <v>116438</v>
      </c>
    </row>
    <row r="703" spans="1:20" x14ac:dyDescent="0.4">
      <c r="A703" s="1" t="s">
        <v>200</v>
      </c>
      <c r="B703" s="1" t="s">
        <v>1459</v>
      </c>
      <c r="C703" s="1" t="s">
        <v>1844</v>
      </c>
      <c r="D703" s="1" t="s">
        <v>1846</v>
      </c>
      <c r="E703">
        <v>20251223</v>
      </c>
      <c r="F703" s="1" t="s">
        <v>1469</v>
      </c>
      <c r="G703">
        <v>4</v>
      </c>
      <c r="H703" s="1" t="s">
        <v>1475</v>
      </c>
      <c r="I703" t="s">
        <v>1855</v>
      </c>
      <c r="J703" s="1" t="s">
        <v>1548</v>
      </c>
      <c r="K703" s="1" t="s">
        <v>1606</v>
      </c>
      <c r="L703" s="1" t="s">
        <v>1718</v>
      </c>
      <c r="M703" s="1" t="s">
        <v>1735</v>
      </c>
      <c r="N703" t="s">
        <v>1981</v>
      </c>
      <c r="O703" t="s">
        <v>2164</v>
      </c>
      <c r="P703" t="s">
        <v>3037</v>
      </c>
      <c r="Q703">
        <v>45.5</v>
      </c>
      <c r="R703" s="1" t="s">
        <v>1839</v>
      </c>
      <c r="S703">
        <v>2539</v>
      </c>
      <c r="T703">
        <v>115524</v>
      </c>
    </row>
    <row r="704" spans="1:20" x14ac:dyDescent="0.4">
      <c r="A704" s="1" t="s">
        <v>200</v>
      </c>
      <c r="B704" s="1" t="s">
        <v>1460</v>
      </c>
      <c r="C704" s="1" t="s">
        <v>1844</v>
      </c>
      <c r="D704" s="1" t="s">
        <v>1846</v>
      </c>
      <c r="E704">
        <v>20251223</v>
      </c>
      <c r="F704" s="1" t="s">
        <v>1469</v>
      </c>
      <c r="G704">
        <v>4</v>
      </c>
      <c r="H704" s="1" t="s">
        <v>1475</v>
      </c>
      <c r="I704" t="s">
        <v>1855</v>
      </c>
      <c r="J704" s="1" t="s">
        <v>1548</v>
      </c>
      <c r="K704" s="1" t="s">
        <v>1606</v>
      </c>
      <c r="L704" s="1" t="s">
        <v>1718</v>
      </c>
      <c r="M704" s="1" t="s">
        <v>1735</v>
      </c>
      <c r="N704" t="s">
        <v>1981</v>
      </c>
      <c r="O704" t="s">
        <v>2164</v>
      </c>
      <c r="P704" t="s">
        <v>3037</v>
      </c>
      <c r="Q704">
        <v>45.5</v>
      </c>
      <c r="R704" s="1" t="s">
        <v>1839</v>
      </c>
      <c r="S704">
        <v>2539</v>
      </c>
      <c r="T704">
        <v>115524</v>
      </c>
    </row>
    <row r="705" spans="1:20" x14ac:dyDescent="0.4">
      <c r="A705" s="1" t="s">
        <v>200</v>
      </c>
      <c r="B705" s="1" t="s">
        <v>1461</v>
      </c>
      <c r="C705" s="1" t="s">
        <v>1844</v>
      </c>
      <c r="D705" s="1" t="s">
        <v>1846</v>
      </c>
      <c r="E705">
        <v>20251223</v>
      </c>
      <c r="F705" s="1" t="s">
        <v>1469</v>
      </c>
      <c r="G705">
        <v>4</v>
      </c>
      <c r="H705" s="1" t="s">
        <v>1475</v>
      </c>
      <c r="I705" t="s">
        <v>1855</v>
      </c>
      <c r="J705" s="1" t="s">
        <v>1548</v>
      </c>
      <c r="K705" s="1" t="s">
        <v>1606</v>
      </c>
      <c r="L705" s="1" t="s">
        <v>1718</v>
      </c>
      <c r="M705" s="1" t="s">
        <v>1735</v>
      </c>
      <c r="N705" t="s">
        <v>1981</v>
      </c>
      <c r="O705" t="s">
        <v>2164</v>
      </c>
      <c r="P705" t="s">
        <v>3037</v>
      </c>
      <c r="Q705">
        <v>45.5</v>
      </c>
      <c r="R705" s="1" t="s">
        <v>1839</v>
      </c>
      <c r="S705">
        <v>2539</v>
      </c>
      <c r="T705">
        <v>115524</v>
      </c>
    </row>
    <row r="706" spans="1:20" x14ac:dyDescent="0.4">
      <c r="A706" s="1" t="s">
        <v>200</v>
      </c>
      <c r="B706" s="1" t="s">
        <v>1462</v>
      </c>
      <c r="C706" s="1" t="s">
        <v>1844</v>
      </c>
      <c r="D706" s="1" t="s">
        <v>1846</v>
      </c>
      <c r="E706">
        <v>20251223</v>
      </c>
      <c r="F706" s="1" t="s">
        <v>1469</v>
      </c>
      <c r="G706">
        <v>4</v>
      </c>
      <c r="H706" s="1" t="s">
        <v>1475</v>
      </c>
      <c r="I706" t="s">
        <v>1855</v>
      </c>
      <c r="J706" s="1" t="s">
        <v>1548</v>
      </c>
      <c r="K706" s="1" t="s">
        <v>1606</v>
      </c>
      <c r="L706" s="1" t="s">
        <v>1718</v>
      </c>
      <c r="M706" s="1" t="s">
        <v>1735</v>
      </c>
      <c r="N706" t="s">
        <v>1981</v>
      </c>
      <c r="O706" t="s">
        <v>2164</v>
      </c>
      <c r="P706" t="s">
        <v>3037</v>
      </c>
      <c r="Q706">
        <v>45.5</v>
      </c>
      <c r="R706" s="1" t="s">
        <v>1839</v>
      </c>
      <c r="S706">
        <v>2539</v>
      </c>
      <c r="T706">
        <v>115524</v>
      </c>
    </row>
    <row r="707" spans="1:20" x14ac:dyDescent="0.4">
      <c r="A707" s="1" t="s">
        <v>201</v>
      </c>
      <c r="B707" s="1" t="s">
        <v>1453</v>
      </c>
      <c r="C707" s="1" t="s">
        <v>1844</v>
      </c>
      <c r="D707" s="1" t="s">
        <v>1846</v>
      </c>
      <c r="E707">
        <v>20251223</v>
      </c>
      <c r="F707" s="1" t="s">
        <v>1469</v>
      </c>
      <c r="G707">
        <v>4</v>
      </c>
      <c r="H707" s="1" t="s">
        <v>1475</v>
      </c>
      <c r="I707" t="s">
        <v>1855</v>
      </c>
      <c r="J707" s="1" t="s">
        <v>1548</v>
      </c>
      <c r="K707" s="1" t="s">
        <v>1606</v>
      </c>
      <c r="L707" s="1" t="s">
        <v>1718</v>
      </c>
      <c r="M707" s="1" t="s">
        <v>1735</v>
      </c>
      <c r="N707" t="s">
        <v>1981</v>
      </c>
      <c r="O707" t="s">
        <v>2164</v>
      </c>
      <c r="P707" t="s">
        <v>3037</v>
      </c>
      <c r="Q707">
        <v>48.04</v>
      </c>
      <c r="R707" s="1" t="s">
        <v>1839</v>
      </c>
      <c r="S707">
        <v>2539</v>
      </c>
      <c r="T707">
        <v>121973</v>
      </c>
    </row>
    <row r="708" spans="1:20" x14ac:dyDescent="0.4">
      <c r="A708" s="1" t="s">
        <v>201</v>
      </c>
      <c r="B708" s="1" t="s">
        <v>1454</v>
      </c>
      <c r="C708" s="1" t="s">
        <v>1844</v>
      </c>
      <c r="D708" s="1" t="s">
        <v>1846</v>
      </c>
      <c r="E708">
        <v>20251223</v>
      </c>
      <c r="F708" s="1" t="s">
        <v>1469</v>
      </c>
      <c r="G708">
        <v>4</v>
      </c>
      <c r="H708" s="1" t="s">
        <v>1475</v>
      </c>
      <c r="I708" t="s">
        <v>1855</v>
      </c>
      <c r="J708" s="1" t="s">
        <v>1548</v>
      </c>
      <c r="K708" s="1" t="s">
        <v>1606</v>
      </c>
      <c r="L708" s="1" t="s">
        <v>1718</v>
      </c>
      <c r="M708" s="1" t="s">
        <v>1735</v>
      </c>
      <c r="N708" t="s">
        <v>1981</v>
      </c>
      <c r="O708" t="s">
        <v>2164</v>
      </c>
      <c r="P708" t="s">
        <v>3037</v>
      </c>
      <c r="Q708">
        <v>42.22</v>
      </c>
      <c r="R708" s="1" t="s">
        <v>1839</v>
      </c>
      <c r="S708">
        <v>2539</v>
      </c>
      <c r="T708">
        <v>107196</v>
      </c>
    </row>
    <row r="709" spans="1:20" x14ac:dyDescent="0.4">
      <c r="A709" s="1" t="s">
        <v>201</v>
      </c>
      <c r="B709" s="1" t="s">
        <v>1455</v>
      </c>
      <c r="C709" s="1" t="s">
        <v>1844</v>
      </c>
      <c r="D709" s="1" t="s">
        <v>1846</v>
      </c>
      <c r="E709">
        <v>20251223</v>
      </c>
      <c r="F709" s="1" t="s">
        <v>1469</v>
      </c>
      <c r="G709">
        <v>4</v>
      </c>
      <c r="H709" s="1" t="s">
        <v>1475</v>
      </c>
      <c r="I709" t="s">
        <v>1855</v>
      </c>
      <c r="J709" s="1" t="s">
        <v>1548</v>
      </c>
      <c r="K709" s="1" t="s">
        <v>1606</v>
      </c>
      <c r="L709" s="1" t="s">
        <v>1718</v>
      </c>
      <c r="M709" s="1" t="s">
        <v>1735</v>
      </c>
      <c r="N709" t="s">
        <v>1981</v>
      </c>
      <c r="O709" t="s">
        <v>2164</v>
      </c>
      <c r="P709" t="s">
        <v>3037</v>
      </c>
      <c r="Q709">
        <v>43.68</v>
      </c>
      <c r="R709" s="1" t="s">
        <v>1839</v>
      </c>
      <c r="S709">
        <v>2539</v>
      </c>
      <c r="T709">
        <v>110903</v>
      </c>
    </row>
    <row r="710" spans="1:20" x14ac:dyDescent="0.4">
      <c r="A710" s="1" t="s">
        <v>201</v>
      </c>
      <c r="B710" s="1" t="s">
        <v>1456</v>
      </c>
      <c r="C710" s="1" t="s">
        <v>1844</v>
      </c>
      <c r="D710" s="1" t="s">
        <v>1846</v>
      </c>
      <c r="E710">
        <v>20251223</v>
      </c>
      <c r="F710" s="1" t="s">
        <v>1469</v>
      </c>
      <c r="G710">
        <v>4</v>
      </c>
      <c r="H710" s="1" t="s">
        <v>1475</v>
      </c>
      <c r="I710" t="s">
        <v>1855</v>
      </c>
      <c r="J710" s="1" t="s">
        <v>1548</v>
      </c>
      <c r="K710" s="1" t="s">
        <v>1606</v>
      </c>
      <c r="L710" s="1" t="s">
        <v>1718</v>
      </c>
      <c r="M710" s="1" t="s">
        <v>1735</v>
      </c>
      <c r="N710" t="s">
        <v>1981</v>
      </c>
      <c r="O710" t="s">
        <v>2164</v>
      </c>
      <c r="P710" t="s">
        <v>3037</v>
      </c>
      <c r="Q710">
        <v>43.68</v>
      </c>
      <c r="R710" s="1" t="s">
        <v>1839</v>
      </c>
      <c r="S710">
        <v>2539</v>
      </c>
      <c r="T710">
        <v>110903</v>
      </c>
    </row>
    <row r="711" spans="1:20" x14ac:dyDescent="0.4">
      <c r="A711" s="1" t="s">
        <v>201</v>
      </c>
      <c r="B711" s="1" t="s">
        <v>1457</v>
      </c>
      <c r="C711" s="1" t="s">
        <v>1844</v>
      </c>
      <c r="D711" s="1" t="s">
        <v>1846</v>
      </c>
      <c r="E711">
        <v>20251223</v>
      </c>
      <c r="F711" s="1" t="s">
        <v>1469</v>
      </c>
      <c r="G711">
        <v>4</v>
      </c>
      <c r="H711" s="1" t="s">
        <v>1475</v>
      </c>
      <c r="I711" t="s">
        <v>1855</v>
      </c>
      <c r="J711" s="1" t="s">
        <v>1548</v>
      </c>
      <c r="K711" s="1" t="s">
        <v>1606</v>
      </c>
      <c r="L711" s="1" t="s">
        <v>1718</v>
      </c>
      <c r="M711" s="1" t="s">
        <v>1735</v>
      </c>
      <c r="N711" t="s">
        <v>1981</v>
      </c>
      <c r="O711" t="s">
        <v>2164</v>
      </c>
      <c r="P711" t="s">
        <v>3037</v>
      </c>
      <c r="Q711">
        <v>42.77</v>
      </c>
      <c r="R711" s="1" t="s">
        <v>1839</v>
      </c>
      <c r="S711">
        <v>2539</v>
      </c>
      <c r="T711">
        <v>108593</v>
      </c>
    </row>
    <row r="712" spans="1:20" x14ac:dyDescent="0.4">
      <c r="A712" s="1" t="s">
        <v>201</v>
      </c>
      <c r="B712" s="1" t="s">
        <v>1458</v>
      </c>
      <c r="C712" s="1" t="s">
        <v>1844</v>
      </c>
      <c r="D712" s="1" t="s">
        <v>1846</v>
      </c>
      <c r="E712">
        <v>20251223</v>
      </c>
      <c r="F712" s="1" t="s">
        <v>1469</v>
      </c>
      <c r="G712">
        <v>4</v>
      </c>
      <c r="H712" s="1" t="s">
        <v>1475</v>
      </c>
      <c r="I712" t="s">
        <v>1855</v>
      </c>
      <c r="J712" s="1" t="s">
        <v>1548</v>
      </c>
      <c r="K712" s="1" t="s">
        <v>1606</v>
      </c>
      <c r="L712" s="1" t="s">
        <v>1718</v>
      </c>
      <c r="M712" s="1" t="s">
        <v>1735</v>
      </c>
      <c r="N712" t="s">
        <v>1981</v>
      </c>
      <c r="O712" t="s">
        <v>2164</v>
      </c>
      <c r="P712" t="s">
        <v>3037</v>
      </c>
      <c r="Q712">
        <v>40.04</v>
      </c>
      <c r="R712" s="1" t="s">
        <v>1839</v>
      </c>
      <c r="S712">
        <v>2539</v>
      </c>
      <c r="T712">
        <v>101661</v>
      </c>
    </row>
    <row r="713" spans="1:20" x14ac:dyDescent="0.4">
      <c r="A713" s="1" t="s">
        <v>201</v>
      </c>
      <c r="B713" s="1" t="s">
        <v>1459</v>
      </c>
      <c r="C713" s="1" t="s">
        <v>1844</v>
      </c>
      <c r="D713" s="1" t="s">
        <v>1846</v>
      </c>
      <c r="E713">
        <v>20251223</v>
      </c>
      <c r="F713" s="1" t="s">
        <v>1469</v>
      </c>
      <c r="G713">
        <v>4</v>
      </c>
      <c r="H713" s="1" t="s">
        <v>1475</v>
      </c>
      <c r="I713" t="s">
        <v>1855</v>
      </c>
      <c r="J713" s="1" t="s">
        <v>1548</v>
      </c>
      <c r="K713" s="1" t="s">
        <v>1606</v>
      </c>
      <c r="L713" s="1" t="s">
        <v>1718</v>
      </c>
      <c r="M713" s="1" t="s">
        <v>1735</v>
      </c>
      <c r="N713" t="s">
        <v>1981</v>
      </c>
      <c r="O713" t="s">
        <v>2164</v>
      </c>
      <c r="P713" t="s">
        <v>3037</v>
      </c>
      <c r="Q713">
        <v>40.04</v>
      </c>
      <c r="R713" s="1" t="s">
        <v>1839</v>
      </c>
      <c r="S713">
        <v>2539</v>
      </c>
      <c r="T713">
        <v>101661</v>
      </c>
    </row>
    <row r="714" spans="1:20" x14ac:dyDescent="0.4">
      <c r="A714" s="1" t="s">
        <v>201</v>
      </c>
      <c r="B714" s="1" t="s">
        <v>1460</v>
      </c>
      <c r="C714" s="1" t="s">
        <v>1844</v>
      </c>
      <c r="D714" s="1" t="s">
        <v>1846</v>
      </c>
      <c r="E714">
        <v>20251223</v>
      </c>
      <c r="F714" s="1" t="s">
        <v>1469</v>
      </c>
      <c r="G714">
        <v>4</v>
      </c>
      <c r="H714" s="1" t="s">
        <v>1475</v>
      </c>
      <c r="I714" t="s">
        <v>1855</v>
      </c>
      <c r="J714" s="1" t="s">
        <v>1548</v>
      </c>
      <c r="K714" s="1" t="s">
        <v>1606</v>
      </c>
      <c r="L714" s="1" t="s">
        <v>1718</v>
      </c>
      <c r="M714" s="1" t="s">
        <v>1735</v>
      </c>
      <c r="N714" t="s">
        <v>1981</v>
      </c>
      <c r="O714" t="s">
        <v>2164</v>
      </c>
      <c r="P714" t="s">
        <v>3037</v>
      </c>
      <c r="Q714">
        <v>40.04</v>
      </c>
      <c r="R714" s="1" t="s">
        <v>1839</v>
      </c>
      <c r="S714">
        <v>2539</v>
      </c>
      <c r="T714">
        <v>101661</v>
      </c>
    </row>
    <row r="715" spans="1:20" x14ac:dyDescent="0.4">
      <c r="A715" s="1" t="s">
        <v>201</v>
      </c>
      <c r="B715" s="1" t="s">
        <v>1461</v>
      </c>
      <c r="C715" s="1" t="s">
        <v>1844</v>
      </c>
      <c r="D715" s="1" t="s">
        <v>1846</v>
      </c>
      <c r="E715">
        <v>20251223</v>
      </c>
      <c r="F715" s="1" t="s">
        <v>1469</v>
      </c>
      <c r="G715">
        <v>4</v>
      </c>
      <c r="H715" s="1" t="s">
        <v>1475</v>
      </c>
      <c r="I715" t="s">
        <v>1855</v>
      </c>
      <c r="J715" s="1" t="s">
        <v>1548</v>
      </c>
      <c r="K715" s="1" t="s">
        <v>1606</v>
      </c>
      <c r="L715" s="1" t="s">
        <v>1718</v>
      </c>
      <c r="M715" s="1" t="s">
        <v>1735</v>
      </c>
      <c r="N715" t="s">
        <v>1981</v>
      </c>
      <c r="O715" t="s">
        <v>2164</v>
      </c>
      <c r="P715" t="s">
        <v>3037</v>
      </c>
      <c r="Q715">
        <v>40.04</v>
      </c>
      <c r="R715" s="1" t="s">
        <v>1839</v>
      </c>
      <c r="S715">
        <v>2539</v>
      </c>
      <c r="T715">
        <v>101661</v>
      </c>
    </row>
    <row r="716" spans="1:20" x14ac:dyDescent="0.4">
      <c r="A716" s="1" t="s">
        <v>201</v>
      </c>
      <c r="B716" s="1" t="s">
        <v>1462</v>
      </c>
      <c r="C716" s="1" t="s">
        <v>1844</v>
      </c>
      <c r="D716" s="1" t="s">
        <v>1846</v>
      </c>
      <c r="E716">
        <v>20251223</v>
      </c>
      <c r="F716" s="1" t="s">
        <v>1469</v>
      </c>
      <c r="G716">
        <v>4</v>
      </c>
      <c r="H716" s="1" t="s">
        <v>1475</v>
      </c>
      <c r="I716" t="s">
        <v>1855</v>
      </c>
      <c r="J716" s="1" t="s">
        <v>1548</v>
      </c>
      <c r="K716" s="1" t="s">
        <v>1606</v>
      </c>
      <c r="L716" s="1" t="s">
        <v>1718</v>
      </c>
      <c r="M716" s="1" t="s">
        <v>1735</v>
      </c>
      <c r="N716" t="s">
        <v>1981</v>
      </c>
      <c r="O716" t="s">
        <v>2164</v>
      </c>
      <c r="P716" t="s">
        <v>3037</v>
      </c>
      <c r="Q716">
        <v>43.49</v>
      </c>
      <c r="R716" s="1" t="s">
        <v>1839</v>
      </c>
      <c r="S716">
        <v>2539</v>
      </c>
      <c r="T716">
        <v>110421</v>
      </c>
    </row>
    <row r="717" spans="1:20" x14ac:dyDescent="0.4">
      <c r="A717" s="1" t="s">
        <v>202</v>
      </c>
      <c r="B717" s="1" t="s">
        <v>1453</v>
      </c>
      <c r="C717" s="1" t="s">
        <v>1844</v>
      </c>
      <c r="D717" s="1" t="s">
        <v>1846</v>
      </c>
      <c r="E717">
        <v>20251223</v>
      </c>
      <c r="F717" s="1" t="s">
        <v>1469</v>
      </c>
      <c r="G717">
        <v>4</v>
      </c>
      <c r="H717" s="1" t="s">
        <v>1475</v>
      </c>
      <c r="I717" t="s">
        <v>1855</v>
      </c>
      <c r="J717" s="1" t="s">
        <v>1548</v>
      </c>
      <c r="K717" s="1" t="s">
        <v>1606</v>
      </c>
      <c r="L717" s="1" t="s">
        <v>1718</v>
      </c>
      <c r="M717" s="1" t="s">
        <v>1735</v>
      </c>
      <c r="N717" t="s">
        <v>1981</v>
      </c>
      <c r="O717" t="s">
        <v>2164</v>
      </c>
      <c r="P717" t="s">
        <v>3037</v>
      </c>
      <c r="Q717">
        <v>43.68</v>
      </c>
      <c r="R717" s="1" t="s">
        <v>1839</v>
      </c>
      <c r="S717">
        <v>2539</v>
      </c>
      <c r="T717">
        <v>110903</v>
      </c>
    </row>
    <row r="718" spans="1:20" x14ac:dyDescent="0.4">
      <c r="A718" s="1" t="s">
        <v>202</v>
      </c>
      <c r="B718" s="1" t="s">
        <v>1454</v>
      </c>
      <c r="C718" s="1" t="s">
        <v>1844</v>
      </c>
      <c r="D718" s="1" t="s">
        <v>1846</v>
      </c>
      <c r="E718">
        <v>20251223</v>
      </c>
      <c r="F718" s="1" t="s">
        <v>1469</v>
      </c>
      <c r="G718">
        <v>4</v>
      </c>
      <c r="H718" s="1" t="s">
        <v>1475</v>
      </c>
      <c r="I718" t="s">
        <v>1855</v>
      </c>
      <c r="J718" s="1" t="s">
        <v>1548</v>
      </c>
      <c r="K718" s="1" t="s">
        <v>1606</v>
      </c>
      <c r="L718" s="1" t="s">
        <v>1718</v>
      </c>
      <c r="M718" s="1" t="s">
        <v>1735</v>
      </c>
      <c r="N718" t="s">
        <v>1981</v>
      </c>
      <c r="O718" t="s">
        <v>2164</v>
      </c>
      <c r="P718" t="s">
        <v>3037</v>
      </c>
      <c r="Q718">
        <v>43.68</v>
      </c>
      <c r="R718" s="1" t="s">
        <v>1839</v>
      </c>
      <c r="S718">
        <v>2539</v>
      </c>
      <c r="T718">
        <v>110903</v>
      </c>
    </row>
    <row r="719" spans="1:20" x14ac:dyDescent="0.4">
      <c r="A719" s="1" t="s">
        <v>202</v>
      </c>
      <c r="B719" s="1" t="s">
        <v>1455</v>
      </c>
      <c r="C719" s="1" t="s">
        <v>1844</v>
      </c>
      <c r="D719" s="1" t="s">
        <v>1846</v>
      </c>
      <c r="E719">
        <v>20251223</v>
      </c>
      <c r="F719" s="1" t="s">
        <v>1469</v>
      </c>
      <c r="G719">
        <v>4</v>
      </c>
      <c r="H719" s="1" t="s">
        <v>1475</v>
      </c>
      <c r="I719" t="s">
        <v>1855</v>
      </c>
      <c r="J719" s="1" t="s">
        <v>1548</v>
      </c>
      <c r="K719" s="1" t="s">
        <v>1606</v>
      </c>
      <c r="L719" s="1" t="s">
        <v>1718</v>
      </c>
      <c r="M719" s="1" t="s">
        <v>1735</v>
      </c>
      <c r="N719" t="s">
        <v>1981</v>
      </c>
      <c r="O719" t="s">
        <v>2164</v>
      </c>
      <c r="P719" t="s">
        <v>3037</v>
      </c>
      <c r="Q719">
        <v>42.77</v>
      </c>
      <c r="R719" s="1" t="s">
        <v>1839</v>
      </c>
      <c r="S719">
        <v>2539</v>
      </c>
      <c r="T719">
        <v>108593</v>
      </c>
    </row>
    <row r="720" spans="1:20" x14ac:dyDescent="0.4">
      <c r="A720" s="1" t="s">
        <v>202</v>
      </c>
      <c r="B720" s="1" t="s">
        <v>1456</v>
      </c>
      <c r="C720" s="1" t="s">
        <v>1844</v>
      </c>
      <c r="D720" s="1" t="s">
        <v>1846</v>
      </c>
      <c r="E720">
        <v>20251223</v>
      </c>
      <c r="F720" s="1" t="s">
        <v>1469</v>
      </c>
      <c r="G720">
        <v>4</v>
      </c>
      <c r="H720" s="1" t="s">
        <v>1475</v>
      </c>
      <c r="I720" t="s">
        <v>1855</v>
      </c>
      <c r="J720" s="1" t="s">
        <v>1548</v>
      </c>
      <c r="K720" s="1" t="s">
        <v>1606</v>
      </c>
      <c r="L720" s="1" t="s">
        <v>1718</v>
      </c>
      <c r="M720" s="1" t="s">
        <v>1735</v>
      </c>
      <c r="N720" t="s">
        <v>1981</v>
      </c>
      <c r="O720" t="s">
        <v>2164</v>
      </c>
      <c r="P720" t="s">
        <v>3037</v>
      </c>
      <c r="Q720">
        <v>40.04</v>
      </c>
      <c r="R720" s="1" t="s">
        <v>1839</v>
      </c>
      <c r="S720">
        <v>2539</v>
      </c>
      <c r="T720">
        <v>101661</v>
      </c>
    </row>
    <row r="721" spans="1:20" x14ac:dyDescent="0.4">
      <c r="A721" s="1" t="s">
        <v>202</v>
      </c>
      <c r="B721" s="1" t="s">
        <v>1457</v>
      </c>
      <c r="C721" s="1" t="s">
        <v>1844</v>
      </c>
      <c r="D721" s="1" t="s">
        <v>1846</v>
      </c>
      <c r="E721">
        <v>20251223</v>
      </c>
      <c r="F721" s="1" t="s">
        <v>1469</v>
      </c>
      <c r="G721">
        <v>4</v>
      </c>
      <c r="H721" s="1" t="s">
        <v>1475</v>
      </c>
      <c r="I721" t="s">
        <v>1855</v>
      </c>
      <c r="J721" s="1" t="s">
        <v>1548</v>
      </c>
      <c r="K721" s="1" t="s">
        <v>1606</v>
      </c>
      <c r="L721" s="1" t="s">
        <v>1718</v>
      </c>
      <c r="M721" s="1" t="s">
        <v>1735</v>
      </c>
      <c r="N721" t="s">
        <v>1981</v>
      </c>
      <c r="O721" t="s">
        <v>2164</v>
      </c>
      <c r="P721" t="s">
        <v>3037</v>
      </c>
      <c r="Q721">
        <v>40.04</v>
      </c>
      <c r="R721" s="1" t="s">
        <v>1839</v>
      </c>
      <c r="S721">
        <v>2539</v>
      </c>
      <c r="T721">
        <v>101661</v>
      </c>
    </row>
    <row r="722" spans="1:20" x14ac:dyDescent="0.4">
      <c r="A722" s="1" t="s">
        <v>202</v>
      </c>
      <c r="B722" s="1" t="s">
        <v>1458</v>
      </c>
      <c r="C722" s="1" t="s">
        <v>1844</v>
      </c>
      <c r="D722" s="1" t="s">
        <v>1846</v>
      </c>
      <c r="E722">
        <v>20251223</v>
      </c>
      <c r="F722" s="1" t="s">
        <v>1469</v>
      </c>
      <c r="G722">
        <v>4</v>
      </c>
      <c r="H722" s="1" t="s">
        <v>1475</v>
      </c>
      <c r="I722" t="s">
        <v>1855</v>
      </c>
      <c r="J722" s="1" t="s">
        <v>1548</v>
      </c>
      <c r="K722" s="1" t="s">
        <v>1606</v>
      </c>
      <c r="L722" s="1" t="s">
        <v>1718</v>
      </c>
      <c r="M722" s="1" t="s">
        <v>1735</v>
      </c>
      <c r="N722" t="s">
        <v>1981</v>
      </c>
      <c r="O722" t="s">
        <v>2164</v>
      </c>
      <c r="P722" t="s">
        <v>3037</v>
      </c>
      <c r="Q722">
        <v>37.31</v>
      </c>
      <c r="R722" s="1" t="s">
        <v>1839</v>
      </c>
      <c r="S722">
        <v>2539</v>
      </c>
      <c r="T722">
        <v>94730</v>
      </c>
    </row>
    <row r="723" spans="1:20" x14ac:dyDescent="0.4">
      <c r="A723" s="1" t="s">
        <v>202</v>
      </c>
      <c r="B723" s="1" t="s">
        <v>1459</v>
      </c>
      <c r="C723" s="1" t="s">
        <v>1844</v>
      </c>
      <c r="D723" s="1" t="s">
        <v>1846</v>
      </c>
      <c r="E723">
        <v>20251223</v>
      </c>
      <c r="F723" s="1" t="s">
        <v>1469</v>
      </c>
      <c r="G723">
        <v>4</v>
      </c>
      <c r="H723" s="1" t="s">
        <v>1475</v>
      </c>
      <c r="I723" t="s">
        <v>1855</v>
      </c>
      <c r="J723" s="1" t="s">
        <v>1548</v>
      </c>
      <c r="K723" s="1" t="s">
        <v>1606</v>
      </c>
      <c r="L723" s="1" t="s">
        <v>1718</v>
      </c>
      <c r="M723" s="1" t="s">
        <v>1735</v>
      </c>
      <c r="N723" t="s">
        <v>1981</v>
      </c>
      <c r="O723" t="s">
        <v>2164</v>
      </c>
      <c r="P723" t="s">
        <v>3037</v>
      </c>
      <c r="Q723">
        <v>40.04</v>
      </c>
      <c r="R723" s="1" t="s">
        <v>1839</v>
      </c>
      <c r="S723">
        <v>2539</v>
      </c>
      <c r="T723">
        <v>101661</v>
      </c>
    </row>
    <row r="724" spans="1:20" x14ac:dyDescent="0.4">
      <c r="A724" s="1" t="s">
        <v>202</v>
      </c>
      <c r="B724" s="1" t="s">
        <v>1460</v>
      </c>
      <c r="C724" s="1" t="s">
        <v>1844</v>
      </c>
      <c r="D724" s="1" t="s">
        <v>1846</v>
      </c>
      <c r="E724">
        <v>20251223</v>
      </c>
      <c r="F724" s="1" t="s">
        <v>1469</v>
      </c>
      <c r="G724">
        <v>4</v>
      </c>
      <c r="H724" s="1" t="s">
        <v>1475</v>
      </c>
      <c r="I724" t="s">
        <v>1855</v>
      </c>
      <c r="J724" s="1" t="s">
        <v>1548</v>
      </c>
      <c r="K724" s="1" t="s">
        <v>1606</v>
      </c>
      <c r="L724" s="1" t="s">
        <v>1718</v>
      </c>
      <c r="M724" s="1" t="s">
        <v>1735</v>
      </c>
      <c r="N724" t="s">
        <v>1981</v>
      </c>
      <c r="O724" t="s">
        <v>2164</v>
      </c>
      <c r="P724" t="s">
        <v>3037</v>
      </c>
      <c r="Q724">
        <v>43.49</v>
      </c>
      <c r="R724" s="1" t="s">
        <v>1839</v>
      </c>
      <c r="S724">
        <v>2539</v>
      </c>
      <c r="T724">
        <v>110421</v>
      </c>
    </row>
    <row r="725" spans="1:20" x14ac:dyDescent="0.4">
      <c r="A725" s="1" t="s">
        <v>203</v>
      </c>
      <c r="B725" s="1" t="s">
        <v>1453</v>
      </c>
      <c r="C725" s="1" t="s">
        <v>1844</v>
      </c>
      <c r="D725" s="1" t="s">
        <v>1731</v>
      </c>
      <c r="E725">
        <v>20251223</v>
      </c>
      <c r="F725" s="1" t="s">
        <v>1469</v>
      </c>
      <c r="G725">
        <v>4</v>
      </c>
      <c r="H725" s="1" t="s">
        <v>1475</v>
      </c>
      <c r="I725" t="s">
        <v>1855</v>
      </c>
      <c r="J725" s="1" t="s">
        <v>1545</v>
      </c>
      <c r="K725" s="1" t="s">
        <v>1590</v>
      </c>
      <c r="L725" s="1" t="s">
        <v>1719</v>
      </c>
      <c r="M725" s="1" t="s">
        <v>1739</v>
      </c>
      <c r="N725" t="s">
        <v>1965</v>
      </c>
      <c r="O725" t="s">
        <v>2165</v>
      </c>
      <c r="P725" t="s">
        <v>3097</v>
      </c>
      <c r="Q725">
        <v>979.44</v>
      </c>
      <c r="R725" s="1" t="s">
        <v>1839</v>
      </c>
      <c r="S725">
        <v>4637</v>
      </c>
      <c r="T725">
        <v>4541663</v>
      </c>
    </row>
    <row r="726" spans="1:20" x14ac:dyDescent="0.4">
      <c r="A726" s="1" t="s">
        <v>204</v>
      </c>
      <c r="B726" s="1" t="s">
        <v>1453</v>
      </c>
      <c r="C726" s="1" t="s">
        <v>1844</v>
      </c>
      <c r="D726" s="1" t="s">
        <v>1731</v>
      </c>
      <c r="E726">
        <v>20251223</v>
      </c>
      <c r="F726" s="1" t="s">
        <v>1469</v>
      </c>
      <c r="G726">
        <v>4</v>
      </c>
      <c r="H726" s="1" t="s">
        <v>1475</v>
      </c>
      <c r="I726" t="s">
        <v>1855</v>
      </c>
      <c r="J726" s="1" t="s">
        <v>1545</v>
      </c>
      <c r="K726" s="1" t="s">
        <v>1613</v>
      </c>
      <c r="L726" s="1" t="s">
        <v>1719</v>
      </c>
      <c r="M726" s="1" t="s">
        <v>1739</v>
      </c>
      <c r="N726" t="s">
        <v>1987</v>
      </c>
      <c r="O726" t="s">
        <v>2165</v>
      </c>
      <c r="P726" t="s">
        <v>3097</v>
      </c>
      <c r="Q726">
        <v>121.89</v>
      </c>
      <c r="R726" s="1" t="s">
        <v>1839</v>
      </c>
      <c r="S726">
        <v>5281</v>
      </c>
      <c r="T726">
        <v>643701</v>
      </c>
    </row>
    <row r="727" spans="1:20" x14ac:dyDescent="0.4">
      <c r="A727" s="1" t="s">
        <v>205</v>
      </c>
      <c r="B727" s="1" t="s">
        <v>1453</v>
      </c>
      <c r="C727" s="1" t="s">
        <v>1844</v>
      </c>
      <c r="D727" s="1" t="s">
        <v>1731</v>
      </c>
      <c r="E727">
        <v>20251219</v>
      </c>
      <c r="F727" s="1" t="s">
        <v>1469</v>
      </c>
      <c r="G727">
        <v>4</v>
      </c>
      <c r="H727" s="1" t="s">
        <v>1475</v>
      </c>
      <c r="I727" t="s">
        <v>1855</v>
      </c>
      <c r="J727" s="1" t="s">
        <v>1546</v>
      </c>
      <c r="K727" s="1" t="s">
        <v>1614</v>
      </c>
      <c r="L727" s="1" t="s">
        <v>1723</v>
      </c>
      <c r="M727" s="1" t="s">
        <v>1737</v>
      </c>
      <c r="N727" t="s">
        <v>1988</v>
      </c>
      <c r="O727" t="s">
        <v>2169</v>
      </c>
      <c r="P727" t="s">
        <v>3098</v>
      </c>
      <c r="Q727">
        <v>32.18</v>
      </c>
      <c r="R727" s="1" t="s">
        <v>1840</v>
      </c>
      <c r="S727">
        <v>450</v>
      </c>
      <c r="T727">
        <v>14481</v>
      </c>
    </row>
    <row r="728" spans="1:20" x14ac:dyDescent="0.4">
      <c r="A728" s="1" t="s">
        <v>206</v>
      </c>
      <c r="B728" s="1" t="s">
        <v>1453</v>
      </c>
      <c r="C728" s="1" t="s">
        <v>1844</v>
      </c>
      <c r="D728" s="1" t="s">
        <v>1846</v>
      </c>
      <c r="E728">
        <v>20251224</v>
      </c>
      <c r="F728" s="1" t="s">
        <v>1469</v>
      </c>
      <c r="G728">
        <v>4</v>
      </c>
      <c r="H728" s="1" t="s">
        <v>1475</v>
      </c>
      <c r="I728" t="s">
        <v>1855</v>
      </c>
      <c r="J728" s="1" t="s">
        <v>1544</v>
      </c>
      <c r="K728" s="1" t="s">
        <v>1615</v>
      </c>
      <c r="L728" s="1" t="s">
        <v>1718</v>
      </c>
      <c r="M728" s="1" t="s">
        <v>1773</v>
      </c>
      <c r="N728" t="s">
        <v>1989</v>
      </c>
      <c r="O728" t="s">
        <v>2164</v>
      </c>
      <c r="P728" t="s">
        <v>3099</v>
      </c>
      <c r="Q728">
        <v>70.61</v>
      </c>
      <c r="R728" s="1" t="s">
        <v>1839</v>
      </c>
      <c r="S728">
        <v>2248</v>
      </c>
      <c r="T728">
        <v>158731</v>
      </c>
    </row>
    <row r="729" spans="1:20" x14ac:dyDescent="0.4">
      <c r="A729" s="1" t="s">
        <v>206</v>
      </c>
      <c r="B729" s="1" t="s">
        <v>1454</v>
      </c>
      <c r="C729" s="1" t="s">
        <v>1844</v>
      </c>
      <c r="D729" s="1" t="s">
        <v>1846</v>
      </c>
      <c r="E729">
        <v>20251224</v>
      </c>
      <c r="F729" s="1" t="s">
        <v>1469</v>
      </c>
      <c r="G729">
        <v>4</v>
      </c>
      <c r="H729" s="1" t="s">
        <v>1475</v>
      </c>
      <c r="I729" t="s">
        <v>1855</v>
      </c>
      <c r="J729" s="1" t="s">
        <v>1544</v>
      </c>
      <c r="K729" s="1" t="s">
        <v>1615</v>
      </c>
      <c r="L729" s="1" t="s">
        <v>1718</v>
      </c>
      <c r="M729" s="1" t="s">
        <v>1773</v>
      </c>
      <c r="N729" t="s">
        <v>1989</v>
      </c>
      <c r="O729" t="s">
        <v>2164</v>
      </c>
      <c r="P729" t="s">
        <v>3099</v>
      </c>
      <c r="Q729">
        <v>127.4</v>
      </c>
      <c r="R729" s="1" t="s">
        <v>1839</v>
      </c>
      <c r="S729">
        <v>2248</v>
      </c>
      <c r="T729">
        <v>286395</v>
      </c>
    </row>
    <row r="730" spans="1:20" x14ac:dyDescent="0.4">
      <c r="A730" s="1" t="s">
        <v>206</v>
      </c>
      <c r="B730" s="1" t="s">
        <v>1455</v>
      </c>
      <c r="C730" s="1" t="s">
        <v>1844</v>
      </c>
      <c r="D730" s="1" t="s">
        <v>1846</v>
      </c>
      <c r="E730">
        <v>20251224</v>
      </c>
      <c r="F730" s="1" t="s">
        <v>1469</v>
      </c>
      <c r="G730">
        <v>4</v>
      </c>
      <c r="H730" s="1" t="s">
        <v>1475</v>
      </c>
      <c r="I730" t="s">
        <v>1855</v>
      </c>
      <c r="J730" s="1" t="s">
        <v>1544</v>
      </c>
      <c r="K730" s="1" t="s">
        <v>1615</v>
      </c>
      <c r="L730" s="1" t="s">
        <v>1718</v>
      </c>
      <c r="M730" s="1" t="s">
        <v>1773</v>
      </c>
      <c r="N730" t="s">
        <v>1989</v>
      </c>
      <c r="O730" t="s">
        <v>2164</v>
      </c>
      <c r="P730" t="s">
        <v>3099</v>
      </c>
      <c r="Q730">
        <v>127.4</v>
      </c>
      <c r="R730" s="1" t="s">
        <v>1839</v>
      </c>
      <c r="S730">
        <v>2248</v>
      </c>
      <c r="T730">
        <v>286395</v>
      </c>
    </row>
    <row r="731" spans="1:20" x14ac:dyDescent="0.4">
      <c r="A731" s="1" t="s">
        <v>206</v>
      </c>
      <c r="B731" s="1" t="s">
        <v>1456</v>
      </c>
      <c r="C731" s="1" t="s">
        <v>1844</v>
      </c>
      <c r="D731" s="1" t="s">
        <v>1846</v>
      </c>
      <c r="E731">
        <v>20251224</v>
      </c>
      <c r="F731" s="1" t="s">
        <v>1469</v>
      </c>
      <c r="G731">
        <v>4</v>
      </c>
      <c r="H731" s="1" t="s">
        <v>1475</v>
      </c>
      <c r="I731" t="s">
        <v>1855</v>
      </c>
      <c r="J731" s="1" t="s">
        <v>1544</v>
      </c>
      <c r="K731" s="1" t="s">
        <v>1615</v>
      </c>
      <c r="L731" s="1" t="s">
        <v>1718</v>
      </c>
      <c r="M731" s="1" t="s">
        <v>1773</v>
      </c>
      <c r="N731" t="s">
        <v>1989</v>
      </c>
      <c r="O731" t="s">
        <v>2164</v>
      </c>
      <c r="P731" t="s">
        <v>3099</v>
      </c>
      <c r="Q731">
        <v>127.4</v>
      </c>
      <c r="R731" s="1" t="s">
        <v>1839</v>
      </c>
      <c r="S731">
        <v>2248</v>
      </c>
      <c r="T731">
        <v>286395</v>
      </c>
    </row>
    <row r="732" spans="1:20" x14ac:dyDescent="0.4">
      <c r="A732" s="1" t="s">
        <v>206</v>
      </c>
      <c r="B732" s="1" t="s">
        <v>1457</v>
      </c>
      <c r="C732" s="1" t="s">
        <v>1844</v>
      </c>
      <c r="D732" s="1" t="s">
        <v>1846</v>
      </c>
      <c r="E732">
        <v>20251224</v>
      </c>
      <c r="F732" s="1" t="s">
        <v>1469</v>
      </c>
      <c r="G732">
        <v>4</v>
      </c>
      <c r="H732" s="1" t="s">
        <v>1475</v>
      </c>
      <c r="I732" t="s">
        <v>1855</v>
      </c>
      <c r="J732" s="1" t="s">
        <v>1544</v>
      </c>
      <c r="K732" s="1" t="s">
        <v>1615</v>
      </c>
      <c r="L732" s="1" t="s">
        <v>1718</v>
      </c>
      <c r="M732" s="1" t="s">
        <v>1773</v>
      </c>
      <c r="N732" t="s">
        <v>1989</v>
      </c>
      <c r="O732" t="s">
        <v>2164</v>
      </c>
      <c r="P732" t="s">
        <v>3099</v>
      </c>
      <c r="Q732">
        <v>123.76</v>
      </c>
      <c r="R732" s="1" t="s">
        <v>1839</v>
      </c>
      <c r="S732">
        <v>2248</v>
      </c>
      <c r="T732">
        <v>278212</v>
      </c>
    </row>
    <row r="733" spans="1:20" x14ac:dyDescent="0.4">
      <c r="A733" s="1" t="s">
        <v>206</v>
      </c>
      <c r="B733" s="1" t="s">
        <v>1458</v>
      </c>
      <c r="C733" s="1" t="s">
        <v>1844</v>
      </c>
      <c r="D733" s="1" t="s">
        <v>1846</v>
      </c>
      <c r="E733">
        <v>20251224</v>
      </c>
      <c r="F733" s="1" t="s">
        <v>1469</v>
      </c>
      <c r="G733">
        <v>4</v>
      </c>
      <c r="H733" s="1" t="s">
        <v>1475</v>
      </c>
      <c r="I733" t="s">
        <v>1855</v>
      </c>
      <c r="J733" s="1" t="s">
        <v>1544</v>
      </c>
      <c r="K733" s="1" t="s">
        <v>1615</v>
      </c>
      <c r="L733" s="1" t="s">
        <v>1718</v>
      </c>
      <c r="M733" s="1" t="s">
        <v>1773</v>
      </c>
      <c r="N733" t="s">
        <v>1989</v>
      </c>
      <c r="O733" t="s">
        <v>2164</v>
      </c>
      <c r="P733" t="s">
        <v>3099</v>
      </c>
      <c r="Q733">
        <v>121.21</v>
      </c>
      <c r="R733" s="1" t="s">
        <v>1839</v>
      </c>
      <c r="S733">
        <v>2248</v>
      </c>
      <c r="T733">
        <v>272480</v>
      </c>
    </row>
    <row r="734" spans="1:20" x14ac:dyDescent="0.4">
      <c r="A734" s="1" t="s">
        <v>206</v>
      </c>
      <c r="B734" s="1" t="s">
        <v>1459</v>
      </c>
      <c r="C734" s="1" t="s">
        <v>1844</v>
      </c>
      <c r="D734" s="1" t="s">
        <v>1846</v>
      </c>
      <c r="E734">
        <v>20251224</v>
      </c>
      <c r="F734" s="1" t="s">
        <v>1469</v>
      </c>
      <c r="G734">
        <v>4</v>
      </c>
      <c r="H734" s="1" t="s">
        <v>1475</v>
      </c>
      <c r="I734" t="s">
        <v>1855</v>
      </c>
      <c r="J734" s="1" t="s">
        <v>1544</v>
      </c>
      <c r="K734" s="1" t="s">
        <v>1615</v>
      </c>
      <c r="L734" s="1" t="s">
        <v>1718</v>
      </c>
      <c r="M734" s="1" t="s">
        <v>1773</v>
      </c>
      <c r="N734" t="s">
        <v>1989</v>
      </c>
      <c r="O734" t="s">
        <v>2164</v>
      </c>
      <c r="P734" t="s">
        <v>3099</v>
      </c>
      <c r="Q734">
        <v>109.2</v>
      </c>
      <c r="R734" s="1" t="s">
        <v>1839</v>
      </c>
      <c r="S734">
        <v>2248</v>
      </c>
      <c r="T734">
        <v>245481</v>
      </c>
    </row>
    <row r="735" spans="1:20" x14ac:dyDescent="0.4">
      <c r="A735" s="1" t="s">
        <v>206</v>
      </c>
      <c r="B735" s="1" t="s">
        <v>1460</v>
      </c>
      <c r="C735" s="1" t="s">
        <v>1844</v>
      </c>
      <c r="D735" s="1" t="s">
        <v>1846</v>
      </c>
      <c r="E735">
        <v>20251224</v>
      </c>
      <c r="F735" s="1" t="s">
        <v>1469</v>
      </c>
      <c r="G735">
        <v>4</v>
      </c>
      <c r="H735" s="1" t="s">
        <v>1475</v>
      </c>
      <c r="I735" t="s">
        <v>1855</v>
      </c>
      <c r="J735" s="1" t="s">
        <v>1544</v>
      </c>
      <c r="K735" s="1" t="s">
        <v>1615</v>
      </c>
      <c r="L735" s="1" t="s">
        <v>1718</v>
      </c>
      <c r="M735" s="1" t="s">
        <v>1773</v>
      </c>
      <c r="N735" t="s">
        <v>1989</v>
      </c>
      <c r="O735" t="s">
        <v>2164</v>
      </c>
      <c r="P735" t="s">
        <v>3099</v>
      </c>
      <c r="Q735">
        <v>110.29</v>
      </c>
      <c r="R735" s="1" t="s">
        <v>1839</v>
      </c>
      <c r="S735">
        <v>2248</v>
      </c>
      <c r="T735">
        <v>247931</v>
      </c>
    </row>
    <row r="736" spans="1:20" x14ac:dyDescent="0.4">
      <c r="A736" s="1" t="s">
        <v>206</v>
      </c>
      <c r="B736" s="1" t="s">
        <v>1461</v>
      </c>
      <c r="C736" s="1" t="s">
        <v>1844</v>
      </c>
      <c r="D736" s="1" t="s">
        <v>1846</v>
      </c>
      <c r="E736">
        <v>20251224</v>
      </c>
      <c r="F736" s="1" t="s">
        <v>1469</v>
      </c>
      <c r="G736">
        <v>4</v>
      </c>
      <c r="H736" s="1" t="s">
        <v>1475</v>
      </c>
      <c r="I736" t="s">
        <v>1855</v>
      </c>
      <c r="J736" s="1" t="s">
        <v>1544</v>
      </c>
      <c r="K736" s="1" t="s">
        <v>1615</v>
      </c>
      <c r="L736" s="1" t="s">
        <v>1718</v>
      </c>
      <c r="M736" s="1" t="s">
        <v>1773</v>
      </c>
      <c r="N736" t="s">
        <v>1989</v>
      </c>
      <c r="O736" t="s">
        <v>2164</v>
      </c>
      <c r="P736" t="s">
        <v>3099</v>
      </c>
      <c r="Q736">
        <v>109.2</v>
      </c>
      <c r="R736" s="1" t="s">
        <v>1839</v>
      </c>
      <c r="S736">
        <v>2248</v>
      </c>
      <c r="T736">
        <v>245481</v>
      </c>
    </row>
    <row r="737" spans="1:20" x14ac:dyDescent="0.4">
      <c r="A737" s="1" t="s">
        <v>206</v>
      </c>
      <c r="B737" s="1" t="s">
        <v>1462</v>
      </c>
      <c r="C737" s="1" t="s">
        <v>1844</v>
      </c>
      <c r="D737" s="1" t="s">
        <v>1846</v>
      </c>
      <c r="E737">
        <v>20251224</v>
      </c>
      <c r="F737" s="1" t="s">
        <v>1469</v>
      </c>
      <c r="G737">
        <v>4</v>
      </c>
      <c r="H737" s="1" t="s">
        <v>1475</v>
      </c>
      <c r="I737" t="s">
        <v>1855</v>
      </c>
      <c r="J737" s="1" t="s">
        <v>1544</v>
      </c>
      <c r="K737" s="1" t="s">
        <v>1615</v>
      </c>
      <c r="L737" s="1" t="s">
        <v>1718</v>
      </c>
      <c r="M737" s="1" t="s">
        <v>1773</v>
      </c>
      <c r="N737" t="s">
        <v>1989</v>
      </c>
      <c r="O737" t="s">
        <v>2164</v>
      </c>
      <c r="P737" t="s">
        <v>3099</v>
      </c>
      <c r="Q737">
        <v>109.2</v>
      </c>
      <c r="R737" s="1" t="s">
        <v>1839</v>
      </c>
      <c r="S737">
        <v>2248</v>
      </c>
      <c r="T737">
        <v>245481</v>
      </c>
    </row>
    <row r="738" spans="1:20" x14ac:dyDescent="0.4">
      <c r="A738" s="1" t="s">
        <v>207</v>
      </c>
      <c r="B738" s="1" t="s">
        <v>1453</v>
      </c>
      <c r="C738" s="1" t="s">
        <v>1844</v>
      </c>
      <c r="D738" s="1" t="s">
        <v>1731</v>
      </c>
      <c r="E738">
        <v>20251224</v>
      </c>
      <c r="F738" s="1" t="s">
        <v>1469</v>
      </c>
      <c r="G738">
        <v>4</v>
      </c>
      <c r="H738" s="1" t="s">
        <v>1475</v>
      </c>
      <c r="I738" t="s">
        <v>1855</v>
      </c>
      <c r="J738" s="1" t="s">
        <v>1545</v>
      </c>
      <c r="K738" s="1" t="s">
        <v>1616</v>
      </c>
      <c r="L738" s="1" t="s">
        <v>1719</v>
      </c>
      <c r="M738" s="1" t="s">
        <v>1761</v>
      </c>
      <c r="N738" t="s">
        <v>1990</v>
      </c>
      <c r="O738" t="s">
        <v>2165</v>
      </c>
      <c r="P738" t="s">
        <v>3100</v>
      </c>
      <c r="Q738">
        <v>463.2</v>
      </c>
      <c r="R738" s="1" t="s">
        <v>1839</v>
      </c>
      <c r="S738">
        <v>2933</v>
      </c>
      <c r="T738">
        <v>1358565</v>
      </c>
    </row>
    <row r="739" spans="1:20" x14ac:dyDescent="0.4">
      <c r="A739" s="1" t="s">
        <v>208</v>
      </c>
      <c r="B739" s="1" t="s">
        <v>1453</v>
      </c>
      <c r="C739" s="1" t="s">
        <v>1844</v>
      </c>
      <c r="D739" s="1" t="s">
        <v>1846</v>
      </c>
      <c r="E739">
        <v>20251224</v>
      </c>
      <c r="F739" s="1" t="s">
        <v>1469</v>
      </c>
      <c r="G739">
        <v>4</v>
      </c>
      <c r="H739" s="1" t="s">
        <v>1475</v>
      </c>
      <c r="I739" t="s">
        <v>1855</v>
      </c>
      <c r="J739" s="1" t="s">
        <v>1544</v>
      </c>
      <c r="K739" s="1" t="s">
        <v>1615</v>
      </c>
      <c r="L739" s="1" t="s">
        <v>1718</v>
      </c>
      <c r="M739" s="1" t="s">
        <v>1773</v>
      </c>
      <c r="N739" t="s">
        <v>1989</v>
      </c>
      <c r="O739" t="s">
        <v>2164</v>
      </c>
      <c r="P739" t="s">
        <v>3099</v>
      </c>
      <c r="Q739">
        <v>109.2</v>
      </c>
      <c r="R739" s="1" t="s">
        <v>1839</v>
      </c>
      <c r="S739">
        <v>2248</v>
      </c>
      <c r="T739">
        <v>245481</v>
      </c>
    </row>
    <row r="740" spans="1:20" x14ac:dyDescent="0.4">
      <c r="A740" s="1" t="s">
        <v>208</v>
      </c>
      <c r="B740" s="1" t="s">
        <v>1454</v>
      </c>
      <c r="C740" s="1" t="s">
        <v>1844</v>
      </c>
      <c r="D740" s="1" t="s">
        <v>1846</v>
      </c>
      <c r="E740">
        <v>20251224</v>
      </c>
      <c r="F740" s="1" t="s">
        <v>1469</v>
      </c>
      <c r="G740">
        <v>4</v>
      </c>
      <c r="H740" s="1" t="s">
        <v>1475</v>
      </c>
      <c r="I740" t="s">
        <v>1855</v>
      </c>
      <c r="J740" s="1" t="s">
        <v>1544</v>
      </c>
      <c r="K740" s="1" t="s">
        <v>1615</v>
      </c>
      <c r="L740" s="1" t="s">
        <v>1718</v>
      </c>
      <c r="M740" s="1" t="s">
        <v>1773</v>
      </c>
      <c r="N740" t="s">
        <v>1989</v>
      </c>
      <c r="O740" t="s">
        <v>2164</v>
      </c>
      <c r="P740" t="s">
        <v>3099</v>
      </c>
      <c r="Q740">
        <v>114.66</v>
      </c>
      <c r="R740" s="1" t="s">
        <v>1839</v>
      </c>
      <c r="S740">
        <v>2248</v>
      </c>
      <c r="T740">
        <v>257755</v>
      </c>
    </row>
    <row r="741" spans="1:20" x14ac:dyDescent="0.4">
      <c r="A741" s="1" t="s">
        <v>209</v>
      </c>
      <c r="B741" s="1" t="s">
        <v>1453</v>
      </c>
      <c r="C741" s="1" t="s">
        <v>1844</v>
      </c>
      <c r="D741" s="1" t="s">
        <v>1846</v>
      </c>
      <c r="E741">
        <v>20251225</v>
      </c>
      <c r="F741" s="1" t="s">
        <v>1469</v>
      </c>
      <c r="G741">
        <v>4</v>
      </c>
      <c r="H741" s="1" t="s">
        <v>1475</v>
      </c>
      <c r="I741" t="s">
        <v>1855</v>
      </c>
      <c r="J741" s="1" t="s">
        <v>1544</v>
      </c>
      <c r="K741" s="1" t="s">
        <v>1615</v>
      </c>
      <c r="L741" s="1" t="s">
        <v>1718</v>
      </c>
      <c r="M741" s="1" t="s">
        <v>1773</v>
      </c>
      <c r="N741" t="s">
        <v>1989</v>
      </c>
      <c r="O741" t="s">
        <v>2164</v>
      </c>
      <c r="P741" t="s">
        <v>3099</v>
      </c>
      <c r="Q741">
        <v>109.2</v>
      </c>
      <c r="R741" s="1" t="s">
        <v>1839</v>
      </c>
      <c r="S741">
        <v>2248</v>
      </c>
      <c r="T741">
        <v>245481</v>
      </c>
    </row>
    <row r="742" spans="1:20" x14ac:dyDescent="0.4">
      <c r="A742" s="1" t="s">
        <v>209</v>
      </c>
      <c r="B742" s="1" t="s">
        <v>1454</v>
      </c>
      <c r="C742" s="1" t="s">
        <v>1844</v>
      </c>
      <c r="D742" s="1" t="s">
        <v>1846</v>
      </c>
      <c r="E742">
        <v>20251225</v>
      </c>
      <c r="F742" s="1" t="s">
        <v>1469</v>
      </c>
      <c r="G742">
        <v>4</v>
      </c>
      <c r="H742" s="1" t="s">
        <v>1475</v>
      </c>
      <c r="I742" t="s">
        <v>1855</v>
      </c>
      <c r="J742" s="1" t="s">
        <v>1544</v>
      </c>
      <c r="K742" s="1" t="s">
        <v>1615</v>
      </c>
      <c r="L742" s="1" t="s">
        <v>1718</v>
      </c>
      <c r="M742" s="1" t="s">
        <v>1773</v>
      </c>
      <c r="N742" t="s">
        <v>1989</v>
      </c>
      <c r="O742" t="s">
        <v>2164</v>
      </c>
      <c r="P742" t="s">
        <v>3099</v>
      </c>
      <c r="Q742">
        <v>109.2</v>
      </c>
      <c r="R742" s="1" t="s">
        <v>1839</v>
      </c>
      <c r="S742">
        <v>2248</v>
      </c>
      <c r="T742">
        <v>245481</v>
      </c>
    </row>
    <row r="743" spans="1:20" x14ac:dyDescent="0.4">
      <c r="A743" s="1" t="s">
        <v>209</v>
      </c>
      <c r="B743" s="1" t="s">
        <v>1455</v>
      </c>
      <c r="C743" s="1" t="s">
        <v>1844</v>
      </c>
      <c r="D743" s="1" t="s">
        <v>1846</v>
      </c>
      <c r="E743">
        <v>20251225</v>
      </c>
      <c r="F743" s="1" t="s">
        <v>1469</v>
      </c>
      <c r="G743">
        <v>4</v>
      </c>
      <c r="H743" s="1" t="s">
        <v>1475</v>
      </c>
      <c r="I743" t="s">
        <v>1855</v>
      </c>
      <c r="J743" s="1" t="s">
        <v>1544</v>
      </c>
      <c r="K743" s="1" t="s">
        <v>1615</v>
      </c>
      <c r="L743" s="1" t="s">
        <v>1718</v>
      </c>
      <c r="M743" s="1" t="s">
        <v>1773</v>
      </c>
      <c r="N743" t="s">
        <v>1989</v>
      </c>
      <c r="O743" t="s">
        <v>2164</v>
      </c>
      <c r="P743" t="s">
        <v>3099</v>
      </c>
      <c r="Q743">
        <v>106.65</v>
      </c>
      <c r="R743" s="1" t="s">
        <v>1839</v>
      </c>
      <c r="S743">
        <v>2248</v>
      </c>
      <c r="T743">
        <v>239749</v>
      </c>
    </row>
    <row r="744" spans="1:20" x14ac:dyDescent="0.4">
      <c r="A744" s="1" t="s">
        <v>209</v>
      </c>
      <c r="B744" s="1" t="s">
        <v>1456</v>
      </c>
      <c r="C744" s="1" t="s">
        <v>1844</v>
      </c>
      <c r="D744" s="1" t="s">
        <v>1846</v>
      </c>
      <c r="E744">
        <v>20251225</v>
      </c>
      <c r="F744" s="1" t="s">
        <v>1469</v>
      </c>
      <c r="G744">
        <v>4</v>
      </c>
      <c r="H744" s="1" t="s">
        <v>1475</v>
      </c>
      <c r="I744" t="s">
        <v>1855</v>
      </c>
      <c r="J744" s="1" t="s">
        <v>1544</v>
      </c>
      <c r="K744" s="1" t="s">
        <v>1615</v>
      </c>
      <c r="L744" s="1" t="s">
        <v>1718</v>
      </c>
      <c r="M744" s="1" t="s">
        <v>1773</v>
      </c>
      <c r="N744" t="s">
        <v>1989</v>
      </c>
      <c r="O744" t="s">
        <v>2164</v>
      </c>
      <c r="P744" t="s">
        <v>3099</v>
      </c>
      <c r="Q744">
        <v>98.28</v>
      </c>
      <c r="R744" s="1" t="s">
        <v>1839</v>
      </c>
      <c r="S744">
        <v>2248</v>
      </c>
      <c r="T744">
        <v>220933</v>
      </c>
    </row>
    <row r="745" spans="1:20" x14ac:dyDescent="0.4">
      <c r="A745" s="1" t="s">
        <v>209</v>
      </c>
      <c r="B745" s="1" t="s">
        <v>1457</v>
      </c>
      <c r="C745" s="1" t="s">
        <v>1844</v>
      </c>
      <c r="D745" s="1" t="s">
        <v>1846</v>
      </c>
      <c r="E745">
        <v>20251225</v>
      </c>
      <c r="F745" s="1" t="s">
        <v>1469</v>
      </c>
      <c r="G745">
        <v>4</v>
      </c>
      <c r="H745" s="1" t="s">
        <v>1475</v>
      </c>
      <c r="I745" t="s">
        <v>1855</v>
      </c>
      <c r="J745" s="1" t="s">
        <v>1544</v>
      </c>
      <c r="K745" s="1" t="s">
        <v>1615</v>
      </c>
      <c r="L745" s="1" t="s">
        <v>1718</v>
      </c>
      <c r="M745" s="1" t="s">
        <v>1773</v>
      </c>
      <c r="N745" t="s">
        <v>1989</v>
      </c>
      <c r="O745" t="s">
        <v>2164</v>
      </c>
      <c r="P745" t="s">
        <v>3099</v>
      </c>
      <c r="Q745">
        <v>98.28</v>
      </c>
      <c r="R745" s="1" t="s">
        <v>1839</v>
      </c>
      <c r="S745">
        <v>2248</v>
      </c>
      <c r="T745">
        <v>220933</v>
      </c>
    </row>
    <row r="746" spans="1:20" x14ac:dyDescent="0.4">
      <c r="A746" s="1" t="s">
        <v>209</v>
      </c>
      <c r="B746" s="1" t="s">
        <v>1458</v>
      </c>
      <c r="C746" s="1" t="s">
        <v>1844</v>
      </c>
      <c r="D746" s="1" t="s">
        <v>1846</v>
      </c>
      <c r="E746">
        <v>20251225</v>
      </c>
      <c r="F746" s="1" t="s">
        <v>1469</v>
      </c>
      <c r="G746">
        <v>4</v>
      </c>
      <c r="H746" s="1" t="s">
        <v>1475</v>
      </c>
      <c r="I746" t="s">
        <v>1855</v>
      </c>
      <c r="J746" s="1" t="s">
        <v>1544</v>
      </c>
      <c r="K746" s="1" t="s">
        <v>1615</v>
      </c>
      <c r="L746" s="1" t="s">
        <v>1718</v>
      </c>
      <c r="M746" s="1" t="s">
        <v>1773</v>
      </c>
      <c r="N746" t="s">
        <v>1989</v>
      </c>
      <c r="O746" t="s">
        <v>2164</v>
      </c>
      <c r="P746" t="s">
        <v>3099</v>
      </c>
      <c r="Q746">
        <v>96.82</v>
      </c>
      <c r="R746" s="1" t="s">
        <v>1839</v>
      </c>
      <c r="S746">
        <v>2248</v>
      </c>
      <c r="T746">
        <v>217651</v>
      </c>
    </row>
    <row r="747" spans="1:20" x14ac:dyDescent="0.4">
      <c r="A747" s="1" t="s">
        <v>210</v>
      </c>
      <c r="B747" s="1" t="s">
        <v>1453</v>
      </c>
      <c r="C747" s="1" t="s">
        <v>1844</v>
      </c>
      <c r="D747" s="1" t="s">
        <v>1846</v>
      </c>
      <c r="E747">
        <v>20251225</v>
      </c>
      <c r="F747" s="1" t="s">
        <v>1469</v>
      </c>
      <c r="G747">
        <v>4</v>
      </c>
      <c r="H747" s="1" t="s">
        <v>1475</v>
      </c>
      <c r="I747" t="s">
        <v>1855</v>
      </c>
      <c r="J747" s="1" t="s">
        <v>1544</v>
      </c>
      <c r="K747" s="1" t="s">
        <v>1601</v>
      </c>
      <c r="L747" s="1" t="s">
        <v>1718</v>
      </c>
      <c r="M747" s="1" t="s">
        <v>1763</v>
      </c>
      <c r="N747" t="s">
        <v>1976</v>
      </c>
      <c r="O747" t="s">
        <v>2164</v>
      </c>
      <c r="P747" t="s">
        <v>3101</v>
      </c>
      <c r="Q747">
        <v>127.4</v>
      </c>
      <c r="R747" s="1" t="s">
        <v>1839</v>
      </c>
      <c r="S747">
        <v>857</v>
      </c>
      <c r="T747">
        <v>109181</v>
      </c>
    </row>
    <row r="748" spans="1:20" x14ac:dyDescent="0.4">
      <c r="A748" s="1" t="s">
        <v>210</v>
      </c>
      <c r="B748" s="1" t="s">
        <v>1454</v>
      </c>
      <c r="C748" s="1" t="s">
        <v>1844</v>
      </c>
      <c r="D748" s="1" t="s">
        <v>1846</v>
      </c>
      <c r="E748">
        <v>20251225</v>
      </c>
      <c r="F748" s="1" t="s">
        <v>1469</v>
      </c>
      <c r="G748">
        <v>4</v>
      </c>
      <c r="H748" s="1" t="s">
        <v>1475</v>
      </c>
      <c r="I748" t="s">
        <v>1855</v>
      </c>
      <c r="J748" s="1" t="s">
        <v>1544</v>
      </c>
      <c r="K748" s="1" t="s">
        <v>1601</v>
      </c>
      <c r="L748" s="1" t="s">
        <v>1718</v>
      </c>
      <c r="M748" s="1" t="s">
        <v>1763</v>
      </c>
      <c r="N748" t="s">
        <v>1976</v>
      </c>
      <c r="O748" t="s">
        <v>2164</v>
      </c>
      <c r="P748" t="s">
        <v>3101</v>
      </c>
      <c r="Q748">
        <v>124.48</v>
      </c>
      <c r="R748" s="1" t="s">
        <v>1839</v>
      </c>
      <c r="S748">
        <v>857</v>
      </c>
      <c r="T748">
        <v>106679</v>
      </c>
    </row>
    <row r="749" spans="1:20" x14ac:dyDescent="0.4">
      <c r="A749" s="1" t="s">
        <v>210</v>
      </c>
      <c r="B749" s="1" t="s">
        <v>1455</v>
      </c>
      <c r="C749" s="1" t="s">
        <v>1844</v>
      </c>
      <c r="D749" s="1" t="s">
        <v>1846</v>
      </c>
      <c r="E749">
        <v>20251225</v>
      </c>
      <c r="F749" s="1" t="s">
        <v>1469</v>
      </c>
      <c r="G749">
        <v>4</v>
      </c>
      <c r="H749" s="1" t="s">
        <v>1475</v>
      </c>
      <c r="I749" t="s">
        <v>1855</v>
      </c>
      <c r="J749" s="1" t="s">
        <v>1544</v>
      </c>
      <c r="K749" s="1" t="s">
        <v>1601</v>
      </c>
      <c r="L749" s="1" t="s">
        <v>1718</v>
      </c>
      <c r="M749" s="1" t="s">
        <v>1763</v>
      </c>
      <c r="N749" t="s">
        <v>1976</v>
      </c>
      <c r="O749" t="s">
        <v>2164</v>
      </c>
      <c r="P749" t="s">
        <v>3101</v>
      </c>
      <c r="Q749">
        <v>109.2</v>
      </c>
      <c r="R749" s="1" t="s">
        <v>1839</v>
      </c>
      <c r="S749">
        <v>857</v>
      </c>
      <c r="T749">
        <v>93584</v>
      </c>
    </row>
    <row r="750" spans="1:20" x14ac:dyDescent="0.4">
      <c r="A750" s="1" t="s">
        <v>210</v>
      </c>
      <c r="B750" s="1" t="s">
        <v>1456</v>
      </c>
      <c r="C750" s="1" t="s">
        <v>1844</v>
      </c>
      <c r="D750" s="1" t="s">
        <v>1846</v>
      </c>
      <c r="E750">
        <v>20251225</v>
      </c>
      <c r="F750" s="1" t="s">
        <v>1469</v>
      </c>
      <c r="G750">
        <v>4</v>
      </c>
      <c r="H750" s="1" t="s">
        <v>1475</v>
      </c>
      <c r="I750" t="s">
        <v>1855</v>
      </c>
      <c r="J750" s="1" t="s">
        <v>1544</v>
      </c>
      <c r="K750" s="1" t="s">
        <v>1601</v>
      </c>
      <c r="L750" s="1" t="s">
        <v>1718</v>
      </c>
      <c r="M750" s="1" t="s">
        <v>1763</v>
      </c>
      <c r="N750" t="s">
        <v>1976</v>
      </c>
      <c r="O750" t="s">
        <v>2164</v>
      </c>
      <c r="P750" t="s">
        <v>3101</v>
      </c>
      <c r="Q750">
        <v>109.2</v>
      </c>
      <c r="R750" s="1" t="s">
        <v>1839</v>
      </c>
      <c r="S750">
        <v>857</v>
      </c>
      <c r="T750">
        <v>93584</v>
      </c>
    </row>
    <row r="751" spans="1:20" x14ac:dyDescent="0.4">
      <c r="A751" s="1" t="s">
        <v>210</v>
      </c>
      <c r="B751" s="1" t="s">
        <v>1457</v>
      </c>
      <c r="C751" s="1" t="s">
        <v>1844</v>
      </c>
      <c r="D751" s="1" t="s">
        <v>1846</v>
      </c>
      <c r="E751">
        <v>20251225</v>
      </c>
      <c r="F751" s="1" t="s">
        <v>1469</v>
      </c>
      <c r="G751">
        <v>4</v>
      </c>
      <c r="H751" s="1" t="s">
        <v>1475</v>
      </c>
      <c r="I751" t="s">
        <v>1855</v>
      </c>
      <c r="J751" s="1" t="s">
        <v>1544</v>
      </c>
      <c r="K751" s="1" t="s">
        <v>1601</v>
      </c>
      <c r="L751" s="1" t="s">
        <v>1718</v>
      </c>
      <c r="M751" s="1" t="s">
        <v>1763</v>
      </c>
      <c r="N751" t="s">
        <v>1976</v>
      </c>
      <c r="O751" t="s">
        <v>2164</v>
      </c>
      <c r="P751" t="s">
        <v>3101</v>
      </c>
      <c r="Q751">
        <v>109.2</v>
      </c>
      <c r="R751" s="1" t="s">
        <v>1839</v>
      </c>
      <c r="S751">
        <v>857</v>
      </c>
      <c r="T751">
        <v>93584</v>
      </c>
    </row>
    <row r="752" spans="1:20" x14ac:dyDescent="0.4">
      <c r="A752" s="1" t="s">
        <v>210</v>
      </c>
      <c r="B752" s="1" t="s">
        <v>1458</v>
      </c>
      <c r="C752" s="1" t="s">
        <v>1844</v>
      </c>
      <c r="D752" s="1" t="s">
        <v>1846</v>
      </c>
      <c r="E752">
        <v>20251225</v>
      </c>
      <c r="F752" s="1" t="s">
        <v>1469</v>
      </c>
      <c r="G752">
        <v>4</v>
      </c>
      <c r="H752" s="1" t="s">
        <v>1475</v>
      </c>
      <c r="I752" t="s">
        <v>1855</v>
      </c>
      <c r="J752" s="1" t="s">
        <v>1544</v>
      </c>
      <c r="K752" s="1" t="s">
        <v>1601</v>
      </c>
      <c r="L752" s="1" t="s">
        <v>1718</v>
      </c>
      <c r="M752" s="1" t="s">
        <v>1763</v>
      </c>
      <c r="N752" t="s">
        <v>1976</v>
      </c>
      <c r="O752" t="s">
        <v>2164</v>
      </c>
      <c r="P752" t="s">
        <v>3101</v>
      </c>
      <c r="Q752">
        <v>77.16</v>
      </c>
      <c r="R752" s="1" t="s">
        <v>1839</v>
      </c>
      <c r="S752">
        <v>857</v>
      </c>
      <c r="T752">
        <v>66126</v>
      </c>
    </row>
    <row r="753" spans="1:20" x14ac:dyDescent="0.4">
      <c r="A753" s="1" t="s">
        <v>210</v>
      </c>
      <c r="B753" s="1" t="s">
        <v>1459</v>
      </c>
      <c r="C753" s="1" t="s">
        <v>1844</v>
      </c>
      <c r="D753" s="1" t="s">
        <v>1846</v>
      </c>
      <c r="E753">
        <v>20251225</v>
      </c>
      <c r="F753" s="1" t="s">
        <v>1469</v>
      </c>
      <c r="G753">
        <v>4</v>
      </c>
      <c r="H753" s="1" t="s">
        <v>1475</v>
      </c>
      <c r="I753" t="s">
        <v>1855</v>
      </c>
      <c r="J753" s="1" t="s">
        <v>1544</v>
      </c>
      <c r="K753" s="1" t="s">
        <v>1601</v>
      </c>
      <c r="L753" s="1" t="s">
        <v>1718</v>
      </c>
      <c r="M753" s="1" t="s">
        <v>1763</v>
      </c>
      <c r="N753" t="s">
        <v>1976</v>
      </c>
      <c r="O753" t="s">
        <v>2164</v>
      </c>
      <c r="P753" t="s">
        <v>3101</v>
      </c>
      <c r="Q753">
        <v>109.2</v>
      </c>
      <c r="R753" s="1" t="s">
        <v>1839</v>
      </c>
      <c r="S753">
        <v>857</v>
      </c>
      <c r="T753">
        <v>93584</v>
      </c>
    </row>
    <row r="754" spans="1:20" x14ac:dyDescent="0.4">
      <c r="A754" s="1" t="s">
        <v>210</v>
      </c>
      <c r="B754" s="1" t="s">
        <v>1460</v>
      </c>
      <c r="C754" s="1" t="s">
        <v>1844</v>
      </c>
      <c r="D754" s="1" t="s">
        <v>1846</v>
      </c>
      <c r="E754">
        <v>20251225</v>
      </c>
      <c r="F754" s="1" t="s">
        <v>1469</v>
      </c>
      <c r="G754">
        <v>4</v>
      </c>
      <c r="H754" s="1" t="s">
        <v>1475</v>
      </c>
      <c r="I754" t="s">
        <v>1855</v>
      </c>
      <c r="J754" s="1" t="s">
        <v>1544</v>
      </c>
      <c r="K754" s="1" t="s">
        <v>1601</v>
      </c>
      <c r="L754" s="1" t="s">
        <v>1718</v>
      </c>
      <c r="M754" s="1" t="s">
        <v>1763</v>
      </c>
      <c r="N754" t="s">
        <v>1976</v>
      </c>
      <c r="O754" t="s">
        <v>2164</v>
      </c>
      <c r="P754" t="s">
        <v>3101</v>
      </c>
      <c r="Q754">
        <v>109.2</v>
      </c>
      <c r="R754" s="1" t="s">
        <v>1839</v>
      </c>
      <c r="S754">
        <v>857</v>
      </c>
      <c r="T754">
        <v>93584</v>
      </c>
    </row>
    <row r="755" spans="1:20" x14ac:dyDescent="0.4">
      <c r="A755" s="1" t="s">
        <v>210</v>
      </c>
      <c r="B755" s="1" t="s">
        <v>1461</v>
      </c>
      <c r="C755" s="1" t="s">
        <v>1844</v>
      </c>
      <c r="D755" s="1" t="s">
        <v>1846</v>
      </c>
      <c r="E755">
        <v>20251225</v>
      </c>
      <c r="F755" s="1" t="s">
        <v>1469</v>
      </c>
      <c r="G755">
        <v>4</v>
      </c>
      <c r="H755" s="1" t="s">
        <v>1475</v>
      </c>
      <c r="I755" t="s">
        <v>1855</v>
      </c>
      <c r="J755" s="1" t="s">
        <v>1544</v>
      </c>
      <c r="K755" s="1" t="s">
        <v>1601</v>
      </c>
      <c r="L755" s="1" t="s">
        <v>1718</v>
      </c>
      <c r="M755" s="1" t="s">
        <v>1763</v>
      </c>
      <c r="N755" t="s">
        <v>1976</v>
      </c>
      <c r="O755" t="s">
        <v>2164</v>
      </c>
      <c r="P755" t="s">
        <v>3101</v>
      </c>
      <c r="Q755">
        <v>109.2</v>
      </c>
      <c r="R755" s="1" t="s">
        <v>1839</v>
      </c>
      <c r="S755">
        <v>857</v>
      </c>
      <c r="T755">
        <v>93584</v>
      </c>
    </row>
    <row r="756" spans="1:20" x14ac:dyDescent="0.4">
      <c r="A756" s="1" t="s">
        <v>210</v>
      </c>
      <c r="B756" s="1" t="s">
        <v>1462</v>
      </c>
      <c r="C756" s="1" t="s">
        <v>1844</v>
      </c>
      <c r="D756" s="1" t="s">
        <v>1846</v>
      </c>
      <c r="E756">
        <v>20251225</v>
      </c>
      <c r="F756" s="1" t="s">
        <v>1469</v>
      </c>
      <c r="G756">
        <v>4</v>
      </c>
      <c r="H756" s="1" t="s">
        <v>1475</v>
      </c>
      <c r="I756" t="s">
        <v>1855</v>
      </c>
      <c r="J756" s="1" t="s">
        <v>1544</v>
      </c>
      <c r="K756" s="1" t="s">
        <v>1601</v>
      </c>
      <c r="L756" s="1" t="s">
        <v>1718</v>
      </c>
      <c r="M756" s="1" t="s">
        <v>1763</v>
      </c>
      <c r="N756" t="s">
        <v>1976</v>
      </c>
      <c r="O756" t="s">
        <v>2164</v>
      </c>
      <c r="P756" t="s">
        <v>3101</v>
      </c>
      <c r="Q756">
        <v>109.2</v>
      </c>
      <c r="R756" s="1" t="s">
        <v>1839</v>
      </c>
      <c r="S756">
        <v>857</v>
      </c>
      <c r="T756">
        <v>93584</v>
      </c>
    </row>
    <row r="757" spans="1:20" x14ac:dyDescent="0.4">
      <c r="A757" s="1" t="s">
        <v>210</v>
      </c>
      <c r="B757" s="1" t="s">
        <v>1463</v>
      </c>
      <c r="C757" s="1" t="s">
        <v>1844</v>
      </c>
      <c r="D757" s="1" t="s">
        <v>1846</v>
      </c>
      <c r="E757">
        <v>20251225</v>
      </c>
      <c r="F757" s="1" t="s">
        <v>1469</v>
      </c>
      <c r="G757">
        <v>4</v>
      </c>
      <c r="H757" s="1" t="s">
        <v>1475</v>
      </c>
      <c r="I757" t="s">
        <v>1855</v>
      </c>
      <c r="J757" s="1" t="s">
        <v>1544</v>
      </c>
      <c r="K757" s="1" t="s">
        <v>1601</v>
      </c>
      <c r="L757" s="1" t="s">
        <v>1718</v>
      </c>
      <c r="M757" s="1" t="s">
        <v>1763</v>
      </c>
      <c r="N757" t="s">
        <v>1976</v>
      </c>
      <c r="O757" t="s">
        <v>2164</v>
      </c>
      <c r="P757" t="s">
        <v>3101</v>
      </c>
      <c r="Q757">
        <v>109.2</v>
      </c>
      <c r="R757" s="1" t="s">
        <v>1839</v>
      </c>
      <c r="S757">
        <v>857</v>
      </c>
      <c r="T757">
        <v>93584</v>
      </c>
    </row>
    <row r="758" spans="1:20" x14ac:dyDescent="0.4">
      <c r="A758" s="1" t="s">
        <v>211</v>
      </c>
      <c r="B758" s="1" t="s">
        <v>1453</v>
      </c>
      <c r="C758" s="1" t="s">
        <v>1844</v>
      </c>
      <c r="D758" s="1" t="s">
        <v>1846</v>
      </c>
      <c r="E758">
        <v>20251225</v>
      </c>
      <c r="F758" s="1" t="s">
        <v>1469</v>
      </c>
      <c r="G758">
        <v>4</v>
      </c>
      <c r="H758" s="1" t="s">
        <v>1475</v>
      </c>
      <c r="I758" t="s">
        <v>1855</v>
      </c>
      <c r="J758" s="1" t="s">
        <v>1544</v>
      </c>
      <c r="K758" s="1" t="s">
        <v>1601</v>
      </c>
      <c r="L758" s="1" t="s">
        <v>1718</v>
      </c>
      <c r="M758" s="1" t="s">
        <v>1763</v>
      </c>
      <c r="N758" t="s">
        <v>1976</v>
      </c>
      <c r="O758" t="s">
        <v>2164</v>
      </c>
      <c r="P758" t="s">
        <v>3101</v>
      </c>
      <c r="Q758">
        <v>112.47</v>
      </c>
      <c r="R758" s="1" t="s">
        <v>1839</v>
      </c>
      <c r="S758">
        <v>857</v>
      </c>
      <c r="T758">
        <v>96386</v>
      </c>
    </row>
    <row r="759" spans="1:20" x14ac:dyDescent="0.4">
      <c r="A759" s="1" t="s">
        <v>211</v>
      </c>
      <c r="B759" s="1" t="s">
        <v>1454</v>
      </c>
      <c r="C759" s="1" t="s">
        <v>1844</v>
      </c>
      <c r="D759" s="1" t="s">
        <v>1846</v>
      </c>
      <c r="E759">
        <v>20251225</v>
      </c>
      <c r="F759" s="1" t="s">
        <v>1469</v>
      </c>
      <c r="G759">
        <v>4</v>
      </c>
      <c r="H759" s="1" t="s">
        <v>1475</v>
      </c>
      <c r="I759" t="s">
        <v>1855</v>
      </c>
      <c r="J759" s="1" t="s">
        <v>1544</v>
      </c>
      <c r="K759" s="1" t="s">
        <v>1601</v>
      </c>
      <c r="L759" s="1" t="s">
        <v>1718</v>
      </c>
      <c r="M759" s="1" t="s">
        <v>1763</v>
      </c>
      <c r="N759" t="s">
        <v>1976</v>
      </c>
      <c r="O759" t="s">
        <v>2164</v>
      </c>
      <c r="P759" t="s">
        <v>3101</v>
      </c>
      <c r="Q759">
        <v>109.2</v>
      </c>
      <c r="R759" s="1" t="s">
        <v>1839</v>
      </c>
      <c r="S759">
        <v>857</v>
      </c>
      <c r="T759">
        <v>93584</v>
      </c>
    </row>
    <row r="760" spans="1:20" x14ac:dyDescent="0.4">
      <c r="A760" s="1" t="s">
        <v>211</v>
      </c>
      <c r="B760" s="1" t="s">
        <v>1455</v>
      </c>
      <c r="C760" s="1" t="s">
        <v>1844</v>
      </c>
      <c r="D760" s="1" t="s">
        <v>1846</v>
      </c>
      <c r="E760">
        <v>20251225</v>
      </c>
      <c r="F760" s="1" t="s">
        <v>1469</v>
      </c>
      <c r="G760">
        <v>4</v>
      </c>
      <c r="H760" s="1" t="s">
        <v>1475</v>
      </c>
      <c r="I760" t="s">
        <v>1855</v>
      </c>
      <c r="J760" s="1" t="s">
        <v>1544</v>
      </c>
      <c r="K760" s="1" t="s">
        <v>1601</v>
      </c>
      <c r="L760" s="1" t="s">
        <v>1718</v>
      </c>
      <c r="M760" s="1" t="s">
        <v>1763</v>
      </c>
      <c r="N760" t="s">
        <v>1976</v>
      </c>
      <c r="O760" t="s">
        <v>2164</v>
      </c>
      <c r="P760" t="s">
        <v>3101</v>
      </c>
      <c r="Q760">
        <v>127.4</v>
      </c>
      <c r="R760" s="1" t="s">
        <v>1839</v>
      </c>
      <c r="S760">
        <v>857</v>
      </c>
      <c r="T760">
        <v>109181</v>
      </c>
    </row>
    <row r="761" spans="1:20" x14ac:dyDescent="0.4">
      <c r="A761" s="1" t="s">
        <v>211</v>
      </c>
      <c r="B761" s="1" t="s">
        <v>1456</v>
      </c>
      <c r="C761" s="1" t="s">
        <v>1844</v>
      </c>
      <c r="D761" s="1" t="s">
        <v>1846</v>
      </c>
      <c r="E761">
        <v>20251225</v>
      </c>
      <c r="F761" s="1" t="s">
        <v>1469</v>
      </c>
      <c r="G761">
        <v>4</v>
      </c>
      <c r="H761" s="1" t="s">
        <v>1475</v>
      </c>
      <c r="I761" t="s">
        <v>1855</v>
      </c>
      <c r="J761" s="1" t="s">
        <v>1544</v>
      </c>
      <c r="K761" s="1" t="s">
        <v>1601</v>
      </c>
      <c r="L761" s="1" t="s">
        <v>1718</v>
      </c>
      <c r="M761" s="1" t="s">
        <v>1763</v>
      </c>
      <c r="N761" t="s">
        <v>1976</v>
      </c>
      <c r="O761" t="s">
        <v>2164</v>
      </c>
      <c r="P761" t="s">
        <v>3101</v>
      </c>
      <c r="Q761">
        <v>127.4</v>
      </c>
      <c r="R761" s="1" t="s">
        <v>1839</v>
      </c>
      <c r="S761">
        <v>857</v>
      </c>
      <c r="T761">
        <v>109181</v>
      </c>
    </row>
    <row r="762" spans="1:20" x14ac:dyDescent="0.4">
      <c r="A762" s="1" t="s">
        <v>211</v>
      </c>
      <c r="B762" s="1" t="s">
        <v>1457</v>
      </c>
      <c r="C762" s="1" t="s">
        <v>1844</v>
      </c>
      <c r="D762" s="1" t="s">
        <v>1846</v>
      </c>
      <c r="E762">
        <v>20251225</v>
      </c>
      <c r="F762" s="1" t="s">
        <v>1469</v>
      </c>
      <c r="G762">
        <v>4</v>
      </c>
      <c r="H762" s="1" t="s">
        <v>1475</v>
      </c>
      <c r="I762" t="s">
        <v>1855</v>
      </c>
      <c r="J762" s="1" t="s">
        <v>1544</v>
      </c>
      <c r="K762" s="1" t="s">
        <v>1601</v>
      </c>
      <c r="L762" s="1" t="s">
        <v>1718</v>
      </c>
      <c r="M762" s="1" t="s">
        <v>1763</v>
      </c>
      <c r="N762" t="s">
        <v>1976</v>
      </c>
      <c r="O762" t="s">
        <v>2164</v>
      </c>
      <c r="P762" t="s">
        <v>3101</v>
      </c>
      <c r="Q762">
        <v>124.12</v>
      </c>
      <c r="R762" s="1" t="s">
        <v>1839</v>
      </c>
      <c r="S762">
        <v>857</v>
      </c>
      <c r="T762">
        <v>106370</v>
      </c>
    </row>
    <row r="763" spans="1:20" x14ac:dyDescent="0.4">
      <c r="A763" s="1" t="s">
        <v>211</v>
      </c>
      <c r="B763" s="1" t="s">
        <v>1458</v>
      </c>
      <c r="C763" s="1" t="s">
        <v>1844</v>
      </c>
      <c r="D763" s="1" t="s">
        <v>1846</v>
      </c>
      <c r="E763">
        <v>20251225</v>
      </c>
      <c r="F763" s="1" t="s">
        <v>1469</v>
      </c>
      <c r="G763">
        <v>4</v>
      </c>
      <c r="H763" s="1" t="s">
        <v>1475</v>
      </c>
      <c r="I763" t="s">
        <v>1855</v>
      </c>
      <c r="J763" s="1" t="s">
        <v>1544</v>
      </c>
      <c r="K763" s="1" t="s">
        <v>1601</v>
      </c>
      <c r="L763" s="1" t="s">
        <v>1718</v>
      </c>
      <c r="M763" s="1" t="s">
        <v>1763</v>
      </c>
      <c r="N763" t="s">
        <v>1976</v>
      </c>
      <c r="O763" t="s">
        <v>2164</v>
      </c>
      <c r="P763" t="s">
        <v>3101</v>
      </c>
      <c r="Q763">
        <v>127.4</v>
      </c>
      <c r="R763" s="1" t="s">
        <v>1839</v>
      </c>
      <c r="S763">
        <v>857</v>
      </c>
      <c r="T763">
        <v>109181</v>
      </c>
    </row>
    <row r="764" spans="1:20" x14ac:dyDescent="0.4">
      <c r="A764" s="1" t="s">
        <v>211</v>
      </c>
      <c r="B764" s="1" t="s">
        <v>1459</v>
      </c>
      <c r="C764" s="1" t="s">
        <v>1844</v>
      </c>
      <c r="D764" s="1" t="s">
        <v>1846</v>
      </c>
      <c r="E764">
        <v>20251225</v>
      </c>
      <c r="F764" s="1" t="s">
        <v>1469</v>
      </c>
      <c r="G764">
        <v>4</v>
      </c>
      <c r="H764" s="1" t="s">
        <v>1475</v>
      </c>
      <c r="I764" t="s">
        <v>1855</v>
      </c>
      <c r="J764" s="1" t="s">
        <v>1544</v>
      </c>
      <c r="K764" s="1" t="s">
        <v>1601</v>
      </c>
      <c r="L764" s="1" t="s">
        <v>1718</v>
      </c>
      <c r="M764" s="1" t="s">
        <v>1763</v>
      </c>
      <c r="N764" t="s">
        <v>1976</v>
      </c>
      <c r="O764" t="s">
        <v>2164</v>
      </c>
      <c r="P764" t="s">
        <v>3101</v>
      </c>
      <c r="Q764">
        <v>40.4</v>
      </c>
      <c r="R764" s="1" t="s">
        <v>1839</v>
      </c>
      <c r="S764">
        <v>857</v>
      </c>
      <c r="T764">
        <v>34622</v>
      </c>
    </row>
    <row r="765" spans="1:20" x14ac:dyDescent="0.4">
      <c r="A765" s="1" t="s">
        <v>211</v>
      </c>
      <c r="B765" s="1" t="s">
        <v>1460</v>
      </c>
      <c r="C765" s="1" t="s">
        <v>1844</v>
      </c>
      <c r="D765" s="1" t="s">
        <v>1846</v>
      </c>
      <c r="E765">
        <v>20251225</v>
      </c>
      <c r="F765" s="1" t="s">
        <v>1469</v>
      </c>
      <c r="G765">
        <v>4</v>
      </c>
      <c r="H765" s="1" t="s">
        <v>1475</v>
      </c>
      <c r="I765" t="s">
        <v>1855</v>
      </c>
      <c r="J765" s="1" t="s">
        <v>1544</v>
      </c>
      <c r="K765" s="1" t="s">
        <v>1601</v>
      </c>
      <c r="L765" s="1" t="s">
        <v>1718</v>
      </c>
      <c r="M765" s="1" t="s">
        <v>1763</v>
      </c>
      <c r="N765" t="s">
        <v>1976</v>
      </c>
      <c r="O765" t="s">
        <v>2164</v>
      </c>
      <c r="P765" t="s">
        <v>3101</v>
      </c>
      <c r="Q765">
        <v>83.72</v>
      </c>
      <c r="R765" s="1" t="s">
        <v>1839</v>
      </c>
      <c r="S765">
        <v>857</v>
      </c>
      <c r="T765">
        <v>71748</v>
      </c>
    </row>
    <row r="766" spans="1:20" x14ac:dyDescent="0.4">
      <c r="A766" s="1" t="s">
        <v>211</v>
      </c>
      <c r="B766" s="1" t="s">
        <v>1461</v>
      </c>
      <c r="C766" s="1" t="s">
        <v>1844</v>
      </c>
      <c r="D766" s="1" t="s">
        <v>1846</v>
      </c>
      <c r="E766">
        <v>20251225</v>
      </c>
      <c r="F766" s="1" t="s">
        <v>1469</v>
      </c>
      <c r="G766">
        <v>4</v>
      </c>
      <c r="H766" s="1" t="s">
        <v>1475</v>
      </c>
      <c r="I766" t="s">
        <v>1855</v>
      </c>
      <c r="J766" s="1" t="s">
        <v>1544</v>
      </c>
      <c r="K766" s="1" t="s">
        <v>1601</v>
      </c>
      <c r="L766" s="1" t="s">
        <v>1718</v>
      </c>
      <c r="M766" s="1" t="s">
        <v>1763</v>
      </c>
      <c r="N766" t="s">
        <v>1976</v>
      </c>
      <c r="O766" t="s">
        <v>2164</v>
      </c>
      <c r="P766" t="s">
        <v>3101</v>
      </c>
      <c r="Q766">
        <v>80.8</v>
      </c>
      <c r="R766" s="1" t="s">
        <v>1839</v>
      </c>
      <c r="S766">
        <v>857</v>
      </c>
      <c r="T766">
        <v>69245</v>
      </c>
    </row>
    <row r="767" spans="1:20" x14ac:dyDescent="0.4">
      <c r="A767" s="1" t="s">
        <v>211</v>
      </c>
      <c r="B767" s="1" t="s">
        <v>1462</v>
      </c>
      <c r="C767" s="1" t="s">
        <v>1844</v>
      </c>
      <c r="D767" s="1" t="s">
        <v>1846</v>
      </c>
      <c r="E767">
        <v>20251225</v>
      </c>
      <c r="F767" s="1" t="s">
        <v>1469</v>
      </c>
      <c r="G767">
        <v>4</v>
      </c>
      <c r="H767" s="1" t="s">
        <v>1475</v>
      </c>
      <c r="I767" t="s">
        <v>1855</v>
      </c>
      <c r="J767" s="1" t="s">
        <v>1544</v>
      </c>
      <c r="K767" s="1" t="s">
        <v>1601</v>
      </c>
      <c r="L767" s="1" t="s">
        <v>1718</v>
      </c>
      <c r="M767" s="1" t="s">
        <v>1763</v>
      </c>
      <c r="N767" t="s">
        <v>1976</v>
      </c>
      <c r="O767" t="s">
        <v>2164</v>
      </c>
      <c r="P767" t="s">
        <v>3101</v>
      </c>
      <c r="Q767">
        <v>127.4</v>
      </c>
      <c r="R767" s="1" t="s">
        <v>1839</v>
      </c>
      <c r="S767">
        <v>857</v>
      </c>
      <c r="T767">
        <v>109181</v>
      </c>
    </row>
    <row r="768" spans="1:20" x14ac:dyDescent="0.4">
      <c r="A768" s="1" t="s">
        <v>211</v>
      </c>
      <c r="B768" s="1" t="s">
        <v>1463</v>
      </c>
      <c r="C768" s="1" t="s">
        <v>1844</v>
      </c>
      <c r="D768" s="1" t="s">
        <v>1846</v>
      </c>
      <c r="E768">
        <v>20251225</v>
      </c>
      <c r="F768" s="1" t="s">
        <v>1469</v>
      </c>
      <c r="G768">
        <v>4</v>
      </c>
      <c r="H768" s="1" t="s">
        <v>1475</v>
      </c>
      <c r="I768" t="s">
        <v>1855</v>
      </c>
      <c r="J768" s="1" t="s">
        <v>1544</v>
      </c>
      <c r="K768" s="1" t="s">
        <v>1601</v>
      </c>
      <c r="L768" s="1" t="s">
        <v>1718</v>
      </c>
      <c r="M768" s="1" t="s">
        <v>1763</v>
      </c>
      <c r="N768" t="s">
        <v>1976</v>
      </c>
      <c r="O768" t="s">
        <v>2164</v>
      </c>
      <c r="P768" t="s">
        <v>3101</v>
      </c>
      <c r="Q768">
        <v>127.4</v>
      </c>
      <c r="R768" s="1" t="s">
        <v>1839</v>
      </c>
      <c r="S768">
        <v>857</v>
      </c>
      <c r="T768">
        <v>109181</v>
      </c>
    </row>
    <row r="769" spans="1:20" x14ac:dyDescent="0.4">
      <c r="A769" s="1" t="s">
        <v>212</v>
      </c>
      <c r="B769" s="1" t="s">
        <v>1453</v>
      </c>
      <c r="C769" s="1" t="s">
        <v>1844</v>
      </c>
      <c r="D769" s="1" t="s">
        <v>1846</v>
      </c>
      <c r="E769">
        <v>20251225</v>
      </c>
      <c r="F769" s="1" t="s">
        <v>1469</v>
      </c>
      <c r="G769">
        <v>4</v>
      </c>
      <c r="H769" s="1" t="s">
        <v>1475</v>
      </c>
      <c r="I769" t="s">
        <v>1855</v>
      </c>
      <c r="J769" s="1" t="s">
        <v>1544</v>
      </c>
      <c r="K769" s="1" t="s">
        <v>1601</v>
      </c>
      <c r="L769" s="1" t="s">
        <v>1718</v>
      </c>
      <c r="M769" s="1" t="s">
        <v>1763</v>
      </c>
      <c r="N769" t="s">
        <v>1976</v>
      </c>
      <c r="O769" t="s">
        <v>2164</v>
      </c>
      <c r="P769" t="s">
        <v>3101</v>
      </c>
      <c r="Q769">
        <v>36.4</v>
      </c>
      <c r="R769" s="1" t="s">
        <v>1839</v>
      </c>
      <c r="S769">
        <v>857</v>
      </c>
      <c r="T769">
        <v>31194</v>
      </c>
    </row>
    <row r="770" spans="1:20" x14ac:dyDescent="0.4">
      <c r="A770" s="1" t="s">
        <v>212</v>
      </c>
      <c r="B770" s="1" t="s">
        <v>1454</v>
      </c>
      <c r="C770" s="1" t="s">
        <v>1844</v>
      </c>
      <c r="D770" s="1" t="s">
        <v>1846</v>
      </c>
      <c r="E770">
        <v>20251225</v>
      </c>
      <c r="F770" s="1" t="s">
        <v>1469</v>
      </c>
      <c r="G770">
        <v>4</v>
      </c>
      <c r="H770" s="1" t="s">
        <v>1475</v>
      </c>
      <c r="I770" t="s">
        <v>1855</v>
      </c>
      <c r="J770" s="1" t="s">
        <v>1544</v>
      </c>
      <c r="K770" s="1" t="s">
        <v>1601</v>
      </c>
      <c r="L770" s="1" t="s">
        <v>1718</v>
      </c>
      <c r="M770" s="1" t="s">
        <v>1763</v>
      </c>
      <c r="N770" t="s">
        <v>1976</v>
      </c>
      <c r="O770" t="s">
        <v>2164</v>
      </c>
      <c r="P770" t="s">
        <v>3101</v>
      </c>
      <c r="Q770">
        <v>21.84</v>
      </c>
      <c r="R770" s="1" t="s">
        <v>1839</v>
      </c>
      <c r="S770">
        <v>857</v>
      </c>
      <c r="T770">
        <v>18716</v>
      </c>
    </row>
    <row r="771" spans="1:20" x14ac:dyDescent="0.4">
      <c r="A771" s="1" t="s">
        <v>212</v>
      </c>
      <c r="B771" s="1" t="s">
        <v>1455</v>
      </c>
      <c r="C771" s="1" t="s">
        <v>1844</v>
      </c>
      <c r="D771" s="1" t="s">
        <v>1846</v>
      </c>
      <c r="E771">
        <v>20251225</v>
      </c>
      <c r="F771" s="1" t="s">
        <v>1469</v>
      </c>
      <c r="G771">
        <v>4</v>
      </c>
      <c r="H771" s="1" t="s">
        <v>1475</v>
      </c>
      <c r="I771" t="s">
        <v>1855</v>
      </c>
      <c r="J771" s="1" t="s">
        <v>1544</v>
      </c>
      <c r="K771" s="1" t="s">
        <v>1601</v>
      </c>
      <c r="L771" s="1" t="s">
        <v>1718</v>
      </c>
      <c r="M771" s="1" t="s">
        <v>1763</v>
      </c>
      <c r="N771" t="s">
        <v>1976</v>
      </c>
      <c r="O771" t="s">
        <v>2164</v>
      </c>
      <c r="P771" t="s">
        <v>3101</v>
      </c>
      <c r="Q771">
        <v>21.84</v>
      </c>
      <c r="R771" s="1" t="s">
        <v>1839</v>
      </c>
      <c r="S771">
        <v>857</v>
      </c>
      <c r="T771">
        <v>18716</v>
      </c>
    </row>
    <row r="772" spans="1:20" x14ac:dyDescent="0.4">
      <c r="A772" s="1" t="s">
        <v>212</v>
      </c>
      <c r="B772" s="1" t="s">
        <v>1456</v>
      </c>
      <c r="C772" s="1" t="s">
        <v>1844</v>
      </c>
      <c r="D772" s="1" t="s">
        <v>1846</v>
      </c>
      <c r="E772">
        <v>20251225</v>
      </c>
      <c r="F772" s="1" t="s">
        <v>1469</v>
      </c>
      <c r="G772">
        <v>4</v>
      </c>
      <c r="H772" s="1" t="s">
        <v>1475</v>
      </c>
      <c r="I772" t="s">
        <v>1855</v>
      </c>
      <c r="J772" s="1" t="s">
        <v>1544</v>
      </c>
      <c r="K772" s="1" t="s">
        <v>1601</v>
      </c>
      <c r="L772" s="1" t="s">
        <v>1718</v>
      </c>
      <c r="M772" s="1" t="s">
        <v>1763</v>
      </c>
      <c r="N772" t="s">
        <v>1976</v>
      </c>
      <c r="O772" t="s">
        <v>2164</v>
      </c>
      <c r="P772" t="s">
        <v>3101</v>
      </c>
      <c r="Q772">
        <v>142.68</v>
      </c>
      <c r="R772" s="1" t="s">
        <v>1839</v>
      </c>
      <c r="S772">
        <v>857</v>
      </c>
      <c r="T772">
        <v>122276</v>
      </c>
    </row>
    <row r="773" spans="1:20" x14ac:dyDescent="0.4">
      <c r="A773" s="1" t="s">
        <v>213</v>
      </c>
      <c r="B773" s="1" t="s">
        <v>1453</v>
      </c>
      <c r="C773" s="1" t="s">
        <v>1844</v>
      </c>
      <c r="D773" s="1" t="s">
        <v>1846</v>
      </c>
      <c r="E773">
        <v>20251225</v>
      </c>
      <c r="F773" s="1" t="s">
        <v>1469</v>
      </c>
      <c r="G773">
        <v>4</v>
      </c>
      <c r="H773" s="1" t="s">
        <v>1475</v>
      </c>
      <c r="I773" t="s">
        <v>1855</v>
      </c>
      <c r="J773" s="1" t="s">
        <v>1544</v>
      </c>
      <c r="K773" s="1" t="s">
        <v>1601</v>
      </c>
      <c r="L773" s="1" t="s">
        <v>1718</v>
      </c>
      <c r="M773" s="1" t="s">
        <v>1774</v>
      </c>
      <c r="N773" t="s">
        <v>1976</v>
      </c>
      <c r="O773" t="s">
        <v>2164</v>
      </c>
      <c r="P773" t="s">
        <v>3102</v>
      </c>
      <c r="Q773">
        <v>131.04</v>
      </c>
      <c r="R773" s="1" t="s">
        <v>1839</v>
      </c>
      <c r="S773">
        <v>857</v>
      </c>
      <c r="T773">
        <v>112301</v>
      </c>
    </row>
    <row r="774" spans="1:20" x14ac:dyDescent="0.4">
      <c r="A774" s="1" t="s">
        <v>213</v>
      </c>
      <c r="B774" s="1" t="s">
        <v>1454</v>
      </c>
      <c r="C774" s="1" t="s">
        <v>1844</v>
      </c>
      <c r="D774" s="1" t="s">
        <v>1846</v>
      </c>
      <c r="E774">
        <v>20251225</v>
      </c>
      <c r="F774" s="1" t="s">
        <v>1469</v>
      </c>
      <c r="G774">
        <v>4</v>
      </c>
      <c r="H774" s="1" t="s">
        <v>1475</v>
      </c>
      <c r="I774" t="s">
        <v>1855</v>
      </c>
      <c r="J774" s="1" t="s">
        <v>1544</v>
      </c>
      <c r="K774" s="1" t="s">
        <v>1601</v>
      </c>
      <c r="L774" s="1" t="s">
        <v>1718</v>
      </c>
      <c r="M774" s="1" t="s">
        <v>1774</v>
      </c>
      <c r="N774" t="s">
        <v>1976</v>
      </c>
      <c r="O774" t="s">
        <v>2164</v>
      </c>
      <c r="P774" t="s">
        <v>3102</v>
      </c>
      <c r="Q774">
        <v>131.04</v>
      </c>
      <c r="R774" s="1" t="s">
        <v>1839</v>
      </c>
      <c r="S774">
        <v>857</v>
      </c>
      <c r="T774">
        <v>112301</v>
      </c>
    </row>
    <row r="775" spans="1:20" x14ac:dyDescent="0.4">
      <c r="A775" s="1" t="s">
        <v>213</v>
      </c>
      <c r="B775" s="1" t="s">
        <v>1455</v>
      </c>
      <c r="C775" s="1" t="s">
        <v>1844</v>
      </c>
      <c r="D775" s="1" t="s">
        <v>1846</v>
      </c>
      <c r="E775">
        <v>20251225</v>
      </c>
      <c r="F775" s="1" t="s">
        <v>1469</v>
      </c>
      <c r="G775">
        <v>4</v>
      </c>
      <c r="H775" s="1" t="s">
        <v>1475</v>
      </c>
      <c r="I775" t="s">
        <v>1855</v>
      </c>
      <c r="J775" s="1" t="s">
        <v>1544</v>
      </c>
      <c r="K775" s="1" t="s">
        <v>1601</v>
      </c>
      <c r="L775" s="1" t="s">
        <v>1718</v>
      </c>
      <c r="M775" s="1" t="s">
        <v>1774</v>
      </c>
      <c r="N775" t="s">
        <v>1976</v>
      </c>
      <c r="O775" t="s">
        <v>2164</v>
      </c>
      <c r="P775" t="s">
        <v>3102</v>
      </c>
      <c r="Q775">
        <v>115.02</v>
      </c>
      <c r="R775" s="1" t="s">
        <v>1839</v>
      </c>
      <c r="S775">
        <v>857</v>
      </c>
      <c r="T775">
        <v>98572</v>
      </c>
    </row>
    <row r="776" spans="1:20" x14ac:dyDescent="0.4">
      <c r="A776" s="1" t="s">
        <v>213</v>
      </c>
      <c r="B776" s="1" t="s">
        <v>1456</v>
      </c>
      <c r="C776" s="1" t="s">
        <v>1844</v>
      </c>
      <c r="D776" s="1" t="s">
        <v>1846</v>
      </c>
      <c r="E776">
        <v>20251225</v>
      </c>
      <c r="F776" s="1" t="s">
        <v>1469</v>
      </c>
      <c r="G776">
        <v>4</v>
      </c>
      <c r="H776" s="1" t="s">
        <v>1475</v>
      </c>
      <c r="I776" t="s">
        <v>1855</v>
      </c>
      <c r="J776" s="1" t="s">
        <v>1544</v>
      </c>
      <c r="K776" s="1" t="s">
        <v>1601</v>
      </c>
      <c r="L776" s="1" t="s">
        <v>1718</v>
      </c>
      <c r="M776" s="1" t="s">
        <v>1774</v>
      </c>
      <c r="N776" t="s">
        <v>1976</v>
      </c>
      <c r="O776" t="s">
        <v>2164</v>
      </c>
      <c r="P776" t="s">
        <v>3102</v>
      </c>
      <c r="Q776">
        <v>88.08</v>
      </c>
      <c r="R776" s="1" t="s">
        <v>1839</v>
      </c>
      <c r="S776">
        <v>857</v>
      </c>
      <c r="T776">
        <v>75484</v>
      </c>
    </row>
    <row r="777" spans="1:20" x14ac:dyDescent="0.4">
      <c r="A777" s="1" t="s">
        <v>213</v>
      </c>
      <c r="B777" s="1" t="s">
        <v>1457</v>
      </c>
      <c r="C777" s="1" t="s">
        <v>1844</v>
      </c>
      <c r="D777" s="1" t="s">
        <v>1846</v>
      </c>
      <c r="E777">
        <v>20251225</v>
      </c>
      <c r="F777" s="1" t="s">
        <v>1469</v>
      </c>
      <c r="G777">
        <v>4</v>
      </c>
      <c r="H777" s="1" t="s">
        <v>1475</v>
      </c>
      <c r="I777" t="s">
        <v>1855</v>
      </c>
      <c r="J777" s="1" t="s">
        <v>1544</v>
      </c>
      <c r="K777" s="1" t="s">
        <v>1601</v>
      </c>
      <c r="L777" s="1" t="s">
        <v>1718</v>
      </c>
      <c r="M777" s="1" t="s">
        <v>1774</v>
      </c>
      <c r="N777" t="s">
        <v>1976</v>
      </c>
      <c r="O777" t="s">
        <v>2164</v>
      </c>
      <c r="P777" t="s">
        <v>3102</v>
      </c>
      <c r="Q777">
        <v>127.4</v>
      </c>
      <c r="R777" s="1" t="s">
        <v>1839</v>
      </c>
      <c r="S777">
        <v>857</v>
      </c>
      <c r="T777">
        <v>109181</v>
      </c>
    </row>
    <row r="778" spans="1:20" x14ac:dyDescent="0.4">
      <c r="A778" s="1" t="s">
        <v>213</v>
      </c>
      <c r="B778" s="1" t="s">
        <v>1458</v>
      </c>
      <c r="C778" s="1" t="s">
        <v>1844</v>
      </c>
      <c r="D778" s="1" t="s">
        <v>1846</v>
      </c>
      <c r="E778">
        <v>20251225</v>
      </c>
      <c r="F778" s="1" t="s">
        <v>1469</v>
      </c>
      <c r="G778">
        <v>4</v>
      </c>
      <c r="H778" s="1" t="s">
        <v>1475</v>
      </c>
      <c r="I778" t="s">
        <v>1855</v>
      </c>
      <c r="J778" s="1" t="s">
        <v>1544</v>
      </c>
      <c r="K778" s="1" t="s">
        <v>1601</v>
      </c>
      <c r="L778" s="1" t="s">
        <v>1718</v>
      </c>
      <c r="M778" s="1" t="s">
        <v>1774</v>
      </c>
      <c r="N778" t="s">
        <v>1976</v>
      </c>
      <c r="O778" t="s">
        <v>2164</v>
      </c>
      <c r="P778" t="s">
        <v>3102</v>
      </c>
      <c r="Q778">
        <v>78.260000000000005</v>
      </c>
      <c r="R778" s="1" t="s">
        <v>1839</v>
      </c>
      <c r="S778">
        <v>857</v>
      </c>
      <c r="T778">
        <v>67068</v>
      </c>
    </row>
    <row r="779" spans="1:20" x14ac:dyDescent="0.4">
      <c r="A779" s="1" t="s">
        <v>213</v>
      </c>
      <c r="B779" s="1" t="s">
        <v>1459</v>
      </c>
      <c r="C779" s="1" t="s">
        <v>1844</v>
      </c>
      <c r="D779" s="1" t="s">
        <v>1846</v>
      </c>
      <c r="E779">
        <v>20251225</v>
      </c>
      <c r="F779" s="1" t="s">
        <v>1469</v>
      </c>
      <c r="G779">
        <v>4</v>
      </c>
      <c r="H779" s="1" t="s">
        <v>1475</v>
      </c>
      <c r="I779" t="s">
        <v>1855</v>
      </c>
      <c r="J779" s="1" t="s">
        <v>1544</v>
      </c>
      <c r="K779" s="1" t="s">
        <v>1601</v>
      </c>
      <c r="L779" s="1" t="s">
        <v>1718</v>
      </c>
      <c r="M779" s="1" t="s">
        <v>1774</v>
      </c>
      <c r="N779" t="s">
        <v>1976</v>
      </c>
      <c r="O779" t="s">
        <v>2164</v>
      </c>
      <c r="P779" t="s">
        <v>3102</v>
      </c>
      <c r="Q779">
        <v>127.4</v>
      </c>
      <c r="R779" s="1" t="s">
        <v>1839</v>
      </c>
      <c r="S779">
        <v>857</v>
      </c>
      <c r="T779">
        <v>109181</v>
      </c>
    </row>
    <row r="780" spans="1:20" x14ac:dyDescent="0.4">
      <c r="A780" s="1" t="s">
        <v>213</v>
      </c>
      <c r="B780" s="1" t="s">
        <v>1460</v>
      </c>
      <c r="C780" s="1" t="s">
        <v>1844</v>
      </c>
      <c r="D780" s="1" t="s">
        <v>1846</v>
      </c>
      <c r="E780">
        <v>20251225</v>
      </c>
      <c r="F780" s="1" t="s">
        <v>1469</v>
      </c>
      <c r="G780">
        <v>4</v>
      </c>
      <c r="H780" s="1" t="s">
        <v>1475</v>
      </c>
      <c r="I780" t="s">
        <v>1855</v>
      </c>
      <c r="J780" s="1" t="s">
        <v>1544</v>
      </c>
      <c r="K780" s="1" t="s">
        <v>1601</v>
      </c>
      <c r="L780" s="1" t="s">
        <v>1718</v>
      </c>
      <c r="M780" s="1" t="s">
        <v>1774</v>
      </c>
      <c r="N780" t="s">
        <v>1976</v>
      </c>
      <c r="O780" t="s">
        <v>2164</v>
      </c>
      <c r="P780" t="s">
        <v>3102</v>
      </c>
      <c r="Q780">
        <v>89.9</v>
      </c>
      <c r="R780" s="1" t="s">
        <v>1839</v>
      </c>
      <c r="S780">
        <v>857</v>
      </c>
      <c r="T780">
        <v>77044</v>
      </c>
    </row>
    <row r="781" spans="1:20" x14ac:dyDescent="0.4">
      <c r="A781" s="1" t="s">
        <v>213</v>
      </c>
      <c r="B781" s="1" t="s">
        <v>1461</v>
      </c>
      <c r="C781" s="1" t="s">
        <v>1844</v>
      </c>
      <c r="D781" s="1" t="s">
        <v>1846</v>
      </c>
      <c r="E781">
        <v>20251225</v>
      </c>
      <c r="F781" s="1" t="s">
        <v>1469</v>
      </c>
      <c r="G781">
        <v>4</v>
      </c>
      <c r="H781" s="1" t="s">
        <v>1475</v>
      </c>
      <c r="I781" t="s">
        <v>1855</v>
      </c>
      <c r="J781" s="1" t="s">
        <v>1544</v>
      </c>
      <c r="K781" s="1" t="s">
        <v>1601</v>
      </c>
      <c r="L781" s="1" t="s">
        <v>1718</v>
      </c>
      <c r="M781" s="1" t="s">
        <v>1774</v>
      </c>
      <c r="N781" t="s">
        <v>1976</v>
      </c>
      <c r="O781" t="s">
        <v>2164</v>
      </c>
      <c r="P781" t="s">
        <v>3102</v>
      </c>
      <c r="Q781">
        <v>138.32</v>
      </c>
      <c r="R781" s="1" t="s">
        <v>1839</v>
      </c>
      <c r="S781">
        <v>857</v>
      </c>
      <c r="T781">
        <v>118540</v>
      </c>
    </row>
    <row r="782" spans="1:20" x14ac:dyDescent="0.4">
      <c r="A782" s="1" t="s">
        <v>213</v>
      </c>
      <c r="B782" s="1" t="s">
        <v>1462</v>
      </c>
      <c r="C782" s="1" t="s">
        <v>1844</v>
      </c>
      <c r="D782" s="1" t="s">
        <v>1846</v>
      </c>
      <c r="E782">
        <v>20251225</v>
      </c>
      <c r="F782" s="1" t="s">
        <v>1469</v>
      </c>
      <c r="G782">
        <v>4</v>
      </c>
      <c r="H782" s="1" t="s">
        <v>1475</v>
      </c>
      <c r="I782" t="s">
        <v>1855</v>
      </c>
      <c r="J782" s="1" t="s">
        <v>1544</v>
      </c>
      <c r="K782" s="1" t="s">
        <v>1601</v>
      </c>
      <c r="L782" s="1" t="s">
        <v>1718</v>
      </c>
      <c r="M782" s="1" t="s">
        <v>1774</v>
      </c>
      <c r="N782" t="s">
        <v>1976</v>
      </c>
      <c r="O782" t="s">
        <v>2164</v>
      </c>
      <c r="P782" t="s">
        <v>3102</v>
      </c>
      <c r="Q782">
        <v>138.32</v>
      </c>
      <c r="R782" s="1" t="s">
        <v>1839</v>
      </c>
      <c r="S782">
        <v>857</v>
      </c>
      <c r="T782">
        <v>118540</v>
      </c>
    </row>
    <row r="783" spans="1:20" x14ac:dyDescent="0.4">
      <c r="A783" s="1" t="s">
        <v>213</v>
      </c>
      <c r="B783" s="1" t="s">
        <v>1463</v>
      </c>
      <c r="C783" s="1" t="s">
        <v>1844</v>
      </c>
      <c r="D783" s="1" t="s">
        <v>1846</v>
      </c>
      <c r="E783">
        <v>20251225</v>
      </c>
      <c r="F783" s="1" t="s">
        <v>1469</v>
      </c>
      <c r="G783">
        <v>4</v>
      </c>
      <c r="H783" s="1" t="s">
        <v>1475</v>
      </c>
      <c r="I783" t="s">
        <v>1855</v>
      </c>
      <c r="J783" s="1" t="s">
        <v>1544</v>
      </c>
      <c r="K783" s="1" t="s">
        <v>1601</v>
      </c>
      <c r="L783" s="1" t="s">
        <v>1718</v>
      </c>
      <c r="M783" s="1" t="s">
        <v>1774</v>
      </c>
      <c r="N783" t="s">
        <v>1976</v>
      </c>
      <c r="O783" t="s">
        <v>2164</v>
      </c>
      <c r="P783" t="s">
        <v>3102</v>
      </c>
      <c r="Q783">
        <v>137.59</v>
      </c>
      <c r="R783" s="1" t="s">
        <v>1839</v>
      </c>
      <c r="S783">
        <v>857</v>
      </c>
      <c r="T783">
        <v>117914</v>
      </c>
    </row>
    <row r="784" spans="1:20" x14ac:dyDescent="0.4">
      <c r="A784" s="1" t="s">
        <v>214</v>
      </c>
      <c r="B784" s="1" t="s">
        <v>1453</v>
      </c>
      <c r="C784" s="1" t="s">
        <v>1844</v>
      </c>
      <c r="D784" s="1" t="s">
        <v>1846</v>
      </c>
      <c r="E784">
        <v>20251225</v>
      </c>
      <c r="F784" s="1" t="s">
        <v>1469</v>
      </c>
      <c r="G784">
        <v>4</v>
      </c>
      <c r="H784" s="1" t="s">
        <v>1475</v>
      </c>
      <c r="I784" t="s">
        <v>1855</v>
      </c>
      <c r="J784" s="1" t="s">
        <v>1544</v>
      </c>
      <c r="K784" s="1" t="s">
        <v>1601</v>
      </c>
      <c r="L784" s="1" t="s">
        <v>1718</v>
      </c>
      <c r="M784" s="1" t="s">
        <v>1763</v>
      </c>
      <c r="N784" t="s">
        <v>1976</v>
      </c>
      <c r="O784" t="s">
        <v>2164</v>
      </c>
      <c r="P784" t="s">
        <v>3101</v>
      </c>
      <c r="Q784">
        <v>95.55</v>
      </c>
      <c r="R784" s="1" t="s">
        <v>1839</v>
      </c>
      <c r="S784">
        <v>857</v>
      </c>
      <c r="T784">
        <v>81886</v>
      </c>
    </row>
    <row r="785" spans="1:20" x14ac:dyDescent="0.4">
      <c r="A785" s="1" t="s">
        <v>214</v>
      </c>
      <c r="B785" s="1" t="s">
        <v>1454</v>
      </c>
      <c r="C785" s="1" t="s">
        <v>1844</v>
      </c>
      <c r="D785" s="1" t="s">
        <v>1846</v>
      </c>
      <c r="E785">
        <v>20251225</v>
      </c>
      <c r="F785" s="1" t="s">
        <v>1469</v>
      </c>
      <c r="G785">
        <v>4</v>
      </c>
      <c r="H785" s="1" t="s">
        <v>1475</v>
      </c>
      <c r="I785" t="s">
        <v>1855</v>
      </c>
      <c r="J785" s="1" t="s">
        <v>1544</v>
      </c>
      <c r="K785" s="1" t="s">
        <v>1601</v>
      </c>
      <c r="L785" s="1" t="s">
        <v>1718</v>
      </c>
      <c r="M785" s="1" t="s">
        <v>1763</v>
      </c>
      <c r="N785" t="s">
        <v>1976</v>
      </c>
      <c r="O785" t="s">
        <v>2164</v>
      </c>
      <c r="P785" t="s">
        <v>3101</v>
      </c>
      <c r="Q785">
        <v>95.55</v>
      </c>
      <c r="R785" s="1" t="s">
        <v>1839</v>
      </c>
      <c r="S785">
        <v>857</v>
      </c>
      <c r="T785">
        <v>81886</v>
      </c>
    </row>
    <row r="786" spans="1:20" x14ac:dyDescent="0.4">
      <c r="A786" s="1" t="s">
        <v>214</v>
      </c>
      <c r="B786" s="1" t="s">
        <v>1455</v>
      </c>
      <c r="C786" s="1" t="s">
        <v>1844</v>
      </c>
      <c r="D786" s="1" t="s">
        <v>1846</v>
      </c>
      <c r="E786">
        <v>20251225</v>
      </c>
      <c r="F786" s="1" t="s">
        <v>1469</v>
      </c>
      <c r="G786">
        <v>4</v>
      </c>
      <c r="H786" s="1" t="s">
        <v>1475</v>
      </c>
      <c r="I786" t="s">
        <v>1855</v>
      </c>
      <c r="J786" s="1" t="s">
        <v>1544</v>
      </c>
      <c r="K786" s="1" t="s">
        <v>1601</v>
      </c>
      <c r="L786" s="1" t="s">
        <v>1718</v>
      </c>
      <c r="M786" s="1" t="s">
        <v>1763</v>
      </c>
      <c r="N786" t="s">
        <v>1976</v>
      </c>
      <c r="O786" t="s">
        <v>2164</v>
      </c>
      <c r="P786" t="s">
        <v>3101</v>
      </c>
      <c r="Q786">
        <v>95.55</v>
      </c>
      <c r="R786" s="1" t="s">
        <v>1839</v>
      </c>
      <c r="S786">
        <v>857</v>
      </c>
      <c r="T786">
        <v>81886</v>
      </c>
    </row>
    <row r="787" spans="1:20" x14ac:dyDescent="0.4">
      <c r="A787" s="1" t="s">
        <v>214</v>
      </c>
      <c r="B787" s="1" t="s">
        <v>1456</v>
      </c>
      <c r="C787" s="1" t="s">
        <v>1844</v>
      </c>
      <c r="D787" s="1" t="s">
        <v>1846</v>
      </c>
      <c r="E787">
        <v>20251225</v>
      </c>
      <c r="F787" s="1" t="s">
        <v>1469</v>
      </c>
      <c r="G787">
        <v>4</v>
      </c>
      <c r="H787" s="1" t="s">
        <v>1475</v>
      </c>
      <c r="I787" t="s">
        <v>1855</v>
      </c>
      <c r="J787" s="1" t="s">
        <v>1544</v>
      </c>
      <c r="K787" s="1" t="s">
        <v>1601</v>
      </c>
      <c r="L787" s="1" t="s">
        <v>1718</v>
      </c>
      <c r="M787" s="1" t="s">
        <v>1763</v>
      </c>
      <c r="N787" t="s">
        <v>1976</v>
      </c>
      <c r="O787" t="s">
        <v>2164</v>
      </c>
      <c r="P787" t="s">
        <v>3101</v>
      </c>
      <c r="Q787">
        <v>95.55</v>
      </c>
      <c r="R787" s="1" t="s">
        <v>1839</v>
      </c>
      <c r="S787">
        <v>857</v>
      </c>
      <c r="T787">
        <v>81886</v>
      </c>
    </row>
    <row r="788" spans="1:20" x14ac:dyDescent="0.4">
      <c r="A788" s="1" t="s">
        <v>214</v>
      </c>
      <c r="B788" s="1" t="s">
        <v>1457</v>
      </c>
      <c r="C788" s="1" t="s">
        <v>1844</v>
      </c>
      <c r="D788" s="1" t="s">
        <v>1846</v>
      </c>
      <c r="E788">
        <v>20251225</v>
      </c>
      <c r="F788" s="1" t="s">
        <v>1469</v>
      </c>
      <c r="G788">
        <v>4</v>
      </c>
      <c r="H788" s="1" t="s">
        <v>1475</v>
      </c>
      <c r="I788" t="s">
        <v>1855</v>
      </c>
      <c r="J788" s="1" t="s">
        <v>1544</v>
      </c>
      <c r="K788" s="1" t="s">
        <v>1601</v>
      </c>
      <c r="L788" s="1" t="s">
        <v>1718</v>
      </c>
      <c r="M788" s="1" t="s">
        <v>1763</v>
      </c>
      <c r="N788" t="s">
        <v>1976</v>
      </c>
      <c r="O788" t="s">
        <v>2164</v>
      </c>
      <c r="P788" t="s">
        <v>3101</v>
      </c>
      <c r="Q788">
        <v>95.55</v>
      </c>
      <c r="R788" s="1" t="s">
        <v>1839</v>
      </c>
      <c r="S788">
        <v>857</v>
      </c>
      <c r="T788">
        <v>81886</v>
      </c>
    </row>
    <row r="789" spans="1:20" x14ac:dyDescent="0.4">
      <c r="A789" s="1" t="s">
        <v>214</v>
      </c>
      <c r="B789" s="1" t="s">
        <v>1458</v>
      </c>
      <c r="C789" s="1" t="s">
        <v>1844</v>
      </c>
      <c r="D789" s="1" t="s">
        <v>1846</v>
      </c>
      <c r="E789">
        <v>20251225</v>
      </c>
      <c r="F789" s="1" t="s">
        <v>1469</v>
      </c>
      <c r="G789">
        <v>4</v>
      </c>
      <c r="H789" s="1" t="s">
        <v>1475</v>
      </c>
      <c r="I789" t="s">
        <v>1855</v>
      </c>
      <c r="J789" s="1" t="s">
        <v>1544</v>
      </c>
      <c r="K789" s="1" t="s">
        <v>1601</v>
      </c>
      <c r="L789" s="1" t="s">
        <v>1718</v>
      </c>
      <c r="M789" s="1" t="s">
        <v>1763</v>
      </c>
      <c r="N789" t="s">
        <v>1976</v>
      </c>
      <c r="O789" t="s">
        <v>2164</v>
      </c>
      <c r="P789" t="s">
        <v>3101</v>
      </c>
      <c r="Q789">
        <v>95.55</v>
      </c>
      <c r="R789" s="1" t="s">
        <v>1839</v>
      </c>
      <c r="S789">
        <v>857</v>
      </c>
      <c r="T789">
        <v>81886</v>
      </c>
    </row>
    <row r="790" spans="1:20" x14ac:dyDescent="0.4">
      <c r="A790" s="1" t="s">
        <v>214</v>
      </c>
      <c r="B790" s="1" t="s">
        <v>1459</v>
      </c>
      <c r="C790" s="1" t="s">
        <v>1844</v>
      </c>
      <c r="D790" s="1" t="s">
        <v>1846</v>
      </c>
      <c r="E790">
        <v>20251225</v>
      </c>
      <c r="F790" s="1" t="s">
        <v>1469</v>
      </c>
      <c r="G790">
        <v>4</v>
      </c>
      <c r="H790" s="1" t="s">
        <v>1475</v>
      </c>
      <c r="I790" t="s">
        <v>1855</v>
      </c>
      <c r="J790" s="1" t="s">
        <v>1544</v>
      </c>
      <c r="K790" s="1" t="s">
        <v>1601</v>
      </c>
      <c r="L790" s="1" t="s">
        <v>1718</v>
      </c>
      <c r="M790" s="1" t="s">
        <v>1763</v>
      </c>
      <c r="N790" t="s">
        <v>1976</v>
      </c>
      <c r="O790" t="s">
        <v>2164</v>
      </c>
      <c r="P790" t="s">
        <v>3101</v>
      </c>
      <c r="Q790">
        <v>73.709999999999994</v>
      </c>
      <c r="R790" s="1" t="s">
        <v>1839</v>
      </c>
      <c r="S790">
        <v>857</v>
      </c>
      <c r="T790">
        <v>63169</v>
      </c>
    </row>
    <row r="791" spans="1:20" x14ac:dyDescent="0.4">
      <c r="A791" s="1" t="s">
        <v>214</v>
      </c>
      <c r="B791" s="1" t="s">
        <v>1460</v>
      </c>
      <c r="C791" s="1" t="s">
        <v>1844</v>
      </c>
      <c r="D791" s="1" t="s">
        <v>1846</v>
      </c>
      <c r="E791">
        <v>20251225</v>
      </c>
      <c r="F791" s="1" t="s">
        <v>1469</v>
      </c>
      <c r="G791">
        <v>4</v>
      </c>
      <c r="H791" s="1" t="s">
        <v>1475</v>
      </c>
      <c r="I791" t="s">
        <v>1855</v>
      </c>
      <c r="J791" s="1" t="s">
        <v>1544</v>
      </c>
      <c r="K791" s="1" t="s">
        <v>1601</v>
      </c>
      <c r="L791" s="1" t="s">
        <v>1718</v>
      </c>
      <c r="M791" s="1" t="s">
        <v>1763</v>
      </c>
      <c r="N791" t="s">
        <v>1976</v>
      </c>
      <c r="O791" t="s">
        <v>2164</v>
      </c>
      <c r="P791" t="s">
        <v>3101</v>
      </c>
      <c r="Q791">
        <v>95.55</v>
      </c>
      <c r="R791" s="1" t="s">
        <v>1839</v>
      </c>
      <c r="S791">
        <v>857</v>
      </c>
      <c r="T791">
        <v>81886</v>
      </c>
    </row>
    <row r="792" spans="1:20" x14ac:dyDescent="0.4">
      <c r="A792" s="1" t="s">
        <v>214</v>
      </c>
      <c r="B792" s="1" t="s">
        <v>1461</v>
      </c>
      <c r="C792" s="1" t="s">
        <v>1844</v>
      </c>
      <c r="D792" s="1" t="s">
        <v>1846</v>
      </c>
      <c r="E792">
        <v>20251225</v>
      </c>
      <c r="F792" s="1" t="s">
        <v>1469</v>
      </c>
      <c r="G792">
        <v>4</v>
      </c>
      <c r="H792" s="1" t="s">
        <v>1475</v>
      </c>
      <c r="I792" t="s">
        <v>1855</v>
      </c>
      <c r="J792" s="1" t="s">
        <v>1544</v>
      </c>
      <c r="K792" s="1" t="s">
        <v>1601</v>
      </c>
      <c r="L792" s="1" t="s">
        <v>1718</v>
      </c>
      <c r="M792" s="1" t="s">
        <v>1763</v>
      </c>
      <c r="N792" t="s">
        <v>1976</v>
      </c>
      <c r="O792" t="s">
        <v>2164</v>
      </c>
      <c r="P792" t="s">
        <v>3101</v>
      </c>
      <c r="Q792">
        <v>95.55</v>
      </c>
      <c r="R792" s="1" t="s">
        <v>1839</v>
      </c>
      <c r="S792">
        <v>857</v>
      </c>
      <c r="T792">
        <v>81886</v>
      </c>
    </row>
    <row r="793" spans="1:20" x14ac:dyDescent="0.4">
      <c r="A793" s="1" t="s">
        <v>214</v>
      </c>
      <c r="B793" s="1" t="s">
        <v>1462</v>
      </c>
      <c r="C793" s="1" t="s">
        <v>1844</v>
      </c>
      <c r="D793" s="1" t="s">
        <v>1846</v>
      </c>
      <c r="E793">
        <v>20251225</v>
      </c>
      <c r="F793" s="1" t="s">
        <v>1469</v>
      </c>
      <c r="G793">
        <v>4</v>
      </c>
      <c r="H793" s="1" t="s">
        <v>1475</v>
      </c>
      <c r="I793" t="s">
        <v>1855</v>
      </c>
      <c r="J793" s="1" t="s">
        <v>1544</v>
      </c>
      <c r="K793" s="1" t="s">
        <v>1601</v>
      </c>
      <c r="L793" s="1" t="s">
        <v>1718</v>
      </c>
      <c r="M793" s="1" t="s">
        <v>1763</v>
      </c>
      <c r="N793" t="s">
        <v>1976</v>
      </c>
      <c r="O793" t="s">
        <v>2164</v>
      </c>
      <c r="P793" t="s">
        <v>3101</v>
      </c>
      <c r="Q793">
        <v>95.55</v>
      </c>
      <c r="R793" s="1" t="s">
        <v>1839</v>
      </c>
      <c r="S793">
        <v>857</v>
      </c>
      <c r="T793">
        <v>81886</v>
      </c>
    </row>
    <row r="794" spans="1:20" x14ac:dyDescent="0.4">
      <c r="A794" s="1" t="s">
        <v>214</v>
      </c>
      <c r="B794" s="1" t="s">
        <v>1463</v>
      </c>
      <c r="C794" s="1" t="s">
        <v>1844</v>
      </c>
      <c r="D794" s="1" t="s">
        <v>1846</v>
      </c>
      <c r="E794">
        <v>20251225</v>
      </c>
      <c r="F794" s="1" t="s">
        <v>1469</v>
      </c>
      <c r="G794">
        <v>4</v>
      </c>
      <c r="H794" s="1" t="s">
        <v>1475</v>
      </c>
      <c r="I794" t="s">
        <v>1855</v>
      </c>
      <c r="J794" s="1" t="s">
        <v>1544</v>
      </c>
      <c r="K794" s="1" t="s">
        <v>1601</v>
      </c>
      <c r="L794" s="1" t="s">
        <v>1718</v>
      </c>
      <c r="M794" s="1" t="s">
        <v>1763</v>
      </c>
      <c r="N794" t="s">
        <v>1976</v>
      </c>
      <c r="O794" t="s">
        <v>2164</v>
      </c>
      <c r="P794" t="s">
        <v>3101</v>
      </c>
      <c r="Q794">
        <v>95.55</v>
      </c>
      <c r="R794" s="1" t="s">
        <v>1839</v>
      </c>
      <c r="S794">
        <v>857</v>
      </c>
      <c r="T794">
        <v>81886</v>
      </c>
    </row>
    <row r="795" spans="1:20" x14ac:dyDescent="0.4">
      <c r="A795" s="1" t="s">
        <v>215</v>
      </c>
      <c r="B795" s="1" t="s">
        <v>1453</v>
      </c>
      <c r="C795" s="1" t="s">
        <v>1844</v>
      </c>
      <c r="D795" s="1" t="s">
        <v>1846</v>
      </c>
      <c r="E795">
        <v>20251225</v>
      </c>
      <c r="F795" s="1" t="s">
        <v>1469</v>
      </c>
      <c r="G795">
        <v>4</v>
      </c>
      <c r="H795" s="1" t="s">
        <v>1475</v>
      </c>
      <c r="I795" t="s">
        <v>1855</v>
      </c>
      <c r="J795" s="1" t="s">
        <v>1544</v>
      </c>
      <c r="K795" s="1" t="s">
        <v>1601</v>
      </c>
      <c r="L795" s="1" t="s">
        <v>1718</v>
      </c>
      <c r="M795" s="1" t="s">
        <v>1763</v>
      </c>
      <c r="N795" t="s">
        <v>1976</v>
      </c>
      <c r="O795" t="s">
        <v>2164</v>
      </c>
      <c r="P795" t="s">
        <v>3101</v>
      </c>
      <c r="Q795">
        <v>73.16</v>
      </c>
      <c r="R795" s="1" t="s">
        <v>1839</v>
      </c>
      <c r="S795">
        <v>857</v>
      </c>
      <c r="T795">
        <v>62698</v>
      </c>
    </row>
    <row r="796" spans="1:20" x14ac:dyDescent="0.4">
      <c r="A796" s="1" t="s">
        <v>216</v>
      </c>
      <c r="B796" s="1" t="s">
        <v>1453</v>
      </c>
      <c r="C796" s="1" t="s">
        <v>1844</v>
      </c>
      <c r="D796" s="1" t="s">
        <v>1846</v>
      </c>
      <c r="E796">
        <v>20251225</v>
      </c>
      <c r="F796" s="1" t="s">
        <v>1469</v>
      </c>
      <c r="G796">
        <v>4</v>
      </c>
      <c r="H796" s="1" t="s">
        <v>1475</v>
      </c>
      <c r="I796" t="s">
        <v>1855</v>
      </c>
      <c r="J796" s="1" t="s">
        <v>1544</v>
      </c>
      <c r="K796" s="1" t="s">
        <v>1601</v>
      </c>
      <c r="L796" s="1" t="s">
        <v>1718</v>
      </c>
      <c r="M796" s="1" t="s">
        <v>1774</v>
      </c>
      <c r="N796" t="s">
        <v>1976</v>
      </c>
      <c r="O796" t="s">
        <v>2164</v>
      </c>
      <c r="P796" t="s">
        <v>3102</v>
      </c>
      <c r="Q796">
        <v>95.55</v>
      </c>
      <c r="R796" s="1" t="s">
        <v>1839</v>
      </c>
      <c r="S796">
        <v>857</v>
      </c>
      <c r="T796">
        <v>81886</v>
      </c>
    </row>
    <row r="797" spans="1:20" x14ac:dyDescent="0.4">
      <c r="A797" s="1" t="s">
        <v>216</v>
      </c>
      <c r="B797" s="1" t="s">
        <v>1454</v>
      </c>
      <c r="C797" s="1" t="s">
        <v>1844</v>
      </c>
      <c r="D797" s="1" t="s">
        <v>1846</v>
      </c>
      <c r="E797">
        <v>20251225</v>
      </c>
      <c r="F797" s="1" t="s">
        <v>1469</v>
      </c>
      <c r="G797">
        <v>4</v>
      </c>
      <c r="H797" s="1" t="s">
        <v>1475</v>
      </c>
      <c r="I797" t="s">
        <v>1855</v>
      </c>
      <c r="J797" s="1" t="s">
        <v>1544</v>
      </c>
      <c r="K797" s="1" t="s">
        <v>1601</v>
      </c>
      <c r="L797" s="1" t="s">
        <v>1718</v>
      </c>
      <c r="M797" s="1" t="s">
        <v>1774</v>
      </c>
      <c r="N797" t="s">
        <v>1976</v>
      </c>
      <c r="O797" t="s">
        <v>2164</v>
      </c>
      <c r="P797" t="s">
        <v>3102</v>
      </c>
      <c r="Q797">
        <v>95.55</v>
      </c>
      <c r="R797" s="1" t="s">
        <v>1839</v>
      </c>
      <c r="S797">
        <v>857</v>
      </c>
      <c r="T797">
        <v>81886</v>
      </c>
    </row>
    <row r="798" spans="1:20" x14ac:dyDescent="0.4">
      <c r="A798" s="1" t="s">
        <v>216</v>
      </c>
      <c r="B798" s="1" t="s">
        <v>1455</v>
      </c>
      <c r="C798" s="1" t="s">
        <v>1844</v>
      </c>
      <c r="D798" s="1" t="s">
        <v>1846</v>
      </c>
      <c r="E798">
        <v>20251225</v>
      </c>
      <c r="F798" s="1" t="s">
        <v>1469</v>
      </c>
      <c r="G798">
        <v>4</v>
      </c>
      <c r="H798" s="1" t="s">
        <v>1475</v>
      </c>
      <c r="I798" t="s">
        <v>1855</v>
      </c>
      <c r="J798" s="1" t="s">
        <v>1544</v>
      </c>
      <c r="K798" s="1" t="s">
        <v>1601</v>
      </c>
      <c r="L798" s="1" t="s">
        <v>1718</v>
      </c>
      <c r="M798" s="1" t="s">
        <v>1774</v>
      </c>
      <c r="N798" t="s">
        <v>1976</v>
      </c>
      <c r="O798" t="s">
        <v>2164</v>
      </c>
      <c r="P798" t="s">
        <v>3102</v>
      </c>
      <c r="Q798">
        <v>95.55</v>
      </c>
      <c r="R798" s="1" t="s">
        <v>1839</v>
      </c>
      <c r="S798">
        <v>857</v>
      </c>
      <c r="T798">
        <v>81886</v>
      </c>
    </row>
    <row r="799" spans="1:20" x14ac:dyDescent="0.4">
      <c r="A799" s="1" t="s">
        <v>216</v>
      </c>
      <c r="B799" s="1" t="s">
        <v>1456</v>
      </c>
      <c r="C799" s="1" t="s">
        <v>1844</v>
      </c>
      <c r="D799" s="1" t="s">
        <v>1846</v>
      </c>
      <c r="E799">
        <v>20251225</v>
      </c>
      <c r="F799" s="1" t="s">
        <v>1469</v>
      </c>
      <c r="G799">
        <v>4</v>
      </c>
      <c r="H799" s="1" t="s">
        <v>1475</v>
      </c>
      <c r="I799" t="s">
        <v>1855</v>
      </c>
      <c r="J799" s="1" t="s">
        <v>1544</v>
      </c>
      <c r="K799" s="1" t="s">
        <v>1601</v>
      </c>
      <c r="L799" s="1" t="s">
        <v>1718</v>
      </c>
      <c r="M799" s="1" t="s">
        <v>1774</v>
      </c>
      <c r="N799" t="s">
        <v>1976</v>
      </c>
      <c r="O799" t="s">
        <v>2164</v>
      </c>
      <c r="P799" t="s">
        <v>3102</v>
      </c>
      <c r="Q799">
        <v>95.55</v>
      </c>
      <c r="R799" s="1" t="s">
        <v>1839</v>
      </c>
      <c r="S799">
        <v>857</v>
      </c>
      <c r="T799">
        <v>81886</v>
      </c>
    </row>
    <row r="800" spans="1:20" x14ac:dyDescent="0.4">
      <c r="A800" s="1" t="s">
        <v>216</v>
      </c>
      <c r="B800" s="1" t="s">
        <v>1457</v>
      </c>
      <c r="C800" s="1" t="s">
        <v>1844</v>
      </c>
      <c r="D800" s="1" t="s">
        <v>1846</v>
      </c>
      <c r="E800">
        <v>20251225</v>
      </c>
      <c r="F800" s="1" t="s">
        <v>1469</v>
      </c>
      <c r="G800">
        <v>4</v>
      </c>
      <c r="H800" s="1" t="s">
        <v>1475</v>
      </c>
      <c r="I800" t="s">
        <v>1855</v>
      </c>
      <c r="J800" s="1" t="s">
        <v>1544</v>
      </c>
      <c r="K800" s="1" t="s">
        <v>1601</v>
      </c>
      <c r="L800" s="1" t="s">
        <v>1718</v>
      </c>
      <c r="M800" s="1" t="s">
        <v>1774</v>
      </c>
      <c r="N800" t="s">
        <v>1976</v>
      </c>
      <c r="O800" t="s">
        <v>2164</v>
      </c>
      <c r="P800" t="s">
        <v>3102</v>
      </c>
      <c r="Q800">
        <v>95.55</v>
      </c>
      <c r="R800" s="1" t="s">
        <v>1839</v>
      </c>
      <c r="S800">
        <v>857</v>
      </c>
      <c r="T800">
        <v>81886</v>
      </c>
    </row>
    <row r="801" spans="1:20" x14ac:dyDescent="0.4">
      <c r="A801" s="1" t="s">
        <v>216</v>
      </c>
      <c r="B801" s="1" t="s">
        <v>1458</v>
      </c>
      <c r="C801" s="1" t="s">
        <v>1844</v>
      </c>
      <c r="D801" s="1" t="s">
        <v>1846</v>
      </c>
      <c r="E801">
        <v>20251225</v>
      </c>
      <c r="F801" s="1" t="s">
        <v>1469</v>
      </c>
      <c r="G801">
        <v>4</v>
      </c>
      <c r="H801" s="1" t="s">
        <v>1475</v>
      </c>
      <c r="I801" t="s">
        <v>1855</v>
      </c>
      <c r="J801" s="1" t="s">
        <v>1544</v>
      </c>
      <c r="K801" s="1" t="s">
        <v>1601</v>
      </c>
      <c r="L801" s="1" t="s">
        <v>1718</v>
      </c>
      <c r="M801" s="1" t="s">
        <v>1774</v>
      </c>
      <c r="N801" t="s">
        <v>1976</v>
      </c>
      <c r="O801" t="s">
        <v>2164</v>
      </c>
      <c r="P801" t="s">
        <v>3102</v>
      </c>
      <c r="Q801">
        <v>70.7</v>
      </c>
      <c r="R801" s="1" t="s">
        <v>1839</v>
      </c>
      <c r="S801">
        <v>857</v>
      </c>
      <c r="T801">
        <v>60589</v>
      </c>
    </row>
    <row r="802" spans="1:20" x14ac:dyDescent="0.4">
      <c r="A802" s="1" t="s">
        <v>217</v>
      </c>
      <c r="B802" s="1" t="s">
        <v>1453</v>
      </c>
      <c r="C802" s="1" t="s">
        <v>1844</v>
      </c>
      <c r="D802" s="1" t="s">
        <v>1731</v>
      </c>
      <c r="E802">
        <v>20251226</v>
      </c>
      <c r="F802" s="1" t="s">
        <v>1469</v>
      </c>
      <c r="G802">
        <v>4</v>
      </c>
      <c r="H802" s="1" t="s">
        <v>1475</v>
      </c>
      <c r="I802" t="s">
        <v>1855</v>
      </c>
      <c r="J802" s="1" t="s">
        <v>1545</v>
      </c>
      <c r="K802" s="1" t="s">
        <v>1617</v>
      </c>
      <c r="L802" s="1" t="s">
        <v>1719</v>
      </c>
      <c r="M802" s="1" t="s">
        <v>1735</v>
      </c>
      <c r="N802" t="s">
        <v>1991</v>
      </c>
      <c r="O802" t="s">
        <v>2165</v>
      </c>
      <c r="P802" t="s">
        <v>3044</v>
      </c>
      <c r="Q802">
        <v>364</v>
      </c>
      <c r="R802" s="1" t="s">
        <v>1839</v>
      </c>
      <c r="S802">
        <v>4788</v>
      </c>
      <c r="T802">
        <v>1742832</v>
      </c>
    </row>
    <row r="803" spans="1:20" x14ac:dyDescent="0.4">
      <c r="A803" s="1" t="s">
        <v>218</v>
      </c>
      <c r="B803" s="1" t="s">
        <v>1453</v>
      </c>
      <c r="C803" s="1" t="s">
        <v>1844</v>
      </c>
      <c r="D803" s="1" t="s">
        <v>1731</v>
      </c>
      <c r="E803">
        <v>20251226</v>
      </c>
      <c r="F803" s="1" t="s">
        <v>1469</v>
      </c>
      <c r="G803">
        <v>4</v>
      </c>
      <c r="H803" s="1" t="s">
        <v>1475</v>
      </c>
      <c r="I803" t="s">
        <v>1855</v>
      </c>
      <c r="J803" s="1" t="s">
        <v>1544</v>
      </c>
      <c r="K803" s="1" t="s">
        <v>1618</v>
      </c>
      <c r="L803" s="1" t="s">
        <v>1718</v>
      </c>
      <c r="M803" s="1" t="s">
        <v>1775</v>
      </c>
      <c r="N803" t="s">
        <v>1992</v>
      </c>
      <c r="O803" t="s">
        <v>2164</v>
      </c>
      <c r="P803" t="s">
        <v>3103</v>
      </c>
      <c r="Q803">
        <v>88.08</v>
      </c>
      <c r="R803" s="1" t="s">
        <v>1839</v>
      </c>
      <c r="S803">
        <v>3388</v>
      </c>
      <c r="T803">
        <v>298415</v>
      </c>
    </row>
    <row r="804" spans="1:20" x14ac:dyDescent="0.4">
      <c r="A804" s="1" t="s">
        <v>218</v>
      </c>
      <c r="B804" s="1" t="s">
        <v>1454</v>
      </c>
      <c r="C804" s="1" t="s">
        <v>1844</v>
      </c>
      <c r="D804" s="1" t="s">
        <v>1731</v>
      </c>
      <c r="E804">
        <v>20251226</v>
      </c>
      <c r="F804" s="1" t="s">
        <v>1469</v>
      </c>
      <c r="G804">
        <v>4</v>
      </c>
      <c r="H804" s="1" t="s">
        <v>1475</v>
      </c>
      <c r="I804" t="s">
        <v>1855</v>
      </c>
      <c r="J804" s="1" t="s">
        <v>1544</v>
      </c>
      <c r="K804" s="1" t="s">
        <v>1618</v>
      </c>
      <c r="L804" s="1" t="s">
        <v>1718</v>
      </c>
      <c r="M804" s="1" t="s">
        <v>1775</v>
      </c>
      <c r="N804" t="s">
        <v>1992</v>
      </c>
      <c r="O804" t="s">
        <v>2164</v>
      </c>
      <c r="P804" t="s">
        <v>3103</v>
      </c>
      <c r="Q804">
        <v>112.84</v>
      </c>
      <c r="R804" s="1" t="s">
        <v>1839</v>
      </c>
      <c r="S804">
        <v>3388</v>
      </c>
      <c r="T804">
        <v>382301</v>
      </c>
    </row>
    <row r="805" spans="1:20" x14ac:dyDescent="0.4">
      <c r="A805" s="1" t="s">
        <v>218</v>
      </c>
      <c r="B805" s="1" t="s">
        <v>1455</v>
      </c>
      <c r="C805" s="1" t="s">
        <v>1844</v>
      </c>
      <c r="D805" s="1" t="s">
        <v>1731</v>
      </c>
      <c r="E805">
        <v>20251226</v>
      </c>
      <c r="F805" s="1" t="s">
        <v>1469</v>
      </c>
      <c r="G805">
        <v>4</v>
      </c>
      <c r="H805" s="1" t="s">
        <v>1475</v>
      </c>
      <c r="I805" t="s">
        <v>1855</v>
      </c>
      <c r="J805" s="1" t="s">
        <v>1544</v>
      </c>
      <c r="K805" s="1" t="s">
        <v>1618</v>
      </c>
      <c r="L805" s="1" t="s">
        <v>1718</v>
      </c>
      <c r="M805" s="1" t="s">
        <v>1775</v>
      </c>
      <c r="N805" t="s">
        <v>1992</v>
      </c>
      <c r="O805" t="s">
        <v>2164</v>
      </c>
      <c r="P805" t="s">
        <v>3103</v>
      </c>
      <c r="Q805">
        <v>98.64</v>
      </c>
      <c r="R805" s="1" t="s">
        <v>1839</v>
      </c>
      <c r="S805">
        <v>3388</v>
      </c>
      <c r="T805">
        <v>334192</v>
      </c>
    </row>
    <row r="806" spans="1:20" x14ac:dyDescent="0.4">
      <c r="A806" s="1" t="s">
        <v>218</v>
      </c>
      <c r="B806" s="1" t="s">
        <v>1456</v>
      </c>
      <c r="C806" s="1" t="s">
        <v>1844</v>
      </c>
      <c r="D806" s="1" t="s">
        <v>1731</v>
      </c>
      <c r="E806">
        <v>20251226</v>
      </c>
      <c r="F806" s="1" t="s">
        <v>1469</v>
      </c>
      <c r="G806">
        <v>4</v>
      </c>
      <c r="H806" s="1" t="s">
        <v>1475</v>
      </c>
      <c r="I806" t="s">
        <v>1855</v>
      </c>
      <c r="J806" s="1" t="s">
        <v>1544</v>
      </c>
      <c r="K806" s="1" t="s">
        <v>1618</v>
      </c>
      <c r="L806" s="1" t="s">
        <v>1718</v>
      </c>
      <c r="M806" s="1" t="s">
        <v>1775</v>
      </c>
      <c r="N806" t="s">
        <v>1992</v>
      </c>
      <c r="O806" t="s">
        <v>2164</v>
      </c>
      <c r="P806" t="s">
        <v>3103</v>
      </c>
      <c r="Q806">
        <v>112.84</v>
      </c>
      <c r="R806" s="1" t="s">
        <v>1839</v>
      </c>
      <c r="S806">
        <v>3388</v>
      </c>
      <c r="T806">
        <v>382301</v>
      </c>
    </row>
    <row r="807" spans="1:20" x14ac:dyDescent="0.4">
      <c r="A807" s="1" t="s">
        <v>218</v>
      </c>
      <c r="B807" s="1" t="s">
        <v>1457</v>
      </c>
      <c r="C807" s="1" t="s">
        <v>1844</v>
      </c>
      <c r="D807" s="1" t="s">
        <v>1731</v>
      </c>
      <c r="E807">
        <v>20251226</v>
      </c>
      <c r="F807" s="1" t="s">
        <v>1469</v>
      </c>
      <c r="G807">
        <v>4</v>
      </c>
      <c r="H807" s="1" t="s">
        <v>1475</v>
      </c>
      <c r="I807" t="s">
        <v>1855</v>
      </c>
      <c r="J807" s="1" t="s">
        <v>1544</v>
      </c>
      <c r="K807" s="1" t="s">
        <v>1618</v>
      </c>
      <c r="L807" s="1" t="s">
        <v>1718</v>
      </c>
      <c r="M807" s="1" t="s">
        <v>1775</v>
      </c>
      <c r="N807" t="s">
        <v>1992</v>
      </c>
      <c r="O807" t="s">
        <v>2164</v>
      </c>
      <c r="P807" t="s">
        <v>3103</v>
      </c>
      <c r="Q807">
        <v>112.84</v>
      </c>
      <c r="R807" s="1" t="s">
        <v>1839</v>
      </c>
      <c r="S807">
        <v>3388</v>
      </c>
      <c r="T807">
        <v>382301</v>
      </c>
    </row>
    <row r="808" spans="1:20" x14ac:dyDescent="0.4">
      <c r="A808" s="1" t="s">
        <v>218</v>
      </c>
      <c r="B808" s="1" t="s">
        <v>1458</v>
      </c>
      <c r="C808" s="1" t="s">
        <v>1844</v>
      </c>
      <c r="D808" s="1" t="s">
        <v>1731</v>
      </c>
      <c r="E808">
        <v>20251226</v>
      </c>
      <c r="F808" s="1" t="s">
        <v>1469</v>
      </c>
      <c r="G808">
        <v>4</v>
      </c>
      <c r="H808" s="1" t="s">
        <v>1475</v>
      </c>
      <c r="I808" t="s">
        <v>1855</v>
      </c>
      <c r="J808" s="1" t="s">
        <v>1544</v>
      </c>
      <c r="K808" s="1" t="s">
        <v>1618</v>
      </c>
      <c r="L808" s="1" t="s">
        <v>1718</v>
      </c>
      <c r="M808" s="1" t="s">
        <v>1775</v>
      </c>
      <c r="N808" t="s">
        <v>1992</v>
      </c>
      <c r="O808" t="s">
        <v>2164</v>
      </c>
      <c r="P808" t="s">
        <v>3103</v>
      </c>
      <c r="Q808">
        <v>112.47</v>
      </c>
      <c r="R808" s="1" t="s">
        <v>1839</v>
      </c>
      <c r="S808">
        <v>3388</v>
      </c>
      <c r="T808">
        <v>381048</v>
      </c>
    </row>
    <row r="809" spans="1:20" x14ac:dyDescent="0.4">
      <c r="A809" s="1" t="s">
        <v>219</v>
      </c>
      <c r="B809" s="1" t="s">
        <v>1453</v>
      </c>
      <c r="C809" s="1" t="s">
        <v>1844</v>
      </c>
      <c r="D809" s="1" t="s">
        <v>1731</v>
      </c>
      <c r="E809">
        <v>20251231</v>
      </c>
      <c r="F809" s="1" t="s">
        <v>1469</v>
      </c>
      <c r="G809">
        <v>4</v>
      </c>
      <c r="H809" s="1" t="s">
        <v>1475</v>
      </c>
      <c r="I809" t="s">
        <v>1855</v>
      </c>
      <c r="J809" s="1" t="s">
        <v>1544</v>
      </c>
      <c r="K809" s="1" t="s">
        <v>1619</v>
      </c>
      <c r="L809" s="1" t="s">
        <v>1725</v>
      </c>
      <c r="M809" s="1" t="s">
        <v>1737</v>
      </c>
      <c r="N809" t="s">
        <v>1993</v>
      </c>
      <c r="O809" t="s">
        <v>2157</v>
      </c>
      <c r="P809" t="s">
        <v>3104</v>
      </c>
      <c r="Q809">
        <v>196.2</v>
      </c>
      <c r="R809" s="1" t="s">
        <v>1839</v>
      </c>
      <c r="S809">
        <v>1000</v>
      </c>
      <c r="T809">
        <v>196200</v>
      </c>
    </row>
    <row r="810" spans="1:20" x14ac:dyDescent="0.4">
      <c r="A810" s="1" t="s">
        <v>220</v>
      </c>
      <c r="B810" s="1" t="s">
        <v>1453</v>
      </c>
      <c r="C810" s="1" t="s">
        <v>1844</v>
      </c>
      <c r="D810" s="1" t="s">
        <v>1731</v>
      </c>
      <c r="E810">
        <v>20251231</v>
      </c>
      <c r="F810" s="1" t="s">
        <v>1469</v>
      </c>
      <c r="G810">
        <v>4</v>
      </c>
      <c r="H810" s="1" t="s">
        <v>1475</v>
      </c>
      <c r="I810" t="s">
        <v>1855</v>
      </c>
      <c r="J810" s="1" t="s">
        <v>1549</v>
      </c>
      <c r="K810" s="1" t="s">
        <v>1619</v>
      </c>
      <c r="L810" s="1" t="s">
        <v>1725</v>
      </c>
      <c r="M810" s="1" t="s">
        <v>1737</v>
      </c>
      <c r="N810" t="s">
        <v>1994</v>
      </c>
      <c r="O810" t="s">
        <v>2157</v>
      </c>
      <c r="P810" t="s">
        <v>3105</v>
      </c>
      <c r="Q810">
        <v>50</v>
      </c>
      <c r="R810" s="1" t="s">
        <v>1839</v>
      </c>
      <c r="S810">
        <v>1000</v>
      </c>
      <c r="T810">
        <v>50000</v>
      </c>
    </row>
    <row r="811" spans="1:20" x14ac:dyDescent="0.4">
      <c r="A811" s="1" t="s">
        <v>221</v>
      </c>
      <c r="B811" s="1" t="s">
        <v>1453</v>
      </c>
      <c r="C811" s="1" t="s">
        <v>1844</v>
      </c>
      <c r="D811" s="1" t="s">
        <v>1731</v>
      </c>
      <c r="E811">
        <v>20251231</v>
      </c>
      <c r="F811" s="1" t="s">
        <v>1469</v>
      </c>
      <c r="G811">
        <v>4</v>
      </c>
      <c r="H811" s="1" t="s">
        <v>1475</v>
      </c>
      <c r="I811" t="s">
        <v>1855</v>
      </c>
      <c r="J811" s="1" t="s">
        <v>1548</v>
      </c>
      <c r="K811" s="1" t="s">
        <v>1619</v>
      </c>
      <c r="L811" s="1" t="s">
        <v>1725</v>
      </c>
      <c r="M811" s="1" t="s">
        <v>1737</v>
      </c>
      <c r="N811" t="s">
        <v>1995</v>
      </c>
      <c r="O811" t="s">
        <v>2157</v>
      </c>
      <c r="P811" t="s">
        <v>3106</v>
      </c>
      <c r="Q811">
        <v>135</v>
      </c>
      <c r="R811" s="1" t="s">
        <v>1839</v>
      </c>
      <c r="S811">
        <v>1000</v>
      </c>
      <c r="T811">
        <v>135000</v>
      </c>
    </row>
    <row r="812" spans="1:20" x14ac:dyDescent="0.4">
      <c r="A812" s="1" t="s">
        <v>222</v>
      </c>
      <c r="B812" s="1" t="s">
        <v>1453</v>
      </c>
      <c r="C812" s="1" t="s">
        <v>1844</v>
      </c>
      <c r="D812" s="1" t="s">
        <v>1731</v>
      </c>
      <c r="E812">
        <v>20251231</v>
      </c>
      <c r="F812" s="1" t="s">
        <v>1469</v>
      </c>
      <c r="G812">
        <v>4</v>
      </c>
      <c r="H812" s="1" t="s">
        <v>1475</v>
      </c>
      <c r="I812" t="s">
        <v>1855</v>
      </c>
      <c r="J812" s="1" t="s">
        <v>1545</v>
      </c>
      <c r="K812" s="1" t="s">
        <v>1619</v>
      </c>
      <c r="L812" s="1" t="s">
        <v>1725</v>
      </c>
      <c r="M812" s="1" t="s">
        <v>1737</v>
      </c>
      <c r="N812" t="s">
        <v>1996</v>
      </c>
      <c r="O812" t="s">
        <v>2157</v>
      </c>
      <c r="P812" t="s">
        <v>3107</v>
      </c>
      <c r="Q812">
        <v>299.2</v>
      </c>
      <c r="R812" s="1" t="s">
        <v>1839</v>
      </c>
      <c r="S812">
        <v>1000</v>
      </c>
      <c r="T812">
        <v>299200</v>
      </c>
    </row>
    <row r="813" spans="1:20" hidden="1" x14ac:dyDescent="0.4">
      <c r="A813" s="1" t="s">
        <v>223</v>
      </c>
      <c r="B813" s="1" t="s">
        <v>1453</v>
      </c>
      <c r="C813" s="1" t="s">
        <v>1845</v>
      </c>
      <c r="D813" s="1" t="s">
        <v>1731</v>
      </c>
      <c r="E813">
        <v>20251202</v>
      </c>
      <c r="F813" s="1" t="s">
        <v>1469</v>
      </c>
      <c r="G813">
        <v>1</v>
      </c>
      <c r="H813" s="1" t="s">
        <v>1475</v>
      </c>
      <c r="I813" t="s">
        <v>1855</v>
      </c>
      <c r="J813" s="1" t="s">
        <v>1545</v>
      </c>
      <c r="K813" s="1" t="s">
        <v>1593</v>
      </c>
      <c r="L813" s="1" t="s">
        <v>1716</v>
      </c>
      <c r="M813" s="1" t="s">
        <v>1762</v>
      </c>
      <c r="N813" t="s">
        <v>1968</v>
      </c>
      <c r="O813" t="s">
        <v>2162</v>
      </c>
      <c r="P813" t="s">
        <v>3108</v>
      </c>
      <c r="Q813">
        <v>510.42</v>
      </c>
      <c r="R813" s="1" t="s">
        <v>1463</v>
      </c>
      <c r="S813">
        <v>1250</v>
      </c>
      <c r="T813">
        <v>638025</v>
      </c>
    </row>
    <row r="814" spans="1:20" hidden="1" x14ac:dyDescent="0.4">
      <c r="A814" s="1" t="s">
        <v>224</v>
      </c>
      <c r="B814" s="1" t="s">
        <v>1453</v>
      </c>
      <c r="C814" s="1" t="s">
        <v>1845</v>
      </c>
      <c r="D814" s="1" t="s">
        <v>1731</v>
      </c>
      <c r="E814">
        <v>20251202</v>
      </c>
      <c r="F814" s="1" t="s">
        <v>1469</v>
      </c>
      <c r="G814">
        <v>1</v>
      </c>
      <c r="H814" s="1" t="s">
        <v>1475</v>
      </c>
      <c r="I814" t="s">
        <v>1855</v>
      </c>
      <c r="J814" s="1" t="s">
        <v>1545</v>
      </c>
      <c r="K814" s="1" t="s">
        <v>1617</v>
      </c>
      <c r="L814" s="1" t="s">
        <v>1716</v>
      </c>
      <c r="M814" s="1" t="s">
        <v>1735</v>
      </c>
      <c r="N814" t="s">
        <v>1991</v>
      </c>
      <c r="O814" t="s">
        <v>2162</v>
      </c>
      <c r="P814" t="s">
        <v>3044</v>
      </c>
      <c r="Q814">
        <v>755.8</v>
      </c>
      <c r="R814" s="1" t="s">
        <v>1463</v>
      </c>
      <c r="S814">
        <v>1266.99</v>
      </c>
      <c r="T814">
        <v>957598</v>
      </c>
    </row>
    <row r="815" spans="1:20" hidden="1" x14ac:dyDescent="0.4">
      <c r="A815" s="1" t="s">
        <v>225</v>
      </c>
      <c r="B815" s="1" t="s">
        <v>1453</v>
      </c>
      <c r="C815" s="1" t="s">
        <v>1845</v>
      </c>
      <c r="D815" s="1" t="s">
        <v>1731</v>
      </c>
      <c r="E815">
        <v>20251202</v>
      </c>
      <c r="F815" s="1" t="s">
        <v>1469</v>
      </c>
      <c r="G815">
        <v>1</v>
      </c>
      <c r="H815" s="1" t="s">
        <v>1475</v>
      </c>
      <c r="I815" t="s">
        <v>1855</v>
      </c>
      <c r="J815" s="1" t="s">
        <v>1544</v>
      </c>
      <c r="K815" s="1" t="s">
        <v>1601</v>
      </c>
      <c r="L815" s="1" t="s">
        <v>1716</v>
      </c>
      <c r="M815" s="1" t="s">
        <v>1767</v>
      </c>
      <c r="N815" t="s">
        <v>1976</v>
      </c>
      <c r="O815" t="s">
        <v>2162</v>
      </c>
      <c r="P815" t="s">
        <v>3085</v>
      </c>
      <c r="Q815">
        <v>2317</v>
      </c>
      <c r="R815" s="1" t="s">
        <v>1463</v>
      </c>
      <c r="S815">
        <v>560</v>
      </c>
      <c r="T815">
        <v>1297520</v>
      </c>
    </row>
    <row r="816" spans="1:20" hidden="1" x14ac:dyDescent="0.4">
      <c r="A816" s="1" t="s">
        <v>225</v>
      </c>
      <c r="B816" s="1" t="s">
        <v>1454</v>
      </c>
      <c r="C816" s="1" t="s">
        <v>1845</v>
      </c>
      <c r="D816" s="1" t="s">
        <v>1731</v>
      </c>
      <c r="E816">
        <v>20251202</v>
      </c>
      <c r="F816" s="1" t="s">
        <v>1469</v>
      </c>
      <c r="G816">
        <v>1</v>
      </c>
      <c r="H816" s="1" t="s">
        <v>1475</v>
      </c>
      <c r="I816" t="s">
        <v>1855</v>
      </c>
      <c r="J816" s="1" t="s">
        <v>1544</v>
      </c>
      <c r="K816" s="1" t="s">
        <v>1582</v>
      </c>
      <c r="L816" s="1" t="s">
        <v>1716</v>
      </c>
      <c r="M816" s="1" t="s">
        <v>1776</v>
      </c>
      <c r="N816" t="s">
        <v>1957</v>
      </c>
      <c r="O816" t="s">
        <v>2162</v>
      </c>
      <c r="P816" t="s">
        <v>3109</v>
      </c>
      <c r="Q816">
        <v>749.45</v>
      </c>
      <c r="R816" s="1" t="s">
        <v>1463</v>
      </c>
      <c r="S816">
        <v>994.99</v>
      </c>
      <c r="T816">
        <v>745702</v>
      </c>
    </row>
    <row r="817" spans="1:20" hidden="1" x14ac:dyDescent="0.4">
      <c r="A817" s="1" t="s">
        <v>226</v>
      </c>
      <c r="B817" s="1" t="s">
        <v>1453</v>
      </c>
      <c r="C817" s="1" t="s">
        <v>1845</v>
      </c>
      <c r="D817" s="1" t="s">
        <v>1464</v>
      </c>
      <c r="E817">
        <v>20251201</v>
      </c>
      <c r="F817" s="1" t="s">
        <v>1469</v>
      </c>
      <c r="G817">
        <v>2</v>
      </c>
      <c r="H817" s="1" t="s">
        <v>1477</v>
      </c>
      <c r="I817" t="s">
        <v>1857</v>
      </c>
      <c r="J817" s="1" t="s">
        <v>1548</v>
      </c>
      <c r="K817" s="1" t="s">
        <v>1604</v>
      </c>
      <c r="L817" s="1" t="s">
        <v>1726</v>
      </c>
      <c r="M817" s="1" t="s">
        <v>1737</v>
      </c>
      <c r="N817" t="s">
        <v>1979</v>
      </c>
      <c r="O817" t="s">
        <v>2171</v>
      </c>
      <c r="P817" t="s">
        <v>3090</v>
      </c>
      <c r="Q817">
        <v>3128.32</v>
      </c>
      <c r="R817" s="1" t="s">
        <v>1839</v>
      </c>
      <c r="S817">
        <v>60</v>
      </c>
      <c r="T817">
        <v>187699</v>
      </c>
    </row>
    <row r="818" spans="1:20" hidden="1" x14ac:dyDescent="0.4">
      <c r="A818" s="1" t="s">
        <v>227</v>
      </c>
      <c r="B818" s="1" t="s">
        <v>1453</v>
      </c>
      <c r="C818" s="1" t="s">
        <v>1845</v>
      </c>
      <c r="D818" s="1" t="s">
        <v>1464</v>
      </c>
      <c r="E818">
        <v>20251201</v>
      </c>
      <c r="F818" s="1" t="s">
        <v>1469</v>
      </c>
      <c r="G818">
        <v>2</v>
      </c>
      <c r="H818" s="1" t="s">
        <v>1478</v>
      </c>
      <c r="I818" t="s">
        <v>1858</v>
      </c>
      <c r="J818" s="1" t="s">
        <v>1544</v>
      </c>
      <c r="K818" s="1" t="s">
        <v>1585</v>
      </c>
      <c r="L818" s="1" t="s">
        <v>1726</v>
      </c>
      <c r="M818" s="1" t="s">
        <v>1754</v>
      </c>
      <c r="N818" t="s">
        <v>1960</v>
      </c>
      <c r="O818" t="s">
        <v>2171</v>
      </c>
      <c r="P818" t="s">
        <v>3067</v>
      </c>
      <c r="Q818">
        <v>1223.04</v>
      </c>
      <c r="R818" s="1" t="s">
        <v>1839</v>
      </c>
      <c r="S818">
        <v>173</v>
      </c>
      <c r="T818">
        <v>211585</v>
      </c>
    </row>
    <row r="819" spans="1:20" hidden="1" x14ac:dyDescent="0.4">
      <c r="A819" s="1" t="s">
        <v>228</v>
      </c>
      <c r="B819" s="1" t="s">
        <v>1453</v>
      </c>
      <c r="C819" s="1" t="s">
        <v>1845</v>
      </c>
      <c r="D819" s="1" t="s">
        <v>1464</v>
      </c>
      <c r="E819">
        <v>20251201</v>
      </c>
      <c r="F819" s="1" t="s">
        <v>1469</v>
      </c>
      <c r="G819">
        <v>2</v>
      </c>
      <c r="H819" s="1" t="s">
        <v>1478</v>
      </c>
      <c r="I819" t="s">
        <v>1858</v>
      </c>
      <c r="J819" s="1" t="s">
        <v>1545</v>
      </c>
      <c r="K819" s="1" t="s">
        <v>1592</v>
      </c>
      <c r="L819" s="1" t="s">
        <v>1726</v>
      </c>
      <c r="M819" s="1" t="s">
        <v>1761</v>
      </c>
      <c r="N819" t="s">
        <v>1967</v>
      </c>
      <c r="O819" t="s">
        <v>2171</v>
      </c>
      <c r="P819" t="s">
        <v>3076</v>
      </c>
      <c r="Q819">
        <v>262.08</v>
      </c>
      <c r="R819" s="1" t="s">
        <v>1839</v>
      </c>
      <c r="S819">
        <v>280</v>
      </c>
      <c r="T819">
        <v>73382</v>
      </c>
    </row>
    <row r="820" spans="1:20" hidden="1" x14ac:dyDescent="0.4">
      <c r="A820" s="1" t="s">
        <v>229</v>
      </c>
      <c r="B820" s="1" t="s">
        <v>1453</v>
      </c>
      <c r="C820" s="1" t="s">
        <v>1845</v>
      </c>
      <c r="D820" s="1" t="s">
        <v>1462</v>
      </c>
      <c r="E820">
        <v>20251201</v>
      </c>
      <c r="F820" s="1" t="s">
        <v>1469</v>
      </c>
      <c r="G820">
        <v>1</v>
      </c>
      <c r="H820" s="1" t="s">
        <v>1479</v>
      </c>
      <c r="I820" t="s">
        <v>1859</v>
      </c>
      <c r="J820" s="1" t="s">
        <v>1544</v>
      </c>
      <c r="K820" s="1" t="s">
        <v>1583</v>
      </c>
      <c r="L820" s="1" t="s">
        <v>1716</v>
      </c>
      <c r="M820" s="1" t="s">
        <v>1760</v>
      </c>
      <c r="N820" t="s">
        <v>1958</v>
      </c>
      <c r="O820" t="s">
        <v>2162</v>
      </c>
      <c r="P820" t="s">
        <v>3075</v>
      </c>
      <c r="Q820">
        <v>1199.8</v>
      </c>
      <c r="R820" s="1" t="s">
        <v>1463</v>
      </c>
      <c r="S820">
        <v>1120</v>
      </c>
      <c r="T820">
        <v>1343776</v>
      </c>
    </row>
    <row r="821" spans="1:20" hidden="1" x14ac:dyDescent="0.4">
      <c r="A821" s="1" t="s">
        <v>230</v>
      </c>
      <c r="B821" s="1" t="s">
        <v>1453</v>
      </c>
      <c r="C821" s="1" t="s">
        <v>1845</v>
      </c>
      <c r="D821" s="1" t="s">
        <v>1731</v>
      </c>
      <c r="E821">
        <v>20251202</v>
      </c>
      <c r="F821" s="1" t="s">
        <v>1469</v>
      </c>
      <c r="G821">
        <v>1</v>
      </c>
      <c r="H821" s="1" t="s">
        <v>1475</v>
      </c>
      <c r="I821" t="s">
        <v>1855</v>
      </c>
      <c r="J821" s="1" t="s">
        <v>1544</v>
      </c>
      <c r="K821" s="1" t="s">
        <v>1598</v>
      </c>
      <c r="L821" s="1" t="s">
        <v>1716</v>
      </c>
      <c r="M821" s="1" t="s">
        <v>1765</v>
      </c>
      <c r="N821" t="s">
        <v>1973</v>
      </c>
      <c r="O821" t="s">
        <v>2162</v>
      </c>
      <c r="P821" t="s">
        <v>3084</v>
      </c>
      <c r="Q821">
        <v>1169.3</v>
      </c>
      <c r="R821" s="1" t="s">
        <v>1463</v>
      </c>
      <c r="S821">
        <v>1450</v>
      </c>
      <c r="T821">
        <v>1695485</v>
      </c>
    </row>
    <row r="822" spans="1:20" hidden="1" x14ac:dyDescent="0.4">
      <c r="A822" s="1" t="s">
        <v>231</v>
      </c>
      <c r="B822" s="1" t="s">
        <v>1453</v>
      </c>
      <c r="C822" s="1" t="s">
        <v>1845</v>
      </c>
      <c r="D822" s="1" t="s">
        <v>1462</v>
      </c>
      <c r="E822">
        <v>20251203</v>
      </c>
      <c r="F822" s="1" t="s">
        <v>1469</v>
      </c>
      <c r="G822">
        <v>1</v>
      </c>
      <c r="H822" s="1" t="s">
        <v>1480</v>
      </c>
      <c r="I822" t="s">
        <v>1860</v>
      </c>
      <c r="J822" s="1" t="s">
        <v>1550</v>
      </c>
      <c r="K822" s="1" t="s">
        <v>1620</v>
      </c>
      <c r="L822" s="1" t="s">
        <v>1717</v>
      </c>
      <c r="M822" s="1" t="s">
        <v>1737</v>
      </c>
      <c r="N822" t="s">
        <v>1997</v>
      </c>
      <c r="O822" t="s">
        <v>2163</v>
      </c>
      <c r="P822" t="s">
        <v>2157</v>
      </c>
      <c r="Q822">
        <v>10226</v>
      </c>
      <c r="R822" s="1" t="s">
        <v>1463</v>
      </c>
      <c r="S822">
        <v>148</v>
      </c>
      <c r="T822">
        <v>1513448</v>
      </c>
    </row>
    <row r="823" spans="1:20" hidden="1" x14ac:dyDescent="0.4">
      <c r="A823" s="1" t="s">
        <v>232</v>
      </c>
      <c r="B823" s="1" t="s">
        <v>1453</v>
      </c>
      <c r="C823" s="1" t="s">
        <v>1845</v>
      </c>
      <c r="D823" s="1" t="s">
        <v>1462</v>
      </c>
      <c r="E823">
        <v>20251201</v>
      </c>
      <c r="F823" s="1" t="s">
        <v>1469</v>
      </c>
      <c r="G823">
        <v>1</v>
      </c>
      <c r="H823" s="1" t="s">
        <v>1481</v>
      </c>
      <c r="I823" t="s">
        <v>1861</v>
      </c>
      <c r="J823" s="1" t="s">
        <v>1547</v>
      </c>
      <c r="K823" s="1" t="s">
        <v>1621</v>
      </c>
      <c r="L823" s="1" t="s">
        <v>1721</v>
      </c>
      <c r="M823" s="1" t="s">
        <v>1737</v>
      </c>
      <c r="N823" t="s">
        <v>1998</v>
      </c>
      <c r="O823" t="s">
        <v>2167</v>
      </c>
      <c r="P823" t="s">
        <v>3110</v>
      </c>
      <c r="Q823">
        <v>546</v>
      </c>
      <c r="R823" s="1" t="s">
        <v>1839</v>
      </c>
      <c r="S823">
        <v>69.099999999999994</v>
      </c>
      <c r="T823">
        <v>37728</v>
      </c>
    </row>
    <row r="824" spans="1:20" hidden="1" x14ac:dyDescent="0.4">
      <c r="A824" s="1" t="s">
        <v>232</v>
      </c>
      <c r="B824" s="1" t="s">
        <v>1454</v>
      </c>
      <c r="C824" s="1" t="s">
        <v>1845</v>
      </c>
      <c r="D824" s="1" t="s">
        <v>1462</v>
      </c>
      <c r="E824">
        <v>20251201</v>
      </c>
      <c r="F824" s="1" t="s">
        <v>1469</v>
      </c>
      <c r="G824">
        <v>1</v>
      </c>
      <c r="H824" s="1" t="s">
        <v>1481</v>
      </c>
      <c r="I824" t="s">
        <v>1861</v>
      </c>
      <c r="J824" s="1" t="s">
        <v>1547</v>
      </c>
      <c r="K824" s="1" t="s">
        <v>1621</v>
      </c>
      <c r="L824" s="1" t="s">
        <v>1721</v>
      </c>
      <c r="M824" s="1" t="s">
        <v>1737</v>
      </c>
      <c r="N824" t="s">
        <v>1998</v>
      </c>
      <c r="O824" t="s">
        <v>2167</v>
      </c>
      <c r="P824" t="s">
        <v>3110</v>
      </c>
      <c r="Q824">
        <v>787.5</v>
      </c>
      <c r="R824" s="1" t="s">
        <v>1839</v>
      </c>
      <c r="S824">
        <v>69.099999999999994</v>
      </c>
      <c r="T824">
        <v>54416</v>
      </c>
    </row>
    <row r="825" spans="1:20" hidden="1" x14ac:dyDescent="0.4">
      <c r="A825" s="1" t="s">
        <v>233</v>
      </c>
      <c r="B825" s="1" t="s">
        <v>1453</v>
      </c>
      <c r="C825" s="1" t="s">
        <v>1845</v>
      </c>
      <c r="D825" s="1" t="s">
        <v>1462</v>
      </c>
      <c r="E825">
        <v>20251201</v>
      </c>
      <c r="F825" s="1" t="s">
        <v>1469</v>
      </c>
      <c r="G825">
        <v>1</v>
      </c>
      <c r="H825" s="1" t="s">
        <v>1481</v>
      </c>
      <c r="I825" t="s">
        <v>1861</v>
      </c>
      <c r="J825" s="1" t="s">
        <v>1547</v>
      </c>
      <c r="K825" s="1" t="s">
        <v>1622</v>
      </c>
      <c r="L825" s="1" t="s">
        <v>1721</v>
      </c>
      <c r="M825" s="1" t="s">
        <v>1737</v>
      </c>
      <c r="N825" t="s">
        <v>1999</v>
      </c>
      <c r="O825" t="s">
        <v>2167</v>
      </c>
      <c r="P825" t="s">
        <v>3111</v>
      </c>
      <c r="Q825">
        <v>2280</v>
      </c>
      <c r="R825" s="1" t="s">
        <v>1839</v>
      </c>
      <c r="S825">
        <v>70.8</v>
      </c>
      <c r="T825">
        <v>161424</v>
      </c>
    </row>
    <row r="826" spans="1:20" hidden="1" x14ac:dyDescent="0.4">
      <c r="A826" s="1" t="s">
        <v>234</v>
      </c>
      <c r="B826" s="1" t="s">
        <v>1453</v>
      </c>
      <c r="C826" s="1" t="s">
        <v>1845</v>
      </c>
      <c r="D826" s="1" t="s">
        <v>1462</v>
      </c>
      <c r="E826">
        <v>20251201</v>
      </c>
      <c r="F826" s="1" t="s">
        <v>1469</v>
      </c>
      <c r="G826">
        <v>1</v>
      </c>
      <c r="H826" s="1" t="s">
        <v>1481</v>
      </c>
      <c r="I826" t="s">
        <v>1861</v>
      </c>
      <c r="J826" s="1" t="s">
        <v>1547</v>
      </c>
      <c r="K826" s="1" t="s">
        <v>1623</v>
      </c>
      <c r="L826" s="1" t="s">
        <v>1721</v>
      </c>
      <c r="M826" s="1" t="s">
        <v>1737</v>
      </c>
      <c r="N826" t="s">
        <v>2000</v>
      </c>
      <c r="O826" t="s">
        <v>2167</v>
      </c>
      <c r="P826" t="s">
        <v>3112</v>
      </c>
      <c r="Q826">
        <v>4560</v>
      </c>
      <c r="R826" s="1" t="s">
        <v>1839</v>
      </c>
      <c r="S826">
        <v>77.900000000000006</v>
      </c>
      <c r="T826">
        <v>355224</v>
      </c>
    </row>
    <row r="827" spans="1:20" hidden="1" x14ac:dyDescent="0.4">
      <c r="A827" s="1" t="s">
        <v>234</v>
      </c>
      <c r="B827" s="1" t="s">
        <v>1454</v>
      </c>
      <c r="C827" s="1" t="s">
        <v>1845</v>
      </c>
      <c r="D827" s="1" t="s">
        <v>1462</v>
      </c>
      <c r="E827">
        <v>20251201</v>
      </c>
      <c r="F827" s="1" t="s">
        <v>1469</v>
      </c>
      <c r="G827">
        <v>1</v>
      </c>
      <c r="H827" s="1" t="s">
        <v>1481</v>
      </c>
      <c r="I827" t="s">
        <v>1861</v>
      </c>
      <c r="J827" s="1" t="s">
        <v>1547</v>
      </c>
      <c r="K827" s="1" t="s">
        <v>1624</v>
      </c>
      <c r="L827" s="1" t="s">
        <v>1721</v>
      </c>
      <c r="M827" s="1" t="s">
        <v>1737</v>
      </c>
      <c r="N827" t="s">
        <v>2001</v>
      </c>
      <c r="O827" t="s">
        <v>2167</v>
      </c>
      <c r="P827" t="s">
        <v>3112</v>
      </c>
      <c r="Q827">
        <v>2280</v>
      </c>
      <c r="R827" s="1" t="s">
        <v>1839</v>
      </c>
      <c r="S827">
        <v>71.900000000000006</v>
      </c>
      <c r="T827">
        <v>163932</v>
      </c>
    </row>
    <row r="828" spans="1:20" hidden="1" x14ac:dyDescent="0.4">
      <c r="A828" s="1" t="s">
        <v>235</v>
      </c>
      <c r="B828" s="1" t="s">
        <v>1453</v>
      </c>
      <c r="C828" s="1" t="s">
        <v>1845</v>
      </c>
      <c r="D828" s="1" t="s">
        <v>1464</v>
      </c>
      <c r="E828">
        <v>20251201</v>
      </c>
      <c r="F828" s="1" t="s">
        <v>1469</v>
      </c>
      <c r="G828">
        <v>2</v>
      </c>
      <c r="H828" s="1" t="s">
        <v>1482</v>
      </c>
      <c r="I828" t="s">
        <v>1862</v>
      </c>
      <c r="J828" s="1" t="s">
        <v>1544</v>
      </c>
      <c r="K828" s="1" t="s">
        <v>1584</v>
      </c>
      <c r="L828" s="1" t="s">
        <v>1726</v>
      </c>
      <c r="M828" s="1" t="s">
        <v>1752</v>
      </c>
      <c r="N828" t="s">
        <v>1959</v>
      </c>
      <c r="O828" t="s">
        <v>2171</v>
      </c>
      <c r="P828" t="s">
        <v>3065</v>
      </c>
      <c r="Q828">
        <v>571.48</v>
      </c>
      <c r="R828" s="1" t="s">
        <v>1839</v>
      </c>
      <c r="S828">
        <v>80</v>
      </c>
      <c r="T828">
        <v>45718</v>
      </c>
    </row>
    <row r="829" spans="1:20" hidden="1" x14ac:dyDescent="0.4">
      <c r="A829" s="1" t="s">
        <v>236</v>
      </c>
      <c r="B829" s="1" t="s">
        <v>1453</v>
      </c>
      <c r="C829" s="1" t="s">
        <v>1845</v>
      </c>
      <c r="D829" s="1" t="s">
        <v>1464</v>
      </c>
      <c r="E829">
        <v>20251201</v>
      </c>
      <c r="F829" s="1" t="s">
        <v>1469</v>
      </c>
      <c r="G829">
        <v>2</v>
      </c>
      <c r="H829" s="1" t="s">
        <v>1482</v>
      </c>
      <c r="I829" t="s">
        <v>1862</v>
      </c>
      <c r="J829" s="1" t="s">
        <v>1544</v>
      </c>
      <c r="K829" s="1" t="s">
        <v>1584</v>
      </c>
      <c r="L829" s="1" t="s">
        <v>1726</v>
      </c>
      <c r="M829" s="1" t="s">
        <v>1753</v>
      </c>
      <c r="N829" t="s">
        <v>1959</v>
      </c>
      <c r="O829" t="s">
        <v>2171</v>
      </c>
      <c r="P829" t="s">
        <v>3066</v>
      </c>
      <c r="Q829">
        <v>582.4</v>
      </c>
      <c r="R829" s="1" t="s">
        <v>1839</v>
      </c>
      <c r="S829">
        <v>80</v>
      </c>
      <c r="T829">
        <v>46592</v>
      </c>
    </row>
    <row r="830" spans="1:20" hidden="1" x14ac:dyDescent="0.4">
      <c r="A830" s="1" t="s">
        <v>237</v>
      </c>
      <c r="B830" s="1" t="s">
        <v>1453</v>
      </c>
      <c r="C830" s="1" t="s">
        <v>1845</v>
      </c>
      <c r="D830" s="1" t="s">
        <v>1731</v>
      </c>
      <c r="E830">
        <v>20251203</v>
      </c>
      <c r="F830" s="1" t="s">
        <v>1469</v>
      </c>
      <c r="G830">
        <v>1</v>
      </c>
      <c r="H830" s="1" t="s">
        <v>1475</v>
      </c>
      <c r="I830" t="s">
        <v>1855</v>
      </c>
      <c r="J830" s="1" t="s">
        <v>1544</v>
      </c>
      <c r="K830" s="1" t="s">
        <v>1605</v>
      </c>
      <c r="L830" s="1" t="s">
        <v>1716</v>
      </c>
      <c r="M830" s="1" t="s">
        <v>1761</v>
      </c>
      <c r="N830" t="s">
        <v>1980</v>
      </c>
      <c r="O830" t="s">
        <v>2162</v>
      </c>
      <c r="P830" t="s">
        <v>3091</v>
      </c>
      <c r="Q830">
        <v>1170</v>
      </c>
      <c r="R830" s="1" t="s">
        <v>1463</v>
      </c>
      <c r="S830">
        <v>1795</v>
      </c>
      <c r="T830">
        <v>2100150</v>
      </c>
    </row>
    <row r="831" spans="1:20" hidden="1" x14ac:dyDescent="0.4">
      <c r="A831" s="1" t="s">
        <v>238</v>
      </c>
      <c r="B831" s="1" t="s">
        <v>1453</v>
      </c>
      <c r="C831" s="1" t="s">
        <v>1845</v>
      </c>
      <c r="D831" s="1" t="s">
        <v>1731</v>
      </c>
      <c r="E831">
        <v>20251202</v>
      </c>
      <c r="F831" s="1" t="s">
        <v>1469</v>
      </c>
      <c r="G831">
        <v>1</v>
      </c>
      <c r="H831" s="1" t="s">
        <v>1475</v>
      </c>
      <c r="I831" t="s">
        <v>1855</v>
      </c>
      <c r="J831" s="1" t="s">
        <v>1547</v>
      </c>
      <c r="K831" s="1" t="s">
        <v>1625</v>
      </c>
      <c r="L831" s="1" t="s">
        <v>1721</v>
      </c>
      <c r="M831" s="1" t="s">
        <v>1737</v>
      </c>
      <c r="N831" t="s">
        <v>2002</v>
      </c>
      <c r="O831" t="s">
        <v>2167</v>
      </c>
      <c r="P831" t="s">
        <v>3113</v>
      </c>
      <c r="Q831">
        <v>3240</v>
      </c>
      <c r="R831" s="1" t="s">
        <v>1839</v>
      </c>
      <c r="S831">
        <v>63.3</v>
      </c>
      <c r="T831">
        <v>205092</v>
      </c>
    </row>
    <row r="832" spans="1:20" hidden="1" x14ac:dyDescent="0.4">
      <c r="A832" s="1" t="s">
        <v>239</v>
      </c>
      <c r="B832" s="1" t="s">
        <v>1453</v>
      </c>
      <c r="C832" s="1" t="s">
        <v>1845</v>
      </c>
      <c r="D832" s="1" t="s">
        <v>1731</v>
      </c>
      <c r="E832">
        <v>20251202</v>
      </c>
      <c r="F832" s="1" t="s">
        <v>1469</v>
      </c>
      <c r="G832">
        <v>1</v>
      </c>
      <c r="H832" s="1" t="s">
        <v>1475</v>
      </c>
      <c r="I832" t="s">
        <v>1855</v>
      </c>
      <c r="J832" s="1" t="s">
        <v>1547</v>
      </c>
      <c r="K832" s="1" t="s">
        <v>1626</v>
      </c>
      <c r="L832" s="1" t="s">
        <v>1721</v>
      </c>
      <c r="M832" s="1" t="s">
        <v>1737</v>
      </c>
      <c r="N832" t="s">
        <v>2003</v>
      </c>
      <c r="O832" t="s">
        <v>2167</v>
      </c>
      <c r="P832" t="s">
        <v>3114</v>
      </c>
      <c r="Q832">
        <v>2070</v>
      </c>
      <c r="R832" s="1" t="s">
        <v>1839</v>
      </c>
      <c r="S832">
        <v>121</v>
      </c>
      <c r="T832">
        <v>250470</v>
      </c>
    </row>
    <row r="833" spans="1:20" hidden="1" x14ac:dyDescent="0.4">
      <c r="A833" s="1" t="s">
        <v>240</v>
      </c>
      <c r="B833" s="1" t="s">
        <v>1453</v>
      </c>
      <c r="C833" s="1" t="s">
        <v>1845</v>
      </c>
      <c r="D833" s="1" t="s">
        <v>1731</v>
      </c>
      <c r="E833">
        <v>20251208</v>
      </c>
      <c r="F833" s="1" t="s">
        <v>1469</v>
      </c>
      <c r="G833">
        <v>1</v>
      </c>
      <c r="H833" s="1" t="s">
        <v>1475</v>
      </c>
      <c r="I833" t="s">
        <v>1855</v>
      </c>
      <c r="J833" s="1" t="s">
        <v>1547</v>
      </c>
      <c r="K833" s="1" t="s">
        <v>1627</v>
      </c>
      <c r="L833" s="1" t="s">
        <v>1721</v>
      </c>
      <c r="M833" s="1" t="s">
        <v>1737</v>
      </c>
      <c r="N833" t="s">
        <v>2004</v>
      </c>
      <c r="O833" t="s">
        <v>2167</v>
      </c>
      <c r="P833" t="s">
        <v>3115</v>
      </c>
      <c r="Q833">
        <v>3600.96</v>
      </c>
      <c r="R833" s="1" t="s">
        <v>1839</v>
      </c>
      <c r="S833">
        <v>148.99</v>
      </c>
      <c r="T833">
        <v>536543</v>
      </c>
    </row>
    <row r="834" spans="1:20" hidden="1" x14ac:dyDescent="0.4">
      <c r="A834" s="1" t="s">
        <v>241</v>
      </c>
      <c r="B834" s="1" t="s">
        <v>1453</v>
      </c>
      <c r="C834" s="1" t="s">
        <v>1845</v>
      </c>
      <c r="D834" s="1" t="s">
        <v>1733</v>
      </c>
      <c r="E834">
        <v>20251208</v>
      </c>
      <c r="F834" s="1" t="s">
        <v>1469</v>
      </c>
      <c r="G834">
        <v>1</v>
      </c>
      <c r="H834" s="1" t="s">
        <v>1475</v>
      </c>
      <c r="I834" t="s">
        <v>1855</v>
      </c>
      <c r="J834" s="1" t="s">
        <v>1547</v>
      </c>
      <c r="K834" s="1" t="s">
        <v>1627</v>
      </c>
      <c r="L834" s="1" t="s">
        <v>1721</v>
      </c>
      <c r="M834" s="1" t="s">
        <v>1737</v>
      </c>
      <c r="N834" t="s">
        <v>2004</v>
      </c>
      <c r="O834" t="s">
        <v>2167</v>
      </c>
      <c r="P834" t="s">
        <v>3115</v>
      </c>
      <c r="Q834">
        <v>-3600.96</v>
      </c>
      <c r="R834" s="1" t="s">
        <v>1839</v>
      </c>
      <c r="S834">
        <v>148.99</v>
      </c>
      <c r="T834">
        <v>-536543</v>
      </c>
    </row>
    <row r="835" spans="1:20" hidden="1" x14ac:dyDescent="0.4">
      <c r="A835" s="1" t="s">
        <v>242</v>
      </c>
      <c r="B835" s="1" t="s">
        <v>1453</v>
      </c>
      <c r="C835" s="1" t="s">
        <v>1845</v>
      </c>
      <c r="D835" s="1" t="s">
        <v>1731</v>
      </c>
      <c r="E835">
        <v>20251208</v>
      </c>
      <c r="F835" s="1" t="s">
        <v>1469</v>
      </c>
      <c r="G835">
        <v>1</v>
      </c>
      <c r="H835" s="1" t="s">
        <v>1475</v>
      </c>
      <c r="I835" t="s">
        <v>1855</v>
      </c>
      <c r="J835" s="1" t="s">
        <v>1547</v>
      </c>
      <c r="K835" s="1" t="s">
        <v>1627</v>
      </c>
      <c r="L835" s="1" t="s">
        <v>1721</v>
      </c>
      <c r="M835" s="1" t="s">
        <v>1737</v>
      </c>
      <c r="N835" t="s">
        <v>2004</v>
      </c>
      <c r="O835" t="s">
        <v>2167</v>
      </c>
      <c r="P835" t="s">
        <v>3115</v>
      </c>
      <c r="Q835">
        <v>3600.96</v>
      </c>
      <c r="R835" s="1" t="s">
        <v>1839</v>
      </c>
      <c r="S835">
        <v>148.99</v>
      </c>
      <c r="T835">
        <v>536543</v>
      </c>
    </row>
    <row r="836" spans="1:20" hidden="1" x14ac:dyDescent="0.4">
      <c r="A836" s="1" t="s">
        <v>243</v>
      </c>
      <c r="B836" s="1" t="s">
        <v>1453</v>
      </c>
      <c r="C836" s="1" t="s">
        <v>1845</v>
      </c>
      <c r="D836" s="1" t="s">
        <v>1731</v>
      </c>
      <c r="E836">
        <v>20251204</v>
      </c>
      <c r="F836" s="1" t="s">
        <v>1469</v>
      </c>
      <c r="G836">
        <v>1</v>
      </c>
      <c r="H836" s="1" t="s">
        <v>1475</v>
      </c>
      <c r="I836" t="s">
        <v>1855</v>
      </c>
      <c r="J836" s="1" t="s">
        <v>1545</v>
      </c>
      <c r="K836" s="1" t="s">
        <v>1597</v>
      </c>
      <c r="L836" s="1" t="s">
        <v>1716</v>
      </c>
      <c r="M836" s="1" t="s">
        <v>1762</v>
      </c>
      <c r="N836" t="s">
        <v>1972</v>
      </c>
      <c r="O836" t="s">
        <v>2162</v>
      </c>
      <c r="P836" t="s">
        <v>3108</v>
      </c>
      <c r="Q836">
        <v>1194.4000000000001</v>
      </c>
      <c r="R836" s="1" t="s">
        <v>1463</v>
      </c>
      <c r="S836">
        <v>1215.99</v>
      </c>
      <c r="T836">
        <v>1452390</v>
      </c>
    </row>
    <row r="837" spans="1:20" hidden="1" x14ac:dyDescent="0.4">
      <c r="A837" s="1" t="s">
        <v>243</v>
      </c>
      <c r="B837" s="1" t="s">
        <v>1454</v>
      </c>
      <c r="C837" s="1" t="s">
        <v>1845</v>
      </c>
      <c r="D837" s="1" t="s">
        <v>1731</v>
      </c>
      <c r="E837">
        <v>20251204</v>
      </c>
      <c r="F837" s="1" t="s">
        <v>1469</v>
      </c>
      <c r="G837">
        <v>1</v>
      </c>
      <c r="H837" s="1" t="s">
        <v>1475</v>
      </c>
      <c r="I837" t="s">
        <v>1855</v>
      </c>
      <c r="J837" s="1" t="s">
        <v>1545</v>
      </c>
      <c r="K837" s="1" t="s">
        <v>1616</v>
      </c>
      <c r="L837" s="1" t="s">
        <v>1716</v>
      </c>
      <c r="M837" s="1" t="s">
        <v>1761</v>
      </c>
      <c r="N837" t="s">
        <v>1990</v>
      </c>
      <c r="O837" t="s">
        <v>2162</v>
      </c>
      <c r="P837" t="s">
        <v>3116</v>
      </c>
      <c r="Q837">
        <v>709.6</v>
      </c>
      <c r="R837" s="1" t="s">
        <v>1463</v>
      </c>
      <c r="S837">
        <v>1250</v>
      </c>
      <c r="T837">
        <v>887000</v>
      </c>
    </row>
    <row r="838" spans="1:20" hidden="1" x14ac:dyDescent="0.4">
      <c r="A838" s="1" t="s">
        <v>244</v>
      </c>
      <c r="B838" s="1" t="s">
        <v>1453</v>
      </c>
      <c r="C838" s="1" t="s">
        <v>1845</v>
      </c>
      <c r="D838" s="1" t="s">
        <v>1464</v>
      </c>
      <c r="E838">
        <v>20251202</v>
      </c>
      <c r="F838" s="1" t="s">
        <v>1469</v>
      </c>
      <c r="G838">
        <v>2</v>
      </c>
      <c r="H838" s="1" t="s">
        <v>1478</v>
      </c>
      <c r="I838" t="s">
        <v>1858</v>
      </c>
      <c r="J838" s="1" t="s">
        <v>1545</v>
      </c>
      <c r="K838" s="1" t="s">
        <v>1592</v>
      </c>
      <c r="L838" s="1" t="s">
        <v>1726</v>
      </c>
      <c r="M838" s="1" t="s">
        <v>1761</v>
      </c>
      <c r="N838" t="s">
        <v>1967</v>
      </c>
      <c r="O838" t="s">
        <v>2171</v>
      </c>
      <c r="P838" t="s">
        <v>3076</v>
      </c>
      <c r="Q838">
        <v>1243.8399999999999</v>
      </c>
      <c r="R838" s="1" t="s">
        <v>1839</v>
      </c>
      <c r="S838">
        <v>280</v>
      </c>
      <c r="T838">
        <v>348275</v>
      </c>
    </row>
    <row r="839" spans="1:20" hidden="1" x14ac:dyDescent="0.4">
      <c r="A839" s="1" t="s">
        <v>245</v>
      </c>
      <c r="B839" s="1" t="s">
        <v>1453</v>
      </c>
      <c r="C839" s="1" t="s">
        <v>1845</v>
      </c>
      <c r="D839" s="1" t="s">
        <v>1464</v>
      </c>
      <c r="E839">
        <v>20251203</v>
      </c>
      <c r="F839" s="1" t="s">
        <v>1469</v>
      </c>
      <c r="G839">
        <v>2</v>
      </c>
      <c r="H839" s="1" t="s">
        <v>1478</v>
      </c>
      <c r="I839" t="s">
        <v>1858</v>
      </c>
      <c r="J839" s="1" t="s">
        <v>1545</v>
      </c>
      <c r="K839" s="1" t="s">
        <v>1593</v>
      </c>
      <c r="L839" s="1" t="s">
        <v>1726</v>
      </c>
      <c r="M839" s="1" t="s">
        <v>1762</v>
      </c>
      <c r="N839" t="s">
        <v>1968</v>
      </c>
      <c r="O839" t="s">
        <v>2171</v>
      </c>
      <c r="P839" t="s">
        <v>3108</v>
      </c>
      <c r="Q839">
        <v>359.26</v>
      </c>
      <c r="R839" s="1" t="s">
        <v>1839</v>
      </c>
      <c r="S839">
        <v>378</v>
      </c>
      <c r="T839">
        <v>135800</v>
      </c>
    </row>
    <row r="840" spans="1:20" hidden="1" x14ac:dyDescent="0.4">
      <c r="A840" s="1" t="s">
        <v>246</v>
      </c>
      <c r="B840" s="1" t="s">
        <v>1453</v>
      </c>
      <c r="C840" s="1" t="s">
        <v>1845</v>
      </c>
      <c r="D840" s="1" t="s">
        <v>1731</v>
      </c>
      <c r="E840">
        <v>20251204</v>
      </c>
      <c r="F840" s="1" t="s">
        <v>1469</v>
      </c>
      <c r="G840">
        <v>1</v>
      </c>
      <c r="H840" s="1" t="s">
        <v>1475</v>
      </c>
      <c r="I840" t="s">
        <v>1855</v>
      </c>
      <c r="J840" s="1" t="s">
        <v>1548</v>
      </c>
      <c r="K840" s="1" t="s">
        <v>1628</v>
      </c>
      <c r="L840" s="1" t="s">
        <v>1716</v>
      </c>
      <c r="M840" s="1" t="s">
        <v>1777</v>
      </c>
      <c r="N840" t="s">
        <v>2005</v>
      </c>
      <c r="O840" t="s">
        <v>2162</v>
      </c>
      <c r="P840">
        <v>1403</v>
      </c>
      <c r="Q840">
        <v>509</v>
      </c>
      <c r="R840" s="1" t="s">
        <v>1463</v>
      </c>
      <c r="S840">
        <v>1453</v>
      </c>
      <c r="T840">
        <v>739577</v>
      </c>
    </row>
    <row r="841" spans="1:20" hidden="1" x14ac:dyDescent="0.4">
      <c r="A841" s="1" t="s">
        <v>246</v>
      </c>
      <c r="B841" s="1" t="s">
        <v>1454</v>
      </c>
      <c r="C841" s="1" t="s">
        <v>1845</v>
      </c>
      <c r="D841" s="1" t="s">
        <v>1731</v>
      </c>
      <c r="E841">
        <v>20251204</v>
      </c>
      <c r="F841" s="1" t="s">
        <v>1469</v>
      </c>
      <c r="G841">
        <v>1</v>
      </c>
      <c r="H841" s="1" t="s">
        <v>1475</v>
      </c>
      <c r="I841" t="s">
        <v>1855</v>
      </c>
      <c r="J841" s="1" t="s">
        <v>1548</v>
      </c>
      <c r="K841" s="1" t="s">
        <v>1629</v>
      </c>
      <c r="L841" s="1" t="s">
        <v>1716</v>
      </c>
      <c r="M841" s="1" t="s">
        <v>1778</v>
      </c>
      <c r="N841" t="s">
        <v>2006</v>
      </c>
      <c r="O841" t="s">
        <v>2162</v>
      </c>
      <c r="P841">
        <v>1303</v>
      </c>
      <c r="Q841">
        <v>509</v>
      </c>
      <c r="R841" s="1" t="s">
        <v>1463</v>
      </c>
      <c r="S841">
        <v>1845</v>
      </c>
      <c r="T841">
        <v>939105</v>
      </c>
    </row>
    <row r="842" spans="1:20" hidden="1" x14ac:dyDescent="0.4">
      <c r="A842" s="1" t="s">
        <v>247</v>
      </c>
      <c r="B842" s="1" t="s">
        <v>1453</v>
      </c>
      <c r="C842" s="1" t="s">
        <v>1845</v>
      </c>
      <c r="D842" s="1" t="s">
        <v>1464</v>
      </c>
      <c r="E842">
        <v>20251201</v>
      </c>
      <c r="F842" s="1" t="s">
        <v>1469</v>
      </c>
      <c r="G842">
        <v>2</v>
      </c>
      <c r="H842" s="1" t="s">
        <v>1476</v>
      </c>
      <c r="I842" t="s">
        <v>1856</v>
      </c>
      <c r="J842" s="1" t="s">
        <v>1548</v>
      </c>
      <c r="K842" s="1" t="s">
        <v>1600</v>
      </c>
      <c r="L842" s="1" t="s">
        <v>1726</v>
      </c>
      <c r="M842" s="1" t="s">
        <v>1766</v>
      </c>
      <c r="N842" t="s">
        <v>1975</v>
      </c>
      <c r="O842" t="s">
        <v>2171</v>
      </c>
      <c r="P842" t="s">
        <v>3076</v>
      </c>
      <c r="Q842">
        <v>1070.49</v>
      </c>
      <c r="R842" s="1" t="s">
        <v>1839</v>
      </c>
      <c r="S842">
        <v>145</v>
      </c>
      <c r="T842">
        <v>155221</v>
      </c>
    </row>
    <row r="843" spans="1:20" hidden="1" x14ac:dyDescent="0.4">
      <c r="A843" s="1" t="s">
        <v>248</v>
      </c>
      <c r="B843" s="1" t="s">
        <v>1453</v>
      </c>
      <c r="C843" s="1" t="s">
        <v>1845</v>
      </c>
      <c r="D843" s="1" t="s">
        <v>1464</v>
      </c>
      <c r="E843">
        <v>20251203</v>
      </c>
      <c r="F843" s="1" t="s">
        <v>1469</v>
      </c>
      <c r="G843">
        <v>2</v>
      </c>
      <c r="H843" s="1" t="s">
        <v>1483</v>
      </c>
      <c r="I843" t="s">
        <v>1863</v>
      </c>
      <c r="J843" s="1" t="s">
        <v>1544</v>
      </c>
      <c r="K843" s="1" t="s">
        <v>1583</v>
      </c>
      <c r="L843" s="1" t="s">
        <v>1726</v>
      </c>
      <c r="M843" s="1" t="s">
        <v>1760</v>
      </c>
      <c r="N843" t="s">
        <v>1958</v>
      </c>
      <c r="O843" t="s">
        <v>2171</v>
      </c>
      <c r="P843" t="s">
        <v>3075</v>
      </c>
      <c r="Q843">
        <v>1092</v>
      </c>
      <c r="R843" s="1" t="s">
        <v>1839</v>
      </c>
      <c r="S843">
        <v>85</v>
      </c>
      <c r="T843">
        <v>92820</v>
      </c>
    </row>
    <row r="844" spans="1:20" hidden="1" x14ac:dyDescent="0.4">
      <c r="A844" s="1" t="s">
        <v>249</v>
      </c>
      <c r="B844" s="1" t="s">
        <v>1453</v>
      </c>
      <c r="C844" s="1" t="s">
        <v>1845</v>
      </c>
      <c r="D844" s="1" t="s">
        <v>1731</v>
      </c>
      <c r="E844">
        <v>20251204</v>
      </c>
      <c r="F844" s="1" t="s">
        <v>1469</v>
      </c>
      <c r="G844">
        <v>1</v>
      </c>
      <c r="H844" s="1" t="s">
        <v>1475</v>
      </c>
      <c r="I844" t="s">
        <v>1855</v>
      </c>
      <c r="J844" s="1" t="s">
        <v>1547</v>
      </c>
      <c r="K844" s="1" t="s">
        <v>1627</v>
      </c>
      <c r="L844" s="1" t="s">
        <v>1721</v>
      </c>
      <c r="M844" s="1" t="s">
        <v>1737</v>
      </c>
      <c r="N844" t="s">
        <v>2004</v>
      </c>
      <c r="O844" t="s">
        <v>2167</v>
      </c>
      <c r="P844" t="s">
        <v>3117</v>
      </c>
      <c r="Q844">
        <v>1470</v>
      </c>
      <c r="R844" s="1" t="s">
        <v>1839</v>
      </c>
      <c r="S844">
        <v>135</v>
      </c>
      <c r="T844">
        <v>198450</v>
      </c>
    </row>
    <row r="845" spans="1:20" hidden="1" x14ac:dyDescent="0.4">
      <c r="A845" s="1" t="s">
        <v>250</v>
      </c>
      <c r="B845" s="1" t="s">
        <v>1453</v>
      </c>
      <c r="C845" s="1" t="s">
        <v>1845</v>
      </c>
      <c r="D845" s="1" t="s">
        <v>1464</v>
      </c>
      <c r="E845">
        <v>20251202</v>
      </c>
      <c r="F845" s="1" t="s">
        <v>1469</v>
      </c>
      <c r="G845">
        <v>2</v>
      </c>
      <c r="H845" s="1" t="s">
        <v>1477</v>
      </c>
      <c r="I845" t="s">
        <v>1857</v>
      </c>
      <c r="J845" s="1" t="s">
        <v>1544</v>
      </c>
      <c r="K845" s="1" t="s">
        <v>1589</v>
      </c>
      <c r="L845" s="1" t="s">
        <v>1726</v>
      </c>
      <c r="M845" s="1" t="s">
        <v>1758</v>
      </c>
      <c r="N845" t="s">
        <v>1964</v>
      </c>
      <c r="O845" t="s">
        <v>2171</v>
      </c>
      <c r="P845" t="s">
        <v>3073</v>
      </c>
      <c r="Q845">
        <v>582.4</v>
      </c>
      <c r="R845" s="1" t="s">
        <v>1839</v>
      </c>
      <c r="S845">
        <v>60</v>
      </c>
      <c r="T845">
        <v>34944</v>
      </c>
    </row>
    <row r="846" spans="1:20" hidden="1" x14ac:dyDescent="0.4">
      <c r="A846" s="1" t="s">
        <v>251</v>
      </c>
      <c r="B846" s="1" t="s">
        <v>1453</v>
      </c>
      <c r="C846" s="1" t="s">
        <v>1845</v>
      </c>
      <c r="D846" s="1" t="s">
        <v>1464</v>
      </c>
      <c r="E846">
        <v>20251203</v>
      </c>
      <c r="F846" s="1" t="s">
        <v>1469</v>
      </c>
      <c r="G846">
        <v>2</v>
      </c>
      <c r="H846" s="1" t="s">
        <v>1477</v>
      </c>
      <c r="I846" t="s">
        <v>1857</v>
      </c>
      <c r="J846" s="1" t="s">
        <v>1544</v>
      </c>
      <c r="K846" s="1" t="s">
        <v>1589</v>
      </c>
      <c r="L846" s="1" t="s">
        <v>1726</v>
      </c>
      <c r="M846" s="1" t="s">
        <v>1758</v>
      </c>
      <c r="N846" t="s">
        <v>1964</v>
      </c>
      <c r="O846" t="s">
        <v>2171</v>
      </c>
      <c r="P846" t="s">
        <v>3073</v>
      </c>
      <c r="Q846">
        <v>531.44000000000005</v>
      </c>
      <c r="R846" s="1" t="s">
        <v>1839</v>
      </c>
      <c r="S846">
        <v>60</v>
      </c>
      <c r="T846">
        <v>31886</v>
      </c>
    </row>
    <row r="847" spans="1:20" hidden="1" x14ac:dyDescent="0.4">
      <c r="A847" s="1" t="s">
        <v>252</v>
      </c>
      <c r="B847" s="1" t="s">
        <v>1453</v>
      </c>
      <c r="C847" s="1" t="s">
        <v>1845</v>
      </c>
      <c r="D847" s="1" t="s">
        <v>1462</v>
      </c>
      <c r="E847">
        <v>20251205</v>
      </c>
      <c r="F847" s="1" t="s">
        <v>1469</v>
      </c>
      <c r="G847">
        <v>1</v>
      </c>
      <c r="H847" s="1" t="s">
        <v>1479</v>
      </c>
      <c r="I847" t="s">
        <v>1859</v>
      </c>
      <c r="J847" s="1" t="s">
        <v>1544</v>
      </c>
      <c r="K847" s="1" t="s">
        <v>1596</v>
      </c>
      <c r="L847" s="1" t="s">
        <v>1716</v>
      </c>
      <c r="M847" s="1" t="s">
        <v>1763</v>
      </c>
      <c r="N847" t="s">
        <v>1971</v>
      </c>
      <c r="O847" t="s">
        <v>2162</v>
      </c>
      <c r="P847" t="s">
        <v>3081</v>
      </c>
      <c r="Q847">
        <v>995.6</v>
      </c>
      <c r="R847" s="1" t="s">
        <v>1463</v>
      </c>
      <c r="S847">
        <v>990</v>
      </c>
      <c r="T847">
        <v>985644</v>
      </c>
    </row>
    <row r="848" spans="1:20" hidden="1" x14ac:dyDescent="0.4">
      <c r="A848" s="1" t="s">
        <v>253</v>
      </c>
      <c r="B848" s="1" t="s">
        <v>1453</v>
      </c>
      <c r="C848" s="1" t="s">
        <v>1845</v>
      </c>
      <c r="D848" s="1" t="s">
        <v>1462</v>
      </c>
      <c r="E848">
        <v>20251205</v>
      </c>
      <c r="F848" s="1" t="s">
        <v>1469</v>
      </c>
      <c r="G848">
        <v>1</v>
      </c>
      <c r="H848" s="1" t="s">
        <v>1484</v>
      </c>
      <c r="I848" t="s">
        <v>1864</v>
      </c>
      <c r="J848" s="1" t="s">
        <v>1544</v>
      </c>
      <c r="K848" s="1" t="s">
        <v>1618</v>
      </c>
      <c r="L848" s="1" t="s">
        <v>1716</v>
      </c>
      <c r="M848" s="1" t="s">
        <v>1779</v>
      </c>
      <c r="N848" t="s">
        <v>1992</v>
      </c>
      <c r="O848" t="s">
        <v>2162</v>
      </c>
      <c r="P848" t="s">
        <v>3118</v>
      </c>
      <c r="Q848">
        <v>1080.5</v>
      </c>
      <c r="R848" s="1" t="s">
        <v>1463</v>
      </c>
      <c r="S848">
        <v>1765</v>
      </c>
      <c r="T848">
        <v>1907082</v>
      </c>
    </row>
    <row r="849" spans="1:20" hidden="1" x14ac:dyDescent="0.4">
      <c r="A849" s="1" t="s">
        <v>254</v>
      </c>
      <c r="B849" s="1" t="s">
        <v>1453</v>
      </c>
      <c r="C849" s="1" t="s">
        <v>1845</v>
      </c>
      <c r="D849" s="1" t="s">
        <v>1464</v>
      </c>
      <c r="E849">
        <v>20251203</v>
      </c>
      <c r="F849" s="1" t="s">
        <v>1469</v>
      </c>
      <c r="G849">
        <v>2</v>
      </c>
      <c r="H849" s="1" t="s">
        <v>1477</v>
      </c>
      <c r="I849" t="s">
        <v>1857</v>
      </c>
      <c r="J849" s="1" t="s">
        <v>1544</v>
      </c>
      <c r="K849" s="1" t="s">
        <v>1589</v>
      </c>
      <c r="L849" s="1" t="s">
        <v>1726</v>
      </c>
      <c r="M849" s="1" t="s">
        <v>1757</v>
      </c>
      <c r="N849" t="s">
        <v>1964</v>
      </c>
      <c r="O849" t="s">
        <v>2171</v>
      </c>
      <c r="P849" t="s">
        <v>3071</v>
      </c>
      <c r="Q849">
        <v>582.4</v>
      </c>
      <c r="R849" s="1" t="s">
        <v>1839</v>
      </c>
      <c r="S849">
        <v>60</v>
      </c>
      <c r="T849">
        <v>34944</v>
      </c>
    </row>
    <row r="850" spans="1:20" hidden="1" x14ac:dyDescent="0.4">
      <c r="A850" s="1" t="s">
        <v>255</v>
      </c>
      <c r="B850" s="1" t="s">
        <v>1453</v>
      </c>
      <c r="C850" s="1" t="s">
        <v>1845</v>
      </c>
      <c r="D850" s="1" t="s">
        <v>1464</v>
      </c>
      <c r="E850">
        <v>20251204</v>
      </c>
      <c r="F850" s="1" t="s">
        <v>1469</v>
      </c>
      <c r="G850">
        <v>2</v>
      </c>
      <c r="H850" s="1" t="s">
        <v>1477</v>
      </c>
      <c r="I850" t="s">
        <v>1857</v>
      </c>
      <c r="J850" s="1" t="s">
        <v>1544</v>
      </c>
      <c r="K850" s="1" t="s">
        <v>1589</v>
      </c>
      <c r="L850" s="1" t="s">
        <v>1726</v>
      </c>
      <c r="M850" s="1" t="s">
        <v>1757</v>
      </c>
      <c r="N850" t="s">
        <v>1964</v>
      </c>
      <c r="O850" t="s">
        <v>2171</v>
      </c>
      <c r="P850" t="s">
        <v>3071</v>
      </c>
      <c r="Q850">
        <v>571.48</v>
      </c>
      <c r="R850" s="1" t="s">
        <v>1839</v>
      </c>
      <c r="S850">
        <v>60</v>
      </c>
      <c r="T850">
        <v>34288</v>
      </c>
    </row>
    <row r="851" spans="1:20" hidden="1" x14ac:dyDescent="0.4">
      <c r="A851" s="1" t="s">
        <v>256</v>
      </c>
      <c r="B851" s="1" t="s">
        <v>1453</v>
      </c>
      <c r="C851" s="1" t="s">
        <v>1845</v>
      </c>
      <c r="D851" s="1" t="s">
        <v>1731</v>
      </c>
      <c r="E851">
        <v>20251205</v>
      </c>
      <c r="F851" s="1" t="s">
        <v>1469</v>
      </c>
      <c r="G851">
        <v>1</v>
      </c>
      <c r="H851" s="1" t="s">
        <v>1475</v>
      </c>
      <c r="I851" t="s">
        <v>1855</v>
      </c>
      <c r="J851" s="1" t="s">
        <v>1544</v>
      </c>
      <c r="K851" s="1" t="s">
        <v>1601</v>
      </c>
      <c r="L851" s="1" t="s">
        <v>1716</v>
      </c>
      <c r="M851" s="1" t="s">
        <v>1763</v>
      </c>
      <c r="N851" t="s">
        <v>1976</v>
      </c>
      <c r="O851" t="s">
        <v>2162</v>
      </c>
      <c r="P851" t="s">
        <v>3101</v>
      </c>
      <c r="Q851">
        <v>2318.6</v>
      </c>
      <c r="R851" s="1" t="s">
        <v>1463</v>
      </c>
      <c r="S851">
        <v>560</v>
      </c>
      <c r="T851">
        <v>1298416</v>
      </c>
    </row>
    <row r="852" spans="1:20" hidden="1" x14ac:dyDescent="0.4">
      <c r="A852" s="1" t="s">
        <v>257</v>
      </c>
      <c r="B852" s="1" t="s">
        <v>1453</v>
      </c>
      <c r="C852" s="1" t="s">
        <v>1845</v>
      </c>
      <c r="D852" s="1" t="s">
        <v>1462</v>
      </c>
      <c r="E852">
        <v>20251231</v>
      </c>
      <c r="F852" s="1" t="s">
        <v>1469</v>
      </c>
      <c r="G852">
        <v>1</v>
      </c>
      <c r="H852" s="1" t="s">
        <v>1484</v>
      </c>
      <c r="I852" t="s">
        <v>1864</v>
      </c>
      <c r="J852" s="1" t="s">
        <v>1544</v>
      </c>
      <c r="K852" s="1" t="s">
        <v>1619</v>
      </c>
      <c r="L852" s="1" t="s">
        <v>1727</v>
      </c>
      <c r="M852" s="1" t="s">
        <v>1780</v>
      </c>
      <c r="N852" t="s">
        <v>2007</v>
      </c>
      <c r="O852" t="s">
        <v>2172</v>
      </c>
      <c r="P852" t="s">
        <v>3119</v>
      </c>
      <c r="Q852">
        <v>40</v>
      </c>
      <c r="R852" s="1" t="s">
        <v>1463</v>
      </c>
      <c r="S852">
        <v>2800</v>
      </c>
      <c r="T852">
        <v>112000</v>
      </c>
    </row>
    <row r="853" spans="1:20" hidden="1" x14ac:dyDescent="0.4">
      <c r="A853" s="1" t="s">
        <v>258</v>
      </c>
      <c r="B853" s="1" t="s">
        <v>1453</v>
      </c>
      <c r="C853" s="1" t="s">
        <v>1845</v>
      </c>
      <c r="D853" s="1" t="s">
        <v>1462</v>
      </c>
      <c r="E853">
        <v>20251205</v>
      </c>
      <c r="F853" s="1" t="s">
        <v>1469</v>
      </c>
      <c r="G853">
        <v>1</v>
      </c>
      <c r="H853" s="1" t="s">
        <v>1484</v>
      </c>
      <c r="I853" t="s">
        <v>1864</v>
      </c>
      <c r="J853" s="1" t="s">
        <v>1544</v>
      </c>
      <c r="K853" s="1" t="s">
        <v>1587</v>
      </c>
      <c r="L853" s="1" t="s">
        <v>1716</v>
      </c>
      <c r="M853" s="1" t="s">
        <v>1737</v>
      </c>
      <c r="N853" t="s">
        <v>1962</v>
      </c>
      <c r="O853" t="s">
        <v>2162</v>
      </c>
      <c r="P853" t="s">
        <v>3070</v>
      </c>
      <c r="Q853">
        <v>5</v>
      </c>
      <c r="R853" s="1" t="s">
        <v>1463</v>
      </c>
      <c r="S853">
        <v>1595</v>
      </c>
      <c r="T853">
        <v>7975</v>
      </c>
    </row>
    <row r="854" spans="1:20" hidden="1" x14ac:dyDescent="0.4">
      <c r="A854" s="1" t="s">
        <v>258</v>
      </c>
      <c r="B854" s="1" t="s">
        <v>1454</v>
      </c>
      <c r="C854" s="1" t="s">
        <v>1845</v>
      </c>
      <c r="D854" s="1" t="s">
        <v>1462</v>
      </c>
      <c r="E854">
        <v>20251205</v>
      </c>
      <c r="F854" s="1" t="s">
        <v>1469</v>
      </c>
      <c r="G854">
        <v>1</v>
      </c>
      <c r="H854" s="1" t="s">
        <v>1484</v>
      </c>
      <c r="I854" t="s">
        <v>1864</v>
      </c>
      <c r="J854" s="1" t="s">
        <v>1544</v>
      </c>
      <c r="K854" s="1" t="s">
        <v>1586</v>
      </c>
      <c r="L854" s="1" t="s">
        <v>1716</v>
      </c>
      <c r="M854" s="1" t="s">
        <v>1737</v>
      </c>
      <c r="N854" t="s">
        <v>1961</v>
      </c>
      <c r="O854" t="s">
        <v>2162</v>
      </c>
      <c r="P854" t="s">
        <v>3070</v>
      </c>
      <c r="Q854">
        <v>10.1</v>
      </c>
      <c r="R854" s="1" t="s">
        <v>1463</v>
      </c>
      <c r="S854">
        <v>1305</v>
      </c>
      <c r="T854">
        <v>13180</v>
      </c>
    </row>
    <row r="855" spans="1:20" hidden="1" x14ac:dyDescent="0.4">
      <c r="A855" s="1" t="s">
        <v>258</v>
      </c>
      <c r="B855" s="1" t="s">
        <v>1455</v>
      </c>
      <c r="C855" s="1" t="s">
        <v>1845</v>
      </c>
      <c r="D855" s="1" t="s">
        <v>1462</v>
      </c>
      <c r="E855">
        <v>20251205</v>
      </c>
      <c r="F855" s="1" t="s">
        <v>1469</v>
      </c>
      <c r="G855">
        <v>1</v>
      </c>
      <c r="H855" s="1" t="s">
        <v>1484</v>
      </c>
      <c r="I855" t="s">
        <v>1864</v>
      </c>
      <c r="J855" s="1" t="s">
        <v>1544</v>
      </c>
      <c r="K855" s="1" t="s">
        <v>1584</v>
      </c>
      <c r="L855" s="1" t="s">
        <v>1716</v>
      </c>
      <c r="M855" s="1" t="s">
        <v>1737</v>
      </c>
      <c r="N855" t="s">
        <v>1959</v>
      </c>
      <c r="O855" t="s">
        <v>2162</v>
      </c>
      <c r="P855" t="s">
        <v>3070</v>
      </c>
      <c r="Q855">
        <v>10.1</v>
      </c>
      <c r="R855" s="1" t="s">
        <v>1463</v>
      </c>
      <c r="S855">
        <v>1335</v>
      </c>
      <c r="T855">
        <v>13483</v>
      </c>
    </row>
    <row r="856" spans="1:20" hidden="1" x14ac:dyDescent="0.4">
      <c r="A856" s="1" t="s">
        <v>258</v>
      </c>
      <c r="B856" s="1" t="s">
        <v>1456</v>
      </c>
      <c r="C856" s="1" t="s">
        <v>1845</v>
      </c>
      <c r="D856" s="1" t="s">
        <v>1462</v>
      </c>
      <c r="E856">
        <v>20251205</v>
      </c>
      <c r="F856" s="1" t="s">
        <v>1469</v>
      </c>
      <c r="G856">
        <v>1</v>
      </c>
      <c r="H856" s="1" t="s">
        <v>1484</v>
      </c>
      <c r="I856" t="s">
        <v>1864</v>
      </c>
      <c r="J856" s="1" t="s">
        <v>1544</v>
      </c>
      <c r="K856" s="1" t="s">
        <v>1588</v>
      </c>
      <c r="L856" s="1" t="s">
        <v>1716</v>
      </c>
      <c r="M856" s="1" t="s">
        <v>1737</v>
      </c>
      <c r="N856" t="s">
        <v>1963</v>
      </c>
      <c r="O856" t="s">
        <v>2162</v>
      </c>
      <c r="P856" t="s">
        <v>3070</v>
      </c>
      <c r="Q856">
        <v>8.4</v>
      </c>
      <c r="R856" s="1" t="s">
        <v>1463</v>
      </c>
      <c r="S856">
        <v>1385</v>
      </c>
      <c r="T856">
        <v>11634</v>
      </c>
    </row>
    <row r="857" spans="1:20" hidden="1" x14ac:dyDescent="0.4">
      <c r="A857" s="1" t="s">
        <v>259</v>
      </c>
      <c r="B857" s="1" t="s">
        <v>1453</v>
      </c>
      <c r="C857" s="1" t="s">
        <v>1845</v>
      </c>
      <c r="D857" s="1" t="s">
        <v>1731</v>
      </c>
      <c r="E857">
        <v>20251208</v>
      </c>
      <c r="F857" s="1" t="s">
        <v>1469</v>
      </c>
      <c r="G857">
        <v>1</v>
      </c>
      <c r="H857" s="1" t="s">
        <v>1475</v>
      </c>
      <c r="I857" t="s">
        <v>1855</v>
      </c>
      <c r="J857" s="1" t="s">
        <v>1548</v>
      </c>
      <c r="K857" s="1" t="s">
        <v>1630</v>
      </c>
      <c r="L857" s="1" t="s">
        <v>1716</v>
      </c>
      <c r="M857" s="1" t="s">
        <v>1741</v>
      </c>
      <c r="N857" t="s">
        <v>2008</v>
      </c>
      <c r="O857" t="s">
        <v>2162</v>
      </c>
      <c r="P857" t="s">
        <v>3042</v>
      </c>
      <c r="Q857">
        <v>2020.3</v>
      </c>
      <c r="R857" s="1" t="s">
        <v>1463</v>
      </c>
      <c r="S857">
        <v>1320</v>
      </c>
      <c r="T857">
        <v>2666796</v>
      </c>
    </row>
    <row r="858" spans="1:20" hidden="1" x14ac:dyDescent="0.4">
      <c r="A858" s="1" t="s">
        <v>260</v>
      </c>
      <c r="B858" s="1" t="s">
        <v>1453</v>
      </c>
      <c r="C858" s="1" t="s">
        <v>1845</v>
      </c>
      <c r="D858" s="1" t="s">
        <v>1733</v>
      </c>
      <c r="E858">
        <v>20251208</v>
      </c>
      <c r="F858" s="1" t="s">
        <v>1469</v>
      </c>
      <c r="G858">
        <v>1</v>
      </c>
      <c r="H858" s="1" t="s">
        <v>1475</v>
      </c>
      <c r="I858" t="s">
        <v>1855</v>
      </c>
      <c r="J858" s="1" t="s">
        <v>1548</v>
      </c>
      <c r="K858" s="1" t="s">
        <v>1630</v>
      </c>
      <c r="L858" s="1" t="s">
        <v>1716</v>
      </c>
      <c r="M858" s="1" t="s">
        <v>1741</v>
      </c>
      <c r="N858" t="s">
        <v>2008</v>
      </c>
      <c r="O858" t="s">
        <v>2162</v>
      </c>
      <c r="P858" t="s">
        <v>3042</v>
      </c>
      <c r="Q858">
        <v>-2020.3</v>
      </c>
      <c r="R858" s="1" t="s">
        <v>1463</v>
      </c>
      <c r="S858">
        <v>1320</v>
      </c>
      <c r="T858">
        <v>-2666796</v>
      </c>
    </row>
    <row r="859" spans="1:20" hidden="1" x14ac:dyDescent="0.4">
      <c r="A859" s="1" t="s">
        <v>261</v>
      </c>
      <c r="B859" s="1" t="s">
        <v>1453</v>
      </c>
      <c r="C859" s="1" t="s">
        <v>1845</v>
      </c>
      <c r="D859" s="1" t="s">
        <v>1731</v>
      </c>
      <c r="E859">
        <v>20251208</v>
      </c>
      <c r="F859" s="1" t="s">
        <v>1469</v>
      </c>
      <c r="G859">
        <v>1</v>
      </c>
      <c r="H859" s="1" t="s">
        <v>1475</v>
      </c>
      <c r="I859" t="s">
        <v>1855</v>
      </c>
      <c r="J859" s="1" t="s">
        <v>1548</v>
      </c>
      <c r="K859" s="1" t="s">
        <v>1630</v>
      </c>
      <c r="L859" s="1" t="s">
        <v>1716</v>
      </c>
      <c r="M859" s="1" t="s">
        <v>1741</v>
      </c>
      <c r="N859" t="s">
        <v>2008</v>
      </c>
      <c r="O859" t="s">
        <v>2162</v>
      </c>
      <c r="P859" t="s">
        <v>3042</v>
      </c>
      <c r="Q859">
        <v>2000.8</v>
      </c>
      <c r="R859" s="1" t="s">
        <v>1463</v>
      </c>
      <c r="S859">
        <v>1320</v>
      </c>
      <c r="T859">
        <v>2641056</v>
      </c>
    </row>
    <row r="860" spans="1:20" hidden="1" x14ac:dyDescent="0.4">
      <c r="A860" s="1" t="s">
        <v>262</v>
      </c>
      <c r="B860" s="1" t="s">
        <v>1453</v>
      </c>
      <c r="C860" s="1" t="s">
        <v>1845</v>
      </c>
      <c r="D860" s="1" t="s">
        <v>1462</v>
      </c>
      <c r="E860">
        <v>20251205</v>
      </c>
      <c r="F860" s="1" t="s">
        <v>1469</v>
      </c>
      <c r="G860">
        <v>1</v>
      </c>
      <c r="H860" s="1" t="s">
        <v>1481</v>
      </c>
      <c r="I860" t="s">
        <v>1861</v>
      </c>
      <c r="J860" s="1" t="s">
        <v>1547</v>
      </c>
      <c r="K860" s="1" t="s">
        <v>1622</v>
      </c>
      <c r="L860" s="1" t="s">
        <v>1721</v>
      </c>
      <c r="M860" s="1" t="s">
        <v>1737</v>
      </c>
      <c r="N860" t="s">
        <v>1999</v>
      </c>
      <c r="O860" t="s">
        <v>2167</v>
      </c>
      <c r="P860" t="s">
        <v>3120</v>
      </c>
      <c r="Q860">
        <v>9120</v>
      </c>
      <c r="R860" s="1" t="s">
        <v>1839</v>
      </c>
      <c r="S860">
        <v>70.8</v>
      </c>
      <c r="T860">
        <v>645696</v>
      </c>
    </row>
    <row r="861" spans="1:20" hidden="1" x14ac:dyDescent="0.4">
      <c r="A861" s="1" t="s">
        <v>262</v>
      </c>
      <c r="B861" s="1" t="s">
        <v>1454</v>
      </c>
      <c r="C861" s="1" t="s">
        <v>1845</v>
      </c>
      <c r="D861" s="1" t="s">
        <v>1462</v>
      </c>
      <c r="E861">
        <v>20251205</v>
      </c>
      <c r="F861" s="1" t="s">
        <v>1469</v>
      </c>
      <c r="G861">
        <v>1</v>
      </c>
      <c r="H861" s="1" t="s">
        <v>1481</v>
      </c>
      <c r="I861" t="s">
        <v>1861</v>
      </c>
      <c r="J861" s="1" t="s">
        <v>1547</v>
      </c>
      <c r="K861" s="1" t="s">
        <v>1622</v>
      </c>
      <c r="L861" s="1" t="s">
        <v>1721</v>
      </c>
      <c r="M861" s="1" t="s">
        <v>1737</v>
      </c>
      <c r="N861" t="s">
        <v>1999</v>
      </c>
      <c r="O861" t="s">
        <v>2167</v>
      </c>
      <c r="P861" t="s">
        <v>3121</v>
      </c>
      <c r="Q861">
        <v>2280</v>
      </c>
      <c r="R861" s="1" t="s">
        <v>1839</v>
      </c>
      <c r="S861">
        <v>70.8</v>
      </c>
      <c r="T861">
        <v>161424</v>
      </c>
    </row>
    <row r="862" spans="1:20" hidden="1" x14ac:dyDescent="0.4">
      <c r="A862" s="1" t="s">
        <v>262</v>
      </c>
      <c r="B862" s="1" t="s">
        <v>1455</v>
      </c>
      <c r="C862" s="1" t="s">
        <v>1845</v>
      </c>
      <c r="D862" s="1" t="s">
        <v>1462</v>
      </c>
      <c r="E862">
        <v>20251205</v>
      </c>
      <c r="F862" s="1" t="s">
        <v>1469</v>
      </c>
      <c r="G862">
        <v>1</v>
      </c>
      <c r="H862" s="1" t="s">
        <v>1481</v>
      </c>
      <c r="I862" t="s">
        <v>1861</v>
      </c>
      <c r="J862" s="1" t="s">
        <v>1547</v>
      </c>
      <c r="K862" s="1" t="s">
        <v>1622</v>
      </c>
      <c r="L862" s="1" t="s">
        <v>1721</v>
      </c>
      <c r="M862" s="1" t="s">
        <v>1737</v>
      </c>
      <c r="N862" t="s">
        <v>1999</v>
      </c>
      <c r="O862" t="s">
        <v>2167</v>
      </c>
      <c r="P862" t="s">
        <v>3120</v>
      </c>
      <c r="Q862">
        <v>1740</v>
      </c>
      <c r="R862" s="1" t="s">
        <v>1839</v>
      </c>
      <c r="S862">
        <v>70.8</v>
      </c>
      <c r="T862">
        <v>123192</v>
      </c>
    </row>
    <row r="863" spans="1:20" hidden="1" x14ac:dyDescent="0.4">
      <c r="A863" s="1" t="s">
        <v>262</v>
      </c>
      <c r="B863" s="1" t="s">
        <v>1456</v>
      </c>
      <c r="C863" s="1" t="s">
        <v>1845</v>
      </c>
      <c r="D863" s="1" t="s">
        <v>1462</v>
      </c>
      <c r="E863">
        <v>20251205</v>
      </c>
      <c r="F863" s="1" t="s">
        <v>1469</v>
      </c>
      <c r="G863">
        <v>1</v>
      </c>
      <c r="H863" s="1" t="s">
        <v>1481</v>
      </c>
      <c r="I863" t="s">
        <v>1861</v>
      </c>
      <c r="J863" s="1" t="s">
        <v>1551</v>
      </c>
      <c r="K863" s="1" t="s">
        <v>1631</v>
      </c>
      <c r="L863" s="1" t="s">
        <v>1715</v>
      </c>
      <c r="M863" s="1" t="s">
        <v>1737</v>
      </c>
      <c r="N863" t="s">
        <v>2009</v>
      </c>
      <c r="O863" t="s">
        <v>2161</v>
      </c>
      <c r="P863" t="s">
        <v>3122</v>
      </c>
      <c r="Q863">
        <v>2922.92</v>
      </c>
      <c r="R863" s="1" t="s">
        <v>1839</v>
      </c>
      <c r="S863">
        <v>128</v>
      </c>
      <c r="T863">
        <v>374133</v>
      </c>
    </row>
    <row r="864" spans="1:20" hidden="1" x14ac:dyDescent="0.4">
      <c r="A864" s="1" t="s">
        <v>263</v>
      </c>
      <c r="B864" s="1" t="s">
        <v>1453</v>
      </c>
      <c r="C864" s="1" t="s">
        <v>1845</v>
      </c>
      <c r="D864" s="1" t="s">
        <v>1464</v>
      </c>
      <c r="E864">
        <v>20251205</v>
      </c>
      <c r="F864" s="1" t="s">
        <v>1469</v>
      </c>
      <c r="G864">
        <v>1</v>
      </c>
      <c r="H864" s="1" t="s">
        <v>1481</v>
      </c>
      <c r="I864" t="s">
        <v>1861</v>
      </c>
      <c r="J864" s="1" t="s">
        <v>1551</v>
      </c>
      <c r="K864" s="1" t="s">
        <v>1631</v>
      </c>
      <c r="L864" s="1" t="s">
        <v>1715</v>
      </c>
      <c r="M864" s="1" t="s">
        <v>1737</v>
      </c>
      <c r="N864" t="s">
        <v>2009</v>
      </c>
      <c r="O864" t="s">
        <v>2161</v>
      </c>
      <c r="P864" t="s">
        <v>3123</v>
      </c>
      <c r="Q864">
        <v>2248.4</v>
      </c>
      <c r="R864" s="1" t="s">
        <v>1839</v>
      </c>
      <c r="S864">
        <v>0</v>
      </c>
      <c r="T864">
        <v>14454</v>
      </c>
    </row>
    <row r="865" spans="1:20" hidden="1" x14ac:dyDescent="0.4">
      <c r="A865" s="1" t="s">
        <v>264</v>
      </c>
      <c r="B865" s="1" t="s">
        <v>1453</v>
      </c>
      <c r="C865" s="1" t="s">
        <v>1845</v>
      </c>
      <c r="D865" s="1" t="s">
        <v>1462</v>
      </c>
      <c r="E865">
        <v>20251208</v>
      </c>
      <c r="F865" s="1" t="s">
        <v>1469</v>
      </c>
      <c r="G865">
        <v>1</v>
      </c>
      <c r="H865" s="1" t="s">
        <v>1479</v>
      </c>
      <c r="I865" t="s">
        <v>1859</v>
      </c>
      <c r="J865" s="1" t="s">
        <v>1544</v>
      </c>
      <c r="K865" s="1" t="s">
        <v>1596</v>
      </c>
      <c r="L865" s="1" t="s">
        <v>1716</v>
      </c>
      <c r="M865" s="1" t="s">
        <v>1764</v>
      </c>
      <c r="N865" t="s">
        <v>1971</v>
      </c>
      <c r="O865" t="s">
        <v>2162</v>
      </c>
      <c r="P865" t="s">
        <v>3082</v>
      </c>
      <c r="Q865">
        <v>975.2</v>
      </c>
      <c r="R865" s="1" t="s">
        <v>1463</v>
      </c>
      <c r="S865">
        <v>990</v>
      </c>
      <c r="T865">
        <v>965448</v>
      </c>
    </row>
    <row r="866" spans="1:20" hidden="1" x14ac:dyDescent="0.4">
      <c r="A866" s="1" t="s">
        <v>265</v>
      </c>
      <c r="B866" s="1" t="s">
        <v>1453</v>
      </c>
      <c r="C866" s="1" t="s">
        <v>1845</v>
      </c>
      <c r="D866" s="1" t="s">
        <v>1731</v>
      </c>
      <c r="E866">
        <v>20251209</v>
      </c>
      <c r="F866" s="1" t="s">
        <v>1469</v>
      </c>
      <c r="G866">
        <v>1</v>
      </c>
      <c r="H866" s="1" t="s">
        <v>1475</v>
      </c>
      <c r="I866" t="s">
        <v>1855</v>
      </c>
      <c r="J866" s="1" t="s">
        <v>1544</v>
      </c>
      <c r="K866" s="1" t="s">
        <v>1609</v>
      </c>
      <c r="L866" s="1" t="s">
        <v>1716</v>
      </c>
      <c r="M866" s="1" t="s">
        <v>1770</v>
      </c>
      <c r="N866" t="s">
        <v>1983</v>
      </c>
      <c r="O866" t="s">
        <v>2162</v>
      </c>
      <c r="P866" t="s">
        <v>3094</v>
      </c>
      <c r="Q866">
        <v>912.25</v>
      </c>
      <c r="R866" s="1" t="s">
        <v>1463</v>
      </c>
      <c r="S866">
        <v>1094.99</v>
      </c>
      <c r="T866">
        <v>998913</v>
      </c>
    </row>
    <row r="867" spans="1:20" hidden="1" x14ac:dyDescent="0.4">
      <c r="A867" s="1" t="s">
        <v>266</v>
      </c>
      <c r="B867" s="1" t="s">
        <v>1453</v>
      </c>
      <c r="C867" s="1" t="s">
        <v>1845</v>
      </c>
      <c r="D867" s="1" t="s">
        <v>1731</v>
      </c>
      <c r="E867">
        <v>20251209</v>
      </c>
      <c r="F867" s="1" t="s">
        <v>1469</v>
      </c>
      <c r="G867">
        <v>1</v>
      </c>
      <c r="H867" s="1" t="s">
        <v>1475</v>
      </c>
      <c r="I867" t="s">
        <v>1855</v>
      </c>
      <c r="J867" s="1" t="s">
        <v>1548</v>
      </c>
      <c r="K867" s="1" t="s">
        <v>1632</v>
      </c>
      <c r="L867" s="1" t="s">
        <v>1716</v>
      </c>
      <c r="M867" s="1" t="s">
        <v>1735</v>
      </c>
      <c r="N867" t="s">
        <v>2010</v>
      </c>
      <c r="O867" t="s">
        <v>2162</v>
      </c>
      <c r="P867" t="s">
        <v>3124</v>
      </c>
      <c r="Q867">
        <v>1666.9</v>
      </c>
      <c r="R867" s="1" t="s">
        <v>1463</v>
      </c>
      <c r="S867">
        <v>2670</v>
      </c>
      <c r="T867">
        <v>4450623</v>
      </c>
    </row>
    <row r="868" spans="1:20" hidden="1" x14ac:dyDescent="0.4">
      <c r="A868" s="1" t="s">
        <v>267</v>
      </c>
      <c r="B868" s="1" t="s">
        <v>1453</v>
      </c>
      <c r="C868" s="1" t="s">
        <v>1845</v>
      </c>
      <c r="D868" s="1" t="s">
        <v>1464</v>
      </c>
      <c r="E868">
        <v>20251208</v>
      </c>
      <c r="F868" s="1" t="s">
        <v>1469</v>
      </c>
      <c r="G868">
        <v>2</v>
      </c>
      <c r="H868" s="1" t="s">
        <v>1478</v>
      </c>
      <c r="I868" t="s">
        <v>1858</v>
      </c>
      <c r="J868" s="1" t="s">
        <v>1545</v>
      </c>
      <c r="K868" s="1" t="s">
        <v>1597</v>
      </c>
      <c r="L868" s="1" t="s">
        <v>1726</v>
      </c>
      <c r="M868" s="1" t="s">
        <v>1762</v>
      </c>
      <c r="N868" t="s">
        <v>1972</v>
      </c>
      <c r="O868" t="s">
        <v>2171</v>
      </c>
      <c r="P868" t="s">
        <v>3108</v>
      </c>
      <c r="Q868">
        <v>328.3</v>
      </c>
      <c r="R868" s="1" t="s">
        <v>1839</v>
      </c>
      <c r="S868">
        <v>315</v>
      </c>
      <c r="T868">
        <v>103414</v>
      </c>
    </row>
    <row r="869" spans="1:20" hidden="1" x14ac:dyDescent="0.4">
      <c r="A869" s="1" t="s">
        <v>268</v>
      </c>
      <c r="B869" s="1" t="s">
        <v>1453</v>
      </c>
      <c r="C869" s="1" t="s">
        <v>1845</v>
      </c>
      <c r="D869" s="1" t="s">
        <v>1464</v>
      </c>
      <c r="E869">
        <v>20251205</v>
      </c>
      <c r="F869" s="1" t="s">
        <v>1469</v>
      </c>
      <c r="G869">
        <v>2</v>
      </c>
      <c r="H869" s="1" t="s">
        <v>1483</v>
      </c>
      <c r="I869" t="s">
        <v>1863</v>
      </c>
      <c r="J869" s="1" t="s">
        <v>1544</v>
      </c>
      <c r="K869" s="1" t="s">
        <v>1618</v>
      </c>
      <c r="L869" s="1" t="s">
        <v>1726</v>
      </c>
      <c r="M869" s="1" t="s">
        <v>1775</v>
      </c>
      <c r="N869" t="s">
        <v>1992</v>
      </c>
      <c r="O869" t="s">
        <v>2171</v>
      </c>
      <c r="P869" t="s">
        <v>3103</v>
      </c>
      <c r="Q869">
        <v>749.84</v>
      </c>
      <c r="R869" s="1" t="s">
        <v>1839</v>
      </c>
      <c r="S869">
        <v>85</v>
      </c>
      <c r="T869">
        <v>63736</v>
      </c>
    </row>
    <row r="870" spans="1:20" hidden="1" x14ac:dyDescent="0.4">
      <c r="A870" s="1" t="s">
        <v>269</v>
      </c>
      <c r="B870" s="1" t="s">
        <v>1453</v>
      </c>
      <c r="C870" s="1" t="s">
        <v>1845</v>
      </c>
      <c r="D870" s="1" t="s">
        <v>1464</v>
      </c>
      <c r="E870">
        <v>20251208</v>
      </c>
      <c r="F870" s="1" t="s">
        <v>1469</v>
      </c>
      <c r="G870">
        <v>2</v>
      </c>
      <c r="H870" s="1" t="s">
        <v>1483</v>
      </c>
      <c r="I870" t="s">
        <v>1863</v>
      </c>
      <c r="J870" s="1" t="s">
        <v>1544</v>
      </c>
      <c r="K870" s="1" t="s">
        <v>1598</v>
      </c>
      <c r="L870" s="1" t="s">
        <v>1726</v>
      </c>
      <c r="M870" s="1" t="s">
        <v>1765</v>
      </c>
      <c r="N870" t="s">
        <v>1973</v>
      </c>
      <c r="O870" t="s">
        <v>2171</v>
      </c>
      <c r="P870" t="s">
        <v>3084</v>
      </c>
      <c r="Q870">
        <v>378.56</v>
      </c>
      <c r="R870" s="1" t="s">
        <v>1839</v>
      </c>
      <c r="S870">
        <v>115</v>
      </c>
      <c r="T870">
        <v>43534</v>
      </c>
    </row>
    <row r="871" spans="1:20" hidden="1" x14ac:dyDescent="0.4">
      <c r="A871" s="1" t="s">
        <v>270</v>
      </c>
      <c r="B871" s="1" t="s">
        <v>1453</v>
      </c>
      <c r="C871" s="1" t="s">
        <v>1845</v>
      </c>
      <c r="D871" s="1" t="s">
        <v>1464</v>
      </c>
      <c r="E871">
        <v>20251209</v>
      </c>
      <c r="F871" s="1" t="s">
        <v>1469</v>
      </c>
      <c r="G871">
        <v>2</v>
      </c>
      <c r="H871" s="1" t="s">
        <v>1483</v>
      </c>
      <c r="I871" t="s">
        <v>1863</v>
      </c>
      <c r="J871" s="1" t="s">
        <v>1544</v>
      </c>
      <c r="K871" s="1" t="s">
        <v>1598</v>
      </c>
      <c r="L871" s="1" t="s">
        <v>1726</v>
      </c>
      <c r="M871" s="1" t="s">
        <v>1765</v>
      </c>
      <c r="N871" t="s">
        <v>1973</v>
      </c>
      <c r="O871" t="s">
        <v>2171</v>
      </c>
      <c r="P871" t="s">
        <v>3084</v>
      </c>
      <c r="Q871">
        <v>364</v>
      </c>
      <c r="R871" s="1" t="s">
        <v>1839</v>
      </c>
      <c r="S871">
        <v>115</v>
      </c>
      <c r="T871">
        <v>41860</v>
      </c>
    </row>
    <row r="872" spans="1:20" hidden="1" x14ac:dyDescent="0.4">
      <c r="A872" s="1" t="s">
        <v>271</v>
      </c>
      <c r="B872" s="1" t="s">
        <v>1453</v>
      </c>
      <c r="C872" s="1" t="s">
        <v>1845</v>
      </c>
      <c r="D872" s="1" t="s">
        <v>1462</v>
      </c>
      <c r="E872">
        <v>20251208</v>
      </c>
      <c r="F872" s="1" t="s">
        <v>1469</v>
      </c>
      <c r="G872">
        <v>1</v>
      </c>
      <c r="H872" s="1" t="s">
        <v>1481</v>
      </c>
      <c r="I872" t="s">
        <v>1861</v>
      </c>
      <c r="J872" s="1" t="s">
        <v>1547</v>
      </c>
      <c r="K872" s="1" t="s">
        <v>1633</v>
      </c>
      <c r="L872" s="1" t="s">
        <v>1721</v>
      </c>
      <c r="M872" s="1" t="s">
        <v>1737</v>
      </c>
      <c r="N872" t="s">
        <v>2011</v>
      </c>
      <c r="O872" t="s">
        <v>2167</v>
      </c>
      <c r="P872" t="s">
        <v>3125</v>
      </c>
      <c r="Q872">
        <v>2280</v>
      </c>
      <c r="R872" s="1" t="s">
        <v>1839</v>
      </c>
      <c r="S872">
        <v>67.900000000000006</v>
      </c>
      <c r="T872">
        <v>154812</v>
      </c>
    </row>
    <row r="873" spans="1:20" hidden="1" x14ac:dyDescent="0.4">
      <c r="A873" s="1" t="s">
        <v>272</v>
      </c>
      <c r="B873" s="1" t="s">
        <v>1453</v>
      </c>
      <c r="C873" s="1" t="s">
        <v>1845</v>
      </c>
      <c r="D873" s="1" t="s">
        <v>1462</v>
      </c>
      <c r="E873">
        <v>20251208</v>
      </c>
      <c r="F873" s="1" t="s">
        <v>1469</v>
      </c>
      <c r="G873">
        <v>1</v>
      </c>
      <c r="H873" s="1" t="s">
        <v>1480</v>
      </c>
      <c r="I873" t="s">
        <v>1860</v>
      </c>
      <c r="J873" s="1" t="s">
        <v>1550</v>
      </c>
      <c r="K873" s="1" t="s">
        <v>1634</v>
      </c>
      <c r="L873" s="1" t="s">
        <v>1717</v>
      </c>
      <c r="M873" s="1" t="s">
        <v>1781</v>
      </c>
      <c r="N873" t="s">
        <v>2012</v>
      </c>
      <c r="O873" t="s">
        <v>2163</v>
      </c>
      <c r="P873" t="s">
        <v>3126</v>
      </c>
      <c r="Q873">
        <v>10233</v>
      </c>
      <c r="R873" s="1" t="s">
        <v>1463</v>
      </c>
      <c r="S873">
        <v>138</v>
      </c>
      <c r="T873">
        <v>1412154</v>
      </c>
    </row>
    <row r="874" spans="1:20" hidden="1" x14ac:dyDescent="0.4">
      <c r="A874" s="1" t="s">
        <v>273</v>
      </c>
      <c r="B874" s="1" t="s">
        <v>1453</v>
      </c>
      <c r="C874" s="1" t="s">
        <v>1845</v>
      </c>
      <c r="D874" s="1" t="s">
        <v>1731</v>
      </c>
      <c r="E874">
        <v>20251209</v>
      </c>
      <c r="F874" s="1" t="s">
        <v>1469</v>
      </c>
      <c r="G874">
        <v>1</v>
      </c>
      <c r="H874" s="1" t="s">
        <v>1475</v>
      </c>
      <c r="I874" t="s">
        <v>1855</v>
      </c>
      <c r="J874" s="1" t="s">
        <v>1544</v>
      </c>
      <c r="K874" s="1" t="s">
        <v>1611</v>
      </c>
      <c r="L874" s="1" t="s">
        <v>1716</v>
      </c>
      <c r="M874" s="1" t="s">
        <v>1782</v>
      </c>
      <c r="N874" t="s">
        <v>1985</v>
      </c>
      <c r="O874" t="s">
        <v>2162</v>
      </c>
      <c r="P874" t="s">
        <v>3127</v>
      </c>
      <c r="Q874">
        <v>1028</v>
      </c>
      <c r="R874" s="1" t="s">
        <v>1463</v>
      </c>
      <c r="S874">
        <v>1350</v>
      </c>
      <c r="T874">
        <v>1387800</v>
      </c>
    </row>
    <row r="875" spans="1:20" hidden="1" x14ac:dyDescent="0.4">
      <c r="A875" s="1" t="s">
        <v>274</v>
      </c>
      <c r="B875" s="1" t="s">
        <v>1453</v>
      </c>
      <c r="C875" s="1" t="s">
        <v>1845</v>
      </c>
      <c r="D875" s="1" t="s">
        <v>1731</v>
      </c>
      <c r="E875">
        <v>20251210</v>
      </c>
      <c r="F875" s="1" t="s">
        <v>1469</v>
      </c>
      <c r="G875">
        <v>1</v>
      </c>
      <c r="H875" s="1" t="s">
        <v>1475</v>
      </c>
      <c r="I875" t="s">
        <v>1855</v>
      </c>
      <c r="J875" s="1" t="s">
        <v>1544</v>
      </c>
      <c r="K875" s="1" t="s">
        <v>1598</v>
      </c>
      <c r="L875" s="1" t="s">
        <v>1716</v>
      </c>
      <c r="M875" s="1" t="s">
        <v>1783</v>
      </c>
      <c r="N875" t="s">
        <v>1973</v>
      </c>
      <c r="O875" t="s">
        <v>2162</v>
      </c>
      <c r="P875" t="s">
        <v>3128</v>
      </c>
      <c r="Q875">
        <v>1170</v>
      </c>
      <c r="R875" s="1" t="s">
        <v>1463</v>
      </c>
      <c r="S875">
        <v>1450</v>
      </c>
      <c r="T875">
        <v>1696500</v>
      </c>
    </row>
    <row r="876" spans="1:20" hidden="1" x14ac:dyDescent="0.4">
      <c r="A876" s="1" t="s">
        <v>275</v>
      </c>
      <c r="B876" s="1" t="s">
        <v>1453</v>
      </c>
      <c r="C876" s="1" t="s">
        <v>1845</v>
      </c>
      <c r="D876" s="1" t="s">
        <v>1464</v>
      </c>
      <c r="E876">
        <v>20251210</v>
      </c>
      <c r="F876" s="1" t="s">
        <v>1469</v>
      </c>
      <c r="G876">
        <v>2</v>
      </c>
      <c r="H876" s="1" t="s">
        <v>1478</v>
      </c>
      <c r="I876" t="s">
        <v>1858</v>
      </c>
      <c r="J876" s="1" t="s">
        <v>1545</v>
      </c>
      <c r="K876" s="1" t="s">
        <v>1597</v>
      </c>
      <c r="L876" s="1" t="s">
        <v>1726</v>
      </c>
      <c r="M876" s="1" t="s">
        <v>1762</v>
      </c>
      <c r="N876" t="s">
        <v>1972</v>
      </c>
      <c r="O876" t="s">
        <v>2171</v>
      </c>
      <c r="P876" t="s">
        <v>3108</v>
      </c>
      <c r="Q876">
        <v>634.64</v>
      </c>
      <c r="R876" s="1" t="s">
        <v>1839</v>
      </c>
      <c r="S876">
        <v>315</v>
      </c>
      <c r="T876">
        <v>199911</v>
      </c>
    </row>
    <row r="877" spans="1:20" hidden="1" x14ac:dyDescent="0.4">
      <c r="A877" s="1" t="s">
        <v>276</v>
      </c>
      <c r="B877" s="1" t="s">
        <v>1453</v>
      </c>
      <c r="C877" s="1" t="s">
        <v>1845</v>
      </c>
      <c r="D877" s="1" t="s">
        <v>1462</v>
      </c>
      <c r="E877">
        <v>20251210</v>
      </c>
      <c r="F877" s="1" t="s">
        <v>1469</v>
      </c>
      <c r="G877">
        <v>1</v>
      </c>
      <c r="H877" s="1" t="s">
        <v>1481</v>
      </c>
      <c r="I877" t="s">
        <v>1861</v>
      </c>
      <c r="J877" s="1" t="s">
        <v>1547</v>
      </c>
      <c r="K877" s="1" t="s">
        <v>1635</v>
      </c>
      <c r="L877" s="1" t="s">
        <v>1721</v>
      </c>
      <c r="M877" s="1" t="s">
        <v>1737</v>
      </c>
      <c r="N877" t="s">
        <v>2013</v>
      </c>
      <c r="O877" t="s">
        <v>2167</v>
      </c>
      <c r="P877" t="s">
        <v>3129</v>
      </c>
      <c r="Q877">
        <v>4560</v>
      </c>
      <c r="R877" s="1" t="s">
        <v>1839</v>
      </c>
      <c r="S877">
        <v>78.900000000000006</v>
      </c>
      <c r="T877">
        <v>359784</v>
      </c>
    </row>
    <row r="878" spans="1:20" hidden="1" x14ac:dyDescent="0.4">
      <c r="A878" s="1" t="s">
        <v>277</v>
      </c>
      <c r="B878" s="1" t="s">
        <v>1453</v>
      </c>
      <c r="C878" s="1" t="s">
        <v>1845</v>
      </c>
      <c r="D878" s="1" t="s">
        <v>1462</v>
      </c>
      <c r="E878">
        <v>20251210</v>
      </c>
      <c r="F878" s="1" t="s">
        <v>1469</v>
      </c>
      <c r="G878">
        <v>1</v>
      </c>
      <c r="H878" s="1" t="s">
        <v>1481</v>
      </c>
      <c r="I878" t="s">
        <v>1861</v>
      </c>
      <c r="J878" s="1" t="s">
        <v>1547</v>
      </c>
      <c r="K878" s="1" t="s">
        <v>1594</v>
      </c>
      <c r="L878" s="1" t="s">
        <v>1721</v>
      </c>
      <c r="M878" s="1" t="s">
        <v>1737</v>
      </c>
      <c r="N878" t="s">
        <v>1969</v>
      </c>
      <c r="O878" t="s">
        <v>2167</v>
      </c>
      <c r="P878" t="s">
        <v>3130</v>
      </c>
      <c r="Q878">
        <v>2280</v>
      </c>
      <c r="R878" s="1" t="s">
        <v>1839</v>
      </c>
      <c r="S878">
        <v>76.900000000000006</v>
      </c>
      <c r="T878">
        <v>175332</v>
      </c>
    </row>
    <row r="879" spans="1:20" hidden="1" x14ac:dyDescent="0.4">
      <c r="A879" s="1" t="s">
        <v>278</v>
      </c>
      <c r="B879" s="1" t="s">
        <v>1453</v>
      </c>
      <c r="C879" s="1" t="s">
        <v>1845</v>
      </c>
      <c r="D879" s="1" t="s">
        <v>1464</v>
      </c>
      <c r="E879">
        <v>20251209</v>
      </c>
      <c r="F879" s="1" t="s">
        <v>1469</v>
      </c>
      <c r="G879">
        <v>2</v>
      </c>
      <c r="H879" s="1" t="s">
        <v>1477</v>
      </c>
      <c r="I879" t="s">
        <v>1857</v>
      </c>
      <c r="J879" s="1" t="s">
        <v>1548</v>
      </c>
      <c r="K879" s="1" t="s">
        <v>1630</v>
      </c>
      <c r="L879" s="1" t="s">
        <v>1726</v>
      </c>
      <c r="M879" s="1" t="s">
        <v>1741</v>
      </c>
      <c r="N879" t="s">
        <v>2008</v>
      </c>
      <c r="O879" t="s">
        <v>2171</v>
      </c>
      <c r="P879" t="s">
        <v>3042</v>
      </c>
      <c r="Q879">
        <v>1206</v>
      </c>
      <c r="R879" s="1" t="s">
        <v>1839</v>
      </c>
      <c r="S879">
        <v>100</v>
      </c>
      <c r="T879">
        <v>120600</v>
      </c>
    </row>
    <row r="880" spans="1:20" hidden="1" x14ac:dyDescent="0.4">
      <c r="A880" s="1" t="s">
        <v>279</v>
      </c>
      <c r="B880" s="1" t="s">
        <v>1453</v>
      </c>
      <c r="C880" s="1" t="s">
        <v>1845</v>
      </c>
      <c r="D880" s="1" t="s">
        <v>1464</v>
      </c>
      <c r="E880">
        <v>20251210</v>
      </c>
      <c r="F880" s="1" t="s">
        <v>1469</v>
      </c>
      <c r="G880">
        <v>2</v>
      </c>
      <c r="H880" s="1" t="s">
        <v>1477</v>
      </c>
      <c r="I880" t="s">
        <v>1857</v>
      </c>
      <c r="J880" s="1" t="s">
        <v>1548</v>
      </c>
      <c r="K880" s="1" t="s">
        <v>1630</v>
      </c>
      <c r="L880" s="1" t="s">
        <v>1726</v>
      </c>
      <c r="M880" s="1" t="s">
        <v>1741</v>
      </c>
      <c r="N880" t="s">
        <v>2008</v>
      </c>
      <c r="O880" t="s">
        <v>2171</v>
      </c>
      <c r="P880" t="s">
        <v>3042</v>
      </c>
      <c r="Q880">
        <v>1429.2</v>
      </c>
      <c r="R880" s="1" t="s">
        <v>1839</v>
      </c>
      <c r="S880">
        <v>100</v>
      </c>
      <c r="T880">
        <v>142920</v>
      </c>
    </row>
    <row r="881" spans="1:20" hidden="1" x14ac:dyDescent="0.4">
      <c r="A881" s="1" t="s">
        <v>280</v>
      </c>
      <c r="B881" s="1" t="s">
        <v>1453</v>
      </c>
      <c r="C881" s="1" t="s">
        <v>1845</v>
      </c>
      <c r="D881" s="1" t="s">
        <v>1731</v>
      </c>
      <c r="E881">
        <v>20251211</v>
      </c>
      <c r="F881" s="1" t="s">
        <v>1469</v>
      </c>
      <c r="G881">
        <v>1</v>
      </c>
      <c r="H881" s="1" t="s">
        <v>1475</v>
      </c>
      <c r="I881" t="s">
        <v>1855</v>
      </c>
      <c r="J881" s="1" t="s">
        <v>1544</v>
      </c>
      <c r="K881" s="1" t="s">
        <v>1601</v>
      </c>
      <c r="L881" s="1" t="s">
        <v>1716</v>
      </c>
      <c r="M881" s="1" t="s">
        <v>1774</v>
      </c>
      <c r="N881" t="s">
        <v>1976</v>
      </c>
      <c r="O881" t="s">
        <v>2162</v>
      </c>
      <c r="P881" t="s">
        <v>3102</v>
      </c>
      <c r="Q881">
        <v>1159.8</v>
      </c>
      <c r="R881" s="1" t="s">
        <v>1463</v>
      </c>
      <c r="S881">
        <v>560</v>
      </c>
      <c r="T881">
        <v>649488</v>
      </c>
    </row>
    <row r="882" spans="1:20" hidden="1" x14ac:dyDescent="0.4">
      <c r="A882" s="1" t="s">
        <v>281</v>
      </c>
      <c r="B882" s="1" t="s">
        <v>1453</v>
      </c>
      <c r="C882" s="1" t="s">
        <v>1845</v>
      </c>
      <c r="D882" s="1" t="s">
        <v>1731</v>
      </c>
      <c r="E882">
        <v>20251210</v>
      </c>
      <c r="F882" s="1" t="s">
        <v>1469</v>
      </c>
      <c r="G882">
        <v>1</v>
      </c>
      <c r="H882" s="1" t="s">
        <v>1475</v>
      </c>
      <c r="I882" t="s">
        <v>1855</v>
      </c>
      <c r="J882" s="1" t="s">
        <v>1547</v>
      </c>
      <c r="K882" s="1" t="s">
        <v>1626</v>
      </c>
      <c r="L882" s="1" t="s">
        <v>1721</v>
      </c>
      <c r="M882" s="1" t="s">
        <v>1737</v>
      </c>
      <c r="N882" t="s">
        <v>2003</v>
      </c>
      <c r="O882" t="s">
        <v>2167</v>
      </c>
      <c r="P882" t="s">
        <v>3131</v>
      </c>
      <c r="Q882">
        <v>6696</v>
      </c>
      <c r="R882" s="1" t="s">
        <v>1839</v>
      </c>
      <c r="S882">
        <v>121</v>
      </c>
      <c r="T882">
        <v>810216</v>
      </c>
    </row>
    <row r="883" spans="1:20" hidden="1" x14ac:dyDescent="0.4">
      <c r="A883" s="1" t="s">
        <v>282</v>
      </c>
      <c r="B883" s="1" t="s">
        <v>1453</v>
      </c>
      <c r="C883" s="1" t="s">
        <v>1845</v>
      </c>
      <c r="D883" s="1" t="s">
        <v>1462</v>
      </c>
      <c r="E883">
        <v>20251211</v>
      </c>
      <c r="F883" s="1" t="s">
        <v>1469</v>
      </c>
      <c r="G883">
        <v>1</v>
      </c>
      <c r="H883" s="1" t="s">
        <v>1485</v>
      </c>
      <c r="I883" t="s">
        <v>1865</v>
      </c>
      <c r="J883" s="1" t="s">
        <v>1547</v>
      </c>
      <c r="K883" s="1" t="s">
        <v>1620</v>
      </c>
      <c r="L883" s="1" t="s">
        <v>1721</v>
      </c>
      <c r="M883" s="1" t="s">
        <v>1737</v>
      </c>
      <c r="N883" t="s">
        <v>2014</v>
      </c>
      <c r="O883" t="s">
        <v>2167</v>
      </c>
      <c r="P883" t="s">
        <v>3132</v>
      </c>
      <c r="Q883">
        <v>770</v>
      </c>
      <c r="R883" s="1" t="s">
        <v>1839</v>
      </c>
      <c r="S883">
        <v>110.91</v>
      </c>
      <c r="T883">
        <v>85400</v>
      </c>
    </row>
    <row r="884" spans="1:20" hidden="1" x14ac:dyDescent="0.4">
      <c r="A884" s="1" t="s">
        <v>282</v>
      </c>
      <c r="B884" s="1" t="s">
        <v>1454</v>
      </c>
      <c r="C884" s="1" t="s">
        <v>1845</v>
      </c>
      <c r="D884" s="1" t="s">
        <v>1462</v>
      </c>
      <c r="E884">
        <v>20251211</v>
      </c>
      <c r="F884" s="1" t="s">
        <v>1469</v>
      </c>
      <c r="G884">
        <v>1</v>
      </c>
      <c r="H884" s="1" t="s">
        <v>1485</v>
      </c>
      <c r="I884" t="s">
        <v>1865</v>
      </c>
      <c r="J884" s="1" t="s">
        <v>1547</v>
      </c>
      <c r="K884" s="1" t="s">
        <v>1620</v>
      </c>
      <c r="L884" s="1" t="s">
        <v>1721</v>
      </c>
      <c r="M884" s="1" t="s">
        <v>1737</v>
      </c>
      <c r="N884" t="s">
        <v>2014</v>
      </c>
      <c r="O884" t="s">
        <v>2167</v>
      </c>
      <c r="P884" t="s">
        <v>3132</v>
      </c>
      <c r="Q884">
        <v>1155</v>
      </c>
      <c r="R884" s="1" t="s">
        <v>1839</v>
      </c>
      <c r="S884">
        <v>110.91</v>
      </c>
      <c r="T884">
        <v>128101</v>
      </c>
    </row>
    <row r="885" spans="1:20" hidden="1" x14ac:dyDescent="0.4">
      <c r="A885" s="1" t="s">
        <v>282</v>
      </c>
      <c r="B885" s="1" t="s">
        <v>1455</v>
      </c>
      <c r="C885" s="1" t="s">
        <v>1845</v>
      </c>
      <c r="D885" s="1" t="s">
        <v>1462</v>
      </c>
      <c r="E885">
        <v>20251211</v>
      </c>
      <c r="F885" s="1" t="s">
        <v>1469</v>
      </c>
      <c r="G885">
        <v>1</v>
      </c>
      <c r="H885" s="1" t="s">
        <v>1485</v>
      </c>
      <c r="I885" t="s">
        <v>1865</v>
      </c>
      <c r="J885" s="1" t="s">
        <v>1547</v>
      </c>
      <c r="K885" s="1" t="s">
        <v>1620</v>
      </c>
      <c r="L885" s="1" t="s">
        <v>1721</v>
      </c>
      <c r="M885" s="1" t="s">
        <v>1737</v>
      </c>
      <c r="N885" t="s">
        <v>2014</v>
      </c>
      <c r="O885" t="s">
        <v>2167</v>
      </c>
      <c r="P885" t="s">
        <v>3132</v>
      </c>
      <c r="Q885">
        <v>2520</v>
      </c>
      <c r="R885" s="1" t="s">
        <v>1839</v>
      </c>
      <c r="S885">
        <v>110.95</v>
      </c>
      <c r="T885">
        <v>279594</v>
      </c>
    </row>
    <row r="886" spans="1:20" hidden="1" x14ac:dyDescent="0.4">
      <c r="A886" s="1" t="s">
        <v>283</v>
      </c>
      <c r="B886" s="1" t="s">
        <v>1453</v>
      </c>
      <c r="C886" s="1" t="s">
        <v>1845</v>
      </c>
      <c r="D886" s="1" t="s">
        <v>1462</v>
      </c>
      <c r="E886">
        <v>20251210</v>
      </c>
      <c r="F886" s="1" t="s">
        <v>1469</v>
      </c>
      <c r="G886">
        <v>1</v>
      </c>
      <c r="H886" s="1" t="s">
        <v>1480</v>
      </c>
      <c r="I886" t="s">
        <v>1860</v>
      </c>
      <c r="J886" s="1" t="s">
        <v>1550</v>
      </c>
      <c r="K886" s="1" t="s">
        <v>1636</v>
      </c>
      <c r="L886" s="1" t="s">
        <v>1717</v>
      </c>
      <c r="M886" s="1" t="s">
        <v>1737</v>
      </c>
      <c r="N886" t="s">
        <v>2015</v>
      </c>
      <c r="O886" t="s">
        <v>2163</v>
      </c>
      <c r="P886" t="s">
        <v>2157</v>
      </c>
      <c r="Q886">
        <v>2239</v>
      </c>
      <c r="R886" s="1" t="s">
        <v>1463</v>
      </c>
      <c r="S886">
        <v>242</v>
      </c>
      <c r="T886">
        <v>541838</v>
      </c>
    </row>
    <row r="887" spans="1:20" hidden="1" x14ac:dyDescent="0.4">
      <c r="A887" s="1" t="s">
        <v>284</v>
      </c>
      <c r="B887" s="1" t="s">
        <v>1453</v>
      </c>
      <c r="C887" s="1" t="s">
        <v>1845</v>
      </c>
      <c r="D887" s="1" t="s">
        <v>1731</v>
      </c>
      <c r="E887">
        <v>20251210</v>
      </c>
      <c r="F887" s="1" t="s">
        <v>1469</v>
      </c>
      <c r="G887">
        <v>1</v>
      </c>
      <c r="H887" s="1" t="s">
        <v>1475</v>
      </c>
      <c r="I887" t="s">
        <v>1855</v>
      </c>
      <c r="J887" s="1" t="s">
        <v>1544</v>
      </c>
      <c r="K887" s="1" t="s">
        <v>1611</v>
      </c>
      <c r="L887" s="1" t="s">
        <v>1716</v>
      </c>
      <c r="M887" s="1" t="s">
        <v>1784</v>
      </c>
      <c r="N887" t="s">
        <v>1985</v>
      </c>
      <c r="O887" t="s">
        <v>2162</v>
      </c>
      <c r="P887" t="s">
        <v>3133</v>
      </c>
      <c r="Q887">
        <v>1020</v>
      </c>
      <c r="R887" s="1" t="s">
        <v>1463</v>
      </c>
      <c r="S887">
        <v>1350</v>
      </c>
      <c r="T887">
        <v>1377000</v>
      </c>
    </row>
    <row r="888" spans="1:20" hidden="1" x14ac:dyDescent="0.4">
      <c r="A888" s="1" t="s">
        <v>285</v>
      </c>
      <c r="B888" s="1" t="s">
        <v>1453</v>
      </c>
      <c r="C888" s="1" t="s">
        <v>1845</v>
      </c>
      <c r="D888" s="1" t="s">
        <v>1464</v>
      </c>
      <c r="E888">
        <v>20251211</v>
      </c>
      <c r="F888" s="1" t="s">
        <v>1469</v>
      </c>
      <c r="G888">
        <v>2</v>
      </c>
      <c r="H888" s="1" t="s">
        <v>1478</v>
      </c>
      <c r="I888" t="s">
        <v>1858</v>
      </c>
      <c r="J888" s="1" t="s">
        <v>1545</v>
      </c>
      <c r="K888" s="1" t="s">
        <v>1616</v>
      </c>
      <c r="L888" s="1" t="s">
        <v>1726</v>
      </c>
      <c r="M888" s="1" t="s">
        <v>1761</v>
      </c>
      <c r="N888" t="s">
        <v>1990</v>
      </c>
      <c r="O888" t="s">
        <v>2171</v>
      </c>
      <c r="P888" t="s">
        <v>3116</v>
      </c>
      <c r="Q888">
        <v>566.25</v>
      </c>
      <c r="R888" s="1" t="s">
        <v>1839</v>
      </c>
      <c r="S888">
        <v>340</v>
      </c>
      <c r="T888">
        <v>192525</v>
      </c>
    </row>
    <row r="889" spans="1:20" hidden="1" x14ac:dyDescent="0.4">
      <c r="A889" s="1" t="s">
        <v>286</v>
      </c>
      <c r="B889" s="1" t="s">
        <v>1453</v>
      </c>
      <c r="C889" s="1" t="s">
        <v>1845</v>
      </c>
      <c r="D889" s="1" t="s">
        <v>1731</v>
      </c>
      <c r="E889">
        <v>20251212</v>
      </c>
      <c r="F889" s="1" t="s">
        <v>1469</v>
      </c>
      <c r="G889">
        <v>1</v>
      </c>
      <c r="H889" s="1" t="s">
        <v>1475</v>
      </c>
      <c r="I889" t="s">
        <v>1855</v>
      </c>
      <c r="J889" s="1" t="s">
        <v>1548</v>
      </c>
      <c r="K889" s="1" t="s">
        <v>1606</v>
      </c>
      <c r="L889" s="1" t="s">
        <v>1716</v>
      </c>
      <c r="M889" s="1" t="s">
        <v>1735</v>
      </c>
      <c r="N889" t="s">
        <v>1981</v>
      </c>
      <c r="O889" t="s">
        <v>2162</v>
      </c>
      <c r="P889" t="s">
        <v>3134</v>
      </c>
      <c r="Q889">
        <v>1721.88</v>
      </c>
      <c r="R889" s="1" t="s">
        <v>1463</v>
      </c>
      <c r="S889">
        <v>2031.99</v>
      </c>
      <c r="T889">
        <v>3498860</v>
      </c>
    </row>
    <row r="890" spans="1:20" hidden="1" x14ac:dyDescent="0.4">
      <c r="A890" s="1" t="s">
        <v>286</v>
      </c>
      <c r="B890" s="1" t="s">
        <v>1454</v>
      </c>
      <c r="C890" s="1" t="s">
        <v>1845</v>
      </c>
      <c r="D890" s="1" t="s">
        <v>1731</v>
      </c>
      <c r="E890">
        <v>20251212</v>
      </c>
      <c r="F890" s="1" t="s">
        <v>1469</v>
      </c>
      <c r="G890">
        <v>1</v>
      </c>
      <c r="H890" s="1" t="s">
        <v>1475</v>
      </c>
      <c r="I890" t="s">
        <v>1855</v>
      </c>
      <c r="J890" s="1" t="s">
        <v>1548</v>
      </c>
      <c r="K890" s="1" t="s">
        <v>1606</v>
      </c>
      <c r="L890" s="1" t="s">
        <v>1716</v>
      </c>
      <c r="M890" s="1" t="s">
        <v>1735</v>
      </c>
      <c r="N890" t="s">
        <v>1981</v>
      </c>
      <c r="O890" t="s">
        <v>2162</v>
      </c>
      <c r="P890" t="s">
        <v>3135</v>
      </c>
      <c r="Q890">
        <v>1723.36</v>
      </c>
      <c r="R890" s="1" t="s">
        <v>1463</v>
      </c>
      <c r="S890">
        <v>2031.99</v>
      </c>
      <c r="T890">
        <v>3501867</v>
      </c>
    </row>
    <row r="891" spans="1:20" hidden="1" x14ac:dyDescent="0.4">
      <c r="A891" s="1" t="s">
        <v>287</v>
      </c>
      <c r="B891" s="1" t="s">
        <v>1453</v>
      </c>
      <c r="C891" s="1" t="s">
        <v>1845</v>
      </c>
      <c r="D891" s="1" t="s">
        <v>1462</v>
      </c>
      <c r="E891">
        <v>20251212</v>
      </c>
      <c r="F891" s="1" t="s">
        <v>1469</v>
      </c>
      <c r="G891">
        <v>1</v>
      </c>
      <c r="H891" s="1" t="s">
        <v>1479</v>
      </c>
      <c r="I891" t="s">
        <v>1859</v>
      </c>
      <c r="J891" s="1" t="s">
        <v>1544</v>
      </c>
      <c r="K891" s="1" t="s">
        <v>1596</v>
      </c>
      <c r="L891" s="1" t="s">
        <v>1722</v>
      </c>
      <c r="M891" s="1" t="s">
        <v>1763</v>
      </c>
      <c r="N891" t="s">
        <v>1971</v>
      </c>
      <c r="O891" t="s">
        <v>2168</v>
      </c>
      <c r="P891" t="s">
        <v>3081</v>
      </c>
      <c r="Q891">
        <v>5</v>
      </c>
      <c r="R891" s="1" t="s">
        <v>1463</v>
      </c>
      <c r="S891">
        <v>990</v>
      </c>
      <c r="T891">
        <v>4950</v>
      </c>
    </row>
    <row r="892" spans="1:20" hidden="1" x14ac:dyDescent="0.4">
      <c r="A892" s="1" t="s">
        <v>287</v>
      </c>
      <c r="B892" s="1" t="s">
        <v>1454</v>
      </c>
      <c r="C892" s="1" t="s">
        <v>1845</v>
      </c>
      <c r="D892" s="1" t="s">
        <v>1462</v>
      </c>
      <c r="E892">
        <v>20251212</v>
      </c>
      <c r="F892" s="1" t="s">
        <v>1469</v>
      </c>
      <c r="G892">
        <v>1</v>
      </c>
      <c r="H892" s="1" t="s">
        <v>1479</v>
      </c>
      <c r="I892" t="s">
        <v>1859</v>
      </c>
      <c r="J892" s="1" t="s">
        <v>1544</v>
      </c>
      <c r="K892" s="1" t="s">
        <v>1596</v>
      </c>
      <c r="L892" s="1" t="s">
        <v>1722</v>
      </c>
      <c r="M892" s="1" t="s">
        <v>1764</v>
      </c>
      <c r="N892" t="s">
        <v>1971</v>
      </c>
      <c r="O892" t="s">
        <v>2168</v>
      </c>
      <c r="P892" t="s">
        <v>3082</v>
      </c>
      <c r="Q892">
        <v>5</v>
      </c>
      <c r="R892" s="1" t="s">
        <v>1463</v>
      </c>
      <c r="S892">
        <v>990</v>
      </c>
      <c r="T892">
        <v>4950</v>
      </c>
    </row>
    <row r="893" spans="1:20" hidden="1" x14ac:dyDescent="0.4">
      <c r="A893" s="1" t="s">
        <v>288</v>
      </c>
      <c r="B893" s="1" t="s">
        <v>1453</v>
      </c>
      <c r="C893" s="1" t="s">
        <v>1845</v>
      </c>
      <c r="D893" s="1" t="s">
        <v>1464</v>
      </c>
      <c r="E893">
        <v>20251209</v>
      </c>
      <c r="F893" s="1" t="s">
        <v>1469</v>
      </c>
      <c r="G893">
        <v>2</v>
      </c>
      <c r="H893" s="1" t="s">
        <v>1483</v>
      </c>
      <c r="I893" t="s">
        <v>1863</v>
      </c>
      <c r="J893" s="1" t="s">
        <v>1544</v>
      </c>
      <c r="K893" s="1" t="s">
        <v>1596</v>
      </c>
      <c r="L893" s="1" t="s">
        <v>1726</v>
      </c>
      <c r="M893" s="1" t="s">
        <v>1763</v>
      </c>
      <c r="N893" t="s">
        <v>1971</v>
      </c>
      <c r="O893" t="s">
        <v>2171</v>
      </c>
      <c r="P893" t="s">
        <v>3081</v>
      </c>
      <c r="Q893">
        <v>1688.96</v>
      </c>
      <c r="R893" s="1" t="s">
        <v>1839</v>
      </c>
      <c r="S893">
        <v>75</v>
      </c>
      <c r="T893">
        <v>126672</v>
      </c>
    </row>
    <row r="894" spans="1:20" hidden="1" x14ac:dyDescent="0.4">
      <c r="A894" s="1" t="s">
        <v>289</v>
      </c>
      <c r="B894" s="1" t="s">
        <v>1453</v>
      </c>
      <c r="C894" s="1" t="s">
        <v>1845</v>
      </c>
      <c r="D894" s="1" t="s">
        <v>1849</v>
      </c>
      <c r="E894">
        <v>20251211</v>
      </c>
      <c r="F894" s="1" t="s">
        <v>1469</v>
      </c>
      <c r="G894">
        <v>2</v>
      </c>
      <c r="H894" s="1" t="s">
        <v>1478</v>
      </c>
      <c r="I894" t="s">
        <v>1858</v>
      </c>
      <c r="J894" s="1" t="s">
        <v>1545</v>
      </c>
      <c r="K894" s="1" t="s">
        <v>1616</v>
      </c>
      <c r="L894" s="1" t="s">
        <v>1726</v>
      </c>
      <c r="M894" s="1" t="s">
        <v>1761</v>
      </c>
      <c r="N894" t="s">
        <v>1990</v>
      </c>
      <c r="O894" t="s">
        <v>2171</v>
      </c>
      <c r="P894" t="s">
        <v>3116</v>
      </c>
      <c r="Q894">
        <v>-566.25</v>
      </c>
      <c r="R894" s="1" t="s">
        <v>1839</v>
      </c>
      <c r="S894">
        <v>340</v>
      </c>
      <c r="T894">
        <v>-192525</v>
      </c>
    </row>
    <row r="895" spans="1:20" hidden="1" x14ac:dyDescent="0.4">
      <c r="A895" s="1" t="s">
        <v>290</v>
      </c>
      <c r="B895" s="1" t="s">
        <v>1453</v>
      </c>
      <c r="C895" s="1" t="s">
        <v>1845</v>
      </c>
      <c r="D895" s="1" t="s">
        <v>1464</v>
      </c>
      <c r="E895">
        <v>20251211</v>
      </c>
      <c r="F895" s="1" t="s">
        <v>1469</v>
      </c>
      <c r="G895">
        <v>2</v>
      </c>
      <c r="H895" s="1" t="s">
        <v>1478</v>
      </c>
      <c r="I895" t="s">
        <v>1858</v>
      </c>
      <c r="J895" s="1" t="s">
        <v>1545</v>
      </c>
      <c r="K895" s="1" t="s">
        <v>1616</v>
      </c>
      <c r="L895" s="1" t="s">
        <v>1726</v>
      </c>
      <c r="M895" s="1" t="s">
        <v>1761</v>
      </c>
      <c r="N895" t="s">
        <v>1990</v>
      </c>
      <c r="O895" t="s">
        <v>2171</v>
      </c>
      <c r="P895" t="s">
        <v>3116</v>
      </c>
      <c r="Q895">
        <v>463.2</v>
      </c>
      <c r="R895" s="1" t="s">
        <v>1839</v>
      </c>
      <c r="S895">
        <v>340</v>
      </c>
      <c r="T895">
        <v>157488</v>
      </c>
    </row>
    <row r="896" spans="1:20" hidden="1" x14ac:dyDescent="0.4">
      <c r="A896" s="1" t="s">
        <v>291</v>
      </c>
      <c r="B896" s="1" t="s">
        <v>1453</v>
      </c>
      <c r="C896" s="1" t="s">
        <v>1845</v>
      </c>
      <c r="D896" s="1" t="s">
        <v>1464</v>
      </c>
      <c r="E896">
        <v>20251211</v>
      </c>
      <c r="F896" s="1" t="s">
        <v>1469</v>
      </c>
      <c r="G896">
        <v>2</v>
      </c>
      <c r="H896" s="1" t="s">
        <v>1478</v>
      </c>
      <c r="I896" t="s">
        <v>1858</v>
      </c>
      <c r="J896" s="1" t="s">
        <v>1545</v>
      </c>
      <c r="K896" s="1" t="s">
        <v>1616</v>
      </c>
      <c r="L896" s="1" t="s">
        <v>1726</v>
      </c>
      <c r="M896" s="1" t="s">
        <v>1761</v>
      </c>
      <c r="N896" t="s">
        <v>1990</v>
      </c>
      <c r="O896" t="s">
        <v>2171</v>
      </c>
      <c r="P896" t="s">
        <v>3116</v>
      </c>
      <c r="Q896">
        <v>103.05</v>
      </c>
      <c r="R896" s="1" t="s">
        <v>1839</v>
      </c>
      <c r="S896">
        <v>0</v>
      </c>
      <c r="T896">
        <v>0</v>
      </c>
    </row>
    <row r="897" spans="1:20" hidden="1" x14ac:dyDescent="0.4">
      <c r="A897" s="1" t="s">
        <v>292</v>
      </c>
      <c r="B897" s="1" t="s">
        <v>1453</v>
      </c>
      <c r="C897" s="1" t="s">
        <v>1845</v>
      </c>
      <c r="D897" s="1" t="s">
        <v>1464</v>
      </c>
      <c r="E897">
        <v>20251212</v>
      </c>
      <c r="F897" s="1" t="s">
        <v>1469</v>
      </c>
      <c r="G897">
        <v>2</v>
      </c>
      <c r="H897" s="1" t="s">
        <v>1478</v>
      </c>
      <c r="I897" t="s">
        <v>1858</v>
      </c>
      <c r="J897" s="1" t="s">
        <v>1545</v>
      </c>
      <c r="K897" s="1" t="s">
        <v>1592</v>
      </c>
      <c r="L897" s="1" t="s">
        <v>1726</v>
      </c>
      <c r="M897" s="1" t="s">
        <v>1761</v>
      </c>
      <c r="N897" t="s">
        <v>1967</v>
      </c>
      <c r="O897" t="s">
        <v>2171</v>
      </c>
      <c r="P897" t="s">
        <v>3076</v>
      </c>
      <c r="Q897">
        <v>32.76</v>
      </c>
      <c r="R897" s="1" t="s">
        <v>1839</v>
      </c>
      <c r="S897">
        <v>280</v>
      </c>
      <c r="T897">
        <v>9172</v>
      </c>
    </row>
    <row r="898" spans="1:20" hidden="1" x14ac:dyDescent="0.4">
      <c r="A898" s="1" t="s">
        <v>293</v>
      </c>
      <c r="B898" s="1" t="s">
        <v>1453</v>
      </c>
      <c r="C898" s="1" t="s">
        <v>1845</v>
      </c>
      <c r="D898" s="1" t="s">
        <v>1731</v>
      </c>
      <c r="E898">
        <v>20251215</v>
      </c>
      <c r="F898" s="1" t="s">
        <v>1469</v>
      </c>
      <c r="G898">
        <v>1</v>
      </c>
      <c r="H898" s="1" t="s">
        <v>1475</v>
      </c>
      <c r="I898" t="s">
        <v>1855</v>
      </c>
      <c r="J898" s="1" t="s">
        <v>1544</v>
      </c>
      <c r="K898" s="1" t="s">
        <v>1601</v>
      </c>
      <c r="L898" s="1" t="s">
        <v>1716</v>
      </c>
      <c r="M898" s="1" t="s">
        <v>1785</v>
      </c>
      <c r="N898" t="s">
        <v>1976</v>
      </c>
      <c r="O898" t="s">
        <v>2162</v>
      </c>
      <c r="P898" t="s">
        <v>3136</v>
      </c>
      <c r="Q898">
        <v>1159.8</v>
      </c>
      <c r="R898" s="1" t="s">
        <v>1463</v>
      </c>
      <c r="S898">
        <v>560</v>
      </c>
      <c r="T898">
        <v>649488</v>
      </c>
    </row>
    <row r="899" spans="1:20" hidden="1" x14ac:dyDescent="0.4">
      <c r="A899" s="1" t="s">
        <v>294</v>
      </c>
      <c r="B899" s="1" t="s">
        <v>1453</v>
      </c>
      <c r="C899" s="1" t="s">
        <v>1845</v>
      </c>
      <c r="D899" s="1" t="s">
        <v>1464</v>
      </c>
      <c r="E899">
        <v>20251215</v>
      </c>
      <c r="F899" s="1" t="s">
        <v>1469</v>
      </c>
      <c r="G899">
        <v>4</v>
      </c>
      <c r="H899" s="1" t="s">
        <v>1486</v>
      </c>
      <c r="I899" t="s">
        <v>1866</v>
      </c>
      <c r="J899" s="1" t="s">
        <v>1548</v>
      </c>
      <c r="K899" s="1" t="s">
        <v>1599</v>
      </c>
      <c r="L899" s="1" t="s">
        <v>1718</v>
      </c>
      <c r="M899" s="1" t="s">
        <v>1737</v>
      </c>
      <c r="N899" t="s">
        <v>1974</v>
      </c>
      <c r="O899" t="s">
        <v>2164</v>
      </c>
      <c r="P899" t="s">
        <v>2157</v>
      </c>
      <c r="Q899">
        <v>539.58000000000004</v>
      </c>
      <c r="R899" s="1" t="s">
        <v>1839</v>
      </c>
      <c r="S899">
        <v>0</v>
      </c>
      <c r="T899">
        <v>0</v>
      </c>
    </row>
    <row r="900" spans="1:20" hidden="1" x14ac:dyDescent="0.4">
      <c r="A900" s="1" t="s">
        <v>295</v>
      </c>
      <c r="B900" s="1" t="s">
        <v>1453</v>
      </c>
      <c r="C900" s="1" t="s">
        <v>1845</v>
      </c>
      <c r="D900" s="1" t="s">
        <v>1464</v>
      </c>
      <c r="E900">
        <v>20251215</v>
      </c>
      <c r="F900" s="1" t="s">
        <v>1469</v>
      </c>
      <c r="G900">
        <v>3</v>
      </c>
      <c r="H900" s="1" t="s">
        <v>1486</v>
      </c>
      <c r="I900" t="s">
        <v>1866</v>
      </c>
      <c r="J900" s="1" t="s">
        <v>1548</v>
      </c>
      <c r="K900" s="1" t="s">
        <v>1599</v>
      </c>
      <c r="L900" s="1" t="s">
        <v>1728</v>
      </c>
      <c r="M900" s="1" t="s">
        <v>1737</v>
      </c>
      <c r="N900" t="s">
        <v>1974</v>
      </c>
      <c r="O900" t="s">
        <v>2173</v>
      </c>
      <c r="P900" t="s">
        <v>2157</v>
      </c>
      <c r="Q900">
        <v>539.58000000000004</v>
      </c>
      <c r="R900" s="1" t="s">
        <v>1839</v>
      </c>
      <c r="S900">
        <v>478</v>
      </c>
      <c r="T900">
        <v>257919</v>
      </c>
    </row>
    <row r="901" spans="1:20" hidden="1" x14ac:dyDescent="0.4">
      <c r="A901" s="1" t="s">
        <v>296</v>
      </c>
      <c r="B901" s="1" t="s">
        <v>1453</v>
      </c>
      <c r="C901" s="1" t="s">
        <v>1845</v>
      </c>
      <c r="D901" s="1" t="s">
        <v>1464</v>
      </c>
      <c r="E901">
        <v>20251213</v>
      </c>
      <c r="F901" s="1" t="s">
        <v>1469</v>
      </c>
      <c r="G901">
        <v>2</v>
      </c>
      <c r="H901" s="1" t="s">
        <v>1483</v>
      </c>
      <c r="I901" t="s">
        <v>1863</v>
      </c>
      <c r="J901" s="1" t="s">
        <v>1544</v>
      </c>
      <c r="K901" s="1" t="s">
        <v>1596</v>
      </c>
      <c r="L901" s="1" t="s">
        <v>1726</v>
      </c>
      <c r="M901" s="1" t="s">
        <v>1764</v>
      </c>
      <c r="N901" t="s">
        <v>1971</v>
      </c>
      <c r="O901" t="s">
        <v>2171</v>
      </c>
      <c r="P901" t="s">
        <v>3082</v>
      </c>
      <c r="Q901">
        <v>1648.92</v>
      </c>
      <c r="R901" s="1" t="s">
        <v>1839</v>
      </c>
      <c r="S901">
        <v>75</v>
      </c>
      <c r="T901">
        <v>123669</v>
      </c>
    </row>
    <row r="902" spans="1:20" hidden="1" x14ac:dyDescent="0.4">
      <c r="A902" s="1" t="s">
        <v>297</v>
      </c>
      <c r="B902" s="1" t="s">
        <v>1453</v>
      </c>
      <c r="C902" s="1" t="s">
        <v>1845</v>
      </c>
      <c r="D902" s="1" t="s">
        <v>1464</v>
      </c>
      <c r="E902">
        <v>20251216</v>
      </c>
      <c r="F902" s="1" t="s">
        <v>1469</v>
      </c>
      <c r="G902">
        <v>4</v>
      </c>
      <c r="H902" s="1" t="s">
        <v>1487</v>
      </c>
      <c r="I902" t="s">
        <v>1867</v>
      </c>
      <c r="J902" s="1" t="s">
        <v>1548</v>
      </c>
      <c r="K902" s="1" t="s">
        <v>1600</v>
      </c>
      <c r="L902" s="1" t="s">
        <v>1718</v>
      </c>
      <c r="M902" s="1" t="s">
        <v>1766</v>
      </c>
      <c r="N902" t="s">
        <v>1975</v>
      </c>
      <c r="O902" t="s">
        <v>2164</v>
      </c>
      <c r="P902" t="s">
        <v>3076</v>
      </c>
      <c r="Q902">
        <v>1062</v>
      </c>
      <c r="R902" s="1" t="s">
        <v>1839</v>
      </c>
      <c r="S902">
        <v>0</v>
      </c>
      <c r="T902">
        <v>0</v>
      </c>
    </row>
    <row r="903" spans="1:20" hidden="1" x14ac:dyDescent="0.4">
      <c r="A903" s="1" t="s">
        <v>298</v>
      </c>
      <c r="B903" s="1" t="s">
        <v>1453</v>
      </c>
      <c r="C903" s="1" t="s">
        <v>1845</v>
      </c>
      <c r="D903" s="1" t="s">
        <v>1731</v>
      </c>
      <c r="E903">
        <v>20251216</v>
      </c>
      <c r="F903" s="1" t="s">
        <v>1469</v>
      </c>
      <c r="G903">
        <v>1</v>
      </c>
      <c r="H903" s="1" t="s">
        <v>1475</v>
      </c>
      <c r="I903" t="s">
        <v>1855</v>
      </c>
      <c r="J903" s="1" t="s">
        <v>1544</v>
      </c>
      <c r="K903" s="1" t="s">
        <v>1615</v>
      </c>
      <c r="L903" s="1" t="s">
        <v>1716</v>
      </c>
      <c r="M903" s="1" t="s">
        <v>1773</v>
      </c>
      <c r="N903" t="s">
        <v>1989</v>
      </c>
      <c r="O903" t="s">
        <v>2162</v>
      </c>
      <c r="P903" t="s">
        <v>3099</v>
      </c>
      <c r="Q903">
        <v>1772.6</v>
      </c>
      <c r="R903" s="1" t="s">
        <v>1463</v>
      </c>
      <c r="S903">
        <v>1720</v>
      </c>
      <c r="T903">
        <v>3048872</v>
      </c>
    </row>
    <row r="904" spans="1:20" hidden="1" x14ac:dyDescent="0.4">
      <c r="A904" s="1" t="s">
        <v>299</v>
      </c>
      <c r="B904" s="1" t="s">
        <v>1453</v>
      </c>
      <c r="C904" s="1" t="s">
        <v>1845</v>
      </c>
      <c r="D904" s="1" t="s">
        <v>1462</v>
      </c>
      <c r="E904">
        <v>20251215</v>
      </c>
      <c r="F904" s="1" t="s">
        <v>1469</v>
      </c>
      <c r="G904">
        <v>1</v>
      </c>
      <c r="H904" s="1" t="s">
        <v>1480</v>
      </c>
      <c r="I904" t="s">
        <v>1860</v>
      </c>
      <c r="J904" s="1" t="s">
        <v>1550</v>
      </c>
      <c r="K904" s="1" t="s">
        <v>1620</v>
      </c>
      <c r="L904" s="1" t="s">
        <v>1717</v>
      </c>
      <c r="M904" s="1" t="s">
        <v>1737</v>
      </c>
      <c r="N904" t="s">
        <v>1997</v>
      </c>
      <c r="O904" t="s">
        <v>2163</v>
      </c>
      <c r="P904" t="s">
        <v>2157</v>
      </c>
      <c r="Q904">
        <v>10209</v>
      </c>
      <c r="R904" s="1" t="s">
        <v>1463</v>
      </c>
      <c r="S904">
        <v>148</v>
      </c>
      <c r="T904">
        <v>1510932</v>
      </c>
    </row>
    <row r="905" spans="1:20" hidden="1" x14ac:dyDescent="0.4">
      <c r="A905" s="1" t="s">
        <v>300</v>
      </c>
      <c r="B905" s="1" t="s">
        <v>1453</v>
      </c>
      <c r="C905" s="1" t="s">
        <v>1845</v>
      </c>
      <c r="D905" s="1" t="s">
        <v>1464</v>
      </c>
      <c r="E905">
        <v>20251215</v>
      </c>
      <c r="F905" s="1" t="s">
        <v>1469</v>
      </c>
      <c r="G905">
        <v>3</v>
      </c>
      <c r="H905" s="1" t="s">
        <v>1487</v>
      </c>
      <c r="I905" t="s">
        <v>1867</v>
      </c>
      <c r="J905" s="1" t="s">
        <v>1548</v>
      </c>
      <c r="K905" s="1" t="s">
        <v>1600</v>
      </c>
      <c r="L905" s="1" t="s">
        <v>1728</v>
      </c>
      <c r="M905" s="1" t="s">
        <v>1766</v>
      </c>
      <c r="N905" t="s">
        <v>1975</v>
      </c>
      <c r="O905" t="s">
        <v>2173</v>
      </c>
      <c r="P905" t="s">
        <v>3076</v>
      </c>
      <c r="Q905">
        <v>1062</v>
      </c>
      <c r="R905" s="1" t="s">
        <v>1839</v>
      </c>
      <c r="S905">
        <v>95</v>
      </c>
      <c r="T905">
        <v>100890</v>
      </c>
    </row>
    <row r="906" spans="1:20" hidden="1" x14ac:dyDescent="0.4">
      <c r="A906" s="1" t="s">
        <v>301</v>
      </c>
      <c r="B906" s="1" t="s">
        <v>1453</v>
      </c>
      <c r="C906" s="1" t="s">
        <v>1845</v>
      </c>
      <c r="D906" s="1" t="s">
        <v>1462</v>
      </c>
      <c r="E906">
        <v>20251231</v>
      </c>
      <c r="F906" s="1" t="s">
        <v>1469</v>
      </c>
      <c r="G906">
        <v>1</v>
      </c>
      <c r="H906" s="1" t="s">
        <v>1484</v>
      </c>
      <c r="I906" t="s">
        <v>1864</v>
      </c>
      <c r="J906" s="1" t="s">
        <v>1544</v>
      </c>
      <c r="K906" s="1" t="s">
        <v>1619</v>
      </c>
      <c r="L906" s="1" t="s">
        <v>1727</v>
      </c>
      <c r="M906" s="1" t="s">
        <v>1780</v>
      </c>
      <c r="N906" t="s">
        <v>2016</v>
      </c>
      <c r="O906" t="s">
        <v>2174</v>
      </c>
      <c r="P906" t="s">
        <v>3137</v>
      </c>
      <c r="Q906">
        <v>24</v>
      </c>
      <c r="R906" s="1" t="s">
        <v>1463</v>
      </c>
      <c r="S906">
        <v>2800</v>
      </c>
      <c r="T906">
        <v>67200</v>
      </c>
    </row>
    <row r="907" spans="1:20" hidden="1" x14ac:dyDescent="0.4">
      <c r="A907" s="1" t="s">
        <v>302</v>
      </c>
      <c r="B907" s="1" t="s">
        <v>1453</v>
      </c>
      <c r="C907" s="1" t="s">
        <v>1845</v>
      </c>
      <c r="D907" s="1" t="s">
        <v>1731</v>
      </c>
      <c r="E907">
        <v>20251216</v>
      </c>
      <c r="F907" s="1" t="s">
        <v>1469</v>
      </c>
      <c r="G907">
        <v>1</v>
      </c>
      <c r="H907" s="1" t="s">
        <v>1475</v>
      </c>
      <c r="I907" t="s">
        <v>1855</v>
      </c>
      <c r="J907" s="1" t="s">
        <v>1550</v>
      </c>
      <c r="K907" s="1" t="s">
        <v>1581</v>
      </c>
      <c r="L907" s="1" t="s">
        <v>1717</v>
      </c>
      <c r="M907" s="1" t="s">
        <v>1737</v>
      </c>
      <c r="N907" t="s">
        <v>1956</v>
      </c>
      <c r="O907" t="s">
        <v>2163</v>
      </c>
      <c r="P907" t="s">
        <v>2157</v>
      </c>
      <c r="Q907">
        <v>4000</v>
      </c>
      <c r="R907" s="1" t="s">
        <v>1463</v>
      </c>
      <c r="S907">
        <v>280</v>
      </c>
      <c r="T907">
        <v>1120000</v>
      </c>
    </row>
    <row r="908" spans="1:20" hidden="1" x14ac:dyDescent="0.4">
      <c r="A908" s="1" t="s">
        <v>303</v>
      </c>
      <c r="B908" s="1" t="s">
        <v>1453</v>
      </c>
      <c r="C908" s="1" t="s">
        <v>1845</v>
      </c>
      <c r="D908" s="1" t="s">
        <v>1731</v>
      </c>
      <c r="E908">
        <v>20251216</v>
      </c>
      <c r="F908" s="1" t="s">
        <v>1469</v>
      </c>
      <c r="G908">
        <v>1</v>
      </c>
      <c r="H908" s="1" t="s">
        <v>1475</v>
      </c>
      <c r="I908" t="s">
        <v>1855</v>
      </c>
      <c r="J908" s="1" t="s">
        <v>1546</v>
      </c>
      <c r="K908" s="1" t="s">
        <v>1591</v>
      </c>
      <c r="L908" s="1" t="s">
        <v>1716</v>
      </c>
      <c r="M908" s="1" t="s">
        <v>1759</v>
      </c>
      <c r="N908" t="s">
        <v>1966</v>
      </c>
      <c r="O908" t="s">
        <v>2162</v>
      </c>
      <c r="P908" t="s">
        <v>3074</v>
      </c>
      <c r="Q908">
        <v>1001</v>
      </c>
      <c r="R908" s="1" t="s">
        <v>1463</v>
      </c>
      <c r="S908">
        <v>1000</v>
      </c>
      <c r="T908">
        <v>1001000</v>
      </c>
    </row>
    <row r="909" spans="1:20" hidden="1" x14ac:dyDescent="0.4">
      <c r="A909" s="1" t="s">
        <v>304</v>
      </c>
      <c r="B909" s="1" t="s">
        <v>1453</v>
      </c>
      <c r="C909" s="1" t="s">
        <v>1845</v>
      </c>
      <c r="D909" s="1" t="s">
        <v>1464</v>
      </c>
      <c r="E909">
        <v>20251205</v>
      </c>
      <c r="F909" s="1" t="s">
        <v>1469</v>
      </c>
      <c r="G909">
        <v>2</v>
      </c>
      <c r="H909" s="1" t="s">
        <v>1488</v>
      </c>
      <c r="I909" t="s">
        <v>1868</v>
      </c>
      <c r="J909" s="1" t="s">
        <v>1548</v>
      </c>
      <c r="K909" s="1" t="s">
        <v>1628</v>
      </c>
      <c r="L909" s="1" t="s">
        <v>1726</v>
      </c>
      <c r="M909" s="1" t="s">
        <v>1762</v>
      </c>
      <c r="N909" t="s">
        <v>2005</v>
      </c>
      <c r="O909" t="s">
        <v>2171</v>
      </c>
      <c r="P909" t="s">
        <v>3057</v>
      </c>
      <c r="Q909">
        <v>560</v>
      </c>
      <c r="R909" s="1" t="s">
        <v>1839</v>
      </c>
      <c r="S909">
        <v>55</v>
      </c>
      <c r="T909">
        <v>30800</v>
      </c>
    </row>
    <row r="910" spans="1:20" hidden="1" x14ac:dyDescent="0.4">
      <c r="A910" s="1" t="s">
        <v>305</v>
      </c>
      <c r="B910" s="1" t="s">
        <v>1453</v>
      </c>
      <c r="C910" s="1" t="s">
        <v>1845</v>
      </c>
      <c r="D910" s="1" t="s">
        <v>1464</v>
      </c>
      <c r="E910">
        <v>20251208</v>
      </c>
      <c r="F910" s="1" t="s">
        <v>1469</v>
      </c>
      <c r="G910">
        <v>2</v>
      </c>
      <c r="H910" s="1" t="s">
        <v>1488</v>
      </c>
      <c r="I910" t="s">
        <v>1868</v>
      </c>
      <c r="J910" s="1" t="s">
        <v>1548</v>
      </c>
      <c r="K910" s="1" t="s">
        <v>1628</v>
      </c>
      <c r="L910" s="1" t="s">
        <v>1726</v>
      </c>
      <c r="M910" s="1" t="s">
        <v>1786</v>
      </c>
      <c r="N910" t="s">
        <v>2005</v>
      </c>
      <c r="O910" t="s">
        <v>2171</v>
      </c>
      <c r="P910" t="s">
        <v>3061</v>
      </c>
      <c r="Q910">
        <v>1114.4000000000001</v>
      </c>
      <c r="R910" s="1" t="s">
        <v>1839</v>
      </c>
      <c r="S910">
        <v>55</v>
      </c>
      <c r="T910">
        <v>61292</v>
      </c>
    </row>
    <row r="911" spans="1:20" hidden="1" x14ac:dyDescent="0.4">
      <c r="A911" s="1" t="s">
        <v>306</v>
      </c>
      <c r="B911" s="1" t="s">
        <v>1453</v>
      </c>
      <c r="C911" s="1" t="s">
        <v>1845</v>
      </c>
      <c r="D911" s="1" t="s">
        <v>1464</v>
      </c>
      <c r="E911">
        <v>20251211</v>
      </c>
      <c r="F911" s="1" t="s">
        <v>1469</v>
      </c>
      <c r="G911">
        <v>2</v>
      </c>
      <c r="H911" s="1" t="s">
        <v>1488</v>
      </c>
      <c r="I911" t="s">
        <v>1868</v>
      </c>
      <c r="J911" s="1" t="s">
        <v>1548</v>
      </c>
      <c r="K911" s="1" t="s">
        <v>1628</v>
      </c>
      <c r="L911" s="1" t="s">
        <v>1726</v>
      </c>
      <c r="M911" s="1" t="s">
        <v>1787</v>
      </c>
      <c r="N911" t="s">
        <v>2005</v>
      </c>
      <c r="O911" t="s">
        <v>2171</v>
      </c>
      <c r="P911">
        <v>1602</v>
      </c>
      <c r="Q911">
        <v>1080</v>
      </c>
      <c r="R911" s="1" t="s">
        <v>1839</v>
      </c>
      <c r="S911">
        <v>55</v>
      </c>
      <c r="T911">
        <v>59400</v>
      </c>
    </row>
    <row r="912" spans="1:20" hidden="1" x14ac:dyDescent="0.4">
      <c r="A912" s="1" t="s">
        <v>307</v>
      </c>
      <c r="B912" s="1" t="s">
        <v>1453</v>
      </c>
      <c r="C912" s="1" t="s">
        <v>1845</v>
      </c>
      <c r="D912" s="1" t="s">
        <v>1849</v>
      </c>
      <c r="E912">
        <v>20251210</v>
      </c>
      <c r="F912" s="1" t="s">
        <v>1469</v>
      </c>
      <c r="G912">
        <v>2</v>
      </c>
      <c r="H912" s="1" t="s">
        <v>1478</v>
      </c>
      <c r="I912" t="s">
        <v>1858</v>
      </c>
      <c r="J912" s="1" t="s">
        <v>1545</v>
      </c>
      <c r="K912" s="1" t="s">
        <v>1597</v>
      </c>
      <c r="L912" s="1" t="s">
        <v>1726</v>
      </c>
      <c r="M912" s="1" t="s">
        <v>1762</v>
      </c>
      <c r="N912" t="s">
        <v>1972</v>
      </c>
      <c r="O912" t="s">
        <v>2171</v>
      </c>
      <c r="P912" t="s">
        <v>3108</v>
      </c>
      <c r="Q912">
        <v>-634.64</v>
      </c>
      <c r="R912" s="1" t="s">
        <v>1839</v>
      </c>
      <c r="S912">
        <v>315</v>
      </c>
      <c r="T912">
        <v>-199911</v>
      </c>
    </row>
    <row r="913" spans="1:20" hidden="1" x14ac:dyDescent="0.4">
      <c r="A913" s="1" t="s">
        <v>308</v>
      </c>
      <c r="B913" s="1" t="s">
        <v>1453</v>
      </c>
      <c r="C913" s="1" t="s">
        <v>1845</v>
      </c>
      <c r="D913" s="1" t="s">
        <v>1464</v>
      </c>
      <c r="E913">
        <v>20251210</v>
      </c>
      <c r="F913" s="1" t="s">
        <v>1469</v>
      </c>
      <c r="G913">
        <v>2</v>
      </c>
      <c r="H913" s="1" t="s">
        <v>1478</v>
      </c>
      <c r="I913" t="s">
        <v>1858</v>
      </c>
      <c r="J913" s="1" t="s">
        <v>1545</v>
      </c>
      <c r="K913" s="1" t="s">
        <v>1597</v>
      </c>
      <c r="L913" s="1" t="s">
        <v>1726</v>
      </c>
      <c r="M913" s="1" t="s">
        <v>1762</v>
      </c>
      <c r="N913" t="s">
        <v>1972</v>
      </c>
      <c r="O913" t="s">
        <v>2171</v>
      </c>
      <c r="P913" t="s">
        <v>3108</v>
      </c>
      <c r="Q913">
        <v>636.64</v>
      </c>
      <c r="R913" s="1" t="s">
        <v>1839</v>
      </c>
      <c r="S913">
        <v>315</v>
      </c>
      <c r="T913">
        <v>200541</v>
      </c>
    </row>
    <row r="914" spans="1:20" hidden="1" x14ac:dyDescent="0.4">
      <c r="A914" s="1" t="s">
        <v>309</v>
      </c>
      <c r="B914" s="1" t="s">
        <v>1453</v>
      </c>
      <c r="C914" s="1" t="s">
        <v>1845</v>
      </c>
      <c r="D914" s="1" t="s">
        <v>1731</v>
      </c>
      <c r="E914">
        <v>20251217</v>
      </c>
      <c r="F914" s="1" t="s">
        <v>1469</v>
      </c>
      <c r="G914">
        <v>2</v>
      </c>
      <c r="H914" s="1" t="s">
        <v>1475</v>
      </c>
      <c r="I914" t="s">
        <v>1855</v>
      </c>
      <c r="J914" s="1" t="s">
        <v>1544</v>
      </c>
      <c r="K914" s="1" t="s">
        <v>1608</v>
      </c>
      <c r="L914" s="1" t="s">
        <v>1726</v>
      </c>
      <c r="M914" s="1" t="s">
        <v>1769</v>
      </c>
      <c r="N914" t="s">
        <v>1982</v>
      </c>
      <c r="O914" t="s">
        <v>2171</v>
      </c>
      <c r="P914" t="s">
        <v>3093</v>
      </c>
      <c r="Q914">
        <v>684.32</v>
      </c>
      <c r="R914" s="1" t="s">
        <v>1839</v>
      </c>
      <c r="S914">
        <v>1840.99</v>
      </c>
      <c r="T914">
        <v>1259833</v>
      </c>
    </row>
    <row r="915" spans="1:20" hidden="1" x14ac:dyDescent="0.4">
      <c r="A915" s="1" t="s">
        <v>310</v>
      </c>
      <c r="B915" s="1" t="s">
        <v>1453</v>
      </c>
      <c r="C915" s="1" t="s">
        <v>1845</v>
      </c>
      <c r="D915" s="1" t="s">
        <v>1731</v>
      </c>
      <c r="E915">
        <v>20251216</v>
      </c>
      <c r="F915" s="1" t="s">
        <v>1469</v>
      </c>
      <c r="G915">
        <v>1</v>
      </c>
      <c r="H915" s="1" t="s">
        <v>1475</v>
      </c>
      <c r="I915" t="s">
        <v>1855</v>
      </c>
      <c r="J915" s="1" t="s">
        <v>1544</v>
      </c>
      <c r="K915" s="1" t="s">
        <v>1611</v>
      </c>
      <c r="L915" s="1" t="s">
        <v>1716</v>
      </c>
      <c r="M915" s="1" t="s">
        <v>1788</v>
      </c>
      <c r="N915" t="s">
        <v>1985</v>
      </c>
      <c r="O915" t="s">
        <v>2162</v>
      </c>
      <c r="P915" t="s">
        <v>3138</v>
      </c>
      <c r="Q915">
        <v>1009.4</v>
      </c>
      <c r="R915" s="1" t="s">
        <v>1463</v>
      </c>
      <c r="S915">
        <v>1350</v>
      </c>
      <c r="T915">
        <v>1362690</v>
      </c>
    </row>
    <row r="916" spans="1:20" hidden="1" x14ac:dyDescent="0.4">
      <c r="A916" s="1" t="s">
        <v>311</v>
      </c>
      <c r="B916" s="1" t="s">
        <v>1453</v>
      </c>
      <c r="C916" s="1" t="s">
        <v>1845</v>
      </c>
      <c r="D916" s="1" t="s">
        <v>1731</v>
      </c>
      <c r="E916">
        <v>20251217</v>
      </c>
      <c r="F916" s="1" t="s">
        <v>1469</v>
      </c>
      <c r="G916">
        <v>1</v>
      </c>
      <c r="H916" s="1" t="s">
        <v>1475</v>
      </c>
      <c r="I916" t="s">
        <v>1855</v>
      </c>
      <c r="J916" s="1" t="s">
        <v>1547</v>
      </c>
      <c r="K916" s="1" t="s">
        <v>1626</v>
      </c>
      <c r="L916" s="1" t="s">
        <v>1721</v>
      </c>
      <c r="M916" s="1" t="s">
        <v>1737</v>
      </c>
      <c r="N916" t="s">
        <v>2003</v>
      </c>
      <c r="O916" t="s">
        <v>2167</v>
      </c>
      <c r="P916" t="s">
        <v>3139</v>
      </c>
      <c r="Q916">
        <v>6878</v>
      </c>
      <c r="R916" s="1" t="s">
        <v>1839</v>
      </c>
      <c r="S916">
        <v>121</v>
      </c>
      <c r="T916">
        <v>832238</v>
      </c>
    </row>
    <row r="917" spans="1:20" hidden="1" x14ac:dyDescent="0.4">
      <c r="A917" s="1" t="s">
        <v>312</v>
      </c>
      <c r="B917" s="1" t="s">
        <v>1453</v>
      </c>
      <c r="C917" s="1" t="s">
        <v>1845</v>
      </c>
      <c r="D917" s="1" t="s">
        <v>1464</v>
      </c>
      <c r="E917">
        <v>20251216</v>
      </c>
      <c r="F917" s="1" t="s">
        <v>1469</v>
      </c>
      <c r="G917">
        <v>2</v>
      </c>
      <c r="H917" s="1" t="s">
        <v>1488</v>
      </c>
      <c r="I917" t="s">
        <v>1868</v>
      </c>
      <c r="J917" s="1" t="s">
        <v>1548</v>
      </c>
      <c r="K917" s="1" t="s">
        <v>1629</v>
      </c>
      <c r="L917" s="1" t="s">
        <v>1726</v>
      </c>
      <c r="M917" s="1" t="s">
        <v>1789</v>
      </c>
      <c r="N917" t="s">
        <v>2006</v>
      </c>
      <c r="O917" t="s">
        <v>2171</v>
      </c>
      <c r="P917" t="s">
        <v>3140</v>
      </c>
      <c r="Q917">
        <v>1092.4000000000001</v>
      </c>
      <c r="R917" s="1" t="s">
        <v>1839</v>
      </c>
      <c r="S917">
        <v>55</v>
      </c>
      <c r="T917">
        <v>60082</v>
      </c>
    </row>
    <row r="918" spans="1:20" hidden="1" x14ac:dyDescent="0.4">
      <c r="A918" s="1" t="s">
        <v>313</v>
      </c>
      <c r="B918" s="1" t="s">
        <v>1453</v>
      </c>
      <c r="C918" s="1" t="s">
        <v>1845</v>
      </c>
      <c r="D918" s="1" t="s">
        <v>1464</v>
      </c>
      <c r="E918">
        <v>20251217</v>
      </c>
      <c r="F918" s="1" t="s">
        <v>1469</v>
      </c>
      <c r="G918">
        <v>2</v>
      </c>
      <c r="H918" s="1" t="s">
        <v>1488</v>
      </c>
      <c r="I918" t="s">
        <v>1868</v>
      </c>
      <c r="J918" s="1" t="s">
        <v>1548</v>
      </c>
      <c r="K918" s="1" t="s">
        <v>1628</v>
      </c>
      <c r="L918" s="1" t="s">
        <v>1726</v>
      </c>
      <c r="M918" s="1" t="s">
        <v>1777</v>
      </c>
      <c r="N918" t="s">
        <v>2005</v>
      </c>
      <c r="O918" t="s">
        <v>2171</v>
      </c>
      <c r="P918">
        <v>1403</v>
      </c>
      <c r="Q918">
        <v>559.6</v>
      </c>
      <c r="R918" s="1" t="s">
        <v>1839</v>
      </c>
      <c r="S918">
        <v>55</v>
      </c>
      <c r="T918">
        <v>30778</v>
      </c>
    </row>
    <row r="919" spans="1:20" hidden="1" x14ac:dyDescent="0.4">
      <c r="A919" s="1" t="s">
        <v>314</v>
      </c>
      <c r="B919" s="1" t="s">
        <v>1453</v>
      </c>
      <c r="C919" s="1" t="s">
        <v>1845</v>
      </c>
      <c r="D919" s="1" t="s">
        <v>1731</v>
      </c>
      <c r="E919">
        <v>20251219</v>
      </c>
      <c r="F919" s="1" t="s">
        <v>1469</v>
      </c>
      <c r="G919">
        <v>1</v>
      </c>
      <c r="H919" s="1" t="s">
        <v>1475</v>
      </c>
      <c r="I919" t="s">
        <v>1855</v>
      </c>
      <c r="J919" s="1" t="s">
        <v>1548</v>
      </c>
      <c r="K919" s="1" t="s">
        <v>1606</v>
      </c>
      <c r="L919" s="1" t="s">
        <v>1716</v>
      </c>
      <c r="M919" s="1" t="s">
        <v>1735</v>
      </c>
      <c r="N919" t="s">
        <v>1981</v>
      </c>
      <c r="O919" t="s">
        <v>2162</v>
      </c>
      <c r="P919" t="s">
        <v>3141</v>
      </c>
      <c r="Q919">
        <v>1721.76</v>
      </c>
      <c r="R919" s="1" t="s">
        <v>1463</v>
      </c>
      <c r="S919">
        <v>2031.99</v>
      </c>
      <c r="T919">
        <v>3498616</v>
      </c>
    </row>
    <row r="920" spans="1:20" hidden="1" x14ac:dyDescent="0.4">
      <c r="A920" s="1" t="s">
        <v>314</v>
      </c>
      <c r="B920" s="1" t="s">
        <v>1454</v>
      </c>
      <c r="C920" s="1" t="s">
        <v>1845</v>
      </c>
      <c r="D920" s="1" t="s">
        <v>1731</v>
      </c>
      <c r="E920">
        <v>20251219</v>
      </c>
      <c r="F920" s="1" t="s">
        <v>1469</v>
      </c>
      <c r="G920">
        <v>1</v>
      </c>
      <c r="H920" s="1" t="s">
        <v>1475</v>
      </c>
      <c r="I920" t="s">
        <v>1855</v>
      </c>
      <c r="J920" s="1" t="s">
        <v>1548</v>
      </c>
      <c r="K920" s="1" t="s">
        <v>1606</v>
      </c>
      <c r="L920" s="1" t="s">
        <v>1716</v>
      </c>
      <c r="M920" s="1" t="s">
        <v>1735</v>
      </c>
      <c r="N920" t="s">
        <v>1981</v>
      </c>
      <c r="O920" t="s">
        <v>2162</v>
      </c>
      <c r="P920" t="s">
        <v>3142</v>
      </c>
      <c r="Q920">
        <v>1724.86</v>
      </c>
      <c r="R920" s="1" t="s">
        <v>1463</v>
      </c>
      <c r="S920">
        <v>2031.99</v>
      </c>
      <c r="T920">
        <v>3504915</v>
      </c>
    </row>
    <row r="921" spans="1:20" hidden="1" x14ac:dyDescent="0.4">
      <c r="A921" s="1" t="s">
        <v>315</v>
      </c>
      <c r="B921" s="1" t="s">
        <v>1453</v>
      </c>
      <c r="C921" s="1" t="s">
        <v>1845</v>
      </c>
      <c r="D921" s="1" t="s">
        <v>1462</v>
      </c>
      <c r="E921">
        <v>20251219</v>
      </c>
      <c r="F921" s="1" t="s">
        <v>1469</v>
      </c>
      <c r="G921">
        <v>2</v>
      </c>
      <c r="H921" s="1" t="s">
        <v>1489</v>
      </c>
      <c r="I921" t="s">
        <v>1869</v>
      </c>
      <c r="J921" s="1" t="s">
        <v>1544</v>
      </c>
      <c r="K921" s="1" t="s">
        <v>1637</v>
      </c>
      <c r="L921" s="1" t="s">
        <v>1726</v>
      </c>
      <c r="M921" s="1" t="s">
        <v>1790</v>
      </c>
      <c r="N921" t="s">
        <v>2017</v>
      </c>
      <c r="O921" t="s">
        <v>2171</v>
      </c>
      <c r="P921" t="s">
        <v>3143</v>
      </c>
      <c r="Q921">
        <v>674.85</v>
      </c>
      <c r="R921" s="1" t="s">
        <v>1839</v>
      </c>
      <c r="S921">
        <v>0</v>
      </c>
      <c r="T921">
        <v>0</v>
      </c>
    </row>
    <row r="922" spans="1:20" hidden="1" x14ac:dyDescent="0.4">
      <c r="A922" s="1" t="s">
        <v>316</v>
      </c>
      <c r="B922" s="1" t="s">
        <v>1453</v>
      </c>
      <c r="C922" s="1" t="s">
        <v>1845</v>
      </c>
      <c r="D922" s="1" t="s">
        <v>1464</v>
      </c>
      <c r="E922">
        <v>20251218</v>
      </c>
      <c r="F922" s="1" t="s">
        <v>1469</v>
      </c>
      <c r="G922">
        <v>2</v>
      </c>
      <c r="H922" s="1" t="s">
        <v>1488</v>
      </c>
      <c r="I922" t="s">
        <v>1868</v>
      </c>
      <c r="J922" s="1" t="s">
        <v>1548</v>
      </c>
      <c r="K922" s="1" t="s">
        <v>1629</v>
      </c>
      <c r="L922" s="1" t="s">
        <v>1726</v>
      </c>
      <c r="M922" s="1" t="s">
        <v>1778</v>
      </c>
      <c r="N922" t="s">
        <v>2006</v>
      </c>
      <c r="O922" t="s">
        <v>2171</v>
      </c>
      <c r="P922">
        <v>1303</v>
      </c>
      <c r="Q922">
        <v>560</v>
      </c>
      <c r="R922" s="1" t="s">
        <v>1839</v>
      </c>
      <c r="S922">
        <v>55</v>
      </c>
      <c r="T922">
        <v>30800</v>
      </c>
    </row>
    <row r="923" spans="1:20" hidden="1" x14ac:dyDescent="0.4">
      <c r="A923" s="1" t="s">
        <v>317</v>
      </c>
      <c r="B923" s="1" t="s">
        <v>1453</v>
      </c>
      <c r="C923" s="1" t="s">
        <v>1845</v>
      </c>
      <c r="D923" s="1" t="s">
        <v>1464</v>
      </c>
      <c r="E923">
        <v>20251218</v>
      </c>
      <c r="F923" s="1" t="s">
        <v>1469</v>
      </c>
      <c r="G923">
        <v>3</v>
      </c>
      <c r="H923" s="1" t="s">
        <v>1488</v>
      </c>
      <c r="I923" t="s">
        <v>1868</v>
      </c>
      <c r="J923" s="1" t="s">
        <v>1548</v>
      </c>
      <c r="K923" s="1" t="s">
        <v>1628</v>
      </c>
      <c r="L923" s="1" t="s">
        <v>1728</v>
      </c>
      <c r="M923" s="1" t="s">
        <v>1787</v>
      </c>
      <c r="N923" t="s">
        <v>2005</v>
      </c>
      <c r="O923" t="s">
        <v>2173</v>
      </c>
      <c r="P923">
        <v>1602</v>
      </c>
      <c r="Q923">
        <v>1089.5999999999999</v>
      </c>
      <c r="R923" s="1" t="s">
        <v>1839</v>
      </c>
      <c r="S923">
        <v>100</v>
      </c>
      <c r="T923">
        <v>108960</v>
      </c>
    </row>
    <row r="924" spans="1:20" hidden="1" x14ac:dyDescent="0.4">
      <c r="A924" s="1" t="s">
        <v>318</v>
      </c>
      <c r="B924" s="1" t="s">
        <v>1453</v>
      </c>
      <c r="C924" s="1" t="s">
        <v>1845</v>
      </c>
      <c r="D924" s="1" t="s">
        <v>1464</v>
      </c>
      <c r="E924">
        <v>20251218</v>
      </c>
      <c r="F924" s="1" t="s">
        <v>1469</v>
      </c>
      <c r="G924">
        <v>3</v>
      </c>
      <c r="H924" s="1" t="s">
        <v>1488</v>
      </c>
      <c r="I924" t="s">
        <v>1868</v>
      </c>
      <c r="J924" s="1" t="s">
        <v>1548</v>
      </c>
      <c r="K924" s="1" t="s">
        <v>1628</v>
      </c>
      <c r="L924" s="1" t="s">
        <v>1728</v>
      </c>
      <c r="M924" s="1" t="s">
        <v>1786</v>
      </c>
      <c r="N924" t="s">
        <v>2005</v>
      </c>
      <c r="O924" t="s">
        <v>2173</v>
      </c>
      <c r="P924" t="s">
        <v>3061</v>
      </c>
      <c r="Q924">
        <v>1120.2</v>
      </c>
      <c r="R924" s="1" t="s">
        <v>1839</v>
      </c>
      <c r="S924">
        <v>100</v>
      </c>
      <c r="T924">
        <v>112020</v>
      </c>
    </row>
    <row r="925" spans="1:20" hidden="1" x14ac:dyDescent="0.4">
      <c r="A925" s="1" t="s">
        <v>319</v>
      </c>
      <c r="B925" s="1" t="s">
        <v>1453</v>
      </c>
      <c r="C925" s="1" t="s">
        <v>1845</v>
      </c>
      <c r="D925" s="1" t="s">
        <v>1464</v>
      </c>
      <c r="E925">
        <v>20251218</v>
      </c>
      <c r="F925" s="1" t="s">
        <v>1469</v>
      </c>
      <c r="G925">
        <v>3</v>
      </c>
      <c r="H925" s="1" t="s">
        <v>1488</v>
      </c>
      <c r="I925" t="s">
        <v>1868</v>
      </c>
      <c r="J925" s="1" t="s">
        <v>1548</v>
      </c>
      <c r="K925" s="1" t="s">
        <v>1628</v>
      </c>
      <c r="L925" s="1" t="s">
        <v>1728</v>
      </c>
      <c r="M925" s="1" t="s">
        <v>1762</v>
      </c>
      <c r="N925" t="s">
        <v>2005</v>
      </c>
      <c r="O925" t="s">
        <v>2173</v>
      </c>
      <c r="P925" t="s">
        <v>3057</v>
      </c>
      <c r="Q925">
        <v>565.6</v>
      </c>
      <c r="R925" s="1" t="s">
        <v>1839</v>
      </c>
      <c r="S925">
        <v>100</v>
      </c>
      <c r="T925">
        <v>56560</v>
      </c>
    </row>
    <row r="926" spans="1:20" hidden="1" x14ac:dyDescent="0.4">
      <c r="A926" s="1" t="s">
        <v>320</v>
      </c>
      <c r="B926" s="1" t="s">
        <v>1453</v>
      </c>
      <c r="C926" s="1" t="s">
        <v>1845</v>
      </c>
      <c r="D926" s="1" t="s">
        <v>1464</v>
      </c>
      <c r="E926">
        <v>20251219</v>
      </c>
      <c r="F926" s="1" t="s">
        <v>1469</v>
      </c>
      <c r="G926">
        <v>3</v>
      </c>
      <c r="H926" s="1" t="s">
        <v>1488</v>
      </c>
      <c r="I926" t="s">
        <v>1868</v>
      </c>
      <c r="J926" s="1" t="s">
        <v>1548</v>
      </c>
      <c r="K926" s="1" t="s">
        <v>1629</v>
      </c>
      <c r="L926" s="1" t="s">
        <v>1728</v>
      </c>
      <c r="M926" s="1" t="s">
        <v>1778</v>
      </c>
      <c r="N926" t="s">
        <v>2006</v>
      </c>
      <c r="O926" t="s">
        <v>2173</v>
      </c>
      <c r="P926">
        <v>1303</v>
      </c>
      <c r="Q926">
        <v>565.6</v>
      </c>
      <c r="R926" s="1" t="s">
        <v>1839</v>
      </c>
      <c r="S926">
        <v>100</v>
      </c>
      <c r="T926">
        <v>56560</v>
      </c>
    </row>
    <row r="927" spans="1:20" hidden="1" x14ac:dyDescent="0.4">
      <c r="A927" s="1" t="s">
        <v>321</v>
      </c>
      <c r="B927" s="1" t="s">
        <v>1453</v>
      </c>
      <c r="C927" s="1" t="s">
        <v>1845</v>
      </c>
      <c r="D927" s="1" t="s">
        <v>1464</v>
      </c>
      <c r="E927">
        <v>20251219</v>
      </c>
      <c r="F927" s="1" t="s">
        <v>1469</v>
      </c>
      <c r="G927">
        <v>3</v>
      </c>
      <c r="H927" s="1" t="s">
        <v>1488</v>
      </c>
      <c r="I927" t="s">
        <v>1868</v>
      </c>
      <c r="J927" s="1" t="s">
        <v>1548</v>
      </c>
      <c r="K927" s="1" t="s">
        <v>1628</v>
      </c>
      <c r="L927" s="1" t="s">
        <v>1728</v>
      </c>
      <c r="M927" s="1" t="s">
        <v>1777</v>
      </c>
      <c r="N927" t="s">
        <v>2005</v>
      </c>
      <c r="O927" t="s">
        <v>2173</v>
      </c>
      <c r="P927">
        <v>1403</v>
      </c>
      <c r="Q927">
        <v>558.20000000000005</v>
      </c>
      <c r="R927" s="1" t="s">
        <v>1839</v>
      </c>
      <c r="S927">
        <v>100</v>
      </c>
      <c r="T927">
        <v>55820</v>
      </c>
    </row>
    <row r="928" spans="1:20" hidden="1" x14ac:dyDescent="0.4">
      <c r="A928" s="1" t="s">
        <v>322</v>
      </c>
      <c r="B928" s="1" t="s">
        <v>1453</v>
      </c>
      <c r="C928" s="1" t="s">
        <v>1845</v>
      </c>
      <c r="D928" s="1" t="s">
        <v>1464</v>
      </c>
      <c r="E928">
        <v>20251219</v>
      </c>
      <c r="F928" s="1" t="s">
        <v>1469</v>
      </c>
      <c r="G928">
        <v>3</v>
      </c>
      <c r="H928" s="1" t="s">
        <v>1488</v>
      </c>
      <c r="I928" t="s">
        <v>1868</v>
      </c>
      <c r="J928" s="1" t="s">
        <v>1548</v>
      </c>
      <c r="K928" s="1" t="s">
        <v>1629</v>
      </c>
      <c r="L928" s="1" t="s">
        <v>1728</v>
      </c>
      <c r="M928" s="1" t="s">
        <v>1789</v>
      </c>
      <c r="N928" t="s">
        <v>2006</v>
      </c>
      <c r="O928" t="s">
        <v>2173</v>
      </c>
      <c r="P928" t="s">
        <v>3140</v>
      </c>
      <c r="Q928">
        <v>1095.8</v>
      </c>
      <c r="R928" s="1" t="s">
        <v>1839</v>
      </c>
      <c r="S928">
        <v>100</v>
      </c>
      <c r="T928">
        <v>109580</v>
      </c>
    </row>
    <row r="929" spans="1:20" hidden="1" x14ac:dyDescent="0.4">
      <c r="A929" s="1" t="s">
        <v>323</v>
      </c>
      <c r="B929" s="1" t="s">
        <v>1453</v>
      </c>
      <c r="C929" s="1" t="s">
        <v>1845</v>
      </c>
      <c r="D929" s="1" t="s">
        <v>1731</v>
      </c>
      <c r="E929">
        <v>20251220</v>
      </c>
      <c r="F929" s="1" t="s">
        <v>1469</v>
      </c>
      <c r="G929">
        <v>1</v>
      </c>
      <c r="H929" s="1" t="s">
        <v>1475</v>
      </c>
      <c r="I929" t="s">
        <v>1855</v>
      </c>
      <c r="J929" s="1" t="s">
        <v>1551</v>
      </c>
      <c r="K929" s="1" t="s">
        <v>1638</v>
      </c>
      <c r="L929" s="1" t="s">
        <v>1715</v>
      </c>
      <c r="M929" s="1" t="s">
        <v>1737</v>
      </c>
      <c r="N929" t="s">
        <v>2018</v>
      </c>
      <c r="O929" t="s">
        <v>2161</v>
      </c>
      <c r="P929" t="s">
        <v>3144</v>
      </c>
      <c r="Q929">
        <v>3800</v>
      </c>
      <c r="R929" s="1" t="s">
        <v>1839</v>
      </c>
      <c r="S929">
        <v>30</v>
      </c>
      <c r="T929">
        <v>114000</v>
      </c>
    </row>
    <row r="930" spans="1:20" hidden="1" x14ac:dyDescent="0.4">
      <c r="A930" s="1" t="s">
        <v>324</v>
      </c>
      <c r="B930" s="1" t="s">
        <v>1453</v>
      </c>
      <c r="C930" s="1" t="s">
        <v>1845</v>
      </c>
      <c r="D930" s="1" t="s">
        <v>1731</v>
      </c>
      <c r="E930">
        <v>20251218</v>
      </c>
      <c r="F930" s="1" t="s">
        <v>1469</v>
      </c>
      <c r="G930">
        <v>1</v>
      </c>
      <c r="H930" s="1" t="s">
        <v>1475</v>
      </c>
      <c r="I930" t="s">
        <v>1855</v>
      </c>
      <c r="J930" s="1" t="s">
        <v>1544</v>
      </c>
      <c r="K930" s="1" t="s">
        <v>1611</v>
      </c>
      <c r="L930" s="1" t="s">
        <v>1716</v>
      </c>
      <c r="M930" s="1" t="s">
        <v>1791</v>
      </c>
      <c r="N930" t="s">
        <v>1985</v>
      </c>
      <c r="O930" t="s">
        <v>2162</v>
      </c>
      <c r="P930" t="s">
        <v>3145</v>
      </c>
      <c r="Q930">
        <v>1029.8</v>
      </c>
      <c r="R930" s="1" t="s">
        <v>1463</v>
      </c>
      <c r="S930">
        <v>1350</v>
      </c>
      <c r="T930">
        <v>1390230</v>
      </c>
    </row>
    <row r="931" spans="1:20" hidden="1" x14ac:dyDescent="0.4">
      <c r="A931" s="1" t="s">
        <v>325</v>
      </c>
      <c r="B931" s="1" t="s">
        <v>1453</v>
      </c>
      <c r="C931" s="1" t="s">
        <v>1845</v>
      </c>
      <c r="D931" s="1" t="s">
        <v>1462</v>
      </c>
      <c r="E931">
        <v>20251219</v>
      </c>
      <c r="F931" s="1" t="s">
        <v>1469</v>
      </c>
      <c r="G931">
        <v>1</v>
      </c>
      <c r="H931" s="1" t="s">
        <v>1481</v>
      </c>
      <c r="I931" t="s">
        <v>1861</v>
      </c>
      <c r="J931" s="1" t="s">
        <v>1547</v>
      </c>
      <c r="K931" s="1" t="s">
        <v>1624</v>
      </c>
      <c r="L931" s="1" t="s">
        <v>1721</v>
      </c>
      <c r="M931" s="1" t="s">
        <v>1737</v>
      </c>
      <c r="N931" t="s">
        <v>2001</v>
      </c>
      <c r="O931" t="s">
        <v>2167</v>
      </c>
      <c r="P931" t="s">
        <v>3146</v>
      </c>
      <c r="Q931">
        <v>2280</v>
      </c>
      <c r="R931" s="1" t="s">
        <v>1839</v>
      </c>
      <c r="S931">
        <v>71.900000000000006</v>
      </c>
      <c r="T931">
        <v>163932</v>
      </c>
    </row>
    <row r="932" spans="1:20" hidden="1" x14ac:dyDescent="0.4">
      <c r="A932" s="1" t="s">
        <v>325</v>
      </c>
      <c r="B932" s="1" t="s">
        <v>1454</v>
      </c>
      <c r="C932" s="1" t="s">
        <v>1845</v>
      </c>
      <c r="D932" s="1" t="s">
        <v>1462</v>
      </c>
      <c r="E932">
        <v>20251219</v>
      </c>
      <c r="F932" s="1" t="s">
        <v>1469</v>
      </c>
      <c r="G932">
        <v>1</v>
      </c>
      <c r="H932" s="1" t="s">
        <v>1481</v>
      </c>
      <c r="I932" t="s">
        <v>1861</v>
      </c>
      <c r="J932" s="1" t="s">
        <v>1547</v>
      </c>
      <c r="K932" s="1" t="s">
        <v>1623</v>
      </c>
      <c r="L932" s="1" t="s">
        <v>1721</v>
      </c>
      <c r="M932" s="1" t="s">
        <v>1737</v>
      </c>
      <c r="N932" t="s">
        <v>2000</v>
      </c>
      <c r="O932" t="s">
        <v>2167</v>
      </c>
      <c r="P932" t="s">
        <v>3146</v>
      </c>
      <c r="Q932">
        <v>2280</v>
      </c>
      <c r="R932" s="1" t="s">
        <v>1839</v>
      </c>
      <c r="S932">
        <v>77.900000000000006</v>
      </c>
      <c r="T932">
        <v>177612</v>
      </c>
    </row>
    <row r="933" spans="1:20" hidden="1" x14ac:dyDescent="0.4">
      <c r="A933" s="1" t="s">
        <v>326</v>
      </c>
      <c r="B933" s="1" t="s">
        <v>1453</v>
      </c>
      <c r="C933" s="1" t="s">
        <v>1845</v>
      </c>
      <c r="D933" s="1" t="s">
        <v>1733</v>
      </c>
      <c r="E933">
        <v>20251204</v>
      </c>
      <c r="F933" s="1" t="s">
        <v>1469</v>
      </c>
      <c r="G933">
        <v>1</v>
      </c>
      <c r="H933" s="1" t="s">
        <v>1475</v>
      </c>
      <c r="I933" t="s">
        <v>1855</v>
      </c>
      <c r="J933" s="1" t="s">
        <v>1548</v>
      </c>
      <c r="K933" s="1" t="s">
        <v>1628</v>
      </c>
      <c r="L933" s="1" t="s">
        <v>1716</v>
      </c>
      <c r="M933" s="1" t="s">
        <v>1777</v>
      </c>
      <c r="N933" t="s">
        <v>2005</v>
      </c>
      <c r="O933" t="s">
        <v>2162</v>
      </c>
      <c r="P933">
        <v>1403</v>
      </c>
      <c r="Q933">
        <v>-509</v>
      </c>
      <c r="R933" s="1" t="s">
        <v>1463</v>
      </c>
      <c r="S933">
        <v>1453</v>
      </c>
      <c r="T933">
        <v>-739577</v>
      </c>
    </row>
    <row r="934" spans="1:20" hidden="1" x14ac:dyDescent="0.4">
      <c r="A934" s="1" t="s">
        <v>326</v>
      </c>
      <c r="B934" s="1" t="s">
        <v>1454</v>
      </c>
      <c r="C934" s="1" t="s">
        <v>1845</v>
      </c>
      <c r="D934" s="1" t="s">
        <v>1733</v>
      </c>
      <c r="E934">
        <v>20251204</v>
      </c>
      <c r="F934" s="1" t="s">
        <v>1469</v>
      </c>
      <c r="G934">
        <v>1</v>
      </c>
      <c r="H934" s="1" t="s">
        <v>1475</v>
      </c>
      <c r="I934" t="s">
        <v>1855</v>
      </c>
      <c r="J934" s="1" t="s">
        <v>1548</v>
      </c>
      <c r="K934" s="1" t="s">
        <v>1629</v>
      </c>
      <c r="L934" s="1" t="s">
        <v>1716</v>
      </c>
      <c r="M934" s="1" t="s">
        <v>1778</v>
      </c>
      <c r="N934" t="s">
        <v>2006</v>
      </c>
      <c r="O934" t="s">
        <v>2162</v>
      </c>
      <c r="P934">
        <v>1303</v>
      </c>
      <c r="Q934">
        <v>-509</v>
      </c>
      <c r="R934" s="1" t="s">
        <v>1463</v>
      </c>
      <c r="S934">
        <v>1845</v>
      </c>
      <c r="T934">
        <v>-939105</v>
      </c>
    </row>
    <row r="935" spans="1:20" hidden="1" x14ac:dyDescent="0.4">
      <c r="A935" s="1" t="s">
        <v>327</v>
      </c>
      <c r="B935" s="1" t="s">
        <v>1453</v>
      </c>
      <c r="C935" s="1" t="s">
        <v>1845</v>
      </c>
      <c r="D935" s="1" t="s">
        <v>1731</v>
      </c>
      <c r="E935">
        <v>20251204</v>
      </c>
      <c r="F935" s="1" t="s">
        <v>1469</v>
      </c>
      <c r="G935">
        <v>1</v>
      </c>
      <c r="H935" s="1" t="s">
        <v>1475</v>
      </c>
      <c r="I935" t="s">
        <v>1855</v>
      </c>
      <c r="J935" s="1" t="s">
        <v>1548</v>
      </c>
      <c r="K935" s="1" t="s">
        <v>1628</v>
      </c>
      <c r="L935" s="1" t="s">
        <v>1716</v>
      </c>
      <c r="M935" s="1" t="s">
        <v>1777</v>
      </c>
      <c r="N935" t="s">
        <v>2005</v>
      </c>
      <c r="O935" t="s">
        <v>2162</v>
      </c>
      <c r="P935">
        <v>1403</v>
      </c>
      <c r="Q935">
        <v>509</v>
      </c>
      <c r="R935" s="1" t="s">
        <v>1463</v>
      </c>
      <c r="S935">
        <v>1435</v>
      </c>
      <c r="T935">
        <v>730415</v>
      </c>
    </row>
    <row r="936" spans="1:20" hidden="1" x14ac:dyDescent="0.4">
      <c r="A936" s="1" t="s">
        <v>327</v>
      </c>
      <c r="B936" s="1" t="s">
        <v>1454</v>
      </c>
      <c r="C936" s="1" t="s">
        <v>1845</v>
      </c>
      <c r="D936" s="1" t="s">
        <v>1731</v>
      </c>
      <c r="E936">
        <v>20251204</v>
      </c>
      <c r="F936" s="1" t="s">
        <v>1469</v>
      </c>
      <c r="G936">
        <v>1</v>
      </c>
      <c r="H936" s="1" t="s">
        <v>1475</v>
      </c>
      <c r="I936" t="s">
        <v>1855</v>
      </c>
      <c r="J936" s="1" t="s">
        <v>1548</v>
      </c>
      <c r="K936" s="1" t="s">
        <v>1629</v>
      </c>
      <c r="L936" s="1" t="s">
        <v>1716</v>
      </c>
      <c r="M936" s="1" t="s">
        <v>1778</v>
      </c>
      <c r="N936" t="s">
        <v>2006</v>
      </c>
      <c r="O936" t="s">
        <v>2162</v>
      </c>
      <c r="P936">
        <v>1303</v>
      </c>
      <c r="Q936">
        <v>509</v>
      </c>
      <c r="R936" s="1" t="s">
        <v>1463</v>
      </c>
      <c r="S936">
        <v>1845</v>
      </c>
      <c r="T936">
        <v>939105</v>
      </c>
    </row>
    <row r="937" spans="1:20" hidden="1" x14ac:dyDescent="0.4">
      <c r="A937" s="1" t="s">
        <v>328</v>
      </c>
      <c r="B937" s="1" t="s">
        <v>1453</v>
      </c>
      <c r="C937" s="1" t="s">
        <v>1845</v>
      </c>
      <c r="D937" s="1" t="s">
        <v>1849</v>
      </c>
      <c r="E937">
        <v>20251211</v>
      </c>
      <c r="F937" s="1" t="s">
        <v>1469</v>
      </c>
      <c r="G937">
        <v>2</v>
      </c>
      <c r="H937" s="1" t="s">
        <v>1488</v>
      </c>
      <c r="I937" t="s">
        <v>1868</v>
      </c>
      <c r="J937" s="1" t="s">
        <v>1548</v>
      </c>
      <c r="K937" s="1" t="s">
        <v>1628</v>
      </c>
      <c r="L937" s="1" t="s">
        <v>1726</v>
      </c>
      <c r="M937" s="1" t="s">
        <v>1787</v>
      </c>
      <c r="N937" t="s">
        <v>2005</v>
      </c>
      <c r="O937" t="s">
        <v>2171</v>
      </c>
      <c r="P937">
        <v>1602</v>
      </c>
      <c r="Q937">
        <v>-1080</v>
      </c>
      <c r="R937" s="1" t="s">
        <v>1839</v>
      </c>
      <c r="S937">
        <v>55</v>
      </c>
      <c r="T937">
        <v>-59400</v>
      </c>
    </row>
    <row r="938" spans="1:20" hidden="1" x14ac:dyDescent="0.4">
      <c r="A938" s="1" t="s">
        <v>329</v>
      </c>
      <c r="B938" s="1" t="s">
        <v>1453</v>
      </c>
      <c r="C938" s="1" t="s">
        <v>1845</v>
      </c>
      <c r="D938" s="1" t="s">
        <v>1464</v>
      </c>
      <c r="E938">
        <v>20251211</v>
      </c>
      <c r="F938" s="1" t="s">
        <v>1469</v>
      </c>
      <c r="G938">
        <v>2</v>
      </c>
      <c r="H938" s="1" t="s">
        <v>1488</v>
      </c>
      <c r="I938" t="s">
        <v>1868</v>
      </c>
      <c r="J938" s="1" t="s">
        <v>1548</v>
      </c>
      <c r="K938" s="1" t="s">
        <v>1628</v>
      </c>
      <c r="L938" s="1" t="s">
        <v>1726</v>
      </c>
      <c r="M938" s="1" t="s">
        <v>1787</v>
      </c>
      <c r="N938" t="s">
        <v>2005</v>
      </c>
      <c r="O938" t="s">
        <v>2171</v>
      </c>
      <c r="P938">
        <v>1602</v>
      </c>
      <c r="Q938">
        <v>1080</v>
      </c>
      <c r="R938" s="1" t="s">
        <v>1839</v>
      </c>
      <c r="S938">
        <v>54.86</v>
      </c>
      <c r="T938">
        <v>59248</v>
      </c>
    </row>
    <row r="939" spans="1:20" hidden="1" x14ac:dyDescent="0.4">
      <c r="A939" s="1" t="s">
        <v>330</v>
      </c>
      <c r="B939" s="1" t="s">
        <v>1453</v>
      </c>
      <c r="C939" s="1" t="s">
        <v>1845</v>
      </c>
      <c r="D939" s="1" t="s">
        <v>1849</v>
      </c>
      <c r="E939">
        <v>20251208</v>
      </c>
      <c r="F939" s="1" t="s">
        <v>1469</v>
      </c>
      <c r="G939">
        <v>2</v>
      </c>
      <c r="H939" s="1" t="s">
        <v>1488</v>
      </c>
      <c r="I939" t="s">
        <v>1868</v>
      </c>
      <c r="J939" s="1" t="s">
        <v>1548</v>
      </c>
      <c r="K939" s="1" t="s">
        <v>1628</v>
      </c>
      <c r="L939" s="1" t="s">
        <v>1726</v>
      </c>
      <c r="M939" s="1" t="s">
        <v>1786</v>
      </c>
      <c r="N939" t="s">
        <v>2005</v>
      </c>
      <c r="O939" t="s">
        <v>2171</v>
      </c>
      <c r="P939" t="s">
        <v>3061</v>
      </c>
      <c r="Q939">
        <v>-1114.4000000000001</v>
      </c>
      <c r="R939" s="1" t="s">
        <v>1839</v>
      </c>
      <c r="S939">
        <v>55</v>
      </c>
      <c r="T939">
        <v>-61292</v>
      </c>
    </row>
    <row r="940" spans="1:20" hidden="1" x14ac:dyDescent="0.4">
      <c r="A940" s="1" t="s">
        <v>331</v>
      </c>
      <c r="B940" s="1" t="s">
        <v>1453</v>
      </c>
      <c r="C940" s="1" t="s">
        <v>1845</v>
      </c>
      <c r="D940" s="1" t="s">
        <v>1464</v>
      </c>
      <c r="E940">
        <v>20251208</v>
      </c>
      <c r="F940" s="1" t="s">
        <v>1469</v>
      </c>
      <c r="G940">
        <v>2</v>
      </c>
      <c r="H940" s="1" t="s">
        <v>1488</v>
      </c>
      <c r="I940" t="s">
        <v>1868</v>
      </c>
      <c r="J940" s="1" t="s">
        <v>1548</v>
      </c>
      <c r="K940" s="1" t="s">
        <v>1628</v>
      </c>
      <c r="L940" s="1" t="s">
        <v>1726</v>
      </c>
      <c r="M940" s="1" t="s">
        <v>1786</v>
      </c>
      <c r="N940" t="s">
        <v>2005</v>
      </c>
      <c r="O940" t="s">
        <v>2171</v>
      </c>
      <c r="P940" t="s">
        <v>3061</v>
      </c>
      <c r="Q940">
        <v>1114.4000000000001</v>
      </c>
      <c r="R940" s="1" t="s">
        <v>1839</v>
      </c>
      <c r="S940">
        <v>55.29</v>
      </c>
      <c r="T940">
        <v>61615</v>
      </c>
    </row>
    <row r="941" spans="1:20" hidden="1" x14ac:dyDescent="0.4">
      <c r="A941" s="1" t="s">
        <v>332</v>
      </c>
      <c r="B941" s="1" t="s">
        <v>1453</v>
      </c>
      <c r="C941" s="1" t="s">
        <v>1845</v>
      </c>
      <c r="D941" s="1" t="s">
        <v>1849</v>
      </c>
      <c r="E941">
        <v>20251205</v>
      </c>
      <c r="F941" s="1" t="s">
        <v>1469</v>
      </c>
      <c r="G941">
        <v>2</v>
      </c>
      <c r="H941" s="1" t="s">
        <v>1488</v>
      </c>
      <c r="I941" t="s">
        <v>1868</v>
      </c>
      <c r="J941" s="1" t="s">
        <v>1548</v>
      </c>
      <c r="K941" s="1" t="s">
        <v>1628</v>
      </c>
      <c r="L941" s="1" t="s">
        <v>1726</v>
      </c>
      <c r="M941" s="1" t="s">
        <v>1762</v>
      </c>
      <c r="N941" t="s">
        <v>2005</v>
      </c>
      <c r="O941" t="s">
        <v>2171</v>
      </c>
      <c r="P941" t="s">
        <v>3057</v>
      </c>
      <c r="Q941">
        <v>-560</v>
      </c>
      <c r="R941" s="1" t="s">
        <v>1839</v>
      </c>
      <c r="S941">
        <v>55</v>
      </c>
      <c r="T941">
        <v>-30800</v>
      </c>
    </row>
    <row r="942" spans="1:20" hidden="1" x14ac:dyDescent="0.4">
      <c r="A942" s="1" t="s">
        <v>333</v>
      </c>
      <c r="B942" s="1" t="s">
        <v>1453</v>
      </c>
      <c r="C942" s="1" t="s">
        <v>1845</v>
      </c>
      <c r="D942" s="1" t="s">
        <v>1464</v>
      </c>
      <c r="E942">
        <v>20251205</v>
      </c>
      <c r="F942" s="1" t="s">
        <v>1469</v>
      </c>
      <c r="G942">
        <v>2</v>
      </c>
      <c r="H942" s="1" t="s">
        <v>1488</v>
      </c>
      <c r="I942" t="s">
        <v>1868</v>
      </c>
      <c r="J942" s="1" t="s">
        <v>1548</v>
      </c>
      <c r="K942" s="1" t="s">
        <v>1628</v>
      </c>
      <c r="L942" s="1" t="s">
        <v>1726</v>
      </c>
      <c r="M942" s="1" t="s">
        <v>1762</v>
      </c>
      <c r="N942" t="s">
        <v>2005</v>
      </c>
      <c r="O942" t="s">
        <v>2171</v>
      </c>
      <c r="P942" t="s">
        <v>3057</v>
      </c>
      <c r="Q942">
        <v>560</v>
      </c>
      <c r="R942" s="1" t="s">
        <v>1839</v>
      </c>
      <c r="S942">
        <v>55.55</v>
      </c>
      <c r="T942">
        <v>31108</v>
      </c>
    </row>
    <row r="943" spans="1:20" hidden="1" x14ac:dyDescent="0.4">
      <c r="A943" s="1" t="s">
        <v>334</v>
      </c>
      <c r="B943" s="1" t="s">
        <v>1453</v>
      </c>
      <c r="C943" s="1" t="s">
        <v>1845</v>
      </c>
      <c r="D943" s="1" t="s">
        <v>1849</v>
      </c>
      <c r="E943">
        <v>20251217</v>
      </c>
      <c r="F943" s="1" t="s">
        <v>1469</v>
      </c>
      <c r="G943">
        <v>2</v>
      </c>
      <c r="H943" s="1" t="s">
        <v>1488</v>
      </c>
      <c r="I943" t="s">
        <v>1868</v>
      </c>
      <c r="J943" s="1" t="s">
        <v>1548</v>
      </c>
      <c r="K943" s="1" t="s">
        <v>1628</v>
      </c>
      <c r="L943" s="1" t="s">
        <v>1726</v>
      </c>
      <c r="M943" s="1" t="s">
        <v>1777</v>
      </c>
      <c r="N943" t="s">
        <v>2005</v>
      </c>
      <c r="O943" t="s">
        <v>2171</v>
      </c>
      <c r="P943">
        <v>1403</v>
      </c>
      <c r="Q943">
        <v>-559.6</v>
      </c>
      <c r="R943" s="1" t="s">
        <v>1839</v>
      </c>
      <c r="S943">
        <v>55</v>
      </c>
      <c r="T943">
        <v>-30778</v>
      </c>
    </row>
    <row r="944" spans="1:20" hidden="1" x14ac:dyDescent="0.4">
      <c r="A944" s="1" t="s">
        <v>335</v>
      </c>
      <c r="B944" s="1" t="s">
        <v>1453</v>
      </c>
      <c r="C944" s="1" t="s">
        <v>1845</v>
      </c>
      <c r="D944" s="1" t="s">
        <v>1464</v>
      </c>
      <c r="E944">
        <v>20251217</v>
      </c>
      <c r="F944" s="1" t="s">
        <v>1469</v>
      </c>
      <c r="G944">
        <v>2</v>
      </c>
      <c r="H944" s="1" t="s">
        <v>1488</v>
      </c>
      <c r="I944" t="s">
        <v>1868</v>
      </c>
      <c r="J944" s="1" t="s">
        <v>1548</v>
      </c>
      <c r="K944" s="1" t="s">
        <v>1628</v>
      </c>
      <c r="L944" s="1" t="s">
        <v>1726</v>
      </c>
      <c r="M944" s="1" t="s">
        <v>1777</v>
      </c>
      <c r="N944" t="s">
        <v>2005</v>
      </c>
      <c r="O944" t="s">
        <v>2171</v>
      </c>
      <c r="P944">
        <v>1403</v>
      </c>
      <c r="Q944">
        <v>559.6</v>
      </c>
      <c r="R944" s="1" t="s">
        <v>1839</v>
      </c>
      <c r="S944">
        <v>54.86</v>
      </c>
      <c r="T944">
        <v>30699</v>
      </c>
    </row>
    <row r="945" spans="1:20" hidden="1" x14ac:dyDescent="0.4">
      <c r="A945" s="1" t="s">
        <v>336</v>
      </c>
      <c r="B945" s="1" t="s">
        <v>1453</v>
      </c>
      <c r="C945" s="1" t="s">
        <v>1845</v>
      </c>
      <c r="D945" s="1" t="s">
        <v>1849</v>
      </c>
      <c r="E945">
        <v>20251218</v>
      </c>
      <c r="F945" s="1" t="s">
        <v>1469</v>
      </c>
      <c r="G945">
        <v>2</v>
      </c>
      <c r="H945" s="1" t="s">
        <v>1488</v>
      </c>
      <c r="I945" t="s">
        <v>1868</v>
      </c>
      <c r="J945" s="1" t="s">
        <v>1548</v>
      </c>
      <c r="K945" s="1" t="s">
        <v>1629</v>
      </c>
      <c r="L945" s="1" t="s">
        <v>1726</v>
      </c>
      <c r="M945" s="1" t="s">
        <v>1778</v>
      </c>
      <c r="N945" t="s">
        <v>2006</v>
      </c>
      <c r="O945" t="s">
        <v>2171</v>
      </c>
      <c r="P945">
        <v>1303</v>
      </c>
      <c r="Q945">
        <v>-560</v>
      </c>
      <c r="R945" s="1" t="s">
        <v>1839</v>
      </c>
      <c r="S945">
        <v>55</v>
      </c>
      <c r="T945">
        <v>-30800</v>
      </c>
    </row>
    <row r="946" spans="1:20" hidden="1" x14ac:dyDescent="0.4">
      <c r="A946" s="1" t="s">
        <v>337</v>
      </c>
      <c r="B946" s="1" t="s">
        <v>1453</v>
      </c>
      <c r="C946" s="1" t="s">
        <v>1845</v>
      </c>
      <c r="D946" s="1" t="s">
        <v>1464</v>
      </c>
      <c r="E946">
        <v>20251218</v>
      </c>
      <c r="F946" s="1" t="s">
        <v>1469</v>
      </c>
      <c r="G946">
        <v>2</v>
      </c>
      <c r="H946" s="1" t="s">
        <v>1488</v>
      </c>
      <c r="I946" t="s">
        <v>1868</v>
      </c>
      <c r="J946" s="1" t="s">
        <v>1548</v>
      </c>
      <c r="K946" s="1" t="s">
        <v>1629</v>
      </c>
      <c r="L946" s="1" t="s">
        <v>1726</v>
      </c>
      <c r="M946" s="1" t="s">
        <v>1778</v>
      </c>
      <c r="N946" t="s">
        <v>2006</v>
      </c>
      <c r="O946" t="s">
        <v>2171</v>
      </c>
      <c r="P946">
        <v>1303</v>
      </c>
      <c r="Q946">
        <v>560</v>
      </c>
      <c r="R946" s="1" t="s">
        <v>1839</v>
      </c>
      <c r="S946">
        <v>55.55</v>
      </c>
      <c r="T946">
        <v>31108</v>
      </c>
    </row>
    <row r="947" spans="1:20" hidden="1" x14ac:dyDescent="0.4">
      <c r="A947" s="1" t="s">
        <v>338</v>
      </c>
      <c r="B947" s="1" t="s">
        <v>1453</v>
      </c>
      <c r="C947" s="1" t="s">
        <v>1845</v>
      </c>
      <c r="D947" s="1" t="s">
        <v>1849</v>
      </c>
      <c r="E947">
        <v>20251216</v>
      </c>
      <c r="F947" s="1" t="s">
        <v>1469</v>
      </c>
      <c r="G947">
        <v>2</v>
      </c>
      <c r="H947" s="1" t="s">
        <v>1488</v>
      </c>
      <c r="I947" t="s">
        <v>1868</v>
      </c>
      <c r="J947" s="1" t="s">
        <v>1548</v>
      </c>
      <c r="K947" s="1" t="s">
        <v>1629</v>
      </c>
      <c r="L947" s="1" t="s">
        <v>1726</v>
      </c>
      <c r="M947" s="1" t="s">
        <v>1789</v>
      </c>
      <c r="N947" t="s">
        <v>2006</v>
      </c>
      <c r="O947" t="s">
        <v>2171</v>
      </c>
      <c r="P947" t="s">
        <v>3140</v>
      </c>
      <c r="Q947">
        <v>-1092.4000000000001</v>
      </c>
      <c r="R947" s="1" t="s">
        <v>1839</v>
      </c>
      <c r="S947">
        <v>55</v>
      </c>
      <c r="T947">
        <v>-60082</v>
      </c>
    </row>
    <row r="948" spans="1:20" hidden="1" x14ac:dyDescent="0.4">
      <c r="A948" s="1" t="s">
        <v>339</v>
      </c>
      <c r="B948" s="1" t="s">
        <v>1453</v>
      </c>
      <c r="C948" s="1" t="s">
        <v>1845</v>
      </c>
      <c r="D948" s="1" t="s">
        <v>1464</v>
      </c>
      <c r="E948">
        <v>20251216</v>
      </c>
      <c r="F948" s="1" t="s">
        <v>1469</v>
      </c>
      <c r="G948">
        <v>2</v>
      </c>
      <c r="H948" s="1" t="s">
        <v>1488</v>
      </c>
      <c r="I948" t="s">
        <v>1868</v>
      </c>
      <c r="J948" s="1" t="s">
        <v>1548</v>
      </c>
      <c r="K948" s="1" t="s">
        <v>1629</v>
      </c>
      <c r="L948" s="1" t="s">
        <v>1726</v>
      </c>
      <c r="M948" s="1" t="s">
        <v>1789</v>
      </c>
      <c r="N948" t="s">
        <v>2006</v>
      </c>
      <c r="O948" t="s">
        <v>2171</v>
      </c>
      <c r="P948" t="s">
        <v>3140</v>
      </c>
      <c r="Q948">
        <v>1092.4000000000001</v>
      </c>
      <c r="R948" s="1" t="s">
        <v>1839</v>
      </c>
      <c r="S948">
        <v>54.97</v>
      </c>
      <c r="T948">
        <v>60049</v>
      </c>
    </row>
    <row r="949" spans="1:20" hidden="1" x14ac:dyDescent="0.4">
      <c r="A949" s="1" t="s">
        <v>340</v>
      </c>
      <c r="B949" s="1" t="s">
        <v>1453</v>
      </c>
      <c r="C949" s="1" t="s">
        <v>1845</v>
      </c>
      <c r="D949" s="1" t="s">
        <v>1464</v>
      </c>
      <c r="E949">
        <v>20251223</v>
      </c>
      <c r="F949" s="1" t="s">
        <v>1469</v>
      </c>
      <c r="G949">
        <v>4</v>
      </c>
      <c r="H949" s="1" t="s">
        <v>1486</v>
      </c>
      <c r="I949" t="s">
        <v>1866</v>
      </c>
      <c r="J949" s="1" t="s">
        <v>1548</v>
      </c>
      <c r="K949" s="1" t="s">
        <v>1612</v>
      </c>
      <c r="L949" s="1" t="s">
        <v>1718</v>
      </c>
      <c r="M949" s="1" t="s">
        <v>1737</v>
      </c>
      <c r="N949" t="s">
        <v>1986</v>
      </c>
      <c r="O949" t="s">
        <v>2164</v>
      </c>
      <c r="P949" t="s">
        <v>2157</v>
      </c>
      <c r="Q949">
        <v>357</v>
      </c>
      <c r="R949" s="1" t="s">
        <v>1839</v>
      </c>
      <c r="S949">
        <v>0</v>
      </c>
      <c r="T949">
        <v>0</v>
      </c>
    </row>
    <row r="950" spans="1:20" hidden="1" x14ac:dyDescent="0.4">
      <c r="A950" s="1" t="s">
        <v>341</v>
      </c>
      <c r="B950" s="1" t="s">
        <v>1453</v>
      </c>
      <c r="C950" s="1" t="s">
        <v>1845</v>
      </c>
      <c r="D950" s="1" t="s">
        <v>1462</v>
      </c>
      <c r="E950">
        <v>20251219</v>
      </c>
      <c r="F950" s="1" t="s">
        <v>1469</v>
      </c>
      <c r="G950">
        <v>1</v>
      </c>
      <c r="H950" s="1" t="s">
        <v>1480</v>
      </c>
      <c r="I950" t="s">
        <v>1860</v>
      </c>
      <c r="J950" s="1" t="s">
        <v>1550</v>
      </c>
      <c r="K950" s="1" t="s">
        <v>1639</v>
      </c>
      <c r="L950" s="1" t="s">
        <v>1717</v>
      </c>
      <c r="M950" s="1" t="s">
        <v>1737</v>
      </c>
      <c r="N950" t="s">
        <v>2019</v>
      </c>
      <c r="O950" t="s">
        <v>2163</v>
      </c>
      <c r="P950" t="s">
        <v>2157</v>
      </c>
      <c r="Q950">
        <v>3860</v>
      </c>
      <c r="R950" s="1" t="s">
        <v>1463</v>
      </c>
      <c r="S950">
        <v>454</v>
      </c>
      <c r="T950">
        <v>1752440</v>
      </c>
    </row>
    <row r="951" spans="1:20" hidden="1" x14ac:dyDescent="0.4">
      <c r="A951" s="1" t="s">
        <v>342</v>
      </c>
      <c r="B951" s="1" t="s">
        <v>1453</v>
      </c>
      <c r="C951" s="1" t="s">
        <v>1845</v>
      </c>
      <c r="D951" s="1" t="s">
        <v>1462</v>
      </c>
      <c r="E951">
        <v>20251223</v>
      </c>
      <c r="F951" s="1" t="s">
        <v>1469</v>
      </c>
      <c r="G951">
        <v>1</v>
      </c>
      <c r="H951" s="1" t="s">
        <v>1484</v>
      </c>
      <c r="I951" t="s">
        <v>1864</v>
      </c>
      <c r="J951" s="1" t="s">
        <v>1545</v>
      </c>
      <c r="K951" s="1" t="s">
        <v>1640</v>
      </c>
      <c r="L951" s="1" t="s">
        <v>1716</v>
      </c>
      <c r="M951" s="1" t="s">
        <v>1792</v>
      </c>
      <c r="N951" t="s">
        <v>2020</v>
      </c>
      <c r="O951" t="s">
        <v>2162</v>
      </c>
      <c r="P951" t="s">
        <v>3147</v>
      </c>
      <c r="Q951">
        <v>1287.2</v>
      </c>
      <c r="R951" s="1" t="s">
        <v>1463</v>
      </c>
      <c r="S951">
        <v>1650</v>
      </c>
      <c r="T951">
        <v>2123880</v>
      </c>
    </row>
    <row r="952" spans="1:20" hidden="1" x14ac:dyDescent="0.4">
      <c r="A952" s="1" t="s">
        <v>343</v>
      </c>
      <c r="B952" s="1" t="s">
        <v>1453</v>
      </c>
      <c r="C952" s="1" t="s">
        <v>1845</v>
      </c>
      <c r="D952" s="1" t="s">
        <v>1464</v>
      </c>
      <c r="E952">
        <v>20251223</v>
      </c>
      <c r="F952" s="1" t="s">
        <v>1469</v>
      </c>
      <c r="G952">
        <v>3</v>
      </c>
      <c r="H952" s="1" t="s">
        <v>1486</v>
      </c>
      <c r="I952" t="s">
        <v>1866</v>
      </c>
      <c r="J952" s="1" t="s">
        <v>1548</v>
      </c>
      <c r="K952" s="1" t="s">
        <v>1612</v>
      </c>
      <c r="L952" s="1" t="s">
        <v>1728</v>
      </c>
      <c r="M952" s="1" t="s">
        <v>1737</v>
      </c>
      <c r="N952" t="s">
        <v>1986</v>
      </c>
      <c r="O952" t="s">
        <v>2173</v>
      </c>
      <c r="P952" t="s">
        <v>2157</v>
      </c>
      <c r="Q952">
        <v>357</v>
      </c>
      <c r="R952" s="1" t="s">
        <v>1839</v>
      </c>
      <c r="S952">
        <v>478</v>
      </c>
      <c r="T952">
        <v>170646</v>
      </c>
    </row>
    <row r="953" spans="1:20" hidden="1" x14ac:dyDescent="0.4">
      <c r="A953" s="1" t="s">
        <v>344</v>
      </c>
      <c r="B953" s="1" t="s">
        <v>1453</v>
      </c>
      <c r="C953" s="1" t="s">
        <v>1845</v>
      </c>
      <c r="D953" s="1" t="s">
        <v>1731</v>
      </c>
      <c r="E953">
        <v>20251222</v>
      </c>
      <c r="F953" s="1" t="s">
        <v>1469</v>
      </c>
      <c r="G953">
        <v>1</v>
      </c>
      <c r="H953" s="1" t="s">
        <v>1475</v>
      </c>
      <c r="I953" t="s">
        <v>1855</v>
      </c>
      <c r="J953" s="1" t="s">
        <v>1544</v>
      </c>
      <c r="K953" s="1" t="s">
        <v>1611</v>
      </c>
      <c r="L953" s="1" t="s">
        <v>1716</v>
      </c>
      <c r="M953" s="1" t="s">
        <v>1793</v>
      </c>
      <c r="N953" t="s">
        <v>1985</v>
      </c>
      <c r="O953" t="s">
        <v>2162</v>
      </c>
      <c r="P953" t="s">
        <v>3148</v>
      </c>
      <c r="Q953">
        <v>1024.5</v>
      </c>
      <c r="R953" s="1" t="s">
        <v>1463</v>
      </c>
      <c r="S953">
        <v>1350</v>
      </c>
      <c r="T953">
        <v>1383075</v>
      </c>
    </row>
    <row r="954" spans="1:20" hidden="1" x14ac:dyDescent="0.4">
      <c r="A954" s="1" t="s">
        <v>345</v>
      </c>
      <c r="B954" s="1" t="s">
        <v>1453</v>
      </c>
      <c r="C954" s="1" t="s">
        <v>1845</v>
      </c>
      <c r="D954" s="1" t="s">
        <v>1462</v>
      </c>
      <c r="E954">
        <v>20251223</v>
      </c>
      <c r="F954" s="1" t="s">
        <v>1469</v>
      </c>
      <c r="G954">
        <v>1</v>
      </c>
      <c r="H954" s="1" t="s">
        <v>1480</v>
      </c>
      <c r="I954" t="s">
        <v>1860</v>
      </c>
      <c r="J954" s="1" t="s">
        <v>1550</v>
      </c>
      <c r="K954" s="1" t="s">
        <v>1620</v>
      </c>
      <c r="L954" s="1" t="s">
        <v>1717</v>
      </c>
      <c r="M954" s="1" t="s">
        <v>1737</v>
      </c>
      <c r="N954" t="s">
        <v>1997</v>
      </c>
      <c r="O954" t="s">
        <v>2163</v>
      </c>
      <c r="P954" t="s">
        <v>2157</v>
      </c>
      <c r="Q954">
        <v>10210</v>
      </c>
      <c r="R954" s="1" t="s">
        <v>1463</v>
      </c>
      <c r="S954">
        <v>148</v>
      </c>
      <c r="T954">
        <v>1511080</v>
      </c>
    </row>
    <row r="955" spans="1:20" hidden="1" x14ac:dyDescent="0.4">
      <c r="A955" s="1" t="s">
        <v>346</v>
      </c>
      <c r="B955" s="1" t="s">
        <v>1453</v>
      </c>
      <c r="C955" s="1" t="s">
        <v>1845</v>
      </c>
      <c r="D955" s="1" t="s">
        <v>1462</v>
      </c>
      <c r="E955">
        <v>20251224</v>
      </c>
      <c r="F955" s="1" t="s">
        <v>1469</v>
      </c>
      <c r="G955">
        <v>2</v>
      </c>
      <c r="H955" s="1" t="s">
        <v>1489</v>
      </c>
      <c r="I955" t="s">
        <v>1869</v>
      </c>
      <c r="J955" s="1" t="s">
        <v>1544</v>
      </c>
      <c r="K955" s="1" t="s">
        <v>1637</v>
      </c>
      <c r="L955" s="1" t="s">
        <v>1726</v>
      </c>
      <c r="M955" s="1" t="s">
        <v>1790</v>
      </c>
      <c r="N955" t="s">
        <v>2021</v>
      </c>
      <c r="O955" t="s">
        <v>2171</v>
      </c>
      <c r="P955" t="s">
        <v>3143</v>
      </c>
      <c r="Q955">
        <v>145.6</v>
      </c>
      <c r="R955" s="1" t="s">
        <v>1839</v>
      </c>
      <c r="S955">
        <v>0</v>
      </c>
      <c r="T955">
        <v>0</v>
      </c>
    </row>
    <row r="956" spans="1:20" hidden="1" x14ac:dyDescent="0.4">
      <c r="A956" s="1" t="s">
        <v>346</v>
      </c>
      <c r="B956" s="1" t="s">
        <v>1454</v>
      </c>
      <c r="C956" s="1" t="s">
        <v>1845</v>
      </c>
      <c r="D956" s="1" t="s">
        <v>1462</v>
      </c>
      <c r="E956">
        <v>20251224</v>
      </c>
      <c r="F956" s="1" t="s">
        <v>1469</v>
      </c>
      <c r="G956">
        <v>2</v>
      </c>
      <c r="H956" s="1" t="s">
        <v>1489</v>
      </c>
      <c r="I956" t="s">
        <v>1869</v>
      </c>
      <c r="J956" s="1" t="s">
        <v>1544</v>
      </c>
      <c r="K956" s="1" t="s">
        <v>1637</v>
      </c>
      <c r="L956" s="1" t="s">
        <v>1726</v>
      </c>
      <c r="M956" s="1" t="s">
        <v>1792</v>
      </c>
      <c r="N956" t="s">
        <v>2021</v>
      </c>
      <c r="O956" t="s">
        <v>2171</v>
      </c>
      <c r="P956" t="s">
        <v>3147</v>
      </c>
      <c r="Q956">
        <v>492.86</v>
      </c>
      <c r="R956" s="1" t="s">
        <v>1839</v>
      </c>
      <c r="S956">
        <v>0</v>
      </c>
      <c r="T956">
        <v>0</v>
      </c>
    </row>
    <row r="957" spans="1:20" hidden="1" x14ac:dyDescent="0.4">
      <c r="A957" s="1" t="s">
        <v>347</v>
      </c>
      <c r="B957" s="1" t="s">
        <v>1453</v>
      </c>
      <c r="C957" s="1" t="s">
        <v>1845</v>
      </c>
      <c r="D957" s="1" t="s">
        <v>1464</v>
      </c>
      <c r="E957">
        <v>20251222</v>
      </c>
      <c r="F957" s="1" t="s">
        <v>1469</v>
      </c>
      <c r="G957">
        <v>2</v>
      </c>
      <c r="H957" s="1" t="s">
        <v>1483</v>
      </c>
      <c r="I957" t="s">
        <v>1863</v>
      </c>
      <c r="J957" s="1" t="s">
        <v>1544</v>
      </c>
      <c r="K957" s="1" t="s">
        <v>1611</v>
      </c>
      <c r="L957" s="1" t="s">
        <v>1726</v>
      </c>
      <c r="M957" s="1" t="s">
        <v>1784</v>
      </c>
      <c r="N957" t="s">
        <v>1985</v>
      </c>
      <c r="O957" t="s">
        <v>2171</v>
      </c>
      <c r="P957" t="s">
        <v>3133</v>
      </c>
      <c r="Q957">
        <v>1055.5999999999999</v>
      </c>
      <c r="R957" s="1" t="s">
        <v>1839</v>
      </c>
      <c r="S957">
        <v>80</v>
      </c>
      <c r="T957">
        <v>84448</v>
      </c>
    </row>
    <row r="958" spans="1:20" hidden="1" x14ac:dyDescent="0.4">
      <c r="A958" s="1" t="s">
        <v>348</v>
      </c>
      <c r="B958" s="1" t="s">
        <v>1453</v>
      </c>
      <c r="C958" s="1" t="s">
        <v>1845</v>
      </c>
      <c r="D958" s="1" t="s">
        <v>1464</v>
      </c>
      <c r="E958">
        <v>20251223</v>
      </c>
      <c r="F958" s="1" t="s">
        <v>1469</v>
      </c>
      <c r="G958">
        <v>2</v>
      </c>
      <c r="H958" s="1" t="s">
        <v>1483</v>
      </c>
      <c r="I958" t="s">
        <v>1863</v>
      </c>
      <c r="J958" s="1" t="s">
        <v>1544</v>
      </c>
      <c r="K958" s="1" t="s">
        <v>1611</v>
      </c>
      <c r="L958" s="1" t="s">
        <v>1726</v>
      </c>
      <c r="M958" s="1" t="s">
        <v>1788</v>
      </c>
      <c r="N958" t="s">
        <v>1985</v>
      </c>
      <c r="O958" t="s">
        <v>2171</v>
      </c>
      <c r="P958" t="s">
        <v>3138</v>
      </c>
      <c r="Q958">
        <v>1051.96</v>
      </c>
      <c r="R958" s="1" t="s">
        <v>1839</v>
      </c>
      <c r="S958">
        <v>80</v>
      </c>
      <c r="T958">
        <v>84156</v>
      </c>
    </row>
    <row r="959" spans="1:20" hidden="1" x14ac:dyDescent="0.4">
      <c r="A959" s="1" t="s">
        <v>349</v>
      </c>
      <c r="B959" s="1" t="s">
        <v>1453</v>
      </c>
      <c r="C959" s="1" t="s">
        <v>1845</v>
      </c>
      <c r="D959" s="1" t="s">
        <v>1464</v>
      </c>
      <c r="E959">
        <v>20251224</v>
      </c>
      <c r="F959" s="1" t="s">
        <v>1469</v>
      </c>
      <c r="G959">
        <v>2</v>
      </c>
      <c r="H959" s="1" t="s">
        <v>1483</v>
      </c>
      <c r="I959" t="s">
        <v>1863</v>
      </c>
      <c r="J959" s="1" t="s">
        <v>1544</v>
      </c>
      <c r="K959" s="1" t="s">
        <v>1611</v>
      </c>
      <c r="L959" s="1" t="s">
        <v>1726</v>
      </c>
      <c r="M959" s="1" t="s">
        <v>1793</v>
      </c>
      <c r="N959" t="s">
        <v>1985</v>
      </c>
      <c r="O959" t="s">
        <v>2171</v>
      </c>
      <c r="P959" t="s">
        <v>3148</v>
      </c>
      <c r="Q959">
        <v>1037.4000000000001</v>
      </c>
      <c r="R959" s="1" t="s">
        <v>1839</v>
      </c>
      <c r="S959">
        <v>80</v>
      </c>
      <c r="T959">
        <v>82992</v>
      </c>
    </row>
    <row r="960" spans="1:20" hidden="1" x14ac:dyDescent="0.4">
      <c r="A960" s="1" t="s">
        <v>350</v>
      </c>
      <c r="B960" s="1" t="s">
        <v>1453</v>
      </c>
      <c r="C960" s="1" t="s">
        <v>1845</v>
      </c>
      <c r="D960" s="1" t="s">
        <v>1849</v>
      </c>
      <c r="E960">
        <v>20251212</v>
      </c>
      <c r="F960" s="1" t="s">
        <v>1469</v>
      </c>
      <c r="G960">
        <v>2</v>
      </c>
      <c r="H960" s="1" t="s">
        <v>1478</v>
      </c>
      <c r="I960" t="s">
        <v>1858</v>
      </c>
      <c r="J960" s="1" t="s">
        <v>1545</v>
      </c>
      <c r="K960" s="1" t="s">
        <v>1592</v>
      </c>
      <c r="L960" s="1" t="s">
        <v>1726</v>
      </c>
      <c r="M960" s="1" t="s">
        <v>1761</v>
      </c>
      <c r="N960" t="s">
        <v>1967</v>
      </c>
      <c r="O960" t="s">
        <v>2171</v>
      </c>
      <c r="P960" t="s">
        <v>3076</v>
      </c>
      <c r="Q960">
        <v>-32.76</v>
      </c>
      <c r="R960" s="1" t="s">
        <v>1839</v>
      </c>
      <c r="S960">
        <v>280</v>
      </c>
      <c r="T960">
        <v>-9172</v>
      </c>
    </row>
    <row r="961" spans="1:20" hidden="1" x14ac:dyDescent="0.4">
      <c r="A961" s="1" t="s">
        <v>351</v>
      </c>
      <c r="B961" s="1" t="s">
        <v>1453</v>
      </c>
      <c r="C961" s="1" t="s">
        <v>1845</v>
      </c>
      <c r="D961" s="1" t="s">
        <v>1464</v>
      </c>
      <c r="E961">
        <v>20251212</v>
      </c>
      <c r="F961" s="1" t="s">
        <v>1469</v>
      </c>
      <c r="G961">
        <v>2</v>
      </c>
      <c r="H961" s="1" t="s">
        <v>1478</v>
      </c>
      <c r="I961" t="s">
        <v>1858</v>
      </c>
      <c r="J961" s="1" t="s">
        <v>1545</v>
      </c>
      <c r="K961" s="1" t="s">
        <v>1592</v>
      </c>
      <c r="L961" s="1" t="s">
        <v>1726</v>
      </c>
      <c r="M961" s="1" t="s">
        <v>1761</v>
      </c>
      <c r="N961" t="s">
        <v>1967</v>
      </c>
      <c r="O961" t="s">
        <v>2171</v>
      </c>
      <c r="P961" t="s">
        <v>3076</v>
      </c>
      <c r="Q961">
        <v>32.76</v>
      </c>
      <c r="R961" s="1" t="s">
        <v>1839</v>
      </c>
      <c r="S961">
        <v>1526.26</v>
      </c>
      <c r="T961">
        <v>50000</v>
      </c>
    </row>
    <row r="962" spans="1:20" hidden="1" x14ac:dyDescent="0.4">
      <c r="A962" s="1" t="s">
        <v>352</v>
      </c>
      <c r="B962" s="1" t="s">
        <v>1453</v>
      </c>
      <c r="C962" s="1" t="s">
        <v>1845</v>
      </c>
      <c r="D962" s="1" t="s">
        <v>1849</v>
      </c>
      <c r="E962">
        <v>20251211</v>
      </c>
      <c r="F962" s="1" t="s">
        <v>1469</v>
      </c>
      <c r="G962">
        <v>2</v>
      </c>
      <c r="H962" s="1" t="s">
        <v>1488</v>
      </c>
      <c r="I962" t="s">
        <v>1868</v>
      </c>
      <c r="J962" s="1" t="s">
        <v>1548</v>
      </c>
      <c r="K962" s="1" t="s">
        <v>1628</v>
      </c>
      <c r="L962" s="1" t="s">
        <v>1726</v>
      </c>
      <c r="M962" s="1" t="s">
        <v>1787</v>
      </c>
      <c r="N962" t="s">
        <v>2005</v>
      </c>
      <c r="O962" t="s">
        <v>2171</v>
      </c>
      <c r="P962">
        <v>1602</v>
      </c>
      <c r="Q962">
        <v>-1080</v>
      </c>
      <c r="R962" s="1" t="s">
        <v>1839</v>
      </c>
      <c r="S962">
        <v>54.86</v>
      </c>
      <c r="T962">
        <v>-59248</v>
      </c>
    </row>
    <row r="963" spans="1:20" hidden="1" x14ac:dyDescent="0.4">
      <c r="A963" s="1" t="s">
        <v>353</v>
      </c>
      <c r="B963" s="1" t="s">
        <v>1453</v>
      </c>
      <c r="C963" s="1" t="s">
        <v>1845</v>
      </c>
      <c r="D963" s="1" t="s">
        <v>1464</v>
      </c>
      <c r="E963">
        <v>20251211</v>
      </c>
      <c r="F963" s="1" t="s">
        <v>1469</v>
      </c>
      <c r="G963">
        <v>2</v>
      </c>
      <c r="H963" s="1" t="s">
        <v>1488</v>
      </c>
      <c r="I963" t="s">
        <v>1868</v>
      </c>
      <c r="J963" s="1" t="s">
        <v>1548</v>
      </c>
      <c r="K963" s="1" t="s">
        <v>1628</v>
      </c>
      <c r="L963" s="1" t="s">
        <v>1726</v>
      </c>
      <c r="M963" s="1" t="s">
        <v>1787</v>
      </c>
      <c r="N963" t="s">
        <v>2005</v>
      </c>
      <c r="O963" t="s">
        <v>2171</v>
      </c>
      <c r="P963">
        <v>1602</v>
      </c>
      <c r="Q963">
        <v>1080</v>
      </c>
      <c r="R963" s="1" t="s">
        <v>1839</v>
      </c>
      <c r="S963">
        <v>55.49</v>
      </c>
      <c r="T963">
        <v>59929</v>
      </c>
    </row>
    <row r="964" spans="1:20" hidden="1" x14ac:dyDescent="0.4">
      <c r="A964" s="1" t="s">
        <v>354</v>
      </c>
      <c r="B964" s="1" t="s">
        <v>1453</v>
      </c>
      <c r="C964" s="1" t="s">
        <v>1845</v>
      </c>
      <c r="D964" s="1" t="s">
        <v>1849</v>
      </c>
      <c r="E964">
        <v>20251216</v>
      </c>
      <c r="F964" s="1" t="s">
        <v>1469</v>
      </c>
      <c r="G964">
        <v>2</v>
      </c>
      <c r="H964" s="1" t="s">
        <v>1488</v>
      </c>
      <c r="I964" t="s">
        <v>1868</v>
      </c>
      <c r="J964" s="1" t="s">
        <v>1548</v>
      </c>
      <c r="K964" s="1" t="s">
        <v>1629</v>
      </c>
      <c r="L964" s="1" t="s">
        <v>1726</v>
      </c>
      <c r="M964" s="1" t="s">
        <v>1789</v>
      </c>
      <c r="N964" t="s">
        <v>2006</v>
      </c>
      <c r="O964" t="s">
        <v>2171</v>
      </c>
      <c r="P964" t="s">
        <v>3140</v>
      </c>
      <c r="Q964">
        <v>-1092.4000000000001</v>
      </c>
      <c r="R964" s="1" t="s">
        <v>1839</v>
      </c>
      <c r="S964">
        <v>54.97</v>
      </c>
      <c r="T964">
        <v>-60049</v>
      </c>
    </row>
    <row r="965" spans="1:20" hidden="1" x14ac:dyDescent="0.4">
      <c r="A965" s="1" t="s">
        <v>355</v>
      </c>
      <c r="B965" s="1" t="s">
        <v>1453</v>
      </c>
      <c r="C965" s="1" t="s">
        <v>1845</v>
      </c>
      <c r="D965" s="1" t="s">
        <v>1464</v>
      </c>
      <c r="E965">
        <v>20251216</v>
      </c>
      <c r="F965" s="1" t="s">
        <v>1469</v>
      </c>
      <c r="G965">
        <v>2</v>
      </c>
      <c r="H965" s="1" t="s">
        <v>1488</v>
      </c>
      <c r="I965" t="s">
        <v>1868</v>
      </c>
      <c r="J965" s="1" t="s">
        <v>1548</v>
      </c>
      <c r="K965" s="1" t="s">
        <v>1629</v>
      </c>
      <c r="L965" s="1" t="s">
        <v>1726</v>
      </c>
      <c r="M965" s="1" t="s">
        <v>1789</v>
      </c>
      <c r="N965" t="s">
        <v>2006</v>
      </c>
      <c r="O965" t="s">
        <v>2171</v>
      </c>
      <c r="P965" t="s">
        <v>3140</v>
      </c>
      <c r="Q965">
        <v>1092.4000000000001</v>
      </c>
      <c r="R965" s="1" t="s">
        <v>1839</v>
      </c>
      <c r="S965">
        <v>55.17</v>
      </c>
      <c r="T965">
        <v>60267</v>
      </c>
    </row>
    <row r="966" spans="1:20" hidden="1" x14ac:dyDescent="0.4">
      <c r="A966" s="1" t="s">
        <v>356</v>
      </c>
      <c r="B966" s="1" t="s">
        <v>1453</v>
      </c>
      <c r="C966" s="1" t="s">
        <v>1845</v>
      </c>
      <c r="D966" s="1" t="s">
        <v>1731</v>
      </c>
      <c r="E966">
        <v>20251201</v>
      </c>
      <c r="F966" s="1" t="s">
        <v>1470</v>
      </c>
      <c r="G966">
        <v>4</v>
      </c>
      <c r="H966" s="1" t="s">
        <v>1490</v>
      </c>
      <c r="I966" t="s">
        <v>1870</v>
      </c>
      <c r="J966" s="1" t="s">
        <v>1456</v>
      </c>
      <c r="K966" s="1" t="s">
        <v>1552</v>
      </c>
      <c r="L966" s="1" t="s">
        <v>1729</v>
      </c>
      <c r="M966" s="1" t="s">
        <v>1735</v>
      </c>
      <c r="N966" t="s">
        <v>1924</v>
      </c>
      <c r="O966" t="s">
        <v>2157</v>
      </c>
      <c r="P966" t="s">
        <v>3037</v>
      </c>
      <c r="Q966">
        <v>2</v>
      </c>
      <c r="R966" s="1" t="s">
        <v>1839</v>
      </c>
      <c r="S966">
        <v>3998</v>
      </c>
      <c r="T966">
        <v>7996</v>
      </c>
    </row>
    <row r="967" spans="1:20" hidden="1" x14ac:dyDescent="0.4">
      <c r="A967" s="1" t="s">
        <v>356</v>
      </c>
      <c r="B967" s="1" t="s">
        <v>1454</v>
      </c>
      <c r="C967" s="1" t="s">
        <v>1845</v>
      </c>
      <c r="D967" s="1" t="s">
        <v>1731</v>
      </c>
      <c r="E967">
        <v>20251201</v>
      </c>
      <c r="F967" s="1" t="s">
        <v>1470</v>
      </c>
      <c r="G967">
        <v>4</v>
      </c>
      <c r="H967" s="1" t="s">
        <v>1490</v>
      </c>
      <c r="I967" t="s">
        <v>1870</v>
      </c>
      <c r="J967" s="1" t="s">
        <v>1456</v>
      </c>
      <c r="K967" s="1" t="s">
        <v>1553</v>
      </c>
      <c r="L967" s="1" t="s">
        <v>1729</v>
      </c>
      <c r="M967" s="1" t="s">
        <v>1736</v>
      </c>
      <c r="N967" t="s">
        <v>1925</v>
      </c>
      <c r="O967" t="s">
        <v>2157</v>
      </c>
      <c r="P967" t="s">
        <v>3038</v>
      </c>
      <c r="Q967">
        <v>1</v>
      </c>
      <c r="R967" s="1" t="s">
        <v>1718</v>
      </c>
      <c r="S967">
        <v>3711</v>
      </c>
      <c r="T967">
        <v>3711</v>
      </c>
    </row>
    <row r="968" spans="1:20" hidden="1" x14ac:dyDescent="0.4">
      <c r="A968" s="1" t="s">
        <v>356</v>
      </c>
      <c r="B968" s="1" t="s">
        <v>1455</v>
      </c>
      <c r="C968" s="1" t="s">
        <v>1845</v>
      </c>
      <c r="D968" s="1" t="s">
        <v>1731</v>
      </c>
      <c r="E968">
        <v>20251201</v>
      </c>
      <c r="F968" s="1" t="s">
        <v>1470</v>
      </c>
      <c r="G968">
        <v>4</v>
      </c>
      <c r="H968" s="1" t="s">
        <v>1490</v>
      </c>
      <c r="I968" t="s">
        <v>1870</v>
      </c>
      <c r="J968" s="1" t="s">
        <v>1456</v>
      </c>
      <c r="K968" s="1" t="s">
        <v>1553</v>
      </c>
      <c r="L968" s="1" t="s">
        <v>1729</v>
      </c>
      <c r="M968" s="1" t="s">
        <v>1736</v>
      </c>
      <c r="N968" t="s">
        <v>1925</v>
      </c>
      <c r="O968" t="s">
        <v>2157</v>
      </c>
      <c r="P968" t="s">
        <v>3038</v>
      </c>
      <c r="Q968">
        <v>2</v>
      </c>
      <c r="R968" s="1" t="s">
        <v>1718</v>
      </c>
      <c r="S968">
        <v>12691</v>
      </c>
      <c r="T968">
        <v>25382</v>
      </c>
    </row>
    <row r="969" spans="1:20" hidden="1" x14ac:dyDescent="0.4">
      <c r="A969" s="1" t="s">
        <v>356</v>
      </c>
      <c r="B969" s="1" t="s">
        <v>1456</v>
      </c>
      <c r="C969" s="1" t="s">
        <v>1845</v>
      </c>
      <c r="D969" s="1" t="s">
        <v>1731</v>
      </c>
      <c r="E969">
        <v>20251201</v>
      </c>
      <c r="F969" s="1" t="s">
        <v>1470</v>
      </c>
      <c r="G969">
        <v>4</v>
      </c>
      <c r="H969" s="1" t="s">
        <v>1490</v>
      </c>
      <c r="I969" t="s">
        <v>1870</v>
      </c>
      <c r="J969" s="1" t="s">
        <v>1456</v>
      </c>
      <c r="K969" s="1" t="s">
        <v>1554</v>
      </c>
      <c r="L969" s="1" t="s">
        <v>1729</v>
      </c>
      <c r="M969" s="1" t="s">
        <v>1737</v>
      </c>
      <c r="N969" t="s">
        <v>1926</v>
      </c>
      <c r="O969" t="s">
        <v>2157</v>
      </c>
      <c r="P969" t="s">
        <v>2157</v>
      </c>
      <c r="Q969">
        <v>12</v>
      </c>
      <c r="R969" s="1" t="s">
        <v>1718</v>
      </c>
      <c r="S969">
        <v>9833.16</v>
      </c>
      <c r="T969">
        <v>117998</v>
      </c>
    </row>
    <row r="970" spans="1:20" hidden="1" x14ac:dyDescent="0.4">
      <c r="A970" s="1" t="s">
        <v>357</v>
      </c>
      <c r="B970" s="1" t="s">
        <v>1453</v>
      </c>
      <c r="C970" s="1" t="s">
        <v>1845</v>
      </c>
      <c r="D970" s="1" t="s">
        <v>1731</v>
      </c>
      <c r="E970">
        <v>20251201</v>
      </c>
      <c r="F970" s="1" t="s">
        <v>1470</v>
      </c>
      <c r="G970">
        <v>4</v>
      </c>
      <c r="H970" s="1" t="s">
        <v>1490</v>
      </c>
      <c r="I970" t="s">
        <v>1870</v>
      </c>
      <c r="J970" s="1" t="s">
        <v>1456</v>
      </c>
      <c r="K970" s="1" t="s">
        <v>1555</v>
      </c>
      <c r="L970" s="1" t="s">
        <v>1729</v>
      </c>
      <c r="M970" s="1" t="s">
        <v>1736</v>
      </c>
      <c r="N970" t="s">
        <v>1927</v>
      </c>
      <c r="O970" t="s">
        <v>2157</v>
      </c>
      <c r="P970" t="s">
        <v>3038</v>
      </c>
      <c r="Q970">
        <v>18</v>
      </c>
      <c r="R970" s="1" t="s">
        <v>1718</v>
      </c>
      <c r="S970">
        <v>7349.11</v>
      </c>
      <c r="T970">
        <v>132284</v>
      </c>
    </row>
    <row r="971" spans="1:20" hidden="1" x14ac:dyDescent="0.4">
      <c r="A971" s="1" t="s">
        <v>357</v>
      </c>
      <c r="B971" s="1" t="s">
        <v>1454</v>
      </c>
      <c r="C971" s="1" t="s">
        <v>1845</v>
      </c>
      <c r="D971" s="1" t="s">
        <v>1731</v>
      </c>
      <c r="E971">
        <v>20251201</v>
      </c>
      <c r="F971" s="1" t="s">
        <v>1470</v>
      </c>
      <c r="G971">
        <v>4</v>
      </c>
      <c r="H971" s="1" t="s">
        <v>1490</v>
      </c>
      <c r="I971" t="s">
        <v>1870</v>
      </c>
      <c r="J971" s="1" t="s">
        <v>1456</v>
      </c>
      <c r="K971" s="1" t="s">
        <v>1556</v>
      </c>
      <c r="L971" s="1" t="s">
        <v>1729</v>
      </c>
      <c r="M971" s="1" t="s">
        <v>1738</v>
      </c>
      <c r="N971" t="s">
        <v>1928</v>
      </c>
      <c r="O971" t="s">
        <v>2157</v>
      </c>
      <c r="P971" t="s">
        <v>3149</v>
      </c>
      <c r="Q971">
        <v>8</v>
      </c>
      <c r="R971" s="1" t="s">
        <v>1718</v>
      </c>
      <c r="S971">
        <v>3612.5</v>
      </c>
      <c r="T971">
        <v>28900</v>
      </c>
    </row>
    <row r="972" spans="1:20" hidden="1" x14ac:dyDescent="0.4">
      <c r="A972" s="1" t="s">
        <v>358</v>
      </c>
      <c r="B972" s="1" t="s">
        <v>1453</v>
      </c>
      <c r="C972" s="1" t="s">
        <v>1845</v>
      </c>
      <c r="D972" s="1" t="s">
        <v>1731</v>
      </c>
      <c r="E972">
        <v>20251201</v>
      </c>
      <c r="F972" s="1" t="s">
        <v>1470</v>
      </c>
      <c r="G972">
        <v>4</v>
      </c>
      <c r="H972" s="1" t="s">
        <v>1490</v>
      </c>
      <c r="I972" t="s">
        <v>1870</v>
      </c>
      <c r="J972" s="1" t="s">
        <v>1456</v>
      </c>
      <c r="K972" s="1" t="s">
        <v>1557</v>
      </c>
      <c r="L972" s="1" t="s">
        <v>1729</v>
      </c>
      <c r="M972" s="1" t="s">
        <v>1737</v>
      </c>
      <c r="N972" t="s">
        <v>1929</v>
      </c>
      <c r="O972" t="s">
        <v>2157</v>
      </c>
      <c r="P972" t="s">
        <v>2157</v>
      </c>
      <c r="Q972">
        <v>6</v>
      </c>
      <c r="R972" s="1" t="s">
        <v>1718</v>
      </c>
      <c r="S972">
        <v>5709.33</v>
      </c>
      <c r="T972">
        <v>34256</v>
      </c>
    </row>
    <row r="973" spans="1:20" hidden="1" x14ac:dyDescent="0.4">
      <c r="A973" s="1" t="s">
        <v>359</v>
      </c>
      <c r="B973" s="1" t="s">
        <v>1453</v>
      </c>
      <c r="C973" s="1" t="s">
        <v>1845</v>
      </c>
      <c r="D973" s="1" t="s">
        <v>1731</v>
      </c>
      <c r="E973">
        <v>20251201</v>
      </c>
      <c r="F973" s="1" t="s">
        <v>1470</v>
      </c>
      <c r="G973">
        <v>4</v>
      </c>
      <c r="H973" s="1" t="s">
        <v>1490</v>
      </c>
      <c r="I973" t="s">
        <v>1870</v>
      </c>
      <c r="J973" s="1" t="s">
        <v>1456</v>
      </c>
      <c r="K973" s="1" t="s">
        <v>1558</v>
      </c>
      <c r="L973" s="1" t="s">
        <v>1729</v>
      </c>
      <c r="M973" s="1" t="s">
        <v>1737</v>
      </c>
      <c r="N973" t="s">
        <v>1930</v>
      </c>
      <c r="O973" t="s">
        <v>2157</v>
      </c>
      <c r="P973" t="s">
        <v>2157</v>
      </c>
      <c r="Q973">
        <v>39</v>
      </c>
      <c r="R973" s="1" t="s">
        <v>1718</v>
      </c>
      <c r="S973">
        <v>15032.35</v>
      </c>
      <c r="T973">
        <v>586262</v>
      </c>
    </row>
    <row r="974" spans="1:20" hidden="1" x14ac:dyDescent="0.4">
      <c r="A974" s="1" t="s">
        <v>360</v>
      </c>
      <c r="B974" s="1" t="s">
        <v>1453</v>
      </c>
      <c r="C974" s="1" t="s">
        <v>1845</v>
      </c>
      <c r="D974" s="1" t="s">
        <v>1731</v>
      </c>
      <c r="E974">
        <v>20251201</v>
      </c>
      <c r="F974" s="1" t="s">
        <v>1470</v>
      </c>
      <c r="G974">
        <v>4</v>
      </c>
      <c r="H974" s="1" t="s">
        <v>1490</v>
      </c>
      <c r="I974" t="s">
        <v>1870</v>
      </c>
      <c r="J974" s="1" t="s">
        <v>1456</v>
      </c>
      <c r="K974" s="1" t="s">
        <v>1559</v>
      </c>
      <c r="L974" s="1" t="s">
        <v>1729</v>
      </c>
      <c r="M974" s="1" t="s">
        <v>1739</v>
      </c>
      <c r="N974" t="s">
        <v>1931</v>
      </c>
      <c r="O974" t="s">
        <v>2157</v>
      </c>
      <c r="P974" t="s">
        <v>3150</v>
      </c>
      <c r="Q974">
        <v>20</v>
      </c>
      <c r="R974" s="1" t="s">
        <v>1718</v>
      </c>
      <c r="S974">
        <v>19772</v>
      </c>
      <c r="T974">
        <v>395440</v>
      </c>
    </row>
    <row r="975" spans="1:20" hidden="1" x14ac:dyDescent="0.4">
      <c r="A975" s="1" t="s">
        <v>361</v>
      </c>
      <c r="B975" s="1" t="s">
        <v>1453</v>
      </c>
      <c r="C975" s="1" t="s">
        <v>1845</v>
      </c>
      <c r="D975" s="1" t="s">
        <v>1462</v>
      </c>
      <c r="E975">
        <v>20251201</v>
      </c>
      <c r="F975" s="1" t="s">
        <v>1471</v>
      </c>
      <c r="G975">
        <v>4</v>
      </c>
      <c r="H975" s="1" t="s">
        <v>1491</v>
      </c>
      <c r="I975" t="s">
        <v>1871</v>
      </c>
      <c r="J975" s="1" t="s">
        <v>1460</v>
      </c>
      <c r="K975" s="1" t="s">
        <v>1641</v>
      </c>
      <c r="L975" s="1" t="s">
        <v>1730</v>
      </c>
      <c r="M975" s="1" t="s">
        <v>1735</v>
      </c>
      <c r="N975" t="s">
        <v>2022</v>
      </c>
      <c r="O975" t="s">
        <v>2175</v>
      </c>
      <c r="P975" t="s">
        <v>3151</v>
      </c>
      <c r="Q975">
        <v>70</v>
      </c>
      <c r="R975" s="1" t="s">
        <v>1718</v>
      </c>
      <c r="S975">
        <v>1224</v>
      </c>
      <c r="T975">
        <v>85680</v>
      </c>
    </row>
    <row r="976" spans="1:20" hidden="1" x14ac:dyDescent="0.4">
      <c r="A976" s="1" t="s">
        <v>361</v>
      </c>
      <c r="B976" s="1" t="s">
        <v>1454</v>
      </c>
      <c r="C976" s="1" t="s">
        <v>1845</v>
      </c>
      <c r="D976" s="1" t="s">
        <v>1462</v>
      </c>
      <c r="E976">
        <v>20251201</v>
      </c>
      <c r="F976" s="1" t="s">
        <v>1471</v>
      </c>
      <c r="G976">
        <v>4</v>
      </c>
      <c r="H976" s="1" t="s">
        <v>1491</v>
      </c>
      <c r="I976" t="s">
        <v>1871</v>
      </c>
      <c r="J976" s="1" t="s">
        <v>1460</v>
      </c>
      <c r="K976" s="1" t="s">
        <v>1642</v>
      </c>
      <c r="L976" s="1" t="s">
        <v>1725</v>
      </c>
      <c r="M976" s="1" t="s">
        <v>1737</v>
      </c>
      <c r="N976" t="s">
        <v>2023</v>
      </c>
      <c r="O976" t="s">
        <v>2157</v>
      </c>
      <c r="P976" t="s">
        <v>2157</v>
      </c>
      <c r="Q976">
        <v>3</v>
      </c>
      <c r="R976" s="1" t="s">
        <v>1842</v>
      </c>
      <c r="S976">
        <v>720</v>
      </c>
      <c r="T976">
        <v>2160</v>
      </c>
    </row>
    <row r="977" spans="1:20" hidden="1" x14ac:dyDescent="0.4">
      <c r="A977" s="1" t="s">
        <v>362</v>
      </c>
      <c r="B977" s="1" t="s">
        <v>1453</v>
      </c>
      <c r="C977" s="1" t="s">
        <v>1845</v>
      </c>
      <c r="D977" s="1" t="s">
        <v>1731</v>
      </c>
      <c r="E977">
        <v>20251202</v>
      </c>
      <c r="F977" s="1" t="s">
        <v>1470</v>
      </c>
      <c r="G977">
        <v>4</v>
      </c>
      <c r="H977" s="1" t="s">
        <v>1490</v>
      </c>
      <c r="I977" t="s">
        <v>1870</v>
      </c>
      <c r="J977" s="1" t="s">
        <v>1456</v>
      </c>
      <c r="K977" s="1" t="s">
        <v>1553</v>
      </c>
      <c r="L977" s="1" t="s">
        <v>1729</v>
      </c>
      <c r="M977" s="1" t="s">
        <v>1736</v>
      </c>
      <c r="N977" t="s">
        <v>1925</v>
      </c>
      <c r="O977" t="s">
        <v>2157</v>
      </c>
      <c r="P977" t="s">
        <v>3038</v>
      </c>
      <c r="Q977">
        <v>18</v>
      </c>
      <c r="R977" s="1" t="s">
        <v>1718</v>
      </c>
      <c r="S977">
        <v>14007.33</v>
      </c>
      <c r="T977">
        <v>252132</v>
      </c>
    </row>
    <row r="978" spans="1:20" hidden="1" x14ac:dyDescent="0.4">
      <c r="A978" s="1" t="s">
        <v>362</v>
      </c>
      <c r="B978" s="1" t="s">
        <v>1454</v>
      </c>
      <c r="C978" s="1" t="s">
        <v>1845</v>
      </c>
      <c r="D978" s="1" t="s">
        <v>1731</v>
      </c>
      <c r="E978">
        <v>20251202</v>
      </c>
      <c r="F978" s="1" t="s">
        <v>1470</v>
      </c>
      <c r="G978">
        <v>4</v>
      </c>
      <c r="H978" s="1" t="s">
        <v>1490</v>
      </c>
      <c r="I978" t="s">
        <v>1870</v>
      </c>
      <c r="J978" s="1" t="s">
        <v>1456</v>
      </c>
      <c r="K978" s="1" t="s">
        <v>1553</v>
      </c>
      <c r="L978" s="1" t="s">
        <v>1729</v>
      </c>
      <c r="M978" s="1" t="s">
        <v>1740</v>
      </c>
      <c r="N978" t="s">
        <v>1925</v>
      </c>
      <c r="O978" t="s">
        <v>2157</v>
      </c>
      <c r="P978" t="s">
        <v>3041</v>
      </c>
      <c r="Q978">
        <v>2</v>
      </c>
      <c r="R978" s="1" t="s">
        <v>1718</v>
      </c>
      <c r="S978">
        <v>17279</v>
      </c>
      <c r="T978">
        <v>34558</v>
      </c>
    </row>
    <row r="979" spans="1:20" hidden="1" x14ac:dyDescent="0.4">
      <c r="A979" s="1" t="s">
        <v>362</v>
      </c>
      <c r="B979" s="1" t="s">
        <v>1455</v>
      </c>
      <c r="C979" s="1" t="s">
        <v>1845</v>
      </c>
      <c r="D979" s="1" t="s">
        <v>1731</v>
      </c>
      <c r="E979">
        <v>20251202</v>
      </c>
      <c r="F979" s="1" t="s">
        <v>1470</v>
      </c>
      <c r="G979">
        <v>4</v>
      </c>
      <c r="H979" s="1" t="s">
        <v>1490</v>
      </c>
      <c r="I979" t="s">
        <v>1870</v>
      </c>
      <c r="J979" s="1" t="s">
        <v>1456</v>
      </c>
      <c r="K979" s="1" t="s">
        <v>1554</v>
      </c>
      <c r="L979" s="1" t="s">
        <v>1729</v>
      </c>
      <c r="M979" s="1" t="s">
        <v>1737</v>
      </c>
      <c r="N979" t="s">
        <v>1926</v>
      </c>
      <c r="O979" t="s">
        <v>2157</v>
      </c>
      <c r="P979" t="s">
        <v>2157</v>
      </c>
      <c r="Q979">
        <v>24</v>
      </c>
      <c r="R979" s="1" t="s">
        <v>1718</v>
      </c>
      <c r="S979">
        <v>16351.33</v>
      </c>
      <c r="T979">
        <v>392432</v>
      </c>
    </row>
    <row r="980" spans="1:20" hidden="1" x14ac:dyDescent="0.4">
      <c r="A980" s="1" t="s">
        <v>363</v>
      </c>
      <c r="B980" s="1" t="s">
        <v>1453</v>
      </c>
      <c r="C980" s="1" t="s">
        <v>1845</v>
      </c>
      <c r="D980" s="1" t="s">
        <v>1731</v>
      </c>
      <c r="E980">
        <v>20251202</v>
      </c>
      <c r="F980" s="1" t="s">
        <v>1470</v>
      </c>
      <c r="G980">
        <v>4</v>
      </c>
      <c r="H980" s="1" t="s">
        <v>1490</v>
      </c>
      <c r="I980" t="s">
        <v>1870</v>
      </c>
      <c r="J980" s="1" t="s">
        <v>1456</v>
      </c>
      <c r="K980" s="1" t="s">
        <v>1560</v>
      </c>
      <c r="L980" s="1" t="s">
        <v>1729</v>
      </c>
      <c r="M980" s="1" t="s">
        <v>1740</v>
      </c>
      <c r="N980" t="s">
        <v>1932</v>
      </c>
      <c r="O980" t="s">
        <v>2157</v>
      </c>
      <c r="P980" t="s">
        <v>3041</v>
      </c>
      <c r="Q980">
        <v>7</v>
      </c>
      <c r="R980" s="1" t="s">
        <v>1718</v>
      </c>
      <c r="S980">
        <v>12842.57</v>
      </c>
      <c r="T980">
        <v>89898</v>
      </c>
    </row>
    <row r="981" spans="1:20" hidden="1" x14ac:dyDescent="0.4">
      <c r="A981" s="1" t="s">
        <v>363</v>
      </c>
      <c r="B981" s="1" t="s">
        <v>1454</v>
      </c>
      <c r="C981" s="1" t="s">
        <v>1845</v>
      </c>
      <c r="D981" s="1" t="s">
        <v>1731</v>
      </c>
      <c r="E981">
        <v>20251202</v>
      </c>
      <c r="F981" s="1" t="s">
        <v>1470</v>
      </c>
      <c r="G981">
        <v>4</v>
      </c>
      <c r="H981" s="1" t="s">
        <v>1490</v>
      </c>
      <c r="I981" t="s">
        <v>1870</v>
      </c>
      <c r="J981" s="1" t="s">
        <v>1456</v>
      </c>
      <c r="K981" s="1" t="s">
        <v>1561</v>
      </c>
      <c r="L981" s="1" t="s">
        <v>1729</v>
      </c>
      <c r="M981" s="1" t="s">
        <v>1737</v>
      </c>
      <c r="N981" t="s">
        <v>1954</v>
      </c>
      <c r="O981" t="s">
        <v>2157</v>
      </c>
      <c r="P981" t="s">
        <v>2157</v>
      </c>
      <c r="Q981">
        <v>4</v>
      </c>
      <c r="R981" s="1" t="s">
        <v>1718</v>
      </c>
      <c r="S981">
        <v>15210</v>
      </c>
      <c r="T981">
        <v>60840</v>
      </c>
    </row>
    <row r="982" spans="1:20" hidden="1" x14ac:dyDescent="0.4">
      <c r="A982" s="1" t="s">
        <v>363</v>
      </c>
      <c r="B982" s="1" t="s">
        <v>1455</v>
      </c>
      <c r="C982" s="1" t="s">
        <v>1845</v>
      </c>
      <c r="D982" s="1" t="s">
        <v>1731</v>
      </c>
      <c r="E982">
        <v>20251202</v>
      </c>
      <c r="F982" s="1" t="s">
        <v>1470</v>
      </c>
      <c r="G982">
        <v>4</v>
      </c>
      <c r="H982" s="1" t="s">
        <v>1490</v>
      </c>
      <c r="I982" t="s">
        <v>1870</v>
      </c>
      <c r="J982" s="1" t="s">
        <v>1456</v>
      </c>
      <c r="K982" s="1" t="s">
        <v>1562</v>
      </c>
      <c r="L982" s="1" t="s">
        <v>1729</v>
      </c>
      <c r="M982" s="1" t="s">
        <v>1735</v>
      </c>
      <c r="N982" t="s">
        <v>1934</v>
      </c>
      <c r="O982" t="s">
        <v>2157</v>
      </c>
      <c r="P982" t="s">
        <v>3037</v>
      </c>
      <c r="Q982">
        <v>2</v>
      </c>
      <c r="R982" s="1" t="s">
        <v>1718</v>
      </c>
      <c r="S982">
        <v>16128</v>
      </c>
      <c r="T982">
        <v>32256</v>
      </c>
    </row>
    <row r="983" spans="1:20" hidden="1" x14ac:dyDescent="0.4">
      <c r="A983" s="1" t="s">
        <v>363</v>
      </c>
      <c r="B983" s="1" t="s">
        <v>1456</v>
      </c>
      <c r="C983" s="1" t="s">
        <v>1845</v>
      </c>
      <c r="D983" s="1" t="s">
        <v>1731</v>
      </c>
      <c r="E983">
        <v>20251202</v>
      </c>
      <c r="F983" s="1" t="s">
        <v>1470</v>
      </c>
      <c r="G983">
        <v>4</v>
      </c>
      <c r="H983" s="1" t="s">
        <v>1490</v>
      </c>
      <c r="I983" t="s">
        <v>1870</v>
      </c>
      <c r="J983" s="1" t="s">
        <v>1456</v>
      </c>
      <c r="K983" s="1" t="s">
        <v>1556</v>
      </c>
      <c r="L983" s="1" t="s">
        <v>1729</v>
      </c>
      <c r="M983" s="1" t="s">
        <v>1738</v>
      </c>
      <c r="N983" t="s">
        <v>1928</v>
      </c>
      <c r="O983" t="s">
        <v>2157</v>
      </c>
      <c r="P983" t="s">
        <v>3149</v>
      </c>
      <c r="Q983">
        <v>2</v>
      </c>
      <c r="R983" s="1" t="s">
        <v>1718</v>
      </c>
      <c r="S983">
        <v>5896</v>
      </c>
      <c r="T983">
        <v>11792</v>
      </c>
    </row>
    <row r="984" spans="1:20" hidden="1" x14ac:dyDescent="0.4">
      <c r="A984" s="1" t="s">
        <v>364</v>
      </c>
      <c r="B984" s="1" t="s">
        <v>1453</v>
      </c>
      <c r="C984" s="1" t="s">
        <v>1845</v>
      </c>
      <c r="D984" s="1" t="s">
        <v>1731</v>
      </c>
      <c r="E984">
        <v>20251202</v>
      </c>
      <c r="F984" s="1" t="s">
        <v>1470</v>
      </c>
      <c r="G984">
        <v>4</v>
      </c>
      <c r="H984" s="1" t="s">
        <v>1490</v>
      </c>
      <c r="I984" t="s">
        <v>1870</v>
      </c>
      <c r="J984" s="1" t="s">
        <v>1456</v>
      </c>
      <c r="K984" s="1" t="s">
        <v>1557</v>
      </c>
      <c r="L984" s="1" t="s">
        <v>1729</v>
      </c>
      <c r="M984" s="1" t="s">
        <v>1737</v>
      </c>
      <c r="N984" t="s">
        <v>1929</v>
      </c>
      <c r="O984" t="s">
        <v>2157</v>
      </c>
      <c r="P984" t="s">
        <v>2157</v>
      </c>
      <c r="Q984">
        <v>2</v>
      </c>
      <c r="R984" s="1" t="s">
        <v>1718</v>
      </c>
      <c r="S984">
        <v>4907</v>
      </c>
      <c r="T984">
        <v>9814</v>
      </c>
    </row>
    <row r="985" spans="1:20" hidden="1" x14ac:dyDescent="0.4">
      <c r="A985" s="1" t="s">
        <v>365</v>
      </c>
      <c r="B985" s="1" t="s">
        <v>1453</v>
      </c>
      <c r="C985" s="1" t="s">
        <v>1845</v>
      </c>
      <c r="D985" s="1" t="s">
        <v>1731</v>
      </c>
      <c r="E985">
        <v>20251202</v>
      </c>
      <c r="F985" s="1" t="s">
        <v>1470</v>
      </c>
      <c r="G985">
        <v>4</v>
      </c>
      <c r="H985" s="1" t="s">
        <v>1490</v>
      </c>
      <c r="I985" t="s">
        <v>1870</v>
      </c>
      <c r="J985" s="1" t="s">
        <v>1456</v>
      </c>
      <c r="K985" s="1" t="s">
        <v>1558</v>
      </c>
      <c r="L985" s="1" t="s">
        <v>1729</v>
      </c>
      <c r="M985" s="1" t="s">
        <v>1737</v>
      </c>
      <c r="N985" t="s">
        <v>1930</v>
      </c>
      <c r="O985" t="s">
        <v>2157</v>
      </c>
      <c r="P985" t="s">
        <v>2157</v>
      </c>
      <c r="Q985">
        <v>14</v>
      </c>
      <c r="R985" s="1" t="s">
        <v>1718</v>
      </c>
      <c r="S985">
        <v>14820.64</v>
      </c>
      <c r="T985">
        <v>207489</v>
      </c>
    </row>
    <row r="986" spans="1:20" hidden="1" x14ac:dyDescent="0.4">
      <c r="A986" s="1" t="s">
        <v>366</v>
      </c>
      <c r="B986" s="1" t="s">
        <v>1453</v>
      </c>
      <c r="C986" s="1" t="s">
        <v>1845</v>
      </c>
      <c r="D986" s="1" t="s">
        <v>1731</v>
      </c>
      <c r="E986">
        <v>20251202</v>
      </c>
      <c r="F986" s="1" t="s">
        <v>1470</v>
      </c>
      <c r="G986">
        <v>4</v>
      </c>
      <c r="H986" s="1" t="s">
        <v>1490</v>
      </c>
      <c r="I986" t="s">
        <v>1870</v>
      </c>
      <c r="J986" s="1" t="s">
        <v>1456</v>
      </c>
      <c r="K986" s="1" t="s">
        <v>1555</v>
      </c>
      <c r="L986" s="1" t="s">
        <v>1729</v>
      </c>
      <c r="M986" s="1" t="s">
        <v>1736</v>
      </c>
      <c r="N986" t="s">
        <v>1927</v>
      </c>
      <c r="O986" t="s">
        <v>2157</v>
      </c>
      <c r="P986" t="s">
        <v>3038</v>
      </c>
      <c r="Q986">
        <v>2</v>
      </c>
      <c r="R986" s="1" t="s">
        <v>1718</v>
      </c>
      <c r="S986">
        <v>5828</v>
      </c>
      <c r="T986">
        <v>11656</v>
      </c>
    </row>
    <row r="987" spans="1:20" hidden="1" x14ac:dyDescent="0.4">
      <c r="A987" s="1" t="s">
        <v>367</v>
      </c>
      <c r="B987" s="1" t="s">
        <v>1453</v>
      </c>
      <c r="C987" s="1" t="s">
        <v>1845</v>
      </c>
      <c r="D987" s="1" t="s">
        <v>1731</v>
      </c>
      <c r="E987">
        <v>20251202</v>
      </c>
      <c r="F987" s="1" t="s">
        <v>1470</v>
      </c>
      <c r="G987">
        <v>4</v>
      </c>
      <c r="H987" s="1" t="s">
        <v>1490</v>
      </c>
      <c r="I987" t="s">
        <v>1870</v>
      </c>
      <c r="J987" s="1" t="s">
        <v>1456</v>
      </c>
      <c r="K987" s="1" t="s">
        <v>1563</v>
      </c>
      <c r="L987" s="1" t="s">
        <v>1729</v>
      </c>
      <c r="M987" s="1" t="s">
        <v>1741</v>
      </c>
      <c r="N987" t="s">
        <v>1935</v>
      </c>
      <c r="O987" t="s">
        <v>2157</v>
      </c>
      <c r="P987" t="s">
        <v>3042</v>
      </c>
      <c r="Q987">
        <v>30</v>
      </c>
      <c r="R987" s="1" t="s">
        <v>1718</v>
      </c>
      <c r="S987">
        <v>9281</v>
      </c>
      <c r="T987">
        <v>278430</v>
      </c>
    </row>
    <row r="988" spans="1:20" hidden="1" x14ac:dyDescent="0.4">
      <c r="A988" s="1" t="s">
        <v>367</v>
      </c>
      <c r="B988" s="1" t="s">
        <v>1454</v>
      </c>
      <c r="C988" s="1" t="s">
        <v>1845</v>
      </c>
      <c r="D988" s="1" t="s">
        <v>1731</v>
      </c>
      <c r="E988">
        <v>20251202</v>
      </c>
      <c r="F988" s="1" t="s">
        <v>1470</v>
      </c>
      <c r="G988">
        <v>4</v>
      </c>
      <c r="H988" s="1" t="s">
        <v>1490</v>
      </c>
      <c r="I988" t="s">
        <v>1870</v>
      </c>
      <c r="J988" s="1" t="s">
        <v>1456</v>
      </c>
      <c r="K988" s="1" t="s">
        <v>1564</v>
      </c>
      <c r="L988" s="1" t="s">
        <v>1729</v>
      </c>
      <c r="M988" s="1" t="s">
        <v>1742</v>
      </c>
      <c r="N988" t="s">
        <v>1936</v>
      </c>
      <c r="O988" t="s">
        <v>2157</v>
      </c>
      <c r="P988" t="s">
        <v>3043</v>
      </c>
      <c r="Q988">
        <v>30</v>
      </c>
      <c r="R988" s="1" t="s">
        <v>1718</v>
      </c>
      <c r="S988">
        <v>15437</v>
      </c>
      <c r="T988">
        <v>463110</v>
      </c>
    </row>
    <row r="989" spans="1:20" hidden="1" x14ac:dyDescent="0.4">
      <c r="A989" s="1" t="s">
        <v>368</v>
      </c>
      <c r="B989" s="1" t="s">
        <v>1453</v>
      </c>
      <c r="C989" s="1" t="s">
        <v>1845</v>
      </c>
      <c r="D989" s="1" t="s">
        <v>1462</v>
      </c>
      <c r="E989">
        <v>20251202</v>
      </c>
      <c r="F989" s="1" t="s">
        <v>1472</v>
      </c>
      <c r="G989">
        <v>1</v>
      </c>
      <c r="H989" s="1" t="s">
        <v>1492</v>
      </c>
      <c r="I989" t="s">
        <v>1872</v>
      </c>
      <c r="J989" s="1" t="s">
        <v>1457</v>
      </c>
      <c r="K989" s="1" t="s">
        <v>1593</v>
      </c>
      <c r="L989" s="1" t="s">
        <v>1716</v>
      </c>
      <c r="M989" s="1" t="s">
        <v>1762</v>
      </c>
      <c r="N989" t="s">
        <v>1968</v>
      </c>
      <c r="O989" t="s">
        <v>2162</v>
      </c>
      <c r="P989" t="s">
        <v>3108</v>
      </c>
      <c r="Q989">
        <v>510.42</v>
      </c>
      <c r="R989" s="1" t="s">
        <v>1463</v>
      </c>
      <c r="S989">
        <v>1250</v>
      </c>
      <c r="T989">
        <v>638025</v>
      </c>
    </row>
    <row r="990" spans="1:20" hidden="1" x14ac:dyDescent="0.4">
      <c r="A990" s="1" t="s">
        <v>369</v>
      </c>
      <c r="B990" s="1" t="s">
        <v>1453</v>
      </c>
      <c r="C990" s="1" t="s">
        <v>1845</v>
      </c>
      <c r="D990" s="1" t="s">
        <v>1462</v>
      </c>
      <c r="E990">
        <v>20251202</v>
      </c>
      <c r="F990" s="1" t="s">
        <v>1472</v>
      </c>
      <c r="G990">
        <v>1</v>
      </c>
      <c r="H990" s="1" t="s">
        <v>1492</v>
      </c>
      <c r="I990" t="s">
        <v>1872</v>
      </c>
      <c r="J990" s="1" t="s">
        <v>1457</v>
      </c>
      <c r="K990" s="1" t="s">
        <v>1617</v>
      </c>
      <c r="L990" s="1" t="s">
        <v>1716</v>
      </c>
      <c r="M990" s="1" t="s">
        <v>1735</v>
      </c>
      <c r="N990" t="s">
        <v>1991</v>
      </c>
      <c r="O990" t="s">
        <v>2162</v>
      </c>
      <c r="P990" t="s">
        <v>3152</v>
      </c>
      <c r="Q990">
        <v>406.16</v>
      </c>
      <c r="R990" s="1" t="s">
        <v>1463</v>
      </c>
      <c r="S990">
        <v>1230</v>
      </c>
      <c r="T990">
        <v>499576</v>
      </c>
    </row>
    <row r="991" spans="1:20" hidden="1" x14ac:dyDescent="0.4">
      <c r="A991" s="1" t="s">
        <v>369</v>
      </c>
      <c r="B991" s="1" t="s">
        <v>1454</v>
      </c>
      <c r="C991" s="1" t="s">
        <v>1845</v>
      </c>
      <c r="D991" s="1" t="s">
        <v>1462</v>
      </c>
      <c r="E991">
        <v>20251202</v>
      </c>
      <c r="F991" s="1" t="s">
        <v>1472</v>
      </c>
      <c r="G991">
        <v>1</v>
      </c>
      <c r="H991" s="1" t="s">
        <v>1492</v>
      </c>
      <c r="I991" t="s">
        <v>1872</v>
      </c>
      <c r="J991" s="1" t="s">
        <v>1457</v>
      </c>
      <c r="K991" s="1" t="s">
        <v>1617</v>
      </c>
      <c r="L991" s="1" t="s">
        <v>1716</v>
      </c>
      <c r="M991" s="1" t="s">
        <v>1735</v>
      </c>
      <c r="N991" t="s">
        <v>1991</v>
      </c>
      <c r="O991" t="s">
        <v>2162</v>
      </c>
      <c r="P991" t="s">
        <v>3152</v>
      </c>
      <c r="Q991">
        <v>308.24</v>
      </c>
      <c r="R991" s="1" t="s">
        <v>1463</v>
      </c>
      <c r="S991">
        <v>1280</v>
      </c>
      <c r="T991">
        <v>394547</v>
      </c>
    </row>
    <row r="992" spans="1:20" hidden="1" x14ac:dyDescent="0.4">
      <c r="A992" s="1" t="s">
        <v>369</v>
      </c>
      <c r="B992" s="1" t="s">
        <v>1455</v>
      </c>
      <c r="C992" s="1" t="s">
        <v>1845</v>
      </c>
      <c r="D992" s="1" t="s">
        <v>1462</v>
      </c>
      <c r="E992">
        <v>20251202</v>
      </c>
      <c r="F992" s="1" t="s">
        <v>1472</v>
      </c>
      <c r="G992">
        <v>1</v>
      </c>
      <c r="H992" s="1" t="s">
        <v>1492</v>
      </c>
      <c r="I992" t="s">
        <v>1872</v>
      </c>
      <c r="J992" s="1" t="s">
        <v>1457</v>
      </c>
      <c r="K992" s="1" t="s">
        <v>1617</v>
      </c>
      <c r="L992" s="1" t="s">
        <v>1716</v>
      </c>
      <c r="M992" s="1" t="s">
        <v>1735</v>
      </c>
      <c r="N992" t="s">
        <v>1991</v>
      </c>
      <c r="O992" t="s">
        <v>2162</v>
      </c>
      <c r="P992" t="s">
        <v>3152</v>
      </c>
      <c r="Q992">
        <v>41.4</v>
      </c>
      <c r="R992" s="1" t="s">
        <v>1463</v>
      </c>
      <c r="S992">
        <v>1530</v>
      </c>
      <c r="T992">
        <v>63342</v>
      </c>
    </row>
    <row r="993" spans="1:20" hidden="1" x14ac:dyDescent="0.4">
      <c r="A993" s="1" t="s">
        <v>370</v>
      </c>
      <c r="B993" s="1" t="s">
        <v>1453</v>
      </c>
      <c r="C993" s="1" t="s">
        <v>1845</v>
      </c>
      <c r="D993" s="1" t="s">
        <v>1462</v>
      </c>
      <c r="E993">
        <v>20251202</v>
      </c>
      <c r="F993" s="1" t="s">
        <v>1473</v>
      </c>
      <c r="G993">
        <v>1</v>
      </c>
      <c r="H993" s="1" t="s">
        <v>1493</v>
      </c>
      <c r="I993" t="s">
        <v>1873</v>
      </c>
      <c r="J993" s="1" t="s">
        <v>1453</v>
      </c>
      <c r="K993" s="1" t="s">
        <v>1601</v>
      </c>
      <c r="L993" s="1" t="s">
        <v>1716</v>
      </c>
      <c r="M993" s="1" t="s">
        <v>1767</v>
      </c>
      <c r="N993" t="s">
        <v>1976</v>
      </c>
      <c r="O993" t="s">
        <v>2162</v>
      </c>
      <c r="P993" t="s">
        <v>3085</v>
      </c>
      <c r="Q993">
        <v>2317</v>
      </c>
      <c r="R993" s="1" t="s">
        <v>1463</v>
      </c>
      <c r="S993">
        <v>560</v>
      </c>
      <c r="T993">
        <v>1297520</v>
      </c>
    </row>
    <row r="994" spans="1:20" hidden="1" x14ac:dyDescent="0.4">
      <c r="A994" s="1" t="s">
        <v>370</v>
      </c>
      <c r="B994" s="1" t="s">
        <v>1454</v>
      </c>
      <c r="C994" s="1" t="s">
        <v>1845</v>
      </c>
      <c r="D994" s="1" t="s">
        <v>1462</v>
      </c>
      <c r="E994">
        <v>20251202</v>
      </c>
      <c r="F994" s="1" t="s">
        <v>1473</v>
      </c>
      <c r="G994">
        <v>1</v>
      </c>
      <c r="H994" s="1" t="s">
        <v>1493</v>
      </c>
      <c r="I994" t="s">
        <v>1873</v>
      </c>
      <c r="J994" s="1" t="s">
        <v>1453</v>
      </c>
      <c r="K994" s="1" t="s">
        <v>1582</v>
      </c>
      <c r="L994" s="1" t="s">
        <v>1716</v>
      </c>
      <c r="M994" s="1" t="s">
        <v>1776</v>
      </c>
      <c r="N994" t="s">
        <v>1957</v>
      </c>
      <c r="O994" t="s">
        <v>2162</v>
      </c>
      <c r="P994" t="s">
        <v>3109</v>
      </c>
      <c r="Q994">
        <v>749.45</v>
      </c>
      <c r="R994" s="1" t="s">
        <v>1463</v>
      </c>
      <c r="S994">
        <v>995</v>
      </c>
      <c r="T994">
        <v>745702</v>
      </c>
    </row>
    <row r="995" spans="1:20" hidden="1" x14ac:dyDescent="0.4">
      <c r="A995" s="1" t="s">
        <v>371</v>
      </c>
      <c r="B995" s="1" t="s">
        <v>1453</v>
      </c>
      <c r="C995" s="1" t="s">
        <v>1845</v>
      </c>
      <c r="D995" s="1" t="s">
        <v>1731</v>
      </c>
      <c r="E995">
        <v>20251203</v>
      </c>
      <c r="F995" s="1" t="s">
        <v>1470</v>
      </c>
      <c r="G995">
        <v>4</v>
      </c>
      <c r="H995" s="1" t="s">
        <v>1490</v>
      </c>
      <c r="I995" t="s">
        <v>1870</v>
      </c>
      <c r="J995" s="1" t="s">
        <v>1456</v>
      </c>
      <c r="K995" s="1" t="s">
        <v>1553</v>
      </c>
      <c r="L995" s="1" t="s">
        <v>1729</v>
      </c>
      <c r="M995" s="1" t="s">
        <v>1736</v>
      </c>
      <c r="N995" t="s">
        <v>1925</v>
      </c>
      <c r="O995" t="s">
        <v>2157</v>
      </c>
      <c r="P995" t="s">
        <v>3038</v>
      </c>
      <c r="Q995">
        <v>1</v>
      </c>
      <c r="R995" s="1" t="s">
        <v>1718</v>
      </c>
      <c r="S995">
        <v>7423</v>
      </c>
      <c r="T995">
        <v>7423</v>
      </c>
    </row>
    <row r="996" spans="1:20" hidden="1" x14ac:dyDescent="0.4">
      <c r="A996" s="1" t="s">
        <v>371</v>
      </c>
      <c r="B996" s="1" t="s">
        <v>1454</v>
      </c>
      <c r="C996" s="1" t="s">
        <v>1845</v>
      </c>
      <c r="D996" s="1" t="s">
        <v>1731</v>
      </c>
      <c r="E996">
        <v>20251203</v>
      </c>
      <c r="F996" s="1" t="s">
        <v>1470</v>
      </c>
      <c r="G996">
        <v>4</v>
      </c>
      <c r="H996" s="1" t="s">
        <v>1490</v>
      </c>
      <c r="I996" t="s">
        <v>1870</v>
      </c>
      <c r="J996" s="1" t="s">
        <v>1456</v>
      </c>
      <c r="K996" s="1" t="s">
        <v>1553</v>
      </c>
      <c r="L996" s="1" t="s">
        <v>1729</v>
      </c>
      <c r="M996" s="1" t="s">
        <v>1736</v>
      </c>
      <c r="N996" t="s">
        <v>1925</v>
      </c>
      <c r="O996" t="s">
        <v>2157</v>
      </c>
      <c r="P996" t="s">
        <v>3038</v>
      </c>
      <c r="Q996">
        <v>3</v>
      </c>
      <c r="R996" s="1" t="s">
        <v>1718</v>
      </c>
      <c r="S996">
        <v>2859</v>
      </c>
      <c r="T996">
        <v>8577</v>
      </c>
    </row>
    <row r="997" spans="1:20" hidden="1" x14ac:dyDescent="0.4">
      <c r="A997" s="1" t="s">
        <v>371</v>
      </c>
      <c r="B997" s="1" t="s">
        <v>1455</v>
      </c>
      <c r="C997" s="1" t="s">
        <v>1845</v>
      </c>
      <c r="D997" s="1" t="s">
        <v>1731</v>
      </c>
      <c r="E997">
        <v>20251203</v>
      </c>
      <c r="F997" s="1" t="s">
        <v>1470</v>
      </c>
      <c r="G997">
        <v>4</v>
      </c>
      <c r="H997" s="1" t="s">
        <v>1490</v>
      </c>
      <c r="I997" t="s">
        <v>1870</v>
      </c>
      <c r="J997" s="1" t="s">
        <v>1456</v>
      </c>
      <c r="K997" s="1" t="s">
        <v>1553</v>
      </c>
      <c r="L997" s="1" t="s">
        <v>1729</v>
      </c>
      <c r="M997" s="1" t="s">
        <v>1740</v>
      </c>
      <c r="N997" t="s">
        <v>1925</v>
      </c>
      <c r="O997" t="s">
        <v>2157</v>
      </c>
      <c r="P997" t="s">
        <v>3041</v>
      </c>
      <c r="Q997">
        <v>1</v>
      </c>
      <c r="R997" s="1" t="s">
        <v>1718</v>
      </c>
      <c r="S997">
        <v>4644</v>
      </c>
      <c r="T997">
        <v>4644</v>
      </c>
    </row>
    <row r="998" spans="1:20" hidden="1" x14ac:dyDescent="0.4">
      <c r="A998" s="1" t="s">
        <v>371</v>
      </c>
      <c r="B998" s="1" t="s">
        <v>1456</v>
      </c>
      <c r="C998" s="1" t="s">
        <v>1845</v>
      </c>
      <c r="D998" s="1" t="s">
        <v>1731</v>
      </c>
      <c r="E998">
        <v>20251203</v>
      </c>
      <c r="F998" s="1" t="s">
        <v>1470</v>
      </c>
      <c r="G998">
        <v>4</v>
      </c>
      <c r="H998" s="1" t="s">
        <v>1490</v>
      </c>
      <c r="I998" t="s">
        <v>1870</v>
      </c>
      <c r="J998" s="1" t="s">
        <v>1456</v>
      </c>
      <c r="K998" s="1" t="s">
        <v>1554</v>
      </c>
      <c r="L998" s="1" t="s">
        <v>1729</v>
      </c>
      <c r="M998" s="1" t="s">
        <v>1737</v>
      </c>
      <c r="N998" t="s">
        <v>1926</v>
      </c>
      <c r="O998" t="s">
        <v>2157</v>
      </c>
      <c r="P998" t="s">
        <v>2157</v>
      </c>
      <c r="Q998">
        <v>25</v>
      </c>
      <c r="R998" s="1" t="s">
        <v>1718</v>
      </c>
      <c r="S998">
        <v>12663.32</v>
      </c>
      <c r="T998">
        <v>316583</v>
      </c>
    </row>
    <row r="999" spans="1:20" hidden="1" x14ac:dyDescent="0.4">
      <c r="A999" s="1" t="s">
        <v>372</v>
      </c>
      <c r="B999" s="1" t="s">
        <v>1453</v>
      </c>
      <c r="C999" s="1" t="s">
        <v>1845</v>
      </c>
      <c r="D999" s="1" t="s">
        <v>1731</v>
      </c>
      <c r="E999">
        <v>20251203</v>
      </c>
      <c r="F999" s="1" t="s">
        <v>1470</v>
      </c>
      <c r="G999">
        <v>4</v>
      </c>
      <c r="H999" s="1" t="s">
        <v>1490</v>
      </c>
      <c r="I999" t="s">
        <v>1870</v>
      </c>
      <c r="J999" s="1" t="s">
        <v>1456</v>
      </c>
      <c r="K999" s="1" t="s">
        <v>1557</v>
      </c>
      <c r="L999" s="1" t="s">
        <v>1729</v>
      </c>
      <c r="M999" s="1" t="s">
        <v>1737</v>
      </c>
      <c r="N999" t="s">
        <v>1929</v>
      </c>
      <c r="O999" t="s">
        <v>2157</v>
      </c>
      <c r="P999" t="s">
        <v>2157</v>
      </c>
      <c r="Q999">
        <v>6</v>
      </c>
      <c r="R999" s="1" t="s">
        <v>1718</v>
      </c>
      <c r="S999">
        <v>33365</v>
      </c>
      <c r="T999">
        <v>200190</v>
      </c>
    </row>
    <row r="1000" spans="1:20" hidden="1" x14ac:dyDescent="0.4">
      <c r="A1000" s="1" t="s">
        <v>373</v>
      </c>
      <c r="B1000" s="1" t="s">
        <v>1453</v>
      </c>
      <c r="C1000" s="1" t="s">
        <v>1845</v>
      </c>
      <c r="D1000" s="1" t="s">
        <v>1731</v>
      </c>
      <c r="E1000">
        <v>20251203</v>
      </c>
      <c r="F1000" s="1" t="s">
        <v>1470</v>
      </c>
      <c r="G1000">
        <v>4</v>
      </c>
      <c r="H1000" s="1" t="s">
        <v>1490</v>
      </c>
      <c r="I1000" t="s">
        <v>1870</v>
      </c>
      <c r="J1000" s="1" t="s">
        <v>1456</v>
      </c>
      <c r="K1000" s="1" t="s">
        <v>1558</v>
      </c>
      <c r="L1000" s="1" t="s">
        <v>1729</v>
      </c>
      <c r="M1000" s="1" t="s">
        <v>1737</v>
      </c>
      <c r="N1000" t="s">
        <v>1930</v>
      </c>
      <c r="O1000" t="s">
        <v>2157</v>
      </c>
      <c r="P1000" t="s">
        <v>2157</v>
      </c>
      <c r="Q1000">
        <v>4</v>
      </c>
      <c r="R1000" s="1" t="s">
        <v>1718</v>
      </c>
      <c r="S1000">
        <v>8426</v>
      </c>
      <c r="T1000">
        <v>33704</v>
      </c>
    </row>
    <row r="1001" spans="1:20" hidden="1" x14ac:dyDescent="0.4">
      <c r="A1001" s="1" t="s">
        <v>374</v>
      </c>
      <c r="B1001" s="1" t="s">
        <v>1453</v>
      </c>
      <c r="C1001" s="1" t="s">
        <v>1845</v>
      </c>
      <c r="D1001" s="1" t="s">
        <v>1731</v>
      </c>
      <c r="E1001">
        <v>20251202</v>
      </c>
      <c r="F1001" s="1" t="s">
        <v>1473</v>
      </c>
      <c r="G1001">
        <v>4</v>
      </c>
      <c r="H1001" s="1" t="s">
        <v>1494</v>
      </c>
      <c r="I1001" t="s">
        <v>1874</v>
      </c>
      <c r="J1001" s="1" t="s">
        <v>1453</v>
      </c>
      <c r="K1001" s="1" t="s">
        <v>1582</v>
      </c>
      <c r="L1001" s="1" t="s">
        <v>1718</v>
      </c>
      <c r="M1001" s="1" t="s">
        <v>1750</v>
      </c>
      <c r="N1001" t="s">
        <v>1957</v>
      </c>
      <c r="O1001" t="s">
        <v>2164</v>
      </c>
      <c r="P1001" t="s">
        <v>3063</v>
      </c>
      <c r="Q1001">
        <v>109.92</v>
      </c>
      <c r="R1001" s="1" t="s">
        <v>1839</v>
      </c>
      <c r="S1001">
        <v>1480.99</v>
      </c>
      <c r="T1001">
        <v>162791</v>
      </c>
    </row>
    <row r="1002" spans="1:20" hidden="1" x14ac:dyDescent="0.4">
      <c r="A1002" s="1" t="s">
        <v>374</v>
      </c>
      <c r="B1002" s="1" t="s">
        <v>1454</v>
      </c>
      <c r="C1002" s="1" t="s">
        <v>1845</v>
      </c>
      <c r="D1002" s="1" t="s">
        <v>1731</v>
      </c>
      <c r="E1002">
        <v>20251202</v>
      </c>
      <c r="F1002" s="1" t="s">
        <v>1473</v>
      </c>
      <c r="G1002">
        <v>4</v>
      </c>
      <c r="H1002" s="1" t="s">
        <v>1494</v>
      </c>
      <c r="I1002" t="s">
        <v>1874</v>
      </c>
      <c r="J1002" s="1" t="s">
        <v>1453</v>
      </c>
      <c r="K1002" s="1" t="s">
        <v>1582</v>
      </c>
      <c r="L1002" s="1" t="s">
        <v>1718</v>
      </c>
      <c r="M1002" s="1" t="s">
        <v>1750</v>
      </c>
      <c r="N1002" t="s">
        <v>1957</v>
      </c>
      <c r="O1002" t="s">
        <v>2164</v>
      </c>
      <c r="P1002" t="s">
        <v>3063</v>
      </c>
      <c r="Q1002">
        <v>99</v>
      </c>
      <c r="R1002" s="1" t="s">
        <v>1839</v>
      </c>
      <c r="S1002">
        <v>1481</v>
      </c>
      <c r="T1002">
        <v>146619</v>
      </c>
    </row>
    <row r="1003" spans="1:20" hidden="1" x14ac:dyDescent="0.4">
      <c r="A1003" s="1" t="s">
        <v>374</v>
      </c>
      <c r="B1003" s="1" t="s">
        <v>1455</v>
      </c>
      <c r="C1003" s="1" t="s">
        <v>1845</v>
      </c>
      <c r="D1003" s="1" t="s">
        <v>1731</v>
      </c>
      <c r="E1003">
        <v>20251202</v>
      </c>
      <c r="F1003" s="1" t="s">
        <v>1473</v>
      </c>
      <c r="G1003">
        <v>4</v>
      </c>
      <c r="H1003" s="1" t="s">
        <v>1494</v>
      </c>
      <c r="I1003" t="s">
        <v>1874</v>
      </c>
      <c r="J1003" s="1" t="s">
        <v>1453</v>
      </c>
      <c r="K1003" s="1" t="s">
        <v>1582</v>
      </c>
      <c r="L1003" s="1" t="s">
        <v>1718</v>
      </c>
      <c r="M1003" s="1" t="s">
        <v>1750</v>
      </c>
      <c r="N1003" t="s">
        <v>1957</v>
      </c>
      <c r="O1003" t="s">
        <v>2164</v>
      </c>
      <c r="P1003" t="s">
        <v>3063</v>
      </c>
      <c r="Q1003">
        <v>111.02</v>
      </c>
      <c r="R1003" s="1" t="s">
        <v>1839</v>
      </c>
      <c r="S1003">
        <v>1480.99</v>
      </c>
      <c r="T1003">
        <v>164420</v>
      </c>
    </row>
    <row r="1004" spans="1:20" hidden="1" x14ac:dyDescent="0.4">
      <c r="A1004" s="1" t="s">
        <v>374</v>
      </c>
      <c r="B1004" s="1" t="s">
        <v>1456</v>
      </c>
      <c r="C1004" s="1" t="s">
        <v>1845</v>
      </c>
      <c r="D1004" s="1" t="s">
        <v>1731</v>
      </c>
      <c r="E1004">
        <v>20251202</v>
      </c>
      <c r="F1004" s="1" t="s">
        <v>1473</v>
      </c>
      <c r="G1004">
        <v>4</v>
      </c>
      <c r="H1004" s="1" t="s">
        <v>1494</v>
      </c>
      <c r="I1004" t="s">
        <v>1874</v>
      </c>
      <c r="J1004" s="1" t="s">
        <v>1453</v>
      </c>
      <c r="K1004" s="1" t="s">
        <v>1582</v>
      </c>
      <c r="L1004" s="1" t="s">
        <v>1718</v>
      </c>
      <c r="M1004" s="1" t="s">
        <v>1750</v>
      </c>
      <c r="N1004" t="s">
        <v>1957</v>
      </c>
      <c r="O1004" t="s">
        <v>2164</v>
      </c>
      <c r="P1004" t="s">
        <v>3063</v>
      </c>
      <c r="Q1004">
        <v>72.8</v>
      </c>
      <c r="R1004" s="1" t="s">
        <v>1839</v>
      </c>
      <c r="S1004">
        <v>1480.98</v>
      </c>
      <c r="T1004">
        <v>107816</v>
      </c>
    </row>
    <row r="1005" spans="1:20" hidden="1" x14ac:dyDescent="0.4">
      <c r="A1005" s="1" t="s">
        <v>374</v>
      </c>
      <c r="B1005" s="1" t="s">
        <v>1457</v>
      </c>
      <c r="C1005" s="1" t="s">
        <v>1845</v>
      </c>
      <c r="D1005" s="1" t="s">
        <v>1731</v>
      </c>
      <c r="E1005">
        <v>20251202</v>
      </c>
      <c r="F1005" s="1" t="s">
        <v>1473</v>
      </c>
      <c r="G1005">
        <v>4</v>
      </c>
      <c r="H1005" s="1" t="s">
        <v>1494</v>
      </c>
      <c r="I1005" t="s">
        <v>1874</v>
      </c>
      <c r="J1005" s="1" t="s">
        <v>1453</v>
      </c>
      <c r="K1005" s="1" t="s">
        <v>1582</v>
      </c>
      <c r="L1005" s="1" t="s">
        <v>1718</v>
      </c>
      <c r="M1005" s="1" t="s">
        <v>1750</v>
      </c>
      <c r="N1005" t="s">
        <v>1957</v>
      </c>
      <c r="O1005" t="s">
        <v>2164</v>
      </c>
      <c r="P1005" t="s">
        <v>3063</v>
      </c>
      <c r="Q1005">
        <v>107.38</v>
      </c>
      <c r="R1005" s="1" t="s">
        <v>1839</v>
      </c>
      <c r="S1005">
        <v>1480.99</v>
      </c>
      <c r="T1005">
        <v>159029</v>
      </c>
    </row>
    <row r="1006" spans="1:20" hidden="1" x14ac:dyDescent="0.4">
      <c r="A1006" s="1" t="s">
        <v>375</v>
      </c>
      <c r="B1006" s="1" t="s">
        <v>1453</v>
      </c>
      <c r="C1006" s="1" t="s">
        <v>1845</v>
      </c>
      <c r="D1006" s="1" t="s">
        <v>1462</v>
      </c>
      <c r="E1006">
        <v>20251201</v>
      </c>
      <c r="F1006" s="1" t="s">
        <v>1472</v>
      </c>
      <c r="G1006">
        <v>4</v>
      </c>
      <c r="H1006" s="1" t="s">
        <v>1495</v>
      </c>
      <c r="I1006" t="s">
        <v>1875</v>
      </c>
      <c r="J1006" s="1" t="s">
        <v>1457</v>
      </c>
      <c r="K1006" s="1" t="s">
        <v>1643</v>
      </c>
      <c r="L1006" s="1" t="s">
        <v>1725</v>
      </c>
      <c r="M1006" s="1" t="s">
        <v>1737</v>
      </c>
      <c r="N1006" t="s">
        <v>2024</v>
      </c>
      <c r="O1006" t="s">
        <v>2176</v>
      </c>
      <c r="P1006" t="s">
        <v>3153</v>
      </c>
      <c r="Q1006">
        <v>1</v>
      </c>
      <c r="R1006" s="1" t="s">
        <v>1839</v>
      </c>
      <c r="S1006">
        <v>46638</v>
      </c>
      <c r="T1006">
        <v>46638</v>
      </c>
    </row>
    <row r="1007" spans="1:20" hidden="1" x14ac:dyDescent="0.4">
      <c r="A1007" s="1" t="s">
        <v>376</v>
      </c>
      <c r="B1007" s="1" t="s">
        <v>1453</v>
      </c>
      <c r="C1007" s="1" t="s">
        <v>1845</v>
      </c>
      <c r="D1007" s="1" t="s">
        <v>1463</v>
      </c>
      <c r="E1007">
        <v>20251201</v>
      </c>
      <c r="F1007" s="1" t="s">
        <v>1472</v>
      </c>
      <c r="G1007">
        <v>4</v>
      </c>
      <c r="H1007" s="1" t="s">
        <v>1495</v>
      </c>
      <c r="I1007" t="s">
        <v>1875</v>
      </c>
      <c r="J1007" s="1" t="s">
        <v>1457</v>
      </c>
      <c r="K1007" s="1" t="s">
        <v>1643</v>
      </c>
      <c r="L1007" s="1" t="s">
        <v>1725</v>
      </c>
      <c r="M1007" s="1" t="s">
        <v>1737</v>
      </c>
      <c r="N1007" t="s">
        <v>2025</v>
      </c>
      <c r="O1007" t="s">
        <v>2177</v>
      </c>
      <c r="P1007" t="s">
        <v>3153</v>
      </c>
      <c r="Q1007">
        <v>1</v>
      </c>
      <c r="R1007" s="1" t="s">
        <v>1839</v>
      </c>
      <c r="S1007">
        <v>1654</v>
      </c>
      <c r="T1007">
        <v>1654</v>
      </c>
    </row>
    <row r="1008" spans="1:20" hidden="1" x14ac:dyDescent="0.4">
      <c r="A1008" s="1" t="s">
        <v>377</v>
      </c>
      <c r="B1008" s="1" t="s">
        <v>1453</v>
      </c>
      <c r="C1008" s="1" t="s">
        <v>1845</v>
      </c>
      <c r="D1008" s="1" t="s">
        <v>1462</v>
      </c>
      <c r="E1008">
        <v>20251202</v>
      </c>
      <c r="F1008" s="1" t="s">
        <v>1473</v>
      </c>
      <c r="G1008">
        <v>1</v>
      </c>
      <c r="H1008" s="1" t="s">
        <v>1493</v>
      </c>
      <c r="I1008" t="s">
        <v>1873</v>
      </c>
      <c r="J1008" s="1" t="s">
        <v>1453</v>
      </c>
      <c r="K1008" s="1" t="s">
        <v>1598</v>
      </c>
      <c r="L1008" s="1" t="s">
        <v>1716</v>
      </c>
      <c r="M1008" s="1" t="s">
        <v>1765</v>
      </c>
      <c r="N1008" t="s">
        <v>1973</v>
      </c>
      <c r="O1008" t="s">
        <v>2162</v>
      </c>
      <c r="P1008" t="s">
        <v>3084</v>
      </c>
      <c r="Q1008">
        <v>1169.3</v>
      </c>
      <c r="R1008" s="1" t="s">
        <v>1463</v>
      </c>
      <c r="S1008">
        <v>1450</v>
      </c>
      <c r="T1008">
        <v>1695485</v>
      </c>
    </row>
    <row r="1009" spans="1:20" hidden="1" x14ac:dyDescent="0.4">
      <c r="A1009" s="1" t="s">
        <v>378</v>
      </c>
      <c r="B1009" s="1" t="s">
        <v>1453</v>
      </c>
      <c r="C1009" s="1" t="s">
        <v>1845</v>
      </c>
      <c r="D1009" s="1" t="s">
        <v>1731</v>
      </c>
      <c r="E1009">
        <v>20251204</v>
      </c>
      <c r="F1009" s="1" t="s">
        <v>1470</v>
      </c>
      <c r="G1009">
        <v>4</v>
      </c>
      <c r="H1009" s="1" t="s">
        <v>1490</v>
      </c>
      <c r="I1009" t="s">
        <v>1870</v>
      </c>
      <c r="J1009" s="1" t="s">
        <v>1456</v>
      </c>
      <c r="K1009" s="1" t="s">
        <v>1553</v>
      </c>
      <c r="L1009" s="1" t="s">
        <v>1729</v>
      </c>
      <c r="M1009" s="1" t="s">
        <v>1736</v>
      </c>
      <c r="N1009" t="s">
        <v>1925</v>
      </c>
      <c r="O1009" t="s">
        <v>2157</v>
      </c>
      <c r="P1009" t="s">
        <v>3038</v>
      </c>
      <c r="Q1009">
        <v>2</v>
      </c>
      <c r="R1009" s="1" t="s">
        <v>1718</v>
      </c>
      <c r="S1009">
        <v>13461</v>
      </c>
      <c r="T1009">
        <v>26922</v>
      </c>
    </row>
    <row r="1010" spans="1:20" hidden="1" x14ac:dyDescent="0.4">
      <c r="A1010" s="1" t="s">
        <v>378</v>
      </c>
      <c r="B1010" s="1" t="s">
        <v>1454</v>
      </c>
      <c r="C1010" s="1" t="s">
        <v>1845</v>
      </c>
      <c r="D1010" s="1" t="s">
        <v>1731</v>
      </c>
      <c r="E1010">
        <v>20251204</v>
      </c>
      <c r="F1010" s="1" t="s">
        <v>1470</v>
      </c>
      <c r="G1010">
        <v>4</v>
      </c>
      <c r="H1010" s="1" t="s">
        <v>1490</v>
      </c>
      <c r="I1010" t="s">
        <v>1870</v>
      </c>
      <c r="J1010" s="1" t="s">
        <v>1456</v>
      </c>
      <c r="K1010" s="1" t="s">
        <v>1554</v>
      </c>
      <c r="L1010" s="1" t="s">
        <v>1729</v>
      </c>
      <c r="M1010" s="1" t="s">
        <v>1737</v>
      </c>
      <c r="N1010" t="s">
        <v>1926</v>
      </c>
      <c r="O1010" t="s">
        <v>2157</v>
      </c>
      <c r="P1010" t="s">
        <v>2157</v>
      </c>
      <c r="Q1010">
        <v>10</v>
      </c>
      <c r="R1010" s="1" t="s">
        <v>1718</v>
      </c>
      <c r="S1010">
        <v>7655</v>
      </c>
      <c r="T1010">
        <v>76550</v>
      </c>
    </row>
    <row r="1011" spans="1:20" hidden="1" x14ac:dyDescent="0.4">
      <c r="A1011" s="1" t="s">
        <v>379</v>
      </c>
      <c r="B1011" s="1" t="s">
        <v>1453</v>
      </c>
      <c r="C1011" s="1" t="s">
        <v>1845</v>
      </c>
      <c r="D1011" s="1" t="s">
        <v>1731</v>
      </c>
      <c r="E1011">
        <v>20251204</v>
      </c>
      <c r="F1011" s="1" t="s">
        <v>1470</v>
      </c>
      <c r="G1011">
        <v>4</v>
      </c>
      <c r="H1011" s="1" t="s">
        <v>1490</v>
      </c>
      <c r="I1011" t="s">
        <v>1870</v>
      </c>
      <c r="J1011" s="1" t="s">
        <v>1456</v>
      </c>
      <c r="K1011" s="1" t="s">
        <v>1560</v>
      </c>
      <c r="L1011" s="1" t="s">
        <v>1729</v>
      </c>
      <c r="M1011" s="1" t="s">
        <v>1740</v>
      </c>
      <c r="N1011" t="s">
        <v>1932</v>
      </c>
      <c r="O1011" t="s">
        <v>2157</v>
      </c>
      <c r="P1011" t="s">
        <v>3041</v>
      </c>
      <c r="Q1011">
        <v>4</v>
      </c>
      <c r="R1011" s="1" t="s">
        <v>1718</v>
      </c>
      <c r="S1011">
        <v>21986</v>
      </c>
      <c r="T1011">
        <v>87944</v>
      </c>
    </row>
    <row r="1012" spans="1:20" hidden="1" x14ac:dyDescent="0.4">
      <c r="A1012" s="1" t="s">
        <v>379</v>
      </c>
      <c r="B1012" s="1" t="s">
        <v>1454</v>
      </c>
      <c r="C1012" s="1" t="s">
        <v>1845</v>
      </c>
      <c r="D1012" s="1" t="s">
        <v>1731</v>
      </c>
      <c r="E1012">
        <v>20251204</v>
      </c>
      <c r="F1012" s="1" t="s">
        <v>1470</v>
      </c>
      <c r="G1012">
        <v>4</v>
      </c>
      <c r="H1012" s="1" t="s">
        <v>1490</v>
      </c>
      <c r="I1012" t="s">
        <v>1870</v>
      </c>
      <c r="J1012" s="1" t="s">
        <v>1456</v>
      </c>
      <c r="K1012" s="1" t="s">
        <v>1561</v>
      </c>
      <c r="L1012" s="1" t="s">
        <v>1729</v>
      </c>
      <c r="M1012" s="1" t="s">
        <v>1737</v>
      </c>
      <c r="N1012" t="s">
        <v>1954</v>
      </c>
      <c r="O1012" t="s">
        <v>2157</v>
      </c>
      <c r="P1012" t="s">
        <v>2157</v>
      </c>
      <c r="Q1012">
        <v>3</v>
      </c>
      <c r="R1012" s="1" t="s">
        <v>1718</v>
      </c>
      <c r="S1012">
        <v>13827.66</v>
      </c>
      <c r="T1012">
        <v>41483</v>
      </c>
    </row>
    <row r="1013" spans="1:20" hidden="1" x14ac:dyDescent="0.4">
      <c r="A1013" s="1" t="s">
        <v>379</v>
      </c>
      <c r="B1013" s="1" t="s">
        <v>1455</v>
      </c>
      <c r="C1013" s="1" t="s">
        <v>1845</v>
      </c>
      <c r="D1013" s="1" t="s">
        <v>1731</v>
      </c>
      <c r="E1013">
        <v>20251204</v>
      </c>
      <c r="F1013" s="1" t="s">
        <v>1470</v>
      </c>
      <c r="G1013">
        <v>4</v>
      </c>
      <c r="H1013" s="1" t="s">
        <v>1490</v>
      </c>
      <c r="I1013" t="s">
        <v>1870</v>
      </c>
      <c r="J1013" s="1" t="s">
        <v>1456</v>
      </c>
      <c r="K1013" s="1" t="s">
        <v>1565</v>
      </c>
      <c r="L1013" s="1" t="s">
        <v>1729</v>
      </c>
      <c r="M1013" s="1" t="s">
        <v>1743</v>
      </c>
      <c r="N1013" t="s">
        <v>1937</v>
      </c>
      <c r="O1013" t="s">
        <v>2157</v>
      </c>
      <c r="P1013" t="s">
        <v>3154</v>
      </c>
      <c r="Q1013">
        <v>2</v>
      </c>
      <c r="R1013" s="1" t="s">
        <v>1718</v>
      </c>
      <c r="S1013">
        <v>10267</v>
      </c>
      <c r="T1013">
        <v>20534</v>
      </c>
    </row>
    <row r="1014" spans="1:20" hidden="1" x14ac:dyDescent="0.4">
      <c r="A1014" s="1" t="s">
        <v>380</v>
      </c>
      <c r="B1014" s="1" t="s">
        <v>1453</v>
      </c>
      <c r="C1014" s="1" t="s">
        <v>1845</v>
      </c>
      <c r="D1014" s="1" t="s">
        <v>1731</v>
      </c>
      <c r="E1014">
        <v>20251204</v>
      </c>
      <c r="F1014" s="1" t="s">
        <v>1470</v>
      </c>
      <c r="G1014">
        <v>4</v>
      </c>
      <c r="H1014" s="1" t="s">
        <v>1490</v>
      </c>
      <c r="I1014" t="s">
        <v>1870</v>
      </c>
      <c r="J1014" s="1" t="s">
        <v>1456</v>
      </c>
      <c r="K1014" s="1" t="s">
        <v>1557</v>
      </c>
      <c r="L1014" s="1" t="s">
        <v>1729</v>
      </c>
      <c r="M1014" s="1" t="s">
        <v>1737</v>
      </c>
      <c r="N1014" t="s">
        <v>1929</v>
      </c>
      <c r="O1014" t="s">
        <v>2157</v>
      </c>
      <c r="P1014" t="s">
        <v>2157</v>
      </c>
      <c r="Q1014">
        <v>2</v>
      </c>
      <c r="R1014" s="1" t="s">
        <v>1718</v>
      </c>
      <c r="S1014">
        <v>9734</v>
      </c>
      <c r="T1014">
        <v>19468</v>
      </c>
    </row>
    <row r="1015" spans="1:20" hidden="1" x14ac:dyDescent="0.4">
      <c r="A1015" s="1" t="s">
        <v>381</v>
      </c>
      <c r="B1015" s="1" t="s">
        <v>1453</v>
      </c>
      <c r="C1015" s="1" t="s">
        <v>1845</v>
      </c>
      <c r="D1015" s="1" t="s">
        <v>1731</v>
      </c>
      <c r="E1015">
        <v>20251204</v>
      </c>
      <c r="F1015" s="1" t="s">
        <v>1470</v>
      </c>
      <c r="G1015">
        <v>4</v>
      </c>
      <c r="H1015" s="1" t="s">
        <v>1490</v>
      </c>
      <c r="I1015" t="s">
        <v>1870</v>
      </c>
      <c r="J1015" s="1" t="s">
        <v>1456</v>
      </c>
      <c r="K1015" s="1" t="s">
        <v>1558</v>
      </c>
      <c r="L1015" s="1" t="s">
        <v>1729</v>
      </c>
      <c r="M1015" s="1" t="s">
        <v>1737</v>
      </c>
      <c r="N1015" t="s">
        <v>1930</v>
      </c>
      <c r="O1015" t="s">
        <v>2157</v>
      </c>
      <c r="P1015" t="s">
        <v>2157</v>
      </c>
      <c r="Q1015">
        <v>8</v>
      </c>
      <c r="R1015" s="1" t="s">
        <v>1718</v>
      </c>
      <c r="S1015">
        <v>16735</v>
      </c>
      <c r="T1015">
        <v>133880</v>
      </c>
    </row>
    <row r="1016" spans="1:20" hidden="1" x14ac:dyDescent="0.4">
      <c r="A1016" s="1" t="s">
        <v>382</v>
      </c>
      <c r="B1016" s="1" t="s">
        <v>1453</v>
      </c>
      <c r="C1016" s="1" t="s">
        <v>1845</v>
      </c>
      <c r="D1016" s="1" t="s">
        <v>1731</v>
      </c>
      <c r="E1016">
        <v>20251204</v>
      </c>
      <c r="F1016" s="1" t="s">
        <v>1470</v>
      </c>
      <c r="G1016">
        <v>4</v>
      </c>
      <c r="H1016" s="1" t="s">
        <v>1490</v>
      </c>
      <c r="I1016" t="s">
        <v>1870</v>
      </c>
      <c r="J1016" s="1" t="s">
        <v>1456</v>
      </c>
      <c r="K1016" s="1" t="s">
        <v>1566</v>
      </c>
      <c r="L1016" s="1" t="s">
        <v>1729</v>
      </c>
      <c r="M1016" s="1" t="s">
        <v>1737</v>
      </c>
      <c r="N1016" t="s">
        <v>1938</v>
      </c>
      <c r="O1016" t="s">
        <v>2157</v>
      </c>
      <c r="P1016" t="s">
        <v>2157</v>
      </c>
      <c r="Q1016">
        <v>400</v>
      </c>
      <c r="R1016" s="1" t="s">
        <v>1718</v>
      </c>
      <c r="S1016">
        <v>3121</v>
      </c>
      <c r="T1016">
        <v>1248400</v>
      </c>
    </row>
    <row r="1017" spans="1:20" hidden="1" x14ac:dyDescent="0.4">
      <c r="A1017" s="1" t="s">
        <v>382</v>
      </c>
      <c r="B1017" s="1" t="s">
        <v>1454</v>
      </c>
      <c r="C1017" s="1" t="s">
        <v>1845</v>
      </c>
      <c r="D1017" s="1" t="s">
        <v>1731</v>
      </c>
      <c r="E1017">
        <v>20251204</v>
      </c>
      <c r="F1017" s="1" t="s">
        <v>1470</v>
      </c>
      <c r="G1017">
        <v>4</v>
      </c>
      <c r="H1017" s="1" t="s">
        <v>1490</v>
      </c>
      <c r="I1017" t="s">
        <v>1870</v>
      </c>
      <c r="J1017" s="1" t="s">
        <v>1456</v>
      </c>
      <c r="K1017" s="1" t="s">
        <v>1562</v>
      </c>
      <c r="L1017" s="1" t="s">
        <v>1729</v>
      </c>
      <c r="M1017" s="1" t="s">
        <v>1735</v>
      </c>
      <c r="N1017" t="s">
        <v>1939</v>
      </c>
      <c r="O1017" t="s">
        <v>2157</v>
      </c>
      <c r="P1017" t="s">
        <v>3037</v>
      </c>
      <c r="Q1017">
        <v>200</v>
      </c>
      <c r="R1017" s="1" t="s">
        <v>1718</v>
      </c>
      <c r="S1017">
        <v>2396</v>
      </c>
      <c r="T1017">
        <v>479200</v>
      </c>
    </row>
    <row r="1018" spans="1:20" hidden="1" x14ac:dyDescent="0.4">
      <c r="A1018" s="1" t="s">
        <v>382</v>
      </c>
      <c r="B1018" s="1" t="s">
        <v>1455</v>
      </c>
      <c r="C1018" s="1" t="s">
        <v>1845</v>
      </c>
      <c r="D1018" s="1" t="s">
        <v>1731</v>
      </c>
      <c r="E1018">
        <v>20251204</v>
      </c>
      <c r="F1018" s="1" t="s">
        <v>1470</v>
      </c>
      <c r="G1018">
        <v>4</v>
      </c>
      <c r="H1018" s="1" t="s">
        <v>1490</v>
      </c>
      <c r="I1018" t="s">
        <v>1870</v>
      </c>
      <c r="J1018" s="1" t="s">
        <v>1456</v>
      </c>
      <c r="K1018" s="1" t="s">
        <v>1567</v>
      </c>
      <c r="L1018" s="1" t="s">
        <v>1729</v>
      </c>
      <c r="M1018" s="1" t="s">
        <v>1744</v>
      </c>
      <c r="N1018" t="s">
        <v>1940</v>
      </c>
      <c r="O1018" t="s">
        <v>2157</v>
      </c>
      <c r="P1018" t="s">
        <v>3045</v>
      </c>
      <c r="Q1018">
        <v>20</v>
      </c>
      <c r="R1018" s="1" t="s">
        <v>1718</v>
      </c>
      <c r="S1018">
        <v>9114</v>
      </c>
      <c r="T1018">
        <v>182280</v>
      </c>
    </row>
    <row r="1019" spans="1:20" hidden="1" x14ac:dyDescent="0.4">
      <c r="A1019" s="1" t="s">
        <v>382</v>
      </c>
      <c r="B1019" s="1" t="s">
        <v>1456</v>
      </c>
      <c r="C1019" s="1" t="s">
        <v>1845</v>
      </c>
      <c r="D1019" s="1" t="s">
        <v>1731</v>
      </c>
      <c r="E1019">
        <v>20251204</v>
      </c>
      <c r="F1019" s="1" t="s">
        <v>1470</v>
      </c>
      <c r="G1019">
        <v>4</v>
      </c>
      <c r="H1019" s="1" t="s">
        <v>1490</v>
      </c>
      <c r="I1019" t="s">
        <v>1870</v>
      </c>
      <c r="J1019" s="1" t="s">
        <v>1456</v>
      </c>
      <c r="K1019" s="1" t="s">
        <v>1559</v>
      </c>
      <c r="L1019" s="1" t="s">
        <v>1729</v>
      </c>
      <c r="M1019" s="1" t="s">
        <v>1739</v>
      </c>
      <c r="N1019" t="s">
        <v>1931</v>
      </c>
      <c r="O1019" t="s">
        <v>2157</v>
      </c>
      <c r="P1019" t="s">
        <v>3150</v>
      </c>
      <c r="Q1019">
        <v>1</v>
      </c>
      <c r="R1019" s="1" t="s">
        <v>1718</v>
      </c>
      <c r="S1019">
        <v>13609</v>
      </c>
      <c r="T1019">
        <v>13609</v>
      </c>
    </row>
    <row r="1020" spans="1:20" hidden="1" x14ac:dyDescent="0.4">
      <c r="A1020" s="1" t="s">
        <v>383</v>
      </c>
      <c r="B1020" s="1" t="s">
        <v>1453</v>
      </c>
      <c r="C1020" s="1" t="s">
        <v>1845</v>
      </c>
      <c r="D1020" s="1" t="s">
        <v>1462</v>
      </c>
      <c r="E1020">
        <v>20251203</v>
      </c>
      <c r="F1020" s="1" t="s">
        <v>1470</v>
      </c>
      <c r="G1020">
        <v>1</v>
      </c>
      <c r="H1020" s="1" t="s">
        <v>1496</v>
      </c>
      <c r="I1020" t="s">
        <v>1876</v>
      </c>
      <c r="J1020" s="1" t="s">
        <v>1459</v>
      </c>
      <c r="K1020" s="1" t="s">
        <v>1579</v>
      </c>
      <c r="L1020" s="1" t="s">
        <v>1715</v>
      </c>
      <c r="M1020" s="1" t="s">
        <v>1794</v>
      </c>
      <c r="N1020" t="s">
        <v>1953</v>
      </c>
      <c r="O1020" t="s">
        <v>2161</v>
      </c>
      <c r="P1020" t="s">
        <v>3050</v>
      </c>
      <c r="Q1020">
        <v>508</v>
      </c>
      <c r="R1020" s="1" t="s">
        <v>1463</v>
      </c>
      <c r="S1020">
        <v>793</v>
      </c>
      <c r="T1020">
        <v>402844</v>
      </c>
    </row>
    <row r="1021" spans="1:20" hidden="1" x14ac:dyDescent="0.4">
      <c r="A1021" s="1" t="s">
        <v>383</v>
      </c>
      <c r="B1021" s="1" t="s">
        <v>1454</v>
      </c>
      <c r="C1021" s="1" t="s">
        <v>1845</v>
      </c>
      <c r="D1021" s="1" t="s">
        <v>1462</v>
      </c>
      <c r="E1021">
        <v>20251203</v>
      </c>
      <c r="F1021" s="1" t="s">
        <v>1470</v>
      </c>
      <c r="G1021">
        <v>1</v>
      </c>
      <c r="H1021" s="1" t="s">
        <v>1496</v>
      </c>
      <c r="I1021" t="s">
        <v>1876</v>
      </c>
      <c r="J1021" s="1" t="s">
        <v>1459</v>
      </c>
      <c r="K1021" s="1" t="s">
        <v>1579</v>
      </c>
      <c r="L1021" s="1" t="s">
        <v>1715</v>
      </c>
      <c r="M1021" s="1" t="s">
        <v>1795</v>
      </c>
      <c r="N1021" t="s">
        <v>1953</v>
      </c>
      <c r="O1021" t="s">
        <v>2161</v>
      </c>
      <c r="P1021" t="s">
        <v>3051</v>
      </c>
      <c r="Q1021">
        <v>1417</v>
      </c>
      <c r="R1021" s="1" t="s">
        <v>1463</v>
      </c>
      <c r="S1021">
        <v>793</v>
      </c>
      <c r="T1021">
        <v>1123681</v>
      </c>
    </row>
    <row r="1022" spans="1:20" hidden="1" x14ac:dyDescent="0.4">
      <c r="A1022" s="1" t="s">
        <v>383</v>
      </c>
      <c r="B1022" s="1" t="s">
        <v>1455</v>
      </c>
      <c r="C1022" s="1" t="s">
        <v>1845</v>
      </c>
      <c r="D1022" s="1" t="s">
        <v>1462</v>
      </c>
      <c r="E1022">
        <v>20251203</v>
      </c>
      <c r="F1022" s="1" t="s">
        <v>1470</v>
      </c>
      <c r="G1022">
        <v>1</v>
      </c>
      <c r="H1022" s="1" t="s">
        <v>1496</v>
      </c>
      <c r="I1022" t="s">
        <v>1876</v>
      </c>
      <c r="J1022" s="1" t="s">
        <v>1459</v>
      </c>
      <c r="K1022" s="1" t="s">
        <v>1579</v>
      </c>
      <c r="L1022" s="1" t="s">
        <v>1715</v>
      </c>
      <c r="M1022" s="1" t="s">
        <v>1796</v>
      </c>
      <c r="N1022" t="s">
        <v>1953</v>
      </c>
      <c r="O1022" t="s">
        <v>2161</v>
      </c>
      <c r="P1022" t="s">
        <v>3052</v>
      </c>
      <c r="Q1022">
        <v>372</v>
      </c>
      <c r="R1022" s="1" t="s">
        <v>1463</v>
      </c>
      <c r="S1022">
        <v>793</v>
      </c>
      <c r="T1022">
        <v>294996</v>
      </c>
    </row>
    <row r="1023" spans="1:20" hidden="1" x14ac:dyDescent="0.4">
      <c r="A1023" s="1" t="s">
        <v>383</v>
      </c>
      <c r="B1023" s="1" t="s">
        <v>1456</v>
      </c>
      <c r="C1023" s="1" t="s">
        <v>1845</v>
      </c>
      <c r="D1023" s="1" t="s">
        <v>1462</v>
      </c>
      <c r="E1023">
        <v>20251203</v>
      </c>
      <c r="F1023" s="1" t="s">
        <v>1470</v>
      </c>
      <c r="G1023">
        <v>1</v>
      </c>
      <c r="H1023" s="1" t="s">
        <v>1496</v>
      </c>
      <c r="I1023" t="s">
        <v>1876</v>
      </c>
      <c r="J1023" s="1" t="s">
        <v>1459</v>
      </c>
      <c r="K1023" s="1" t="s">
        <v>1579</v>
      </c>
      <c r="L1023" s="1" t="s">
        <v>1715</v>
      </c>
      <c r="M1023" s="1" t="s">
        <v>1797</v>
      </c>
      <c r="N1023" t="s">
        <v>1953</v>
      </c>
      <c r="O1023" t="s">
        <v>2161</v>
      </c>
      <c r="P1023" t="s">
        <v>3053</v>
      </c>
      <c r="Q1023">
        <v>2033</v>
      </c>
      <c r="R1023" s="1" t="s">
        <v>1463</v>
      </c>
      <c r="S1023">
        <v>793</v>
      </c>
      <c r="T1023">
        <v>1612169</v>
      </c>
    </row>
    <row r="1024" spans="1:20" hidden="1" x14ac:dyDescent="0.4">
      <c r="A1024" s="1" t="s">
        <v>384</v>
      </c>
      <c r="B1024" s="1" t="s">
        <v>1453</v>
      </c>
      <c r="C1024" s="1" t="s">
        <v>1845</v>
      </c>
      <c r="D1024" s="1" t="s">
        <v>1462</v>
      </c>
      <c r="E1024">
        <v>20251203</v>
      </c>
      <c r="F1024" s="1" t="s">
        <v>1473</v>
      </c>
      <c r="G1024">
        <v>1</v>
      </c>
      <c r="H1024" s="1" t="s">
        <v>1493</v>
      </c>
      <c r="I1024" t="s">
        <v>1873</v>
      </c>
      <c r="J1024" s="1" t="s">
        <v>1453</v>
      </c>
      <c r="K1024" s="1" t="s">
        <v>1605</v>
      </c>
      <c r="L1024" s="1" t="s">
        <v>1716</v>
      </c>
      <c r="M1024" s="1" t="s">
        <v>1761</v>
      </c>
      <c r="N1024" t="s">
        <v>2026</v>
      </c>
      <c r="O1024" t="s">
        <v>2162</v>
      </c>
      <c r="P1024" t="s">
        <v>3091</v>
      </c>
      <c r="Q1024">
        <v>1170</v>
      </c>
      <c r="R1024" s="1" t="s">
        <v>1463</v>
      </c>
      <c r="S1024">
        <v>1770</v>
      </c>
      <c r="T1024">
        <v>2070900</v>
      </c>
    </row>
    <row r="1025" spans="1:20" hidden="1" x14ac:dyDescent="0.4">
      <c r="A1025" s="1" t="s">
        <v>385</v>
      </c>
      <c r="B1025" s="1" t="s">
        <v>1453</v>
      </c>
      <c r="C1025" s="1" t="s">
        <v>1845</v>
      </c>
      <c r="D1025" s="1" t="s">
        <v>1462</v>
      </c>
      <c r="E1025">
        <v>20251202</v>
      </c>
      <c r="F1025" s="1" t="s">
        <v>1473</v>
      </c>
      <c r="G1025">
        <v>1</v>
      </c>
      <c r="H1025" s="1" t="s">
        <v>1497</v>
      </c>
      <c r="I1025" t="s">
        <v>1877</v>
      </c>
      <c r="J1025" s="1" t="s">
        <v>1459</v>
      </c>
      <c r="K1025" s="1" t="s">
        <v>1644</v>
      </c>
      <c r="L1025" s="1" t="s">
        <v>1721</v>
      </c>
      <c r="M1025" s="1" t="s">
        <v>1737</v>
      </c>
      <c r="N1025" t="s">
        <v>2027</v>
      </c>
      <c r="O1025" t="s">
        <v>2167</v>
      </c>
      <c r="P1025" t="s">
        <v>3113</v>
      </c>
      <c r="Q1025">
        <v>1200</v>
      </c>
      <c r="R1025" s="1" t="s">
        <v>1840</v>
      </c>
      <c r="S1025">
        <v>161</v>
      </c>
      <c r="T1025">
        <v>193200</v>
      </c>
    </row>
    <row r="1026" spans="1:20" hidden="1" x14ac:dyDescent="0.4">
      <c r="A1026" s="1" t="s">
        <v>386</v>
      </c>
      <c r="B1026" s="1" t="s">
        <v>1453</v>
      </c>
      <c r="C1026" s="1" t="s">
        <v>1845</v>
      </c>
      <c r="D1026" s="1" t="s">
        <v>1462</v>
      </c>
      <c r="E1026">
        <v>20251202</v>
      </c>
      <c r="F1026" s="1" t="s">
        <v>1470</v>
      </c>
      <c r="G1026">
        <v>1</v>
      </c>
      <c r="H1026" s="1" t="s">
        <v>1497</v>
      </c>
      <c r="I1026" t="s">
        <v>1877</v>
      </c>
      <c r="J1026" s="1" t="s">
        <v>1459</v>
      </c>
      <c r="K1026" s="1" t="s">
        <v>1645</v>
      </c>
      <c r="L1026" s="1" t="s">
        <v>1721</v>
      </c>
      <c r="M1026" s="1" t="s">
        <v>1737</v>
      </c>
      <c r="N1026" t="s">
        <v>2003</v>
      </c>
      <c r="O1026" t="s">
        <v>2167</v>
      </c>
      <c r="P1026" t="s">
        <v>3155</v>
      </c>
      <c r="Q1026">
        <v>600</v>
      </c>
      <c r="R1026" s="1" t="s">
        <v>1840</v>
      </c>
      <c r="S1026">
        <v>283</v>
      </c>
      <c r="T1026">
        <v>169800</v>
      </c>
    </row>
    <row r="1027" spans="1:20" hidden="1" x14ac:dyDescent="0.4">
      <c r="A1027" s="1" t="s">
        <v>387</v>
      </c>
      <c r="B1027" s="1" t="s">
        <v>1453</v>
      </c>
      <c r="C1027" s="1" t="s">
        <v>1845</v>
      </c>
      <c r="D1027" s="1" t="s">
        <v>1731</v>
      </c>
      <c r="E1027">
        <v>20251203</v>
      </c>
      <c r="F1027" s="1" t="s">
        <v>1473</v>
      </c>
      <c r="G1027">
        <v>4</v>
      </c>
      <c r="H1027" s="1" t="s">
        <v>1494</v>
      </c>
      <c r="I1027" t="s">
        <v>1874</v>
      </c>
      <c r="J1027" s="1" t="s">
        <v>1453</v>
      </c>
      <c r="K1027" s="1" t="s">
        <v>1583</v>
      </c>
      <c r="L1027" s="1" t="s">
        <v>1718</v>
      </c>
      <c r="M1027" s="1" t="s">
        <v>1751</v>
      </c>
      <c r="N1027" t="s">
        <v>1958</v>
      </c>
      <c r="O1027" t="s">
        <v>2164</v>
      </c>
      <c r="P1027" t="s">
        <v>3064</v>
      </c>
      <c r="Q1027">
        <v>109.2</v>
      </c>
      <c r="R1027" s="1" t="s">
        <v>1839</v>
      </c>
      <c r="S1027">
        <v>2025.99</v>
      </c>
      <c r="T1027">
        <v>221239</v>
      </c>
    </row>
    <row r="1028" spans="1:20" hidden="1" x14ac:dyDescent="0.4">
      <c r="A1028" s="1" t="s">
        <v>387</v>
      </c>
      <c r="B1028" s="1" t="s">
        <v>1454</v>
      </c>
      <c r="C1028" s="1" t="s">
        <v>1845</v>
      </c>
      <c r="D1028" s="1" t="s">
        <v>1731</v>
      </c>
      <c r="E1028">
        <v>20251203</v>
      </c>
      <c r="F1028" s="1" t="s">
        <v>1473</v>
      </c>
      <c r="G1028">
        <v>4</v>
      </c>
      <c r="H1028" s="1" t="s">
        <v>1494</v>
      </c>
      <c r="I1028" t="s">
        <v>1874</v>
      </c>
      <c r="J1028" s="1" t="s">
        <v>1453</v>
      </c>
      <c r="K1028" s="1" t="s">
        <v>1583</v>
      </c>
      <c r="L1028" s="1" t="s">
        <v>1718</v>
      </c>
      <c r="M1028" s="1" t="s">
        <v>1751</v>
      </c>
      <c r="N1028" t="s">
        <v>1958</v>
      </c>
      <c r="O1028" t="s">
        <v>2164</v>
      </c>
      <c r="P1028" t="s">
        <v>3064</v>
      </c>
      <c r="Q1028">
        <v>109.2</v>
      </c>
      <c r="R1028" s="1" t="s">
        <v>1839</v>
      </c>
      <c r="S1028">
        <v>2025.99</v>
      </c>
      <c r="T1028">
        <v>221239</v>
      </c>
    </row>
    <row r="1029" spans="1:20" hidden="1" x14ac:dyDescent="0.4">
      <c r="A1029" s="1" t="s">
        <v>387</v>
      </c>
      <c r="B1029" s="1" t="s">
        <v>1455</v>
      </c>
      <c r="C1029" s="1" t="s">
        <v>1845</v>
      </c>
      <c r="D1029" s="1" t="s">
        <v>1731</v>
      </c>
      <c r="E1029">
        <v>20251203</v>
      </c>
      <c r="F1029" s="1" t="s">
        <v>1473</v>
      </c>
      <c r="G1029">
        <v>4</v>
      </c>
      <c r="H1029" s="1" t="s">
        <v>1494</v>
      </c>
      <c r="I1029" t="s">
        <v>1874</v>
      </c>
      <c r="J1029" s="1" t="s">
        <v>1453</v>
      </c>
      <c r="K1029" s="1" t="s">
        <v>1583</v>
      </c>
      <c r="L1029" s="1" t="s">
        <v>1718</v>
      </c>
      <c r="M1029" s="1" t="s">
        <v>1751</v>
      </c>
      <c r="N1029" t="s">
        <v>1958</v>
      </c>
      <c r="O1029" t="s">
        <v>2164</v>
      </c>
      <c r="P1029" t="s">
        <v>3064</v>
      </c>
      <c r="Q1029">
        <v>111.02</v>
      </c>
      <c r="R1029" s="1" t="s">
        <v>1839</v>
      </c>
      <c r="S1029">
        <v>2025.99</v>
      </c>
      <c r="T1029">
        <v>224926</v>
      </c>
    </row>
    <row r="1030" spans="1:20" hidden="1" x14ac:dyDescent="0.4">
      <c r="A1030" s="1" t="s">
        <v>387</v>
      </c>
      <c r="B1030" s="1" t="s">
        <v>1456</v>
      </c>
      <c r="C1030" s="1" t="s">
        <v>1845</v>
      </c>
      <c r="D1030" s="1" t="s">
        <v>1731</v>
      </c>
      <c r="E1030">
        <v>20251203</v>
      </c>
      <c r="F1030" s="1" t="s">
        <v>1473</v>
      </c>
      <c r="G1030">
        <v>4</v>
      </c>
      <c r="H1030" s="1" t="s">
        <v>1494</v>
      </c>
      <c r="I1030" t="s">
        <v>1874</v>
      </c>
      <c r="J1030" s="1" t="s">
        <v>1453</v>
      </c>
      <c r="K1030" s="1" t="s">
        <v>1583</v>
      </c>
      <c r="L1030" s="1" t="s">
        <v>1718</v>
      </c>
      <c r="M1030" s="1" t="s">
        <v>1751</v>
      </c>
      <c r="N1030" t="s">
        <v>1958</v>
      </c>
      <c r="O1030" t="s">
        <v>2164</v>
      </c>
      <c r="P1030" t="s">
        <v>3064</v>
      </c>
      <c r="Q1030">
        <v>112.84</v>
      </c>
      <c r="R1030" s="1" t="s">
        <v>1839</v>
      </c>
      <c r="S1030">
        <v>2025.99</v>
      </c>
      <c r="T1030">
        <v>228613</v>
      </c>
    </row>
    <row r="1031" spans="1:20" hidden="1" x14ac:dyDescent="0.4">
      <c r="A1031" s="1" t="s">
        <v>387</v>
      </c>
      <c r="B1031" s="1" t="s">
        <v>1457</v>
      </c>
      <c r="C1031" s="1" t="s">
        <v>1845</v>
      </c>
      <c r="D1031" s="1" t="s">
        <v>1731</v>
      </c>
      <c r="E1031">
        <v>20251203</v>
      </c>
      <c r="F1031" s="1" t="s">
        <v>1473</v>
      </c>
      <c r="G1031">
        <v>4</v>
      </c>
      <c r="H1031" s="1" t="s">
        <v>1494</v>
      </c>
      <c r="I1031" t="s">
        <v>1874</v>
      </c>
      <c r="J1031" s="1" t="s">
        <v>1453</v>
      </c>
      <c r="K1031" s="1" t="s">
        <v>1583</v>
      </c>
      <c r="L1031" s="1" t="s">
        <v>1718</v>
      </c>
      <c r="M1031" s="1" t="s">
        <v>1751</v>
      </c>
      <c r="N1031" t="s">
        <v>1958</v>
      </c>
      <c r="O1031" t="s">
        <v>2164</v>
      </c>
      <c r="P1031" t="s">
        <v>3064</v>
      </c>
      <c r="Q1031">
        <v>122.66</v>
      </c>
      <c r="R1031" s="1" t="s">
        <v>1839</v>
      </c>
      <c r="S1031">
        <v>2025.99</v>
      </c>
      <c r="T1031">
        <v>248509</v>
      </c>
    </row>
    <row r="1032" spans="1:20" hidden="1" x14ac:dyDescent="0.4">
      <c r="A1032" s="1" t="s">
        <v>387</v>
      </c>
      <c r="B1032" s="1" t="s">
        <v>1458</v>
      </c>
      <c r="C1032" s="1" t="s">
        <v>1845</v>
      </c>
      <c r="D1032" s="1" t="s">
        <v>1731</v>
      </c>
      <c r="E1032">
        <v>20251203</v>
      </c>
      <c r="F1032" s="1" t="s">
        <v>1473</v>
      </c>
      <c r="G1032">
        <v>4</v>
      </c>
      <c r="H1032" s="1" t="s">
        <v>1494</v>
      </c>
      <c r="I1032" t="s">
        <v>1874</v>
      </c>
      <c r="J1032" s="1" t="s">
        <v>1453</v>
      </c>
      <c r="K1032" s="1" t="s">
        <v>1583</v>
      </c>
      <c r="L1032" s="1" t="s">
        <v>1718</v>
      </c>
      <c r="M1032" s="1" t="s">
        <v>1751</v>
      </c>
      <c r="N1032" t="s">
        <v>1958</v>
      </c>
      <c r="O1032" t="s">
        <v>2164</v>
      </c>
      <c r="P1032" t="s">
        <v>3064</v>
      </c>
      <c r="Q1032">
        <v>112.84</v>
      </c>
      <c r="R1032" s="1" t="s">
        <v>1839</v>
      </c>
      <c r="S1032">
        <v>2025.99</v>
      </c>
      <c r="T1032">
        <v>228613</v>
      </c>
    </row>
    <row r="1033" spans="1:20" hidden="1" x14ac:dyDescent="0.4">
      <c r="A1033" s="1" t="s">
        <v>387</v>
      </c>
      <c r="B1033" s="1" t="s">
        <v>1459</v>
      </c>
      <c r="C1033" s="1" t="s">
        <v>1845</v>
      </c>
      <c r="D1033" s="1" t="s">
        <v>1731</v>
      </c>
      <c r="E1033">
        <v>20251203</v>
      </c>
      <c r="F1033" s="1" t="s">
        <v>1473</v>
      </c>
      <c r="G1033">
        <v>4</v>
      </c>
      <c r="H1033" s="1" t="s">
        <v>1494</v>
      </c>
      <c r="I1033" t="s">
        <v>1874</v>
      </c>
      <c r="J1033" s="1" t="s">
        <v>1453</v>
      </c>
      <c r="K1033" s="1" t="s">
        <v>1583</v>
      </c>
      <c r="L1033" s="1" t="s">
        <v>1718</v>
      </c>
      <c r="M1033" s="1" t="s">
        <v>1751</v>
      </c>
      <c r="N1033" t="s">
        <v>1958</v>
      </c>
      <c r="O1033" t="s">
        <v>2164</v>
      </c>
      <c r="P1033" t="s">
        <v>3064</v>
      </c>
      <c r="Q1033">
        <v>103.37</v>
      </c>
      <c r="R1033" s="1" t="s">
        <v>1839</v>
      </c>
      <c r="S1033">
        <v>2025.99</v>
      </c>
      <c r="T1033">
        <v>209427</v>
      </c>
    </row>
    <row r="1034" spans="1:20" hidden="1" x14ac:dyDescent="0.4">
      <c r="A1034" s="1" t="s">
        <v>387</v>
      </c>
      <c r="B1034" s="1" t="s">
        <v>1460</v>
      </c>
      <c r="C1034" s="1" t="s">
        <v>1845</v>
      </c>
      <c r="D1034" s="1" t="s">
        <v>1731</v>
      </c>
      <c r="E1034">
        <v>20251203</v>
      </c>
      <c r="F1034" s="1" t="s">
        <v>1473</v>
      </c>
      <c r="G1034">
        <v>4</v>
      </c>
      <c r="H1034" s="1" t="s">
        <v>1494</v>
      </c>
      <c r="I1034" t="s">
        <v>1874</v>
      </c>
      <c r="J1034" s="1" t="s">
        <v>1453</v>
      </c>
      <c r="K1034" s="1" t="s">
        <v>1583</v>
      </c>
      <c r="L1034" s="1" t="s">
        <v>1718</v>
      </c>
      <c r="M1034" s="1" t="s">
        <v>1751</v>
      </c>
      <c r="N1034" t="s">
        <v>1958</v>
      </c>
      <c r="O1034" t="s">
        <v>2164</v>
      </c>
      <c r="P1034" t="s">
        <v>3064</v>
      </c>
      <c r="Q1034">
        <v>109.2</v>
      </c>
      <c r="R1034" s="1" t="s">
        <v>1839</v>
      </c>
      <c r="S1034">
        <v>2025.99</v>
      </c>
      <c r="T1034">
        <v>221239</v>
      </c>
    </row>
    <row r="1035" spans="1:20" hidden="1" x14ac:dyDescent="0.4">
      <c r="A1035" s="1" t="s">
        <v>387</v>
      </c>
      <c r="B1035" s="1" t="s">
        <v>1461</v>
      </c>
      <c r="C1035" s="1" t="s">
        <v>1845</v>
      </c>
      <c r="D1035" s="1" t="s">
        <v>1731</v>
      </c>
      <c r="E1035">
        <v>20251203</v>
      </c>
      <c r="F1035" s="1" t="s">
        <v>1473</v>
      </c>
      <c r="G1035">
        <v>4</v>
      </c>
      <c r="H1035" s="1" t="s">
        <v>1494</v>
      </c>
      <c r="I1035" t="s">
        <v>1874</v>
      </c>
      <c r="J1035" s="1" t="s">
        <v>1453</v>
      </c>
      <c r="K1035" s="1" t="s">
        <v>1583</v>
      </c>
      <c r="L1035" s="1" t="s">
        <v>1718</v>
      </c>
      <c r="M1035" s="1" t="s">
        <v>1751</v>
      </c>
      <c r="N1035" t="s">
        <v>1958</v>
      </c>
      <c r="O1035" t="s">
        <v>2164</v>
      </c>
      <c r="P1035" t="s">
        <v>3064</v>
      </c>
      <c r="Q1035">
        <v>112.84</v>
      </c>
      <c r="R1035" s="1" t="s">
        <v>1839</v>
      </c>
      <c r="S1035">
        <v>2025.99</v>
      </c>
      <c r="T1035">
        <v>228613</v>
      </c>
    </row>
    <row r="1036" spans="1:20" hidden="1" x14ac:dyDescent="0.4">
      <c r="A1036" s="1" t="s">
        <v>387</v>
      </c>
      <c r="B1036" s="1" t="s">
        <v>1462</v>
      </c>
      <c r="C1036" s="1" t="s">
        <v>1845</v>
      </c>
      <c r="D1036" s="1" t="s">
        <v>1731</v>
      </c>
      <c r="E1036">
        <v>20251203</v>
      </c>
      <c r="F1036" s="1" t="s">
        <v>1473</v>
      </c>
      <c r="G1036">
        <v>4</v>
      </c>
      <c r="H1036" s="1" t="s">
        <v>1494</v>
      </c>
      <c r="I1036" t="s">
        <v>1874</v>
      </c>
      <c r="J1036" s="1" t="s">
        <v>1453</v>
      </c>
      <c r="K1036" s="1" t="s">
        <v>1583</v>
      </c>
      <c r="L1036" s="1" t="s">
        <v>1718</v>
      </c>
      <c r="M1036" s="1" t="s">
        <v>1751</v>
      </c>
      <c r="N1036" t="s">
        <v>1958</v>
      </c>
      <c r="O1036" t="s">
        <v>2164</v>
      </c>
      <c r="P1036" t="s">
        <v>3064</v>
      </c>
      <c r="Q1036">
        <v>109.2</v>
      </c>
      <c r="R1036" s="1" t="s">
        <v>1839</v>
      </c>
      <c r="S1036">
        <v>2025.99</v>
      </c>
      <c r="T1036">
        <v>221239</v>
      </c>
    </row>
    <row r="1037" spans="1:20" hidden="1" x14ac:dyDescent="0.4">
      <c r="A1037" s="1" t="s">
        <v>388</v>
      </c>
      <c r="B1037" s="1" t="s">
        <v>1453</v>
      </c>
      <c r="C1037" s="1" t="s">
        <v>1845</v>
      </c>
      <c r="D1037" s="1" t="s">
        <v>1462</v>
      </c>
      <c r="E1037">
        <v>20251226</v>
      </c>
      <c r="F1037" s="1" t="s">
        <v>1471</v>
      </c>
      <c r="G1037">
        <v>4</v>
      </c>
      <c r="H1037" s="1" t="s">
        <v>1498</v>
      </c>
      <c r="I1037" t="s">
        <v>1878</v>
      </c>
      <c r="J1037" s="1" t="s">
        <v>1460</v>
      </c>
      <c r="K1037" s="1" t="s">
        <v>1646</v>
      </c>
      <c r="L1037" s="1" t="s">
        <v>1731</v>
      </c>
      <c r="M1037" s="1" t="s">
        <v>1761</v>
      </c>
      <c r="N1037" t="s">
        <v>2028</v>
      </c>
      <c r="O1037" t="s">
        <v>2178</v>
      </c>
      <c r="P1037" t="s">
        <v>3156</v>
      </c>
      <c r="Q1037">
        <v>500</v>
      </c>
      <c r="R1037" s="1" t="s">
        <v>1463</v>
      </c>
      <c r="S1037">
        <v>1550</v>
      </c>
      <c r="T1037">
        <v>775000</v>
      </c>
    </row>
    <row r="1038" spans="1:20" hidden="1" x14ac:dyDescent="0.4">
      <c r="A1038" s="1" t="s">
        <v>389</v>
      </c>
      <c r="B1038" s="1" t="s">
        <v>1453</v>
      </c>
      <c r="C1038" s="1" t="s">
        <v>1845</v>
      </c>
      <c r="D1038" s="1" t="s">
        <v>1731</v>
      </c>
      <c r="E1038">
        <v>20251205</v>
      </c>
      <c r="F1038" s="1" t="s">
        <v>1470</v>
      </c>
      <c r="G1038">
        <v>4</v>
      </c>
      <c r="H1038" s="1" t="s">
        <v>1490</v>
      </c>
      <c r="I1038" t="s">
        <v>1870</v>
      </c>
      <c r="J1038" s="1" t="s">
        <v>1456</v>
      </c>
      <c r="K1038" s="1" t="s">
        <v>1553</v>
      </c>
      <c r="L1038" s="1" t="s">
        <v>1729</v>
      </c>
      <c r="M1038" s="1" t="s">
        <v>1736</v>
      </c>
      <c r="N1038" t="s">
        <v>1925</v>
      </c>
      <c r="O1038" t="s">
        <v>2157</v>
      </c>
      <c r="P1038" t="s">
        <v>3038</v>
      </c>
      <c r="Q1038">
        <v>6</v>
      </c>
      <c r="R1038" s="1" t="s">
        <v>1718</v>
      </c>
      <c r="S1038">
        <v>15837</v>
      </c>
      <c r="T1038">
        <v>95022</v>
      </c>
    </row>
    <row r="1039" spans="1:20" hidden="1" x14ac:dyDescent="0.4">
      <c r="A1039" s="1" t="s">
        <v>389</v>
      </c>
      <c r="B1039" s="1" t="s">
        <v>1454</v>
      </c>
      <c r="C1039" s="1" t="s">
        <v>1845</v>
      </c>
      <c r="D1039" s="1" t="s">
        <v>1731</v>
      </c>
      <c r="E1039">
        <v>20251205</v>
      </c>
      <c r="F1039" s="1" t="s">
        <v>1470</v>
      </c>
      <c r="G1039">
        <v>4</v>
      </c>
      <c r="H1039" s="1" t="s">
        <v>1490</v>
      </c>
      <c r="I1039" t="s">
        <v>1870</v>
      </c>
      <c r="J1039" s="1" t="s">
        <v>1456</v>
      </c>
      <c r="K1039" s="1" t="s">
        <v>1554</v>
      </c>
      <c r="L1039" s="1" t="s">
        <v>1729</v>
      </c>
      <c r="M1039" s="1" t="s">
        <v>1737</v>
      </c>
      <c r="N1039" t="s">
        <v>1926</v>
      </c>
      <c r="O1039" t="s">
        <v>2157</v>
      </c>
      <c r="P1039" t="s">
        <v>2157</v>
      </c>
      <c r="Q1039">
        <v>36</v>
      </c>
      <c r="R1039" s="1" t="s">
        <v>1718</v>
      </c>
      <c r="S1039">
        <v>13428.72</v>
      </c>
      <c r="T1039">
        <v>483434</v>
      </c>
    </row>
    <row r="1040" spans="1:20" hidden="1" x14ac:dyDescent="0.4">
      <c r="A1040" s="1" t="s">
        <v>390</v>
      </c>
      <c r="B1040" s="1" t="s">
        <v>1453</v>
      </c>
      <c r="C1040" s="1" t="s">
        <v>1845</v>
      </c>
      <c r="D1040" s="1" t="s">
        <v>1731</v>
      </c>
      <c r="E1040">
        <v>20251205</v>
      </c>
      <c r="F1040" s="1" t="s">
        <v>1470</v>
      </c>
      <c r="G1040">
        <v>4</v>
      </c>
      <c r="H1040" s="1" t="s">
        <v>1490</v>
      </c>
      <c r="I1040" t="s">
        <v>1870</v>
      </c>
      <c r="J1040" s="1" t="s">
        <v>1456</v>
      </c>
      <c r="K1040" s="1" t="s">
        <v>1560</v>
      </c>
      <c r="L1040" s="1" t="s">
        <v>1729</v>
      </c>
      <c r="M1040" s="1" t="s">
        <v>1740</v>
      </c>
      <c r="N1040" t="s">
        <v>1932</v>
      </c>
      <c r="O1040" t="s">
        <v>2157</v>
      </c>
      <c r="P1040" t="s">
        <v>3041</v>
      </c>
      <c r="Q1040">
        <v>2</v>
      </c>
      <c r="R1040" s="1" t="s">
        <v>1718</v>
      </c>
      <c r="S1040">
        <v>5003</v>
      </c>
      <c r="T1040">
        <v>10006</v>
      </c>
    </row>
    <row r="1041" spans="1:20" hidden="1" x14ac:dyDescent="0.4">
      <c r="A1041" s="1" t="s">
        <v>390</v>
      </c>
      <c r="B1041" s="1" t="s">
        <v>1454</v>
      </c>
      <c r="C1041" s="1" t="s">
        <v>1845</v>
      </c>
      <c r="D1041" s="1" t="s">
        <v>1731</v>
      </c>
      <c r="E1041">
        <v>20251205</v>
      </c>
      <c r="F1041" s="1" t="s">
        <v>1470</v>
      </c>
      <c r="G1041">
        <v>4</v>
      </c>
      <c r="H1041" s="1" t="s">
        <v>1490</v>
      </c>
      <c r="I1041" t="s">
        <v>1870</v>
      </c>
      <c r="J1041" s="1" t="s">
        <v>1456</v>
      </c>
      <c r="K1041" s="1" t="s">
        <v>1555</v>
      </c>
      <c r="L1041" s="1" t="s">
        <v>1729</v>
      </c>
      <c r="M1041" s="1" t="s">
        <v>1736</v>
      </c>
      <c r="N1041" t="s">
        <v>1927</v>
      </c>
      <c r="O1041" t="s">
        <v>2157</v>
      </c>
      <c r="P1041" t="s">
        <v>3038</v>
      </c>
      <c r="Q1041">
        <v>8</v>
      </c>
      <c r="R1041" s="1" t="s">
        <v>1718</v>
      </c>
      <c r="S1041">
        <v>3275.5</v>
      </c>
      <c r="T1041">
        <v>26204</v>
      </c>
    </row>
    <row r="1042" spans="1:20" hidden="1" x14ac:dyDescent="0.4">
      <c r="A1042" s="1" t="s">
        <v>390</v>
      </c>
      <c r="B1042" s="1" t="s">
        <v>1455</v>
      </c>
      <c r="C1042" s="1" t="s">
        <v>1845</v>
      </c>
      <c r="D1042" s="1" t="s">
        <v>1731</v>
      </c>
      <c r="E1042">
        <v>20251205</v>
      </c>
      <c r="F1042" s="1" t="s">
        <v>1470</v>
      </c>
      <c r="G1042">
        <v>4</v>
      </c>
      <c r="H1042" s="1" t="s">
        <v>1490</v>
      </c>
      <c r="I1042" t="s">
        <v>1870</v>
      </c>
      <c r="J1042" s="1" t="s">
        <v>1456</v>
      </c>
      <c r="K1042" s="1" t="s">
        <v>1561</v>
      </c>
      <c r="L1042" s="1" t="s">
        <v>1729</v>
      </c>
      <c r="M1042" s="1" t="s">
        <v>1737</v>
      </c>
      <c r="N1042" t="s">
        <v>1954</v>
      </c>
      <c r="O1042" t="s">
        <v>2157</v>
      </c>
      <c r="P1042" t="s">
        <v>2157</v>
      </c>
      <c r="Q1042">
        <v>2</v>
      </c>
      <c r="R1042" s="1" t="s">
        <v>1718</v>
      </c>
      <c r="S1042">
        <v>13607</v>
      </c>
      <c r="T1042">
        <v>27214</v>
      </c>
    </row>
    <row r="1043" spans="1:20" hidden="1" x14ac:dyDescent="0.4">
      <c r="A1043" s="1" t="s">
        <v>390</v>
      </c>
      <c r="B1043" s="1" t="s">
        <v>1456</v>
      </c>
      <c r="C1043" s="1" t="s">
        <v>1845</v>
      </c>
      <c r="D1043" s="1" t="s">
        <v>1731</v>
      </c>
      <c r="E1043">
        <v>20251205</v>
      </c>
      <c r="F1043" s="1" t="s">
        <v>1470</v>
      </c>
      <c r="G1043">
        <v>4</v>
      </c>
      <c r="H1043" s="1" t="s">
        <v>1490</v>
      </c>
      <c r="I1043" t="s">
        <v>1870</v>
      </c>
      <c r="J1043" s="1" t="s">
        <v>1456</v>
      </c>
      <c r="K1043" s="1" t="s">
        <v>1562</v>
      </c>
      <c r="L1043" s="1" t="s">
        <v>1729</v>
      </c>
      <c r="M1043" s="1" t="s">
        <v>1735</v>
      </c>
      <c r="N1043" t="s">
        <v>1934</v>
      </c>
      <c r="O1043" t="s">
        <v>2157</v>
      </c>
      <c r="P1043" t="s">
        <v>3037</v>
      </c>
      <c r="Q1043">
        <v>16</v>
      </c>
      <c r="R1043" s="1" t="s">
        <v>1718</v>
      </c>
      <c r="S1043">
        <v>9753.5</v>
      </c>
      <c r="T1043">
        <v>156056</v>
      </c>
    </row>
    <row r="1044" spans="1:20" hidden="1" x14ac:dyDescent="0.4">
      <c r="A1044" s="1" t="s">
        <v>391</v>
      </c>
      <c r="B1044" s="1" t="s">
        <v>1453</v>
      </c>
      <c r="C1044" s="1" t="s">
        <v>1845</v>
      </c>
      <c r="D1044" s="1" t="s">
        <v>1731</v>
      </c>
      <c r="E1044">
        <v>20251205</v>
      </c>
      <c r="F1044" s="1" t="s">
        <v>1470</v>
      </c>
      <c r="G1044">
        <v>4</v>
      </c>
      <c r="H1044" s="1" t="s">
        <v>1490</v>
      </c>
      <c r="I1044" t="s">
        <v>1870</v>
      </c>
      <c r="J1044" s="1" t="s">
        <v>1456</v>
      </c>
      <c r="K1044" s="1" t="s">
        <v>1558</v>
      </c>
      <c r="L1044" s="1" t="s">
        <v>1729</v>
      </c>
      <c r="M1044" s="1" t="s">
        <v>1737</v>
      </c>
      <c r="N1044" t="s">
        <v>1930</v>
      </c>
      <c r="O1044" t="s">
        <v>2157</v>
      </c>
      <c r="P1044" t="s">
        <v>2157</v>
      </c>
      <c r="Q1044">
        <v>10</v>
      </c>
      <c r="R1044" s="1" t="s">
        <v>1718</v>
      </c>
      <c r="S1044">
        <v>9181.7999999999993</v>
      </c>
      <c r="T1044">
        <v>91818</v>
      </c>
    </row>
    <row r="1045" spans="1:20" hidden="1" x14ac:dyDescent="0.4">
      <c r="A1045" s="1" t="s">
        <v>392</v>
      </c>
      <c r="B1045" s="1" t="s">
        <v>1453</v>
      </c>
      <c r="C1045" s="1" t="s">
        <v>1845</v>
      </c>
      <c r="D1045" s="1" t="s">
        <v>1462</v>
      </c>
      <c r="E1045">
        <v>20251201</v>
      </c>
      <c r="F1045" s="1" t="s">
        <v>1471</v>
      </c>
      <c r="G1045">
        <v>4</v>
      </c>
      <c r="H1045" s="1" t="s">
        <v>1498</v>
      </c>
      <c r="I1045" t="s">
        <v>1878</v>
      </c>
      <c r="J1045" s="1" t="s">
        <v>1460</v>
      </c>
      <c r="K1045" s="1" t="s">
        <v>1647</v>
      </c>
      <c r="L1045" s="1" t="s">
        <v>1731</v>
      </c>
      <c r="M1045" s="1" t="s">
        <v>1798</v>
      </c>
      <c r="N1045" t="s">
        <v>2029</v>
      </c>
      <c r="O1045" t="s">
        <v>2178</v>
      </c>
      <c r="P1045" t="s">
        <v>3157</v>
      </c>
      <c r="Q1045">
        <v>250</v>
      </c>
      <c r="R1045" s="1" t="s">
        <v>1463</v>
      </c>
      <c r="S1045">
        <v>690</v>
      </c>
      <c r="T1045">
        <v>172500</v>
      </c>
    </row>
    <row r="1046" spans="1:20" hidden="1" x14ac:dyDescent="0.4">
      <c r="A1046" s="1" t="s">
        <v>393</v>
      </c>
      <c r="B1046" s="1" t="s">
        <v>1453</v>
      </c>
      <c r="C1046" s="1" t="s">
        <v>1845</v>
      </c>
      <c r="D1046" s="1" t="s">
        <v>1462</v>
      </c>
      <c r="E1046">
        <v>20251201</v>
      </c>
      <c r="F1046" s="1" t="s">
        <v>1471</v>
      </c>
      <c r="G1046">
        <v>4</v>
      </c>
      <c r="H1046" s="1" t="s">
        <v>1498</v>
      </c>
      <c r="I1046" t="s">
        <v>1878</v>
      </c>
      <c r="J1046" s="1" t="s">
        <v>1460</v>
      </c>
      <c r="K1046" s="1" t="s">
        <v>1648</v>
      </c>
      <c r="L1046" s="1" t="s">
        <v>1731</v>
      </c>
      <c r="M1046" s="1" t="s">
        <v>1768</v>
      </c>
      <c r="N1046" t="s">
        <v>2030</v>
      </c>
      <c r="O1046" t="s">
        <v>2178</v>
      </c>
      <c r="P1046" t="s">
        <v>3158</v>
      </c>
      <c r="Q1046">
        <v>3000</v>
      </c>
      <c r="R1046" s="1" t="s">
        <v>1463</v>
      </c>
      <c r="S1046">
        <v>872</v>
      </c>
      <c r="T1046">
        <v>2616000</v>
      </c>
    </row>
    <row r="1047" spans="1:20" hidden="1" x14ac:dyDescent="0.4">
      <c r="A1047" s="1" t="s">
        <v>394</v>
      </c>
      <c r="B1047" s="1" t="s">
        <v>1453</v>
      </c>
      <c r="C1047" s="1" t="s">
        <v>1845</v>
      </c>
      <c r="D1047" s="1" t="s">
        <v>1462</v>
      </c>
      <c r="E1047">
        <v>20251201</v>
      </c>
      <c r="F1047" s="1" t="s">
        <v>1471</v>
      </c>
      <c r="G1047">
        <v>4</v>
      </c>
      <c r="H1047" s="1" t="s">
        <v>1498</v>
      </c>
      <c r="I1047" t="s">
        <v>1878</v>
      </c>
      <c r="J1047" s="1" t="s">
        <v>1460</v>
      </c>
      <c r="K1047" s="1" t="s">
        <v>1649</v>
      </c>
      <c r="L1047" s="1" t="s">
        <v>1731</v>
      </c>
      <c r="M1047" s="1" t="s">
        <v>1799</v>
      </c>
      <c r="N1047" t="s">
        <v>2031</v>
      </c>
      <c r="O1047" t="s">
        <v>2178</v>
      </c>
      <c r="P1047" t="s">
        <v>3159</v>
      </c>
      <c r="Q1047">
        <v>250</v>
      </c>
      <c r="R1047" s="1" t="s">
        <v>1463</v>
      </c>
      <c r="S1047">
        <v>1450</v>
      </c>
      <c r="T1047">
        <v>362500</v>
      </c>
    </row>
    <row r="1048" spans="1:20" hidden="1" x14ac:dyDescent="0.4">
      <c r="A1048" s="1" t="s">
        <v>395</v>
      </c>
      <c r="B1048" s="1" t="s">
        <v>1453</v>
      </c>
      <c r="C1048" s="1" t="s">
        <v>1845</v>
      </c>
      <c r="D1048" s="1" t="s">
        <v>1462</v>
      </c>
      <c r="E1048">
        <v>20251201</v>
      </c>
      <c r="F1048" s="1" t="s">
        <v>1471</v>
      </c>
      <c r="G1048">
        <v>4</v>
      </c>
      <c r="H1048" s="1" t="s">
        <v>1498</v>
      </c>
      <c r="I1048" t="s">
        <v>1878</v>
      </c>
      <c r="J1048" s="1" t="s">
        <v>1460</v>
      </c>
      <c r="K1048" s="1" t="s">
        <v>1650</v>
      </c>
      <c r="L1048" s="1" t="s">
        <v>1731</v>
      </c>
      <c r="M1048" s="1" t="s">
        <v>1766</v>
      </c>
      <c r="N1048" t="s">
        <v>2032</v>
      </c>
      <c r="O1048" t="s">
        <v>2178</v>
      </c>
      <c r="P1048" t="s">
        <v>3160</v>
      </c>
      <c r="Q1048">
        <v>500</v>
      </c>
      <c r="R1048" s="1" t="s">
        <v>1463</v>
      </c>
      <c r="S1048">
        <v>732</v>
      </c>
      <c r="T1048">
        <v>366000</v>
      </c>
    </row>
    <row r="1049" spans="1:20" hidden="1" x14ac:dyDescent="0.4">
      <c r="A1049" s="1" t="s">
        <v>396</v>
      </c>
      <c r="B1049" s="1" t="s">
        <v>1453</v>
      </c>
      <c r="C1049" s="1" t="s">
        <v>1845</v>
      </c>
      <c r="D1049" s="1" t="s">
        <v>1462</v>
      </c>
      <c r="E1049">
        <v>20251204</v>
      </c>
      <c r="F1049" s="1" t="s">
        <v>1472</v>
      </c>
      <c r="G1049">
        <v>1</v>
      </c>
      <c r="H1049" s="1" t="s">
        <v>1492</v>
      </c>
      <c r="I1049" t="s">
        <v>1872</v>
      </c>
      <c r="J1049" s="1" t="s">
        <v>1457</v>
      </c>
      <c r="K1049" s="1" t="s">
        <v>1597</v>
      </c>
      <c r="L1049" s="1" t="s">
        <v>1716</v>
      </c>
      <c r="M1049" s="1" t="s">
        <v>1762</v>
      </c>
      <c r="N1049" t="s">
        <v>1972</v>
      </c>
      <c r="O1049" t="s">
        <v>2162</v>
      </c>
      <c r="P1049" t="s">
        <v>3108</v>
      </c>
      <c r="Q1049">
        <v>815.8</v>
      </c>
      <c r="R1049" s="1" t="s">
        <v>1463</v>
      </c>
      <c r="S1049">
        <v>1200</v>
      </c>
      <c r="T1049">
        <v>978960</v>
      </c>
    </row>
    <row r="1050" spans="1:20" hidden="1" x14ac:dyDescent="0.4">
      <c r="A1050" s="1" t="s">
        <v>396</v>
      </c>
      <c r="B1050" s="1" t="s">
        <v>1454</v>
      </c>
      <c r="C1050" s="1" t="s">
        <v>1845</v>
      </c>
      <c r="D1050" s="1" t="s">
        <v>1462</v>
      </c>
      <c r="E1050">
        <v>20251204</v>
      </c>
      <c r="F1050" s="1" t="s">
        <v>1472</v>
      </c>
      <c r="G1050">
        <v>1</v>
      </c>
      <c r="H1050" s="1" t="s">
        <v>1492</v>
      </c>
      <c r="I1050" t="s">
        <v>1872</v>
      </c>
      <c r="J1050" s="1" t="s">
        <v>1457</v>
      </c>
      <c r="K1050" s="1" t="s">
        <v>1597</v>
      </c>
      <c r="L1050" s="1" t="s">
        <v>1716</v>
      </c>
      <c r="M1050" s="1" t="s">
        <v>1762</v>
      </c>
      <c r="N1050" t="s">
        <v>1972</v>
      </c>
      <c r="O1050" t="s">
        <v>2162</v>
      </c>
      <c r="P1050" t="s">
        <v>3108</v>
      </c>
      <c r="Q1050">
        <v>378.6</v>
      </c>
      <c r="R1050" s="1" t="s">
        <v>1463</v>
      </c>
      <c r="S1050">
        <v>1250</v>
      </c>
      <c r="T1050">
        <v>473250</v>
      </c>
    </row>
    <row r="1051" spans="1:20" hidden="1" x14ac:dyDescent="0.4">
      <c r="A1051" s="1" t="s">
        <v>396</v>
      </c>
      <c r="B1051" s="1" t="s">
        <v>1455</v>
      </c>
      <c r="C1051" s="1" t="s">
        <v>1845</v>
      </c>
      <c r="D1051" s="1" t="s">
        <v>1462</v>
      </c>
      <c r="E1051">
        <v>20251204</v>
      </c>
      <c r="F1051" s="1" t="s">
        <v>1472</v>
      </c>
      <c r="G1051">
        <v>1</v>
      </c>
      <c r="H1051" s="1" t="s">
        <v>1492</v>
      </c>
      <c r="I1051" t="s">
        <v>1872</v>
      </c>
      <c r="J1051" s="1" t="s">
        <v>1457</v>
      </c>
      <c r="K1051" s="1" t="s">
        <v>1616</v>
      </c>
      <c r="L1051" s="1" t="s">
        <v>1716</v>
      </c>
      <c r="M1051" s="1" t="s">
        <v>1761</v>
      </c>
      <c r="N1051" t="s">
        <v>1990</v>
      </c>
      <c r="O1051" t="s">
        <v>2162</v>
      </c>
      <c r="P1051" t="s">
        <v>3116</v>
      </c>
      <c r="Q1051">
        <v>709.6</v>
      </c>
      <c r="R1051" s="1" t="s">
        <v>1463</v>
      </c>
      <c r="S1051">
        <v>1250</v>
      </c>
      <c r="T1051">
        <v>887000</v>
      </c>
    </row>
    <row r="1052" spans="1:20" hidden="1" x14ac:dyDescent="0.4">
      <c r="A1052" s="1" t="s">
        <v>397</v>
      </c>
      <c r="B1052" s="1" t="s">
        <v>1453</v>
      </c>
      <c r="C1052" s="1" t="s">
        <v>1845</v>
      </c>
      <c r="D1052" s="1" t="s">
        <v>1462</v>
      </c>
      <c r="E1052">
        <v>20251204</v>
      </c>
      <c r="F1052" s="1" t="s">
        <v>1470</v>
      </c>
      <c r="G1052">
        <v>1</v>
      </c>
      <c r="H1052" s="1" t="s">
        <v>1499</v>
      </c>
      <c r="I1052" t="s">
        <v>1879</v>
      </c>
      <c r="J1052" s="1" t="s">
        <v>1456</v>
      </c>
      <c r="K1052" s="1" t="s">
        <v>1628</v>
      </c>
      <c r="L1052" s="1" t="s">
        <v>1716</v>
      </c>
      <c r="M1052" s="1" t="s">
        <v>1777</v>
      </c>
      <c r="N1052" t="s">
        <v>2033</v>
      </c>
      <c r="O1052" t="s">
        <v>2162</v>
      </c>
      <c r="P1052">
        <v>1403</v>
      </c>
      <c r="Q1052">
        <v>509</v>
      </c>
      <c r="R1052" s="1" t="s">
        <v>1463</v>
      </c>
      <c r="S1052">
        <v>1453</v>
      </c>
      <c r="T1052">
        <v>739577</v>
      </c>
    </row>
    <row r="1053" spans="1:20" hidden="1" x14ac:dyDescent="0.4">
      <c r="A1053" s="1" t="s">
        <v>397</v>
      </c>
      <c r="B1053" s="1" t="s">
        <v>1454</v>
      </c>
      <c r="C1053" s="1" t="s">
        <v>1845</v>
      </c>
      <c r="D1053" s="1" t="s">
        <v>1462</v>
      </c>
      <c r="E1053">
        <v>20251204</v>
      </c>
      <c r="F1053" s="1" t="s">
        <v>1470</v>
      </c>
      <c r="G1053">
        <v>1</v>
      </c>
      <c r="H1053" s="1" t="s">
        <v>1499</v>
      </c>
      <c r="I1053" t="s">
        <v>1879</v>
      </c>
      <c r="J1053" s="1" t="s">
        <v>1456</v>
      </c>
      <c r="K1053" s="1" t="s">
        <v>1629</v>
      </c>
      <c r="L1053" s="1" t="s">
        <v>1716</v>
      </c>
      <c r="M1053" s="1" t="s">
        <v>1778</v>
      </c>
      <c r="N1053" t="s">
        <v>2034</v>
      </c>
      <c r="O1053" t="s">
        <v>2162</v>
      </c>
      <c r="P1053">
        <v>1303</v>
      </c>
      <c r="Q1053">
        <v>509</v>
      </c>
      <c r="R1053" s="1" t="s">
        <v>1463</v>
      </c>
      <c r="S1053">
        <v>1845</v>
      </c>
      <c r="T1053">
        <v>939105</v>
      </c>
    </row>
    <row r="1054" spans="1:20" hidden="1" x14ac:dyDescent="0.4">
      <c r="A1054" s="1" t="s">
        <v>398</v>
      </c>
      <c r="B1054" s="1" t="s">
        <v>1453</v>
      </c>
      <c r="C1054" s="1" t="s">
        <v>1845</v>
      </c>
      <c r="D1054" s="1" t="s">
        <v>1462</v>
      </c>
      <c r="E1054">
        <v>20251204</v>
      </c>
      <c r="F1054" s="1" t="s">
        <v>1470</v>
      </c>
      <c r="G1054">
        <v>1</v>
      </c>
      <c r="H1054" s="1" t="s">
        <v>1500</v>
      </c>
      <c r="I1054" t="s">
        <v>1880</v>
      </c>
      <c r="J1054" s="1" t="s">
        <v>1459</v>
      </c>
      <c r="K1054" s="1" t="s">
        <v>1633</v>
      </c>
      <c r="L1054" s="1" t="s">
        <v>1721</v>
      </c>
      <c r="M1054" s="1" t="s">
        <v>1737</v>
      </c>
      <c r="N1054" t="s">
        <v>2004</v>
      </c>
      <c r="O1054" t="s">
        <v>2167</v>
      </c>
      <c r="P1054" t="s">
        <v>3117</v>
      </c>
      <c r="Q1054">
        <v>700</v>
      </c>
      <c r="R1054" s="1" t="s">
        <v>1840</v>
      </c>
      <c r="S1054">
        <v>283.39999999999998</v>
      </c>
      <c r="T1054">
        <v>198380</v>
      </c>
    </row>
    <row r="1055" spans="1:20" hidden="1" x14ac:dyDescent="0.4">
      <c r="A1055" s="1" t="s">
        <v>399</v>
      </c>
      <c r="B1055" s="1" t="s">
        <v>1453</v>
      </c>
      <c r="C1055" s="1" t="s">
        <v>1845</v>
      </c>
      <c r="D1055" s="1" t="s">
        <v>1462</v>
      </c>
      <c r="E1055">
        <v>20251203</v>
      </c>
      <c r="F1055" s="1" t="s">
        <v>1471</v>
      </c>
      <c r="G1055">
        <v>4</v>
      </c>
      <c r="H1055" s="1" t="s">
        <v>1498</v>
      </c>
      <c r="I1055" t="s">
        <v>1878</v>
      </c>
      <c r="J1055" s="1" t="s">
        <v>1460</v>
      </c>
      <c r="K1055" s="1" t="s">
        <v>1651</v>
      </c>
      <c r="L1055" s="1" t="s">
        <v>1731</v>
      </c>
      <c r="M1055" s="1" t="s">
        <v>1737</v>
      </c>
      <c r="N1055" t="s">
        <v>2035</v>
      </c>
      <c r="O1055" t="s">
        <v>2178</v>
      </c>
      <c r="P1055" t="s">
        <v>2157</v>
      </c>
      <c r="Q1055">
        <v>25</v>
      </c>
      <c r="R1055" s="1" t="s">
        <v>1463</v>
      </c>
      <c r="S1055">
        <v>2597</v>
      </c>
      <c r="T1055">
        <v>64925</v>
      </c>
    </row>
    <row r="1056" spans="1:20" hidden="1" x14ac:dyDescent="0.4">
      <c r="A1056" s="1" t="s">
        <v>400</v>
      </c>
      <c r="B1056" s="1" t="s">
        <v>1453</v>
      </c>
      <c r="C1056" s="1" t="s">
        <v>1845</v>
      </c>
      <c r="D1056" s="1" t="s">
        <v>1462</v>
      </c>
      <c r="E1056">
        <v>20251203</v>
      </c>
      <c r="F1056" s="1" t="s">
        <v>1471</v>
      </c>
      <c r="G1056">
        <v>4</v>
      </c>
      <c r="H1056" s="1" t="s">
        <v>1498</v>
      </c>
      <c r="I1056" t="s">
        <v>1878</v>
      </c>
      <c r="J1056" s="1" t="s">
        <v>1460</v>
      </c>
      <c r="K1056" s="1" t="s">
        <v>1649</v>
      </c>
      <c r="L1056" s="1" t="s">
        <v>1731</v>
      </c>
      <c r="M1056" s="1" t="s">
        <v>1761</v>
      </c>
      <c r="N1056" t="s">
        <v>2031</v>
      </c>
      <c r="O1056" t="s">
        <v>2178</v>
      </c>
      <c r="P1056" t="s">
        <v>3156</v>
      </c>
      <c r="Q1056">
        <v>250</v>
      </c>
      <c r="R1056" s="1" t="s">
        <v>1463</v>
      </c>
      <c r="S1056">
        <v>1450</v>
      </c>
      <c r="T1056">
        <v>362500</v>
      </c>
    </row>
    <row r="1057" spans="1:20" hidden="1" x14ac:dyDescent="0.4">
      <c r="A1057" s="1" t="s">
        <v>401</v>
      </c>
      <c r="B1057" s="1" t="s">
        <v>1453</v>
      </c>
      <c r="C1057" s="1" t="s">
        <v>1845</v>
      </c>
      <c r="D1057" s="1" t="s">
        <v>1462</v>
      </c>
      <c r="E1057">
        <v>20251203</v>
      </c>
      <c r="F1057" s="1" t="s">
        <v>1471</v>
      </c>
      <c r="G1057">
        <v>4</v>
      </c>
      <c r="H1057" s="1" t="s">
        <v>1498</v>
      </c>
      <c r="I1057" t="s">
        <v>1878</v>
      </c>
      <c r="J1057" s="1" t="s">
        <v>1460</v>
      </c>
      <c r="K1057" s="1" t="s">
        <v>1647</v>
      </c>
      <c r="L1057" s="1" t="s">
        <v>1731</v>
      </c>
      <c r="M1057" s="1" t="s">
        <v>1800</v>
      </c>
      <c r="N1057" t="s">
        <v>2029</v>
      </c>
      <c r="O1057" t="s">
        <v>2178</v>
      </c>
      <c r="P1057" t="s">
        <v>3161</v>
      </c>
      <c r="Q1057">
        <v>2000</v>
      </c>
      <c r="R1057" s="1" t="s">
        <v>1463</v>
      </c>
      <c r="S1057">
        <v>460</v>
      </c>
      <c r="T1057">
        <v>920000</v>
      </c>
    </row>
    <row r="1058" spans="1:20" hidden="1" x14ac:dyDescent="0.4">
      <c r="A1058" s="1" t="s">
        <v>401</v>
      </c>
      <c r="B1058" s="1" t="s">
        <v>1454</v>
      </c>
      <c r="C1058" s="1" t="s">
        <v>1845</v>
      </c>
      <c r="D1058" s="1" t="s">
        <v>1462</v>
      </c>
      <c r="E1058">
        <v>20251203</v>
      </c>
      <c r="F1058" s="1" t="s">
        <v>1471</v>
      </c>
      <c r="G1058">
        <v>4</v>
      </c>
      <c r="H1058" s="1" t="s">
        <v>1498</v>
      </c>
      <c r="I1058" t="s">
        <v>1878</v>
      </c>
      <c r="J1058" s="1" t="s">
        <v>1460</v>
      </c>
      <c r="K1058" s="1" t="s">
        <v>1652</v>
      </c>
      <c r="L1058" s="1" t="s">
        <v>1731</v>
      </c>
      <c r="M1058" s="1" t="s">
        <v>1801</v>
      </c>
      <c r="N1058" t="s">
        <v>2036</v>
      </c>
      <c r="O1058" t="s">
        <v>2178</v>
      </c>
      <c r="P1058" t="s">
        <v>3162</v>
      </c>
      <c r="Q1058">
        <v>2000</v>
      </c>
      <c r="R1058" s="1" t="s">
        <v>1463</v>
      </c>
      <c r="S1058">
        <v>460</v>
      </c>
      <c r="T1058">
        <v>920000</v>
      </c>
    </row>
    <row r="1059" spans="1:20" hidden="1" x14ac:dyDescent="0.4">
      <c r="A1059" s="1" t="s">
        <v>402</v>
      </c>
      <c r="B1059" s="1" t="s">
        <v>1453</v>
      </c>
      <c r="C1059" s="1" t="s">
        <v>1845</v>
      </c>
      <c r="D1059" s="1" t="s">
        <v>1462</v>
      </c>
      <c r="E1059">
        <v>20251203</v>
      </c>
      <c r="F1059" s="1" t="s">
        <v>1471</v>
      </c>
      <c r="G1059">
        <v>4</v>
      </c>
      <c r="H1059" s="1" t="s">
        <v>1498</v>
      </c>
      <c r="I1059" t="s">
        <v>1878</v>
      </c>
      <c r="J1059" s="1" t="s">
        <v>1460</v>
      </c>
      <c r="K1059" s="1" t="s">
        <v>1647</v>
      </c>
      <c r="L1059" s="1" t="s">
        <v>1731</v>
      </c>
      <c r="M1059" s="1" t="s">
        <v>1800</v>
      </c>
      <c r="N1059" t="s">
        <v>2029</v>
      </c>
      <c r="O1059" t="s">
        <v>2178</v>
      </c>
      <c r="P1059" t="s">
        <v>3161</v>
      </c>
      <c r="Q1059">
        <v>1250</v>
      </c>
      <c r="R1059" s="1" t="s">
        <v>1463</v>
      </c>
      <c r="S1059">
        <v>460</v>
      </c>
      <c r="T1059">
        <v>575000</v>
      </c>
    </row>
    <row r="1060" spans="1:20" hidden="1" x14ac:dyDescent="0.4">
      <c r="A1060" s="1" t="s">
        <v>403</v>
      </c>
      <c r="B1060" s="1" t="s">
        <v>1453</v>
      </c>
      <c r="C1060" s="1" t="s">
        <v>1845</v>
      </c>
      <c r="D1060" s="1" t="s">
        <v>1462</v>
      </c>
      <c r="E1060">
        <v>20251203</v>
      </c>
      <c r="F1060" s="1" t="s">
        <v>1471</v>
      </c>
      <c r="G1060">
        <v>4</v>
      </c>
      <c r="H1060" s="1" t="s">
        <v>1498</v>
      </c>
      <c r="I1060" t="s">
        <v>1878</v>
      </c>
      <c r="J1060" s="1" t="s">
        <v>1460</v>
      </c>
      <c r="K1060" s="1" t="s">
        <v>1649</v>
      </c>
      <c r="L1060" s="1" t="s">
        <v>1731</v>
      </c>
      <c r="M1060" s="1" t="s">
        <v>1761</v>
      </c>
      <c r="N1060" t="s">
        <v>2031</v>
      </c>
      <c r="O1060" t="s">
        <v>2178</v>
      </c>
      <c r="P1060" t="s">
        <v>3156</v>
      </c>
      <c r="Q1060">
        <v>1250</v>
      </c>
      <c r="R1060" s="1" t="s">
        <v>1463</v>
      </c>
      <c r="S1060">
        <v>1450</v>
      </c>
      <c r="T1060">
        <v>1812500</v>
      </c>
    </row>
    <row r="1061" spans="1:20" hidden="1" x14ac:dyDescent="0.4">
      <c r="A1061" s="1" t="s">
        <v>404</v>
      </c>
      <c r="B1061" s="1" t="s">
        <v>1453</v>
      </c>
      <c r="C1061" s="1" t="s">
        <v>1845</v>
      </c>
      <c r="D1061" s="1" t="s">
        <v>1462</v>
      </c>
      <c r="E1061">
        <v>20251203</v>
      </c>
      <c r="F1061" s="1" t="s">
        <v>1471</v>
      </c>
      <c r="G1061">
        <v>4</v>
      </c>
      <c r="H1061" s="1" t="s">
        <v>1498</v>
      </c>
      <c r="I1061" t="s">
        <v>1878</v>
      </c>
      <c r="J1061" s="1" t="s">
        <v>1460</v>
      </c>
      <c r="K1061" s="1" t="s">
        <v>1653</v>
      </c>
      <c r="L1061" s="1" t="s">
        <v>1731</v>
      </c>
      <c r="M1061" s="1" t="s">
        <v>1761</v>
      </c>
      <c r="N1061" t="s">
        <v>2037</v>
      </c>
      <c r="O1061" t="s">
        <v>2178</v>
      </c>
      <c r="P1061" t="s">
        <v>3156</v>
      </c>
      <c r="Q1061">
        <v>500</v>
      </c>
      <c r="R1061" s="1" t="s">
        <v>1463</v>
      </c>
      <c r="S1061">
        <v>651</v>
      </c>
      <c r="T1061">
        <v>325500</v>
      </c>
    </row>
    <row r="1062" spans="1:20" hidden="1" x14ac:dyDescent="0.4">
      <c r="A1062" s="1" t="s">
        <v>405</v>
      </c>
      <c r="B1062" s="1" t="s">
        <v>1453</v>
      </c>
      <c r="C1062" s="1" t="s">
        <v>1845</v>
      </c>
      <c r="D1062" s="1" t="s">
        <v>1462</v>
      </c>
      <c r="E1062">
        <v>20251203</v>
      </c>
      <c r="F1062" s="1" t="s">
        <v>1471</v>
      </c>
      <c r="G1062">
        <v>4</v>
      </c>
      <c r="H1062" s="1" t="s">
        <v>1498</v>
      </c>
      <c r="I1062" t="s">
        <v>1878</v>
      </c>
      <c r="J1062" s="1" t="s">
        <v>1460</v>
      </c>
      <c r="K1062" s="1" t="s">
        <v>1629</v>
      </c>
      <c r="L1062" s="1" t="s">
        <v>1731</v>
      </c>
      <c r="M1062" s="1" t="s">
        <v>1802</v>
      </c>
      <c r="N1062" t="s">
        <v>2038</v>
      </c>
      <c r="O1062" t="s">
        <v>2178</v>
      </c>
      <c r="P1062" t="s">
        <v>3163</v>
      </c>
      <c r="Q1062">
        <v>250</v>
      </c>
      <c r="R1062" s="1" t="s">
        <v>1463</v>
      </c>
      <c r="S1062">
        <v>527</v>
      </c>
      <c r="T1062">
        <v>131750</v>
      </c>
    </row>
    <row r="1063" spans="1:20" hidden="1" x14ac:dyDescent="0.4">
      <c r="A1063" s="1" t="s">
        <v>405</v>
      </c>
      <c r="B1063" s="1" t="s">
        <v>1454</v>
      </c>
      <c r="C1063" s="1" t="s">
        <v>1845</v>
      </c>
      <c r="D1063" s="1" t="s">
        <v>1462</v>
      </c>
      <c r="E1063">
        <v>20251203</v>
      </c>
      <c r="F1063" s="1" t="s">
        <v>1471</v>
      </c>
      <c r="G1063">
        <v>4</v>
      </c>
      <c r="H1063" s="1" t="s">
        <v>1498</v>
      </c>
      <c r="I1063" t="s">
        <v>1878</v>
      </c>
      <c r="J1063" s="1" t="s">
        <v>1460</v>
      </c>
      <c r="K1063" s="1" t="s">
        <v>1654</v>
      </c>
      <c r="L1063" s="1" t="s">
        <v>1731</v>
      </c>
      <c r="M1063" s="1" t="s">
        <v>1803</v>
      </c>
      <c r="N1063" t="s">
        <v>2039</v>
      </c>
      <c r="O1063" t="s">
        <v>2178</v>
      </c>
      <c r="P1063" t="s">
        <v>3164</v>
      </c>
      <c r="Q1063">
        <v>500</v>
      </c>
      <c r="R1063" s="1" t="s">
        <v>1463</v>
      </c>
      <c r="S1063">
        <v>558</v>
      </c>
      <c r="T1063">
        <v>279000</v>
      </c>
    </row>
    <row r="1064" spans="1:20" hidden="1" x14ac:dyDescent="0.4">
      <c r="A1064" s="1" t="s">
        <v>406</v>
      </c>
      <c r="B1064" s="1" t="s">
        <v>1453</v>
      </c>
      <c r="C1064" s="1" t="s">
        <v>1845</v>
      </c>
      <c r="D1064" s="1" t="s">
        <v>1462</v>
      </c>
      <c r="E1064">
        <v>20251203</v>
      </c>
      <c r="F1064" s="1" t="s">
        <v>1471</v>
      </c>
      <c r="G1064">
        <v>4</v>
      </c>
      <c r="H1064" s="1" t="s">
        <v>1498</v>
      </c>
      <c r="I1064" t="s">
        <v>1878</v>
      </c>
      <c r="J1064" s="1" t="s">
        <v>1460</v>
      </c>
      <c r="K1064" s="1" t="s">
        <v>1654</v>
      </c>
      <c r="L1064" s="1" t="s">
        <v>1731</v>
      </c>
      <c r="M1064" s="1" t="s">
        <v>1803</v>
      </c>
      <c r="N1064" t="s">
        <v>2039</v>
      </c>
      <c r="O1064" t="s">
        <v>2178</v>
      </c>
      <c r="P1064" t="s">
        <v>3164</v>
      </c>
      <c r="Q1064">
        <v>500</v>
      </c>
      <c r="R1064" s="1" t="s">
        <v>1463</v>
      </c>
      <c r="S1064">
        <v>558</v>
      </c>
      <c r="T1064">
        <v>279000</v>
      </c>
    </row>
    <row r="1065" spans="1:20" hidden="1" x14ac:dyDescent="0.4">
      <c r="A1065" s="1" t="s">
        <v>406</v>
      </c>
      <c r="B1065" s="1" t="s">
        <v>1454</v>
      </c>
      <c r="C1065" s="1" t="s">
        <v>1845</v>
      </c>
      <c r="D1065" s="1" t="s">
        <v>1462</v>
      </c>
      <c r="E1065">
        <v>20251203</v>
      </c>
      <c r="F1065" s="1" t="s">
        <v>1471</v>
      </c>
      <c r="G1065">
        <v>4</v>
      </c>
      <c r="H1065" s="1" t="s">
        <v>1498</v>
      </c>
      <c r="I1065" t="s">
        <v>1878</v>
      </c>
      <c r="J1065" s="1" t="s">
        <v>1460</v>
      </c>
      <c r="K1065" s="1" t="s">
        <v>1655</v>
      </c>
      <c r="L1065" s="1" t="s">
        <v>1731</v>
      </c>
      <c r="M1065" s="1" t="s">
        <v>1804</v>
      </c>
      <c r="N1065" t="s">
        <v>2040</v>
      </c>
      <c r="O1065" t="s">
        <v>2178</v>
      </c>
      <c r="P1065" t="s">
        <v>3165</v>
      </c>
      <c r="Q1065">
        <v>250</v>
      </c>
      <c r="R1065" s="1" t="s">
        <v>1463</v>
      </c>
      <c r="S1065">
        <v>548</v>
      </c>
      <c r="T1065">
        <v>137000</v>
      </c>
    </row>
    <row r="1066" spans="1:20" hidden="1" x14ac:dyDescent="0.4">
      <c r="A1066" s="1" t="s">
        <v>407</v>
      </c>
      <c r="B1066" s="1" t="s">
        <v>1453</v>
      </c>
      <c r="C1066" s="1" t="s">
        <v>1845</v>
      </c>
      <c r="D1066" s="1" t="s">
        <v>1462</v>
      </c>
      <c r="E1066">
        <v>20251203</v>
      </c>
      <c r="F1066" s="1" t="s">
        <v>1471</v>
      </c>
      <c r="G1066">
        <v>4</v>
      </c>
      <c r="H1066" s="1" t="s">
        <v>1498</v>
      </c>
      <c r="I1066" t="s">
        <v>1878</v>
      </c>
      <c r="J1066" s="1" t="s">
        <v>1460</v>
      </c>
      <c r="K1066" s="1" t="s">
        <v>1654</v>
      </c>
      <c r="L1066" s="1" t="s">
        <v>1731</v>
      </c>
      <c r="M1066" s="1" t="s">
        <v>1803</v>
      </c>
      <c r="N1066" t="s">
        <v>2039</v>
      </c>
      <c r="O1066" t="s">
        <v>2178</v>
      </c>
      <c r="P1066" t="s">
        <v>3164</v>
      </c>
      <c r="Q1066">
        <v>500</v>
      </c>
      <c r="R1066" s="1" t="s">
        <v>1463</v>
      </c>
      <c r="S1066">
        <v>558</v>
      </c>
      <c r="T1066">
        <v>279000</v>
      </c>
    </row>
    <row r="1067" spans="1:20" hidden="1" x14ac:dyDescent="0.4">
      <c r="A1067" s="1" t="s">
        <v>408</v>
      </c>
      <c r="B1067" s="1" t="s">
        <v>1453</v>
      </c>
      <c r="C1067" s="1" t="s">
        <v>1845</v>
      </c>
      <c r="D1067" s="1" t="s">
        <v>1462</v>
      </c>
      <c r="E1067">
        <v>20251203</v>
      </c>
      <c r="F1067" s="1" t="s">
        <v>1471</v>
      </c>
      <c r="G1067">
        <v>4</v>
      </c>
      <c r="H1067" s="1" t="s">
        <v>1498</v>
      </c>
      <c r="I1067" t="s">
        <v>1878</v>
      </c>
      <c r="J1067" s="1" t="s">
        <v>1460</v>
      </c>
      <c r="K1067" s="1" t="s">
        <v>1654</v>
      </c>
      <c r="L1067" s="1" t="s">
        <v>1731</v>
      </c>
      <c r="M1067" s="1" t="s">
        <v>1803</v>
      </c>
      <c r="N1067" t="s">
        <v>2039</v>
      </c>
      <c r="O1067" t="s">
        <v>2178</v>
      </c>
      <c r="P1067" t="s">
        <v>3164</v>
      </c>
      <c r="Q1067">
        <v>500</v>
      </c>
      <c r="R1067" s="1" t="s">
        <v>1463</v>
      </c>
      <c r="S1067">
        <v>558</v>
      </c>
      <c r="T1067">
        <v>279000</v>
      </c>
    </row>
    <row r="1068" spans="1:20" hidden="1" x14ac:dyDescent="0.4">
      <c r="A1068" s="1" t="s">
        <v>409</v>
      </c>
      <c r="B1068" s="1" t="s">
        <v>1453</v>
      </c>
      <c r="C1068" s="1" t="s">
        <v>1845</v>
      </c>
      <c r="D1068" s="1" t="s">
        <v>1462</v>
      </c>
      <c r="E1068">
        <v>20251203</v>
      </c>
      <c r="F1068" s="1" t="s">
        <v>1471</v>
      </c>
      <c r="G1068">
        <v>4</v>
      </c>
      <c r="H1068" s="1" t="s">
        <v>1498</v>
      </c>
      <c r="I1068" t="s">
        <v>1878</v>
      </c>
      <c r="J1068" s="1" t="s">
        <v>1460</v>
      </c>
      <c r="K1068" s="1" t="s">
        <v>1652</v>
      </c>
      <c r="L1068" s="1" t="s">
        <v>1731</v>
      </c>
      <c r="M1068" s="1" t="s">
        <v>1801</v>
      </c>
      <c r="N1068" t="s">
        <v>2036</v>
      </c>
      <c r="O1068" t="s">
        <v>2178</v>
      </c>
      <c r="P1068" t="s">
        <v>3162</v>
      </c>
      <c r="Q1068">
        <v>250</v>
      </c>
      <c r="R1068" s="1" t="s">
        <v>1463</v>
      </c>
      <c r="S1068">
        <v>460</v>
      </c>
      <c r="T1068">
        <v>115000</v>
      </c>
    </row>
    <row r="1069" spans="1:20" hidden="1" x14ac:dyDescent="0.4">
      <c r="A1069" s="1" t="s">
        <v>410</v>
      </c>
      <c r="B1069" s="1" t="s">
        <v>1453</v>
      </c>
      <c r="C1069" s="1" t="s">
        <v>1845</v>
      </c>
      <c r="D1069" s="1" t="s">
        <v>1731</v>
      </c>
      <c r="E1069">
        <v>20251204</v>
      </c>
      <c r="F1069" s="1" t="s">
        <v>1473</v>
      </c>
      <c r="G1069">
        <v>4</v>
      </c>
      <c r="H1069" s="1" t="s">
        <v>1494</v>
      </c>
      <c r="I1069" t="s">
        <v>1874</v>
      </c>
      <c r="J1069" s="1" t="s">
        <v>1453</v>
      </c>
      <c r="K1069" s="1" t="s">
        <v>1584</v>
      </c>
      <c r="L1069" s="1" t="s">
        <v>1718</v>
      </c>
      <c r="M1069" s="1" t="s">
        <v>1752</v>
      </c>
      <c r="N1069" t="s">
        <v>1959</v>
      </c>
      <c r="O1069" t="s">
        <v>2164</v>
      </c>
      <c r="P1069" t="s">
        <v>3065</v>
      </c>
      <c r="Q1069">
        <v>80.08</v>
      </c>
      <c r="R1069" s="1" t="s">
        <v>1839</v>
      </c>
      <c r="S1069">
        <v>2380.9899999999998</v>
      </c>
      <c r="T1069">
        <v>190670</v>
      </c>
    </row>
    <row r="1070" spans="1:20" hidden="1" x14ac:dyDescent="0.4">
      <c r="A1070" s="1" t="s">
        <v>410</v>
      </c>
      <c r="B1070" s="1" t="s">
        <v>1454</v>
      </c>
      <c r="C1070" s="1" t="s">
        <v>1845</v>
      </c>
      <c r="D1070" s="1" t="s">
        <v>1731</v>
      </c>
      <c r="E1070">
        <v>20251204</v>
      </c>
      <c r="F1070" s="1" t="s">
        <v>1473</v>
      </c>
      <c r="G1070">
        <v>4</v>
      </c>
      <c r="H1070" s="1" t="s">
        <v>1494</v>
      </c>
      <c r="I1070" t="s">
        <v>1874</v>
      </c>
      <c r="J1070" s="1" t="s">
        <v>1453</v>
      </c>
      <c r="K1070" s="1" t="s">
        <v>1584</v>
      </c>
      <c r="L1070" s="1" t="s">
        <v>1718</v>
      </c>
      <c r="M1070" s="1" t="s">
        <v>1752</v>
      </c>
      <c r="N1070" t="s">
        <v>1959</v>
      </c>
      <c r="O1070" t="s">
        <v>2164</v>
      </c>
      <c r="P1070" t="s">
        <v>3065</v>
      </c>
      <c r="Q1070">
        <v>84.44</v>
      </c>
      <c r="R1070" s="1" t="s">
        <v>1839</v>
      </c>
      <c r="S1070">
        <v>2380.9899999999998</v>
      </c>
      <c r="T1070">
        <v>201051</v>
      </c>
    </row>
    <row r="1071" spans="1:20" hidden="1" x14ac:dyDescent="0.4">
      <c r="A1071" s="1" t="s">
        <v>410</v>
      </c>
      <c r="B1071" s="1" t="s">
        <v>1455</v>
      </c>
      <c r="C1071" s="1" t="s">
        <v>1845</v>
      </c>
      <c r="D1071" s="1" t="s">
        <v>1731</v>
      </c>
      <c r="E1071">
        <v>20251204</v>
      </c>
      <c r="F1071" s="1" t="s">
        <v>1473</v>
      </c>
      <c r="G1071">
        <v>4</v>
      </c>
      <c r="H1071" s="1" t="s">
        <v>1494</v>
      </c>
      <c r="I1071" t="s">
        <v>1874</v>
      </c>
      <c r="J1071" s="1" t="s">
        <v>1453</v>
      </c>
      <c r="K1071" s="1" t="s">
        <v>1584</v>
      </c>
      <c r="L1071" s="1" t="s">
        <v>1718</v>
      </c>
      <c r="M1071" s="1" t="s">
        <v>1752</v>
      </c>
      <c r="N1071" t="s">
        <v>1959</v>
      </c>
      <c r="O1071" t="s">
        <v>2164</v>
      </c>
      <c r="P1071" t="s">
        <v>3065</v>
      </c>
      <c r="Q1071">
        <v>98.28</v>
      </c>
      <c r="R1071" s="1" t="s">
        <v>1839</v>
      </c>
      <c r="S1071">
        <v>2380.9899999999998</v>
      </c>
      <c r="T1071">
        <v>234004</v>
      </c>
    </row>
    <row r="1072" spans="1:20" hidden="1" x14ac:dyDescent="0.4">
      <c r="A1072" s="1" t="s">
        <v>410</v>
      </c>
      <c r="B1072" s="1" t="s">
        <v>1456</v>
      </c>
      <c r="C1072" s="1" t="s">
        <v>1845</v>
      </c>
      <c r="D1072" s="1" t="s">
        <v>1731</v>
      </c>
      <c r="E1072">
        <v>20251204</v>
      </c>
      <c r="F1072" s="1" t="s">
        <v>1473</v>
      </c>
      <c r="G1072">
        <v>4</v>
      </c>
      <c r="H1072" s="1" t="s">
        <v>1494</v>
      </c>
      <c r="I1072" t="s">
        <v>1874</v>
      </c>
      <c r="J1072" s="1" t="s">
        <v>1453</v>
      </c>
      <c r="K1072" s="1" t="s">
        <v>1584</v>
      </c>
      <c r="L1072" s="1" t="s">
        <v>1718</v>
      </c>
      <c r="M1072" s="1" t="s">
        <v>1752</v>
      </c>
      <c r="N1072" t="s">
        <v>1959</v>
      </c>
      <c r="O1072" t="s">
        <v>2164</v>
      </c>
      <c r="P1072" t="s">
        <v>3065</v>
      </c>
      <c r="Q1072">
        <v>98.28</v>
      </c>
      <c r="R1072" s="1" t="s">
        <v>1839</v>
      </c>
      <c r="S1072">
        <v>2380.9899999999998</v>
      </c>
      <c r="T1072">
        <v>234004</v>
      </c>
    </row>
    <row r="1073" spans="1:20" hidden="1" x14ac:dyDescent="0.4">
      <c r="A1073" s="1" t="s">
        <v>410</v>
      </c>
      <c r="B1073" s="1" t="s">
        <v>1457</v>
      </c>
      <c r="C1073" s="1" t="s">
        <v>1845</v>
      </c>
      <c r="D1073" s="1" t="s">
        <v>1731</v>
      </c>
      <c r="E1073">
        <v>20251204</v>
      </c>
      <c r="F1073" s="1" t="s">
        <v>1473</v>
      </c>
      <c r="G1073">
        <v>4</v>
      </c>
      <c r="H1073" s="1" t="s">
        <v>1494</v>
      </c>
      <c r="I1073" t="s">
        <v>1874</v>
      </c>
      <c r="J1073" s="1" t="s">
        <v>1453</v>
      </c>
      <c r="K1073" s="1" t="s">
        <v>1584</v>
      </c>
      <c r="L1073" s="1" t="s">
        <v>1718</v>
      </c>
      <c r="M1073" s="1" t="s">
        <v>1752</v>
      </c>
      <c r="N1073" t="s">
        <v>1959</v>
      </c>
      <c r="O1073" t="s">
        <v>2164</v>
      </c>
      <c r="P1073" t="s">
        <v>3065</v>
      </c>
      <c r="Q1073">
        <v>88.45</v>
      </c>
      <c r="R1073" s="1" t="s">
        <v>1839</v>
      </c>
      <c r="S1073">
        <v>2380.9899999999998</v>
      </c>
      <c r="T1073">
        <v>210599</v>
      </c>
    </row>
    <row r="1074" spans="1:20" hidden="1" x14ac:dyDescent="0.4">
      <c r="A1074" s="1" t="s">
        <v>411</v>
      </c>
      <c r="B1074" s="1" t="s">
        <v>1453</v>
      </c>
      <c r="C1074" s="1" t="s">
        <v>1845</v>
      </c>
      <c r="D1074" s="1" t="s">
        <v>1731</v>
      </c>
      <c r="E1074">
        <v>20251204</v>
      </c>
      <c r="F1074" s="1" t="s">
        <v>1473</v>
      </c>
      <c r="G1074">
        <v>4</v>
      </c>
      <c r="H1074" s="1" t="s">
        <v>1494</v>
      </c>
      <c r="I1074" t="s">
        <v>1874</v>
      </c>
      <c r="J1074" s="1" t="s">
        <v>1453</v>
      </c>
      <c r="K1074" s="1" t="s">
        <v>1584</v>
      </c>
      <c r="L1074" s="1" t="s">
        <v>1718</v>
      </c>
      <c r="M1074" s="1" t="s">
        <v>1753</v>
      </c>
      <c r="N1074" t="s">
        <v>1959</v>
      </c>
      <c r="O1074" t="s">
        <v>2164</v>
      </c>
      <c r="P1074" t="s">
        <v>3066</v>
      </c>
      <c r="Q1074">
        <v>116.48</v>
      </c>
      <c r="R1074" s="1" t="s">
        <v>1839</v>
      </c>
      <c r="S1074">
        <v>2380.9899999999998</v>
      </c>
      <c r="T1074">
        <v>277338</v>
      </c>
    </row>
    <row r="1075" spans="1:20" hidden="1" x14ac:dyDescent="0.4">
      <c r="A1075" s="1" t="s">
        <v>411</v>
      </c>
      <c r="B1075" s="1" t="s">
        <v>1454</v>
      </c>
      <c r="C1075" s="1" t="s">
        <v>1845</v>
      </c>
      <c r="D1075" s="1" t="s">
        <v>1731</v>
      </c>
      <c r="E1075">
        <v>20251204</v>
      </c>
      <c r="F1075" s="1" t="s">
        <v>1473</v>
      </c>
      <c r="G1075">
        <v>4</v>
      </c>
      <c r="H1075" s="1" t="s">
        <v>1494</v>
      </c>
      <c r="I1075" t="s">
        <v>1874</v>
      </c>
      <c r="J1075" s="1" t="s">
        <v>1453</v>
      </c>
      <c r="K1075" s="1" t="s">
        <v>1584</v>
      </c>
      <c r="L1075" s="1" t="s">
        <v>1718</v>
      </c>
      <c r="M1075" s="1" t="s">
        <v>1753</v>
      </c>
      <c r="N1075" t="s">
        <v>1959</v>
      </c>
      <c r="O1075" t="s">
        <v>2164</v>
      </c>
      <c r="P1075" t="s">
        <v>3066</v>
      </c>
      <c r="Q1075">
        <v>116.48</v>
      </c>
      <c r="R1075" s="1" t="s">
        <v>1839</v>
      </c>
      <c r="S1075">
        <v>2380.9899999999998</v>
      </c>
      <c r="T1075">
        <v>277338</v>
      </c>
    </row>
    <row r="1076" spans="1:20" hidden="1" x14ac:dyDescent="0.4">
      <c r="A1076" s="1" t="s">
        <v>411</v>
      </c>
      <c r="B1076" s="1" t="s">
        <v>1455</v>
      </c>
      <c r="C1076" s="1" t="s">
        <v>1845</v>
      </c>
      <c r="D1076" s="1" t="s">
        <v>1731</v>
      </c>
      <c r="E1076">
        <v>20251204</v>
      </c>
      <c r="F1076" s="1" t="s">
        <v>1473</v>
      </c>
      <c r="G1076">
        <v>4</v>
      </c>
      <c r="H1076" s="1" t="s">
        <v>1494</v>
      </c>
      <c r="I1076" t="s">
        <v>1874</v>
      </c>
      <c r="J1076" s="1" t="s">
        <v>1453</v>
      </c>
      <c r="K1076" s="1" t="s">
        <v>1584</v>
      </c>
      <c r="L1076" s="1" t="s">
        <v>1718</v>
      </c>
      <c r="M1076" s="1" t="s">
        <v>1753</v>
      </c>
      <c r="N1076" t="s">
        <v>1959</v>
      </c>
      <c r="O1076" t="s">
        <v>2164</v>
      </c>
      <c r="P1076" t="s">
        <v>3066</v>
      </c>
      <c r="Q1076">
        <v>116.48</v>
      </c>
      <c r="R1076" s="1" t="s">
        <v>1839</v>
      </c>
      <c r="S1076">
        <v>2380.9899999999998</v>
      </c>
      <c r="T1076">
        <v>277338</v>
      </c>
    </row>
    <row r="1077" spans="1:20" hidden="1" x14ac:dyDescent="0.4">
      <c r="A1077" s="1" t="s">
        <v>411</v>
      </c>
      <c r="B1077" s="1" t="s">
        <v>1456</v>
      </c>
      <c r="C1077" s="1" t="s">
        <v>1845</v>
      </c>
      <c r="D1077" s="1" t="s">
        <v>1731</v>
      </c>
      <c r="E1077">
        <v>20251204</v>
      </c>
      <c r="F1077" s="1" t="s">
        <v>1473</v>
      </c>
      <c r="G1077">
        <v>4</v>
      </c>
      <c r="H1077" s="1" t="s">
        <v>1494</v>
      </c>
      <c r="I1077" t="s">
        <v>1874</v>
      </c>
      <c r="J1077" s="1" t="s">
        <v>1453</v>
      </c>
      <c r="K1077" s="1" t="s">
        <v>1584</v>
      </c>
      <c r="L1077" s="1" t="s">
        <v>1718</v>
      </c>
      <c r="M1077" s="1" t="s">
        <v>1753</v>
      </c>
      <c r="N1077" t="s">
        <v>1959</v>
      </c>
      <c r="O1077" t="s">
        <v>2164</v>
      </c>
      <c r="P1077" t="s">
        <v>3066</v>
      </c>
      <c r="Q1077">
        <v>116.48</v>
      </c>
      <c r="R1077" s="1" t="s">
        <v>1839</v>
      </c>
      <c r="S1077">
        <v>2380.9899999999998</v>
      </c>
      <c r="T1077">
        <v>277338</v>
      </c>
    </row>
    <row r="1078" spans="1:20" hidden="1" x14ac:dyDescent="0.4">
      <c r="A1078" s="1" t="s">
        <v>411</v>
      </c>
      <c r="B1078" s="1" t="s">
        <v>1457</v>
      </c>
      <c r="C1078" s="1" t="s">
        <v>1845</v>
      </c>
      <c r="D1078" s="1" t="s">
        <v>1731</v>
      </c>
      <c r="E1078">
        <v>20251204</v>
      </c>
      <c r="F1078" s="1" t="s">
        <v>1473</v>
      </c>
      <c r="G1078">
        <v>4</v>
      </c>
      <c r="H1078" s="1" t="s">
        <v>1494</v>
      </c>
      <c r="I1078" t="s">
        <v>1874</v>
      </c>
      <c r="J1078" s="1" t="s">
        <v>1453</v>
      </c>
      <c r="K1078" s="1" t="s">
        <v>1584</v>
      </c>
      <c r="L1078" s="1" t="s">
        <v>1718</v>
      </c>
      <c r="M1078" s="1" t="s">
        <v>1753</v>
      </c>
      <c r="N1078" t="s">
        <v>1959</v>
      </c>
      <c r="O1078" t="s">
        <v>2164</v>
      </c>
      <c r="P1078" t="s">
        <v>3066</v>
      </c>
      <c r="Q1078">
        <v>94.27</v>
      </c>
      <c r="R1078" s="1" t="s">
        <v>1839</v>
      </c>
      <c r="S1078">
        <v>2380.9899999999998</v>
      </c>
      <c r="T1078">
        <v>224456</v>
      </c>
    </row>
    <row r="1079" spans="1:20" hidden="1" x14ac:dyDescent="0.4">
      <c r="A1079" s="1" t="s">
        <v>412</v>
      </c>
      <c r="B1079" s="1" t="s">
        <v>1453</v>
      </c>
      <c r="C1079" s="1" t="s">
        <v>1845</v>
      </c>
      <c r="D1079" s="1" t="s">
        <v>1462</v>
      </c>
      <c r="E1079">
        <v>20251204</v>
      </c>
      <c r="F1079" s="1" t="s">
        <v>1471</v>
      </c>
      <c r="G1079">
        <v>4</v>
      </c>
      <c r="H1079" s="1" t="s">
        <v>1498</v>
      </c>
      <c r="I1079" t="s">
        <v>1878</v>
      </c>
      <c r="J1079" s="1" t="s">
        <v>1460</v>
      </c>
      <c r="K1079" s="1" t="s">
        <v>1653</v>
      </c>
      <c r="L1079" s="1" t="s">
        <v>1731</v>
      </c>
      <c r="M1079" s="1" t="s">
        <v>1805</v>
      </c>
      <c r="N1079" t="s">
        <v>2037</v>
      </c>
      <c r="O1079" t="s">
        <v>2178</v>
      </c>
      <c r="P1079" t="s">
        <v>3166</v>
      </c>
      <c r="Q1079">
        <v>2000</v>
      </c>
      <c r="R1079" s="1" t="s">
        <v>1463</v>
      </c>
      <c r="S1079">
        <v>526</v>
      </c>
      <c r="T1079">
        <v>1052000</v>
      </c>
    </row>
    <row r="1080" spans="1:20" hidden="1" x14ac:dyDescent="0.4">
      <c r="A1080" s="1" t="s">
        <v>413</v>
      </c>
      <c r="B1080" s="1" t="s">
        <v>1453</v>
      </c>
      <c r="C1080" s="1" t="s">
        <v>1845</v>
      </c>
      <c r="D1080" s="1" t="s">
        <v>1731</v>
      </c>
      <c r="E1080">
        <v>20251208</v>
      </c>
      <c r="F1080" s="1" t="s">
        <v>1470</v>
      </c>
      <c r="G1080">
        <v>4</v>
      </c>
      <c r="H1080" s="1" t="s">
        <v>1490</v>
      </c>
      <c r="I1080" t="s">
        <v>1870</v>
      </c>
      <c r="J1080" s="1" t="s">
        <v>1456</v>
      </c>
      <c r="K1080" s="1" t="s">
        <v>1554</v>
      </c>
      <c r="L1080" s="1" t="s">
        <v>1729</v>
      </c>
      <c r="M1080" s="1" t="s">
        <v>1737</v>
      </c>
      <c r="N1080" t="s">
        <v>1926</v>
      </c>
      <c r="O1080" t="s">
        <v>2157</v>
      </c>
      <c r="P1080" t="s">
        <v>2157</v>
      </c>
      <c r="Q1080">
        <v>16</v>
      </c>
      <c r="R1080" s="1" t="s">
        <v>1718</v>
      </c>
      <c r="S1080">
        <v>9624.8700000000008</v>
      </c>
      <c r="T1080">
        <v>153998</v>
      </c>
    </row>
    <row r="1081" spans="1:20" hidden="1" x14ac:dyDescent="0.4">
      <c r="A1081" s="1" t="s">
        <v>414</v>
      </c>
      <c r="B1081" s="1" t="s">
        <v>1453</v>
      </c>
      <c r="C1081" s="1" t="s">
        <v>1845</v>
      </c>
      <c r="D1081" s="1" t="s">
        <v>1731</v>
      </c>
      <c r="E1081">
        <v>20251208</v>
      </c>
      <c r="F1081" s="1" t="s">
        <v>1470</v>
      </c>
      <c r="G1081">
        <v>4</v>
      </c>
      <c r="H1081" s="1" t="s">
        <v>1490</v>
      </c>
      <c r="I1081" t="s">
        <v>1870</v>
      </c>
      <c r="J1081" s="1" t="s">
        <v>1456</v>
      </c>
      <c r="K1081" s="1" t="s">
        <v>1558</v>
      </c>
      <c r="L1081" s="1" t="s">
        <v>1729</v>
      </c>
      <c r="M1081" s="1" t="s">
        <v>1737</v>
      </c>
      <c r="N1081" t="s">
        <v>1930</v>
      </c>
      <c r="O1081" t="s">
        <v>2157</v>
      </c>
      <c r="P1081" t="s">
        <v>2157</v>
      </c>
      <c r="Q1081">
        <v>21</v>
      </c>
      <c r="R1081" s="1" t="s">
        <v>1718</v>
      </c>
      <c r="S1081">
        <v>13524.47</v>
      </c>
      <c r="T1081">
        <v>284014</v>
      </c>
    </row>
    <row r="1082" spans="1:20" hidden="1" x14ac:dyDescent="0.4">
      <c r="A1082" s="1" t="s">
        <v>415</v>
      </c>
      <c r="B1082" s="1" t="s">
        <v>1453</v>
      </c>
      <c r="C1082" s="1" t="s">
        <v>1845</v>
      </c>
      <c r="D1082" s="1" t="s">
        <v>1462</v>
      </c>
      <c r="E1082">
        <v>20251205</v>
      </c>
      <c r="F1082" s="1" t="s">
        <v>1471</v>
      </c>
      <c r="G1082">
        <v>4</v>
      </c>
      <c r="H1082" s="1" t="s">
        <v>1491</v>
      </c>
      <c r="I1082" t="s">
        <v>1871</v>
      </c>
      <c r="J1082" s="1" t="s">
        <v>1460</v>
      </c>
      <c r="K1082" s="1" t="s">
        <v>1641</v>
      </c>
      <c r="L1082" s="1" t="s">
        <v>1730</v>
      </c>
      <c r="M1082" s="1" t="s">
        <v>1735</v>
      </c>
      <c r="N1082" t="s">
        <v>2022</v>
      </c>
      <c r="O1082" t="s">
        <v>2175</v>
      </c>
      <c r="P1082" t="s">
        <v>3151</v>
      </c>
      <c r="Q1082">
        <v>60</v>
      </c>
      <c r="R1082" s="1" t="s">
        <v>1718</v>
      </c>
      <c r="S1082">
        <v>1346</v>
      </c>
      <c r="T1082">
        <v>80760</v>
      </c>
    </row>
    <row r="1083" spans="1:20" hidden="1" x14ac:dyDescent="0.4">
      <c r="A1083" s="1" t="s">
        <v>415</v>
      </c>
      <c r="B1083" s="1" t="s">
        <v>1454</v>
      </c>
      <c r="C1083" s="1" t="s">
        <v>1845</v>
      </c>
      <c r="D1083" s="1" t="s">
        <v>1462</v>
      </c>
      <c r="E1083">
        <v>20251205</v>
      </c>
      <c r="F1083" s="1" t="s">
        <v>1471</v>
      </c>
      <c r="G1083">
        <v>4</v>
      </c>
      <c r="H1083" s="1" t="s">
        <v>1491</v>
      </c>
      <c r="I1083" t="s">
        <v>1871</v>
      </c>
      <c r="J1083" s="1" t="s">
        <v>1460</v>
      </c>
      <c r="K1083" s="1" t="s">
        <v>1642</v>
      </c>
      <c r="L1083" s="1" t="s">
        <v>1725</v>
      </c>
      <c r="M1083" s="1" t="s">
        <v>1737</v>
      </c>
      <c r="N1083" t="s">
        <v>2023</v>
      </c>
      <c r="O1083" t="s">
        <v>2157</v>
      </c>
      <c r="P1083" t="s">
        <v>2157</v>
      </c>
      <c r="Q1083">
        <v>3</v>
      </c>
      <c r="R1083" s="1" t="s">
        <v>1842</v>
      </c>
      <c r="S1083">
        <v>410</v>
      </c>
      <c r="T1083">
        <v>1230</v>
      </c>
    </row>
    <row r="1084" spans="1:20" hidden="1" x14ac:dyDescent="0.4">
      <c r="A1084" s="1" t="s">
        <v>416</v>
      </c>
      <c r="B1084" s="1" t="s">
        <v>1453</v>
      </c>
      <c r="C1084" s="1" t="s">
        <v>1845</v>
      </c>
      <c r="D1084" s="1" t="s">
        <v>1462</v>
      </c>
      <c r="E1084">
        <v>20251205</v>
      </c>
      <c r="F1084" s="1" t="s">
        <v>1471</v>
      </c>
      <c r="G1084">
        <v>4</v>
      </c>
      <c r="H1084" s="1" t="s">
        <v>1491</v>
      </c>
      <c r="I1084" t="s">
        <v>1871</v>
      </c>
      <c r="J1084" s="1" t="s">
        <v>1460</v>
      </c>
      <c r="K1084" s="1" t="s">
        <v>1641</v>
      </c>
      <c r="L1084" s="1" t="s">
        <v>1730</v>
      </c>
      <c r="M1084" s="1" t="s">
        <v>1768</v>
      </c>
      <c r="N1084" t="s">
        <v>2022</v>
      </c>
      <c r="O1084" t="s">
        <v>2175</v>
      </c>
      <c r="P1084" t="s">
        <v>3167</v>
      </c>
      <c r="Q1084">
        <v>300</v>
      </c>
      <c r="R1084" s="1" t="s">
        <v>1718</v>
      </c>
      <c r="S1084">
        <v>1432</v>
      </c>
      <c r="T1084">
        <v>429600</v>
      </c>
    </row>
    <row r="1085" spans="1:20" hidden="1" x14ac:dyDescent="0.4">
      <c r="A1085" s="1" t="s">
        <v>416</v>
      </c>
      <c r="B1085" s="1" t="s">
        <v>1454</v>
      </c>
      <c r="C1085" s="1" t="s">
        <v>1845</v>
      </c>
      <c r="D1085" s="1" t="s">
        <v>1462</v>
      </c>
      <c r="E1085">
        <v>20251205</v>
      </c>
      <c r="F1085" s="1" t="s">
        <v>1471</v>
      </c>
      <c r="G1085">
        <v>4</v>
      </c>
      <c r="H1085" s="1" t="s">
        <v>1491</v>
      </c>
      <c r="I1085" t="s">
        <v>1871</v>
      </c>
      <c r="J1085" s="1" t="s">
        <v>1460</v>
      </c>
      <c r="K1085" s="1" t="s">
        <v>1642</v>
      </c>
      <c r="L1085" s="1" t="s">
        <v>1725</v>
      </c>
      <c r="M1085" s="1" t="s">
        <v>1737</v>
      </c>
      <c r="N1085" t="s">
        <v>2023</v>
      </c>
      <c r="O1085" t="s">
        <v>2157</v>
      </c>
      <c r="P1085" t="s">
        <v>2157</v>
      </c>
      <c r="Q1085">
        <v>10</v>
      </c>
      <c r="R1085" s="1" t="s">
        <v>1842</v>
      </c>
      <c r="S1085">
        <v>880</v>
      </c>
      <c r="T1085">
        <v>8800</v>
      </c>
    </row>
    <row r="1086" spans="1:20" hidden="1" x14ac:dyDescent="0.4">
      <c r="A1086" s="1" t="s">
        <v>417</v>
      </c>
      <c r="B1086" s="1" t="s">
        <v>1453</v>
      </c>
      <c r="C1086" s="1" t="s">
        <v>1845</v>
      </c>
      <c r="D1086" s="1" t="s">
        <v>1731</v>
      </c>
      <c r="E1086">
        <v>20251205</v>
      </c>
      <c r="F1086" s="1" t="s">
        <v>1473</v>
      </c>
      <c r="G1086">
        <v>4</v>
      </c>
      <c r="H1086" s="1" t="s">
        <v>1494</v>
      </c>
      <c r="I1086" t="s">
        <v>1874</v>
      </c>
      <c r="J1086" s="1" t="s">
        <v>1453</v>
      </c>
      <c r="K1086" s="1" t="s">
        <v>1585</v>
      </c>
      <c r="L1086" s="1" t="s">
        <v>1718</v>
      </c>
      <c r="M1086" s="1" t="s">
        <v>1754</v>
      </c>
      <c r="N1086" t="s">
        <v>1960</v>
      </c>
      <c r="O1086" t="s">
        <v>2164</v>
      </c>
      <c r="P1086" t="s">
        <v>3067</v>
      </c>
      <c r="Q1086">
        <v>120.12</v>
      </c>
      <c r="R1086" s="1" t="s">
        <v>1839</v>
      </c>
      <c r="S1086">
        <v>2851.99</v>
      </c>
      <c r="T1086">
        <v>342582</v>
      </c>
    </row>
    <row r="1087" spans="1:20" hidden="1" x14ac:dyDescent="0.4">
      <c r="A1087" s="1" t="s">
        <v>417</v>
      </c>
      <c r="B1087" s="1" t="s">
        <v>1454</v>
      </c>
      <c r="C1087" s="1" t="s">
        <v>1845</v>
      </c>
      <c r="D1087" s="1" t="s">
        <v>1731</v>
      </c>
      <c r="E1087">
        <v>20251205</v>
      </c>
      <c r="F1087" s="1" t="s">
        <v>1473</v>
      </c>
      <c r="G1087">
        <v>4</v>
      </c>
      <c r="H1087" s="1" t="s">
        <v>1494</v>
      </c>
      <c r="I1087" t="s">
        <v>1874</v>
      </c>
      <c r="J1087" s="1" t="s">
        <v>1453</v>
      </c>
      <c r="K1087" s="1" t="s">
        <v>1585</v>
      </c>
      <c r="L1087" s="1" t="s">
        <v>1718</v>
      </c>
      <c r="M1087" s="1" t="s">
        <v>1754</v>
      </c>
      <c r="N1087" t="s">
        <v>1960</v>
      </c>
      <c r="O1087" t="s">
        <v>2164</v>
      </c>
      <c r="P1087" t="s">
        <v>3067</v>
      </c>
      <c r="Q1087">
        <v>120.12</v>
      </c>
      <c r="R1087" s="1" t="s">
        <v>1839</v>
      </c>
      <c r="S1087">
        <v>2851.99</v>
      </c>
      <c r="T1087">
        <v>342582</v>
      </c>
    </row>
    <row r="1088" spans="1:20" hidden="1" x14ac:dyDescent="0.4">
      <c r="A1088" s="1" t="s">
        <v>417</v>
      </c>
      <c r="B1088" s="1" t="s">
        <v>1455</v>
      </c>
      <c r="C1088" s="1" t="s">
        <v>1845</v>
      </c>
      <c r="D1088" s="1" t="s">
        <v>1731</v>
      </c>
      <c r="E1088">
        <v>20251205</v>
      </c>
      <c r="F1088" s="1" t="s">
        <v>1473</v>
      </c>
      <c r="G1088">
        <v>4</v>
      </c>
      <c r="H1088" s="1" t="s">
        <v>1494</v>
      </c>
      <c r="I1088" t="s">
        <v>1874</v>
      </c>
      <c r="J1088" s="1" t="s">
        <v>1453</v>
      </c>
      <c r="K1088" s="1" t="s">
        <v>1585</v>
      </c>
      <c r="L1088" s="1" t="s">
        <v>1718</v>
      </c>
      <c r="M1088" s="1" t="s">
        <v>1754</v>
      </c>
      <c r="N1088" t="s">
        <v>1960</v>
      </c>
      <c r="O1088" t="s">
        <v>2164</v>
      </c>
      <c r="P1088" t="s">
        <v>3067</v>
      </c>
      <c r="Q1088">
        <v>115.75</v>
      </c>
      <c r="R1088" s="1" t="s">
        <v>1839</v>
      </c>
      <c r="S1088">
        <v>2852</v>
      </c>
      <c r="T1088">
        <v>330119</v>
      </c>
    </row>
    <row r="1089" spans="1:20" hidden="1" x14ac:dyDescent="0.4">
      <c r="A1089" s="1" t="s">
        <v>417</v>
      </c>
      <c r="B1089" s="1" t="s">
        <v>1456</v>
      </c>
      <c r="C1089" s="1" t="s">
        <v>1845</v>
      </c>
      <c r="D1089" s="1" t="s">
        <v>1731</v>
      </c>
      <c r="E1089">
        <v>20251205</v>
      </c>
      <c r="F1089" s="1" t="s">
        <v>1473</v>
      </c>
      <c r="G1089">
        <v>4</v>
      </c>
      <c r="H1089" s="1" t="s">
        <v>1494</v>
      </c>
      <c r="I1089" t="s">
        <v>1874</v>
      </c>
      <c r="J1089" s="1" t="s">
        <v>1453</v>
      </c>
      <c r="K1089" s="1" t="s">
        <v>1585</v>
      </c>
      <c r="L1089" s="1" t="s">
        <v>1718</v>
      </c>
      <c r="M1089" s="1" t="s">
        <v>1754</v>
      </c>
      <c r="N1089" t="s">
        <v>1960</v>
      </c>
      <c r="O1089" t="s">
        <v>2164</v>
      </c>
      <c r="P1089" t="s">
        <v>3067</v>
      </c>
      <c r="Q1089">
        <v>101.92</v>
      </c>
      <c r="R1089" s="1" t="s">
        <v>1839</v>
      </c>
      <c r="S1089">
        <v>2851.99</v>
      </c>
      <c r="T1089">
        <v>290675</v>
      </c>
    </row>
    <row r="1090" spans="1:20" hidden="1" x14ac:dyDescent="0.4">
      <c r="A1090" s="1" t="s">
        <v>417</v>
      </c>
      <c r="B1090" s="1" t="s">
        <v>1457</v>
      </c>
      <c r="C1090" s="1" t="s">
        <v>1845</v>
      </c>
      <c r="D1090" s="1" t="s">
        <v>1731</v>
      </c>
      <c r="E1090">
        <v>20251205</v>
      </c>
      <c r="F1090" s="1" t="s">
        <v>1473</v>
      </c>
      <c r="G1090">
        <v>4</v>
      </c>
      <c r="H1090" s="1" t="s">
        <v>1494</v>
      </c>
      <c r="I1090" t="s">
        <v>1874</v>
      </c>
      <c r="J1090" s="1" t="s">
        <v>1453</v>
      </c>
      <c r="K1090" s="1" t="s">
        <v>1585</v>
      </c>
      <c r="L1090" s="1" t="s">
        <v>1718</v>
      </c>
      <c r="M1090" s="1" t="s">
        <v>1754</v>
      </c>
      <c r="N1090" t="s">
        <v>1960</v>
      </c>
      <c r="O1090" t="s">
        <v>2164</v>
      </c>
      <c r="P1090" t="s">
        <v>3067</v>
      </c>
      <c r="Q1090">
        <v>101.92</v>
      </c>
      <c r="R1090" s="1" t="s">
        <v>1839</v>
      </c>
      <c r="S1090">
        <v>2851.99</v>
      </c>
      <c r="T1090">
        <v>290675</v>
      </c>
    </row>
    <row r="1091" spans="1:20" hidden="1" x14ac:dyDescent="0.4">
      <c r="A1091" s="1" t="s">
        <v>417</v>
      </c>
      <c r="B1091" s="1" t="s">
        <v>1458</v>
      </c>
      <c r="C1091" s="1" t="s">
        <v>1845</v>
      </c>
      <c r="D1091" s="1" t="s">
        <v>1731</v>
      </c>
      <c r="E1091">
        <v>20251205</v>
      </c>
      <c r="F1091" s="1" t="s">
        <v>1473</v>
      </c>
      <c r="G1091">
        <v>4</v>
      </c>
      <c r="H1091" s="1" t="s">
        <v>1494</v>
      </c>
      <c r="I1091" t="s">
        <v>1874</v>
      </c>
      <c r="J1091" s="1" t="s">
        <v>1453</v>
      </c>
      <c r="K1091" s="1" t="s">
        <v>1585</v>
      </c>
      <c r="L1091" s="1" t="s">
        <v>1718</v>
      </c>
      <c r="M1091" s="1" t="s">
        <v>1754</v>
      </c>
      <c r="N1091" t="s">
        <v>1960</v>
      </c>
      <c r="O1091" t="s">
        <v>2164</v>
      </c>
      <c r="P1091" t="s">
        <v>3067</v>
      </c>
      <c r="Q1091">
        <v>97.18</v>
      </c>
      <c r="R1091" s="1" t="s">
        <v>1839</v>
      </c>
      <c r="S1091">
        <v>2851.99</v>
      </c>
      <c r="T1091">
        <v>277157</v>
      </c>
    </row>
    <row r="1092" spans="1:20" hidden="1" x14ac:dyDescent="0.4">
      <c r="A1092" s="1" t="s">
        <v>417</v>
      </c>
      <c r="B1092" s="1" t="s">
        <v>1459</v>
      </c>
      <c r="C1092" s="1" t="s">
        <v>1845</v>
      </c>
      <c r="D1092" s="1" t="s">
        <v>1731</v>
      </c>
      <c r="E1092">
        <v>20251205</v>
      </c>
      <c r="F1092" s="1" t="s">
        <v>1473</v>
      </c>
      <c r="G1092">
        <v>4</v>
      </c>
      <c r="H1092" s="1" t="s">
        <v>1494</v>
      </c>
      <c r="I1092" t="s">
        <v>1874</v>
      </c>
      <c r="J1092" s="1" t="s">
        <v>1453</v>
      </c>
      <c r="K1092" s="1" t="s">
        <v>1585</v>
      </c>
      <c r="L1092" s="1" t="s">
        <v>1718</v>
      </c>
      <c r="M1092" s="1" t="s">
        <v>1754</v>
      </c>
      <c r="N1092" t="s">
        <v>1960</v>
      </c>
      <c r="O1092" t="s">
        <v>2164</v>
      </c>
      <c r="P1092" t="s">
        <v>3067</v>
      </c>
      <c r="Q1092">
        <v>36.4</v>
      </c>
      <c r="R1092" s="1" t="s">
        <v>1839</v>
      </c>
      <c r="S1092">
        <v>2851.97</v>
      </c>
      <c r="T1092">
        <v>103812</v>
      </c>
    </row>
    <row r="1093" spans="1:20" hidden="1" x14ac:dyDescent="0.4">
      <c r="A1093" s="1" t="s">
        <v>417</v>
      </c>
      <c r="B1093" s="1" t="s">
        <v>1460</v>
      </c>
      <c r="C1093" s="1" t="s">
        <v>1845</v>
      </c>
      <c r="D1093" s="1" t="s">
        <v>1731</v>
      </c>
      <c r="E1093">
        <v>20251205</v>
      </c>
      <c r="F1093" s="1" t="s">
        <v>1473</v>
      </c>
      <c r="G1093">
        <v>4</v>
      </c>
      <c r="H1093" s="1" t="s">
        <v>1494</v>
      </c>
      <c r="I1093" t="s">
        <v>1874</v>
      </c>
      <c r="J1093" s="1" t="s">
        <v>1453</v>
      </c>
      <c r="K1093" s="1" t="s">
        <v>1585</v>
      </c>
      <c r="L1093" s="1" t="s">
        <v>1718</v>
      </c>
      <c r="M1093" s="1" t="s">
        <v>1754</v>
      </c>
      <c r="N1093" t="s">
        <v>1960</v>
      </c>
      <c r="O1093" t="s">
        <v>2164</v>
      </c>
      <c r="P1093" t="s">
        <v>3067</v>
      </c>
      <c r="Q1093">
        <v>21.84</v>
      </c>
      <c r="R1093" s="1" t="s">
        <v>1839</v>
      </c>
      <c r="S1093">
        <v>2851.96</v>
      </c>
      <c r="T1093">
        <v>62287</v>
      </c>
    </row>
    <row r="1094" spans="1:20" hidden="1" x14ac:dyDescent="0.4">
      <c r="A1094" s="1" t="s">
        <v>417</v>
      </c>
      <c r="B1094" s="1" t="s">
        <v>1461</v>
      </c>
      <c r="C1094" s="1" t="s">
        <v>1845</v>
      </c>
      <c r="D1094" s="1" t="s">
        <v>1731</v>
      </c>
      <c r="E1094">
        <v>20251205</v>
      </c>
      <c r="F1094" s="1" t="s">
        <v>1473</v>
      </c>
      <c r="G1094">
        <v>4</v>
      </c>
      <c r="H1094" s="1" t="s">
        <v>1494</v>
      </c>
      <c r="I1094" t="s">
        <v>1874</v>
      </c>
      <c r="J1094" s="1" t="s">
        <v>1453</v>
      </c>
      <c r="K1094" s="1" t="s">
        <v>1585</v>
      </c>
      <c r="L1094" s="1" t="s">
        <v>1718</v>
      </c>
      <c r="M1094" s="1" t="s">
        <v>1754</v>
      </c>
      <c r="N1094" t="s">
        <v>1960</v>
      </c>
      <c r="O1094" t="s">
        <v>2164</v>
      </c>
      <c r="P1094" t="s">
        <v>3067</v>
      </c>
      <c r="Q1094">
        <v>123.76</v>
      </c>
      <c r="R1094" s="1" t="s">
        <v>1839</v>
      </c>
      <c r="S1094">
        <v>2851.99</v>
      </c>
      <c r="T1094">
        <v>352963</v>
      </c>
    </row>
    <row r="1095" spans="1:20" hidden="1" x14ac:dyDescent="0.4">
      <c r="A1095" s="1" t="s">
        <v>417</v>
      </c>
      <c r="B1095" s="1" t="s">
        <v>1462</v>
      </c>
      <c r="C1095" s="1" t="s">
        <v>1845</v>
      </c>
      <c r="D1095" s="1" t="s">
        <v>1731</v>
      </c>
      <c r="E1095">
        <v>20251205</v>
      </c>
      <c r="F1095" s="1" t="s">
        <v>1473</v>
      </c>
      <c r="G1095">
        <v>4</v>
      </c>
      <c r="H1095" s="1" t="s">
        <v>1494</v>
      </c>
      <c r="I1095" t="s">
        <v>1874</v>
      </c>
      <c r="J1095" s="1" t="s">
        <v>1453</v>
      </c>
      <c r="K1095" s="1" t="s">
        <v>1585</v>
      </c>
      <c r="L1095" s="1" t="s">
        <v>1718</v>
      </c>
      <c r="M1095" s="1" t="s">
        <v>1754</v>
      </c>
      <c r="N1095" t="s">
        <v>1960</v>
      </c>
      <c r="O1095" t="s">
        <v>2164</v>
      </c>
      <c r="P1095" t="s">
        <v>3067</v>
      </c>
      <c r="Q1095">
        <v>123.76</v>
      </c>
      <c r="R1095" s="1" t="s">
        <v>1839</v>
      </c>
      <c r="S1095">
        <v>2851.99</v>
      </c>
      <c r="T1095">
        <v>352963</v>
      </c>
    </row>
    <row r="1096" spans="1:20" hidden="1" x14ac:dyDescent="0.4">
      <c r="A1096" s="1" t="s">
        <v>417</v>
      </c>
      <c r="B1096" s="1" t="s">
        <v>1463</v>
      </c>
      <c r="C1096" s="1" t="s">
        <v>1845</v>
      </c>
      <c r="D1096" s="1" t="s">
        <v>1731</v>
      </c>
      <c r="E1096">
        <v>20251205</v>
      </c>
      <c r="F1096" s="1" t="s">
        <v>1473</v>
      </c>
      <c r="G1096">
        <v>4</v>
      </c>
      <c r="H1096" s="1" t="s">
        <v>1494</v>
      </c>
      <c r="I1096" t="s">
        <v>1874</v>
      </c>
      <c r="J1096" s="1" t="s">
        <v>1453</v>
      </c>
      <c r="K1096" s="1" t="s">
        <v>1585</v>
      </c>
      <c r="L1096" s="1" t="s">
        <v>1718</v>
      </c>
      <c r="M1096" s="1" t="s">
        <v>1754</v>
      </c>
      <c r="N1096" t="s">
        <v>1960</v>
      </c>
      <c r="O1096" t="s">
        <v>2164</v>
      </c>
      <c r="P1096" t="s">
        <v>3067</v>
      </c>
      <c r="Q1096">
        <v>123.76</v>
      </c>
      <c r="R1096" s="1" t="s">
        <v>1839</v>
      </c>
      <c r="S1096">
        <v>2851.99</v>
      </c>
      <c r="T1096">
        <v>352963</v>
      </c>
    </row>
    <row r="1097" spans="1:20" hidden="1" x14ac:dyDescent="0.4">
      <c r="A1097" s="1" t="s">
        <v>418</v>
      </c>
      <c r="B1097" s="1" t="s">
        <v>1453</v>
      </c>
      <c r="C1097" s="1" t="s">
        <v>1845</v>
      </c>
      <c r="D1097" s="1" t="s">
        <v>1731</v>
      </c>
      <c r="E1097">
        <v>20251205</v>
      </c>
      <c r="F1097" s="1" t="s">
        <v>1473</v>
      </c>
      <c r="G1097">
        <v>4</v>
      </c>
      <c r="H1097" s="1" t="s">
        <v>1494</v>
      </c>
      <c r="I1097" t="s">
        <v>1874</v>
      </c>
      <c r="J1097" s="1" t="s">
        <v>1453</v>
      </c>
      <c r="K1097" s="1" t="s">
        <v>1585</v>
      </c>
      <c r="L1097" s="1" t="s">
        <v>1718</v>
      </c>
      <c r="M1097" s="1" t="s">
        <v>1754</v>
      </c>
      <c r="N1097" t="s">
        <v>1960</v>
      </c>
      <c r="O1097" t="s">
        <v>2164</v>
      </c>
      <c r="P1097" t="s">
        <v>3067</v>
      </c>
      <c r="Q1097">
        <v>115.75</v>
      </c>
      <c r="R1097" s="1" t="s">
        <v>1839</v>
      </c>
      <c r="S1097">
        <v>2852</v>
      </c>
      <c r="T1097">
        <v>330119</v>
      </c>
    </row>
    <row r="1098" spans="1:20" hidden="1" x14ac:dyDescent="0.4">
      <c r="A1098" s="1" t="s">
        <v>419</v>
      </c>
      <c r="B1098" s="1" t="s">
        <v>1453</v>
      </c>
      <c r="C1098" s="1" t="s">
        <v>1845</v>
      </c>
      <c r="D1098" s="1" t="s">
        <v>1462</v>
      </c>
      <c r="E1098">
        <v>20251205</v>
      </c>
      <c r="F1098" s="1" t="s">
        <v>1473</v>
      </c>
      <c r="G1098">
        <v>1</v>
      </c>
      <c r="H1098" s="1" t="s">
        <v>1493</v>
      </c>
      <c r="I1098" t="s">
        <v>1873</v>
      </c>
      <c r="J1098" s="1" t="s">
        <v>1453</v>
      </c>
      <c r="K1098" s="1" t="s">
        <v>1601</v>
      </c>
      <c r="L1098" s="1" t="s">
        <v>1716</v>
      </c>
      <c r="M1098" s="1" t="s">
        <v>1763</v>
      </c>
      <c r="N1098" t="s">
        <v>1976</v>
      </c>
      <c r="O1098" t="s">
        <v>2162</v>
      </c>
      <c r="P1098" t="s">
        <v>3101</v>
      </c>
      <c r="Q1098">
        <v>2318.6</v>
      </c>
      <c r="R1098" s="1" t="s">
        <v>1463</v>
      </c>
      <c r="S1098">
        <v>560</v>
      </c>
      <c r="T1098">
        <v>1298416</v>
      </c>
    </row>
    <row r="1099" spans="1:20" hidden="1" x14ac:dyDescent="0.4">
      <c r="A1099" s="1" t="s">
        <v>420</v>
      </c>
      <c r="B1099" s="1" t="s">
        <v>1453</v>
      </c>
      <c r="C1099" s="1" t="s">
        <v>1845</v>
      </c>
      <c r="D1099" s="1" t="s">
        <v>1731</v>
      </c>
      <c r="E1099">
        <v>20251205</v>
      </c>
      <c r="F1099" s="1" t="s">
        <v>1473</v>
      </c>
      <c r="G1099">
        <v>4</v>
      </c>
      <c r="H1099" s="1" t="s">
        <v>1494</v>
      </c>
      <c r="I1099" t="s">
        <v>1874</v>
      </c>
      <c r="J1099" s="1" t="s">
        <v>1453</v>
      </c>
      <c r="K1099" s="1" t="s">
        <v>1586</v>
      </c>
      <c r="L1099" s="1" t="s">
        <v>1718</v>
      </c>
      <c r="M1099" s="1" t="s">
        <v>1755</v>
      </c>
      <c r="N1099" t="s">
        <v>1961</v>
      </c>
      <c r="O1099" t="s">
        <v>2164</v>
      </c>
      <c r="P1099" t="s">
        <v>3068</v>
      </c>
      <c r="Q1099">
        <v>127.4</v>
      </c>
      <c r="R1099" s="1" t="s">
        <v>1839</v>
      </c>
      <c r="S1099">
        <v>1980.99</v>
      </c>
      <c r="T1099">
        <v>252379</v>
      </c>
    </row>
    <row r="1100" spans="1:20" hidden="1" x14ac:dyDescent="0.4">
      <c r="A1100" s="1" t="s">
        <v>420</v>
      </c>
      <c r="B1100" s="1" t="s">
        <v>1454</v>
      </c>
      <c r="C1100" s="1" t="s">
        <v>1845</v>
      </c>
      <c r="D1100" s="1" t="s">
        <v>1731</v>
      </c>
      <c r="E1100">
        <v>20251205</v>
      </c>
      <c r="F1100" s="1" t="s">
        <v>1473</v>
      </c>
      <c r="G1100">
        <v>4</v>
      </c>
      <c r="H1100" s="1" t="s">
        <v>1494</v>
      </c>
      <c r="I1100" t="s">
        <v>1874</v>
      </c>
      <c r="J1100" s="1" t="s">
        <v>1453</v>
      </c>
      <c r="K1100" s="1" t="s">
        <v>1586</v>
      </c>
      <c r="L1100" s="1" t="s">
        <v>1718</v>
      </c>
      <c r="M1100" s="1" t="s">
        <v>1755</v>
      </c>
      <c r="N1100" t="s">
        <v>1961</v>
      </c>
      <c r="O1100" t="s">
        <v>2164</v>
      </c>
      <c r="P1100" t="s">
        <v>3068</v>
      </c>
      <c r="Q1100">
        <v>127.4</v>
      </c>
      <c r="R1100" s="1" t="s">
        <v>1839</v>
      </c>
      <c r="S1100">
        <v>1980.99</v>
      </c>
      <c r="T1100">
        <v>252379</v>
      </c>
    </row>
    <row r="1101" spans="1:20" hidden="1" x14ac:dyDescent="0.4">
      <c r="A1101" s="1" t="s">
        <v>420</v>
      </c>
      <c r="B1101" s="1" t="s">
        <v>1455</v>
      </c>
      <c r="C1101" s="1" t="s">
        <v>1845</v>
      </c>
      <c r="D1101" s="1" t="s">
        <v>1731</v>
      </c>
      <c r="E1101">
        <v>20251205</v>
      </c>
      <c r="F1101" s="1" t="s">
        <v>1473</v>
      </c>
      <c r="G1101">
        <v>4</v>
      </c>
      <c r="H1101" s="1" t="s">
        <v>1494</v>
      </c>
      <c r="I1101" t="s">
        <v>1874</v>
      </c>
      <c r="J1101" s="1" t="s">
        <v>1453</v>
      </c>
      <c r="K1101" s="1" t="s">
        <v>1586</v>
      </c>
      <c r="L1101" s="1" t="s">
        <v>1718</v>
      </c>
      <c r="M1101" s="1" t="s">
        <v>1755</v>
      </c>
      <c r="N1101" t="s">
        <v>1961</v>
      </c>
      <c r="O1101" t="s">
        <v>2164</v>
      </c>
      <c r="P1101" t="s">
        <v>3068</v>
      </c>
      <c r="Q1101">
        <v>127.4</v>
      </c>
      <c r="R1101" s="1" t="s">
        <v>1839</v>
      </c>
      <c r="S1101">
        <v>1980.99</v>
      </c>
      <c r="T1101">
        <v>252379</v>
      </c>
    </row>
    <row r="1102" spans="1:20" hidden="1" x14ac:dyDescent="0.4">
      <c r="A1102" s="1" t="s">
        <v>420</v>
      </c>
      <c r="B1102" s="1" t="s">
        <v>1456</v>
      </c>
      <c r="C1102" s="1" t="s">
        <v>1845</v>
      </c>
      <c r="D1102" s="1" t="s">
        <v>1731</v>
      </c>
      <c r="E1102">
        <v>20251205</v>
      </c>
      <c r="F1102" s="1" t="s">
        <v>1473</v>
      </c>
      <c r="G1102">
        <v>4</v>
      </c>
      <c r="H1102" s="1" t="s">
        <v>1494</v>
      </c>
      <c r="I1102" t="s">
        <v>1874</v>
      </c>
      <c r="J1102" s="1" t="s">
        <v>1453</v>
      </c>
      <c r="K1102" s="1" t="s">
        <v>1586</v>
      </c>
      <c r="L1102" s="1" t="s">
        <v>1718</v>
      </c>
      <c r="M1102" s="1" t="s">
        <v>1755</v>
      </c>
      <c r="N1102" t="s">
        <v>1961</v>
      </c>
      <c r="O1102" t="s">
        <v>2164</v>
      </c>
      <c r="P1102" t="s">
        <v>3068</v>
      </c>
      <c r="Q1102">
        <v>115.02</v>
      </c>
      <c r="R1102" s="1" t="s">
        <v>1839</v>
      </c>
      <c r="S1102">
        <v>1980.99</v>
      </c>
      <c r="T1102">
        <v>227854</v>
      </c>
    </row>
    <row r="1103" spans="1:20" hidden="1" x14ac:dyDescent="0.4">
      <c r="A1103" s="1" t="s">
        <v>421</v>
      </c>
      <c r="B1103" s="1" t="s">
        <v>1453</v>
      </c>
      <c r="C1103" s="1" t="s">
        <v>1845</v>
      </c>
      <c r="D1103" s="1" t="s">
        <v>1731</v>
      </c>
      <c r="E1103">
        <v>20251205</v>
      </c>
      <c r="F1103" s="1" t="s">
        <v>1473</v>
      </c>
      <c r="G1103">
        <v>4</v>
      </c>
      <c r="H1103" s="1" t="s">
        <v>1494</v>
      </c>
      <c r="I1103" t="s">
        <v>1874</v>
      </c>
      <c r="J1103" s="1" t="s">
        <v>1453</v>
      </c>
      <c r="K1103" s="1" t="s">
        <v>1586</v>
      </c>
      <c r="L1103" s="1" t="s">
        <v>1718</v>
      </c>
      <c r="M1103" s="1" t="s">
        <v>1756</v>
      </c>
      <c r="N1103" t="s">
        <v>1961</v>
      </c>
      <c r="O1103" t="s">
        <v>2164</v>
      </c>
      <c r="P1103" t="s">
        <v>3069</v>
      </c>
      <c r="Q1103">
        <v>120.12</v>
      </c>
      <c r="R1103" s="1" t="s">
        <v>1839</v>
      </c>
      <c r="S1103">
        <v>1980.99</v>
      </c>
      <c r="T1103">
        <v>237957</v>
      </c>
    </row>
    <row r="1104" spans="1:20" hidden="1" x14ac:dyDescent="0.4">
      <c r="A1104" s="1" t="s">
        <v>421</v>
      </c>
      <c r="B1104" s="1" t="s">
        <v>1454</v>
      </c>
      <c r="C1104" s="1" t="s">
        <v>1845</v>
      </c>
      <c r="D1104" s="1" t="s">
        <v>1731</v>
      </c>
      <c r="E1104">
        <v>20251205</v>
      </c>
      <c r="F1104" s="1" t="s">
        <v>1473</v>
      </c>
      <c r="G1104">
        <v>4</v>
      </c>
      <c r="H1104" s="1" t="s">
        <v>1494</v>
      </c>
      <c r="I1104" t="s">
        <v>1874</v>
      </c>
      <c r="J1104" s="1" t="s">
        <v>1453</v>
      </c>
      <c r="K1104" s="1" t="s">
        <v>1586</v>
      </c>
      <c r="L1104" s="1" t="s">
        <v>1718</v>
      </c>
      <c r="M1104" s="1" t="s">
        <v>1756</v>
      </c>
      <c r="N1104" t="s">
        <v>1961</v>
      </c>
      <c r="O1104" t="s">
        <v>2164</v>
      </c>
      <c r="P1104" t="s">
        <v>3069</v>
      </c>
      <c r="Q1104">
        <v>120.12</v>
      </c>
      <c r="R1104" s="1" t="s">
        <v>1839</v>
      </c>
      <c r="S1104">
        <v>1980.99</v>
      </c>
      <c r="T1104">
        <v>237957</v>
      </c>
    </row>
    <row r="1105" spans="1:20" hidden="1" x14ac:dyDescent="0.4">
      <c r="A1105" s="1" t="s">
        <v>421</v>
      </c>
      <c r="B1105" s="1" t="s">
        <v>1455</v>
      </c>
      <c r="C1105" s="1" t="s">
        <v>1845</v>
      </c>
      <c r="D1105" s="1" t="s">
        <v>1731</v>
      </c>
      <c r="E1105">
        <v>20251205</v>
      </c>
      <c r="F1105" s="1" t="s">
        <v>1473</v>
      </c>
      <c r="G1105">
        <v>4</v>
      </c>
      <c r="H1105" s="1" t="s">
        <v>1494</v>
      </c>
      <c r="I1105" t="s">
        <v>1874</v>
      </c>
      <c r="J1105" s="1" t="s">
        <v>1453</v>
      </c>
      <c r="K1105" s="1" t="s">
        <v>1586</v>
      </c>
      <c r="L1105" s="1" t="s">
        <v>1718</v>
      </c>
      <c r="M1105" s="1" t="s">
        <v>1756</v>
      </c>
      <c r="N1105" t="s">
        <v>1961</v>
      </c>
      <c r="O1105" t="s">
        <v>2164</v>
      </c>
      <c r="P1105" t="s">
        <v>3069</v>
      </c>
      <c r="Q1105">
        <v>120.12</v>
      </c>
      <c r="R1105" s="1" t="s">
        <v>1839</v>
      </c>
      <c r="S1105">
        <v>1980.99</v>
      </c>
      <c r="T1105">
        <v>237957</v>
      </c>
    </row>
    <row r="1106" spans="1:20" hidden="1" x14ac:dyDescent="0.4">
      <c r="A1106" s="1" t="s">
        <v>421</v>
      </c>
      <c r="B1106" s="1" t="s">
        <v>1456</v>
      </c>
      <c r="C1106" s="1" t="s">
        <v>1845</v>
      </c>
      <c r="D1106" s="1" t="s">
        <v>1731</v>
      </c>
      <c r="E1106">
        <v>20251205</v>
      </c>
      <c r="F1106" s="1" t="s">
        <v>1473</v>
      </c>
      <c r="G1106">
        <v>4</v>
      </c>
      <c r="H1106" s="1" t="s">
        <v>1494</v>
      </c>
      <c r="I1106" t="s">
        <v>1874</v>
      </c>
      <c r="J1106" s="1" t="s">
        <v>1453</v>
      </c>
      <c r="K1106" s="1" t="s">
        <v>1586</v>
      </c>
      <c r="L1106" s="1" t="s">
        <v>1718</v>
      </c>
      <c r="M1106" s="1" t="s">
        <v>1756</v>
      </c>
      <c r="N1106" t="s">
        <v>1961</v>
      </c>
      <c r="O1106" t="s">
        <v>2164</v>
      </c>
      <c r="P1106" t="s">
        <v>3069</v>
      </c>
      <c r="Q1106">
        <v>113.56</v>
      </c>
      <c r="R1106" s="1" t="s">
        <v>1839</v>
      </c>
      <c r="S1106">
        <v>1980.99</v>
      </c>
      <c r="T1106">
        <v>224962</v>
      </c>
    </row>
    <row r="1107" spans="1:20" hidden="1" x14ac:dyDescent="0.4">
      <c r="A1107" s="1" t="s">
        <v>422</v>
      </c>
      <c r="B1107" s="1" t="s">
        <v>1453</v>
      </c>
      <c r="C1107" s="1" t="s">
        <v>1845</v>
      </c>
      <c r="D1107" s="1" t="s">
        <v>1731</v>
      </c>
      <c r="E1107">
        <v>20251205</v>
      </c>
      <c r="F1107" s="1" t="s">
        <v>1473</v>
      </c>
      <c r="G1107">
        <v>4</v>
      </c>
      <c r="H1107" s="1" t="s">
        <v>1494</v>
      </c>
      <c r="I1107" t="s">
        <v>1874</v>
      </c>
      <c r="J1107" s="1" t="s">
        <v>1453</v>
      </c>
      <c r="K1107" s="1" t="s">
        <v>1656</v>
      </c>
      <c r="L1107" s="1" t="s">
        <v>1725</v>
      </c>
      <c r="M1107" s="1" t="s">
        <v>1737</v>
      </c>
      <c r="N1107" t="s">
        <v>2041</v>
      </c>
      <c r="O1107" t="s">
        <v>2157</v>
      </c>
      <c r="P1107" t="s">
        <v>3168</v>
      </c>
      <c r="Q1107">
        <v>5</v>
      </c>
      <c r="R1107" s="1" t="s">
        <v>1463</v>
      </c>
      <c r="S1107">
        <v>1595</v>
      </c>
      <c r="T1107">
        <v>7975</v>
      </c>
    </row>
    <row r="1108" spans="1:20" hidden="1" x14ac:dyDescent="0.4">
      <c r="A1108" s="1" t="s">
        <v>422</v>
      </c>
      <c r="B1108" s="1" t="s">
        <v>1454</v>
      </c>
      <c r="C1108" s="1" t="s">
        <v>1845</v>
      </c>
      <c r="D1108" s="1" t="s">
        <v>1731</v>
      </c>
      <c r="E1108">
        <v>20251205</v>
      </c>
      <c r="F1108" s="1" t="s">
        <v>1473</v>
      </c>
      <c r="G1108">
        <v>4</v>
      </c>
      <c r="H1108" s="1" t="s">
        <v>1494</v>
      </c>
      <c r="I1108" t="s">
        <v>1874</v>
      </c>
      <c r="J1108" s="1" t="s">
        <v>1453</v>
      </c>
      <c r="K1108" s="1" t="s">
        <v>1656</v>
      </c>
      <c r="L1108" s="1" t="s">
        <v>1725</v>
      </c>
      <c r="M1108" s="1" t="s">
        <v>1737</v>
      </c>
      <c r="N1108" t="s">
        <v>2041</v>
      </c>
      <c r="O1108" t="s">
        <v>2157</v>
      </c>
      <c r="P1108" t="s">
        <v>3169</v>
      </c>
      <c r="Q1108">
        <v>10.1</v>
      </c>
      <c r="R1108" s="1" t="s">
        <v>1463</v>
      </c>
      <c r="S1108">
        <v>1304.95</v>
      </c>
      <c r="T1108">
        <v>13180</v>
      </c>
    </row>
    <row r="1109" spans="1:20" hidden="1" x14ac:dyDescent="0.4">
      <c r="A1109" s="1" t="s">
        <v>422</v>
      </c>
      <c r="B1109" s="1" t="s">
        <v>1455</v>
      </c>
      <c r="C1109" s="1" t="s">
        <v>1845</v>
      </c>
      <c r="D1109" s="1" t="s">
        <v>1731</v>
      </c>
      <c r="E1109">
        <v>20251205</v>
      </c>
      <c r="F1109" s="1" t="s">
        <v>1473</v>
      </c>
      <c r="G1109">
        <v>4</v>
      </c>
      <c r="H1109" s="1" t="s">
        <v>1494</v>
      </c>
      <c r="I1109" t="s">
        <v>1874</v>
      </c>
      <c r="J1109" s="1" t="s">
        <v>1453</v>
      </c>
      <c r="K1109" s="1" t="s">
        <v>1656</v>
      </c>
      <c r="L1109" s="1" t="s">
        <v>1725</v>
      </c>
      <c r="M1109" s="1" t="s">
        <v>1737</v>
      </c>
      <c r="N1109" t="s">
        <v>2041</v>
      </c>
      <c r="O1109" t="s">
        <v>2157</v>
      </c>
      <c r="P1109" t="s">
        <v>3170</v>
      </c>
      <c r="Q1109">
        <v>10.1</v>
      </c>
      <c r="R1109" s="1" t="s">
        <v>1463</v>
      </c>
      <c r="S1109">
        <v>1334.95</v>
      </c>
      <c r="T1109">
        <v>13483</v>
      </c>
    </row>
    <row r="1110" spans="1:20" hidden="1" x14ac:dyDescent="0.4">
      <c r="A1110" s="1" t="s">
        <v>422</v>
      </c>
      <c r="B1110" s="1" t="s">
        <v>1456</v>
      </c>
      <c r="C1110" s="1" t="s">
        <v>1845</v>
      </c>
      <c r="D1110" s="1" t="s">
        <v>1731</v>
      </c>
      <c r="E1110">
        <v>20251205</v>
      </c>
      <c r="F1110" s="1" t="s">
        <v>1473</v>
      </c>
      <c r="G1110">
        <v>4</v>
      </c>
      <c r="H1110" s="1" t="s">
        <v>1494</v>
      </c>
      <c r="I1110" t="s">
        <v>1874</v>
      </c>
      <c r="J1110" s="1" t="s">
        <v>1453</v>
      </c>
      <c r="K1110" s="1" t="s">
        <v>1656</v>
      </c>
      <c r="L1110" s="1" t="s">
        <v>1725</v>
      </c>
      <c r="M1110" s="1" t="s">
        <v>1737</v>
      </c>
      <c r="N1110" t="s">
        <v>2041</v>
      </c>
      <c r="O1110" t="s">
        <v>2157</v>
      </c>
      <c r="P1110" t="s">
        <v>3171</v>
      </c>
      <c r="Q1110">
        <v>8.4</v>
      </c>
      <c r="R1110" s="1" t="s">
        <v>1463</v>
      </c>
      <c r="S1110">
        <v>1385</v>
      </c>
      <c r="T1110">
        <v>11634</v>
      </c>
    </row>
    <row r="1111" spans="1:20" hidden="1" x14ac:dyDescent="0.4">
      <c r="A1111" s="1" t="s">
        <v>423</v>
      </c>
      <c r="B1111" s="1" t="s">
        <v>1453</v>
      </c>
      <c r="C1111" s="1" t="s">
        <v>1845</v>
      </c>
      <c r="D1111" s="1" t="s">
        <v>1731</v>
      </c>
      <c r="E1111">
        <v>20251205</v>
      </c>
      <c r="F1111" s="1" t="s">
        <v>1473</v>
      </c>
      <c r="G1111">
        <v>4</v>
      </c>
      <c r="H1111" s="1" t="s">
        <v>1494</v>
      </c>
      <c r="I1111" t="s">
        <v>1874</v>
      </c>
      <c r="J1111" s="1" t="s">
        <v>1453</v>
      </c>
      <c r="K1111" s="1" t="s">
        <v>1589</v>
      </c>
      <c r="L1111" s="1" t="s">
        <v>1718</v>
      </c>
      <c r="M1111" s="1" t="s">
        <v>1757</v>
      </c>
      <c r="N1111" t="s">
        <v>1964</v>
      </c>
      <c r="O1111" t="s">
        <v>2164</v>
      </c>
      <c r="P1111" t="s">
        <v>3071</v>
      </c>
      <c r="Q1111">
        <v>116.48</v>
      </c>
      <c r="R1111" s="1" t="s">
        <v>1839</v>
      </c>
      <c r="S1111">
        <v>1372.99</v>
      </c>
      <c r="T1111">
        <v>159927</v>
      </c>
    </row>
    <row r="1112" spans="1:20" hidden="1" x14ac:dyDescent="0.4">
      <c r="A1112" s="1" t="s">
        <v>423</v>
      </c>
      <c r="B1112" s="1" t="s">
        <v>1454</v>
      </c>
      <c r="C1112" s="1" t="s">
        <v>1845</v>
      </c>
      <c r="D1112" s="1" t="s">
        <v>1731</v>
      </c>
      <c r="E1112">
        <v>20251205</v>
      </c>
      <c r="F1112" s="1" t="s">
        <v>1473</v>
      </c>
      <c r="G1112">
        <v>4</v>
      </c>
      <c r="H1112" s="1" t="s">
        <v>1494</v>
      </c>
      <c r="I1112" t="s">
        <v>1874</v>
      </c>
      <c r="J1112" s="1" t="s">
        <v>1453</v>
      </c>
      <c r="K1112" s="1" t="s">
        <v>1589</v>
      </c>
      <c r="L1112" s="1" t="s">
        <v>1718</v>
      </c>
      <c r="M1112" s="1" t="s">
        <v>1757</v>
      </c>
      <c r="N1112" t="s">
        <v>1964</v>
      </c>
      <c r="O1112" t="s">
        <v>2164</v>
      </c>
      <c r="P1112" t="s">
        <v>3071</v>
      </c>
      <c r="Q1112">
        <v>116.48</v>
      </c>
      <c r="R1112" s="1" t="s">
        <v>1839</v>
      </c>
      <c r="S1112">
        <v>1372.99</v>
      </c>
      <c r="T1112">
        <v>159927</v>
      </c>
    </row>
    <row r="1113" spans="1:20" hidden="1" x14ac:dyDescent="0.4">
      <c r="A1113" s="1" t="s">
        <v>423</v>
      </c>
      <c r="B1113" s="1" t="s">
        <v>1455</v>
      </c>
      <c r="C1113" s="1" t="s">
        <v>1845</v>
      </c>
      <c r="D1113" s="1" t="s">
        <v>1731</v>
      </c>
      <c r="E1113">
        <v>20251205</v>
      </c>
      <c r="F1113" s="1" t="s">
        <v>1473</v>
      </c>
      <c r="G1113">
        <v>4</v>
      </c>
      <c r="H1113" s="1" t="s">
        <v>1494</v>
      </c>
      <c r="I1113" t="s">
        <v>1874</v>
      </c>
      <c r="J1113" s="1" t="s">
        <v>1453</v>
      </c>
      <c r="K1113" s="1" t="s">
        <v>1589</v>
      </c>
      <c r="L1113" s="1" t="s">
        <v>1718</v>
      </c>
      <c r="M1113" s="1" t="s">
        <v>1757</v>
      </c>
      <c r="N1113" t="s">
        <v>1964</v>
      </c>
      <c r="O1113" t="s">
        <v>2164</v>
      </c>
      <c r="P1113" t="s">
        <v>3071</v>
      </c>
      <c r="Q1113">
        <v>116.48</v>
      </c>
      <c r="R1113" s="1" t="s">
        <v>1839</v>
      </c>
      <c r="S1113">
        <v>1372.99</v>
      </c>
      <c r="T1113">
        <v>159927</v>
      </c>
    </row>
    <row r="1114" spans="1:20" hidden="1" x14ac:dyDescent="0.4">
      <c r="A1114" s="1" t="s">
        <v>423</v>
      </c>
      <c r="B1114" s="1" t="s">
        <v>1456</v>
      </c>
      <c r="C1114" s="1" t="s">
        <v>1845</v>
      </c>
      <c r="D1114" s="1" t="s">
        <v>1731</v>
      </c>
      <c r="E1114">
        <v>20251205</v>
      </c>
      <c r="F1114" s="1" t="s">
        <v>1473</v>
      </c>
      <c r="G1114">
        <v>4</v>
      </c>
      <c r="H1114" s="1" t="s">
        <v>1494</v>
      </c>
      <c r="I1114" t="s">
        <v>1874</v>
      </c>
      <c r="J1114" s="1" t="s">
        <v>1453</v>
      </c>
      <c r="K1114" s="1" t="s">
        <v>1589</v>
      </c>
      <c r="L1114" s="1" t="s">
        <v>1718</v>
      </c>
      <c r="M1114" s="1" t="s">
        <v>1757</v>
      </c>
      <c r="N1114" t="s">
        <v>1964</v>
      </c>
      <c r="O1114" t="s">
        <v>2164</v>
      </c>
      <c r="P1114" t="s">
        <v>3071</v>
      </c>
      <c r="Q1114">
        <v>116.48</v>
      </c>
      <c r="R1114" s="1" t="s">
        <v>1839</v>
      </c>
      <c r="S1114">
        <v>1372.99</v>
      </c>
      <c r="T1114">
        <v>159927</v>
      </c>
    </row>
    <row r="1115" spans="1:20" hidden="1" x14ac:dyDescent="0.4">
      <c r="A1115" s="1" t="s">
        <v>423</v>
      </c>
      <c r="B1115" s="1" t="s">
        <v>1457</v>
      </c>
      <c r="C1115" s="1" t="s">
        <v>1845</v>
      </c>
      <c r="D1115" s="1" t="s">
        <v>1731</v>
      </c>
      <c r="E1115">
        <v>20251205</v>
      </c>
      <c r="F1115" s="1" t="s">
        <v>1473</v>
      </c>
      <c r="G1115">
        <v>4</v>
      </c>
      <c r="H1115" s="1" t="s">
        <v>1494</v>
      </c>
      <c r="I1115" t="s">
        <v>1874</v>
      </c>
      <c r="J1115" s="1" t="s">
        <v>1453</v>
      </c>
      <c r="K1115" s="1" t="s">
        <v>1589</v>
      </c>
      <c r="L1115" s="1" t="s">
        <v>1718</v>
      </c>
      <c r="M1115" s="1" t="s">
        <v>1757</v>
      </c>
      <c r="N1115" t="s">
        <v>1964</v>
      </c>
      <c r="O1115" t="s">
        <v>2164</v>
      </c>
      <c r="P1115" t="s">
        <v>3071</v>
      </c>
      <c r="Q1115">
        <v>134.31</v>
      </c>
      <c r="R1115" s="1" t="s">
        <v>1839</v>
      </c>
      <c r="S1115">
        <v>1372.99</v>
      </c>
      <c r="T1115">
        <v>184407</v>
      </c>
    </row>
    <row r="1116" spans="1:20" hidden="1" x14ac:dyDescent="0.4">
      <c r="A1116" s="1" t="s">
        <v>423</v>
      </c>
      <c r="B1116" s="1" t="s">
        <v>1458</v>
      </c>
      <c r="C1116" s="1" t="s">
        <v>1845</v>
      </c>
      <c r="D1116" s="1" t="s">
        <v>1731</v>
      </c>
      <c r="E1116">
        <v>20251205</v>
      </c>
      <c r="F1116" s="1" t="s">
        <v>1473</v>
      </c>
      <c r="G1116">
        <v>4</v>
      </c>
      <c r="H1116" s="1" t="s">
        <v>1494</v>
      </c>
      <c r="I1116" t="s">
        <v>1874</v>
      </c>
      <c r="J1116" s="1" t="s">
        <v>1453</v>
      </c>
      <c r="K1116" s="1" t="s">
        <v>1589</v>
      </c>
      <c r="L1116" s="1" t="s">
        <v>1718</v>
      </c>
      <c r="M1116" s="1" t="s">
        <v>1757</v>
      </c>
      <c r="N1116" t="s">
        <v>1964</v>
      </c>
      <c r="O1116" t="s">
        <v>2164</v>
      </c>
      <c r="P1116" t="s">
        <v>3071</v>
      </c>
      <c r="Q1116">
        <v>120.12</v>
      </c>
      <c r="R1116" s="1" t="s">
        <v>1839</v>
      </c>
      <c r="S1116">
        <v>1372.99</v>
      </c>
      <c r="T1116">
        <v>164924</v>
      </c>
    </row>
    <row r="1117" spans="1:20" hidden="1" x14ac:dyDescent="0.4">
      <c r="A1117" s="1" t="s">
        <v>423</v>
      </c>
      <c r="B1117" s="1" t="s">
        <v>1459</v>
      </c>
      <c r="C1117" s="1" t="s">
        <v>1845</v>
      </c>
      <c r="D1117" s="1" t="s">
        <v>1731</v>
      </c>
      <c r="E1117">
        <v>20251205</v>
      </c>
      <c r="F1117" s="1" t="s">
        <v>1473</v>
      </c>
      <c r="G1117">
        <v>4</v>
      </c>
      <c r="H1117" s="1" t="s">
        <v>1494</v>
      </c>
      <c r="I1117" t="s">
        <v>1874</v>
      </c>
      <c r="J1117" s="1" t="s">
        <v>1453</v>
      </c>
      <c r="K1117" s="1" t="s">
        <v>1589</v>
      </c>
      <c r="L1117" s="1" t="s">
        <v>1718</v>
      </c>
      <c r="M1117" s="1" t="s">
        <v>1757</v>
      </c>
      <c r="N1117" t="s">
        <v>1964</v>
      </c>
      <c r="O1117" t="s">
        <v>2164</v>
      </c>
      <c r="P1117" t="s">
        <v>3071</v>
      </c>
      <c r="Q1117">
        <v>113.93</v>
      </c>
      <c r="R1117" s="1" t="s">
        <v>1839</v>
      </c>
      <c r="S1117">
        <v>1372.99</v>
      </c>
      <c r="T1117">
        <v>156425</v>
      </c>
    </row>
    <row r="1118" spans="1:20" hidden="1" x14ac:dyDescent="0.4">
      <c r="A1118" s="1" t="s">
        <v>423</v>
      </c>
      <c r="B1118" s="1" t="s">
        <v>1460</v>
      </c>
      <c r="C1118" s="1" t="s">
        <v>1845</v>
      </c>
      <c r="D1118" s="1" t="s">
        <v>1731</v>
      </c>
      <c r="E1118">
        <v>20251205</v>
      </c>
      <c r="F1118" s="1" t="s">
        <v>1473</v>
      </c>
      <c r="G1118">
        <v>4</v>
      </c>
      <c r="H1118" s="1" t="s">
        <v>1494</v>
      </c>
      <c r="I1118" t="s">
        <v>1874</v>
      </c>
      <c r="J1118" s="1" t="s">
        <v>1453</v>
      </c>
      <c r="K1118" s="1" t="s">
        <v>1589</v>
      </c>
      <c r="L1118" s="1" t="s">
        <v>1718</v>
      </c>
      <c r="M1118" s="1" t="s">
        <v>1757</v>
      </c>
      <c r="N1118" t="s">
        <v>1964</v>
      </c>
      <c r="O1118" t="s">
        <v>2164</v>
      </c>
      <c r="P1118" t="s">
        <v>3071</v>
      </c>
      <c r="Q1118">
        <v>116.48</v>
      </c>
      <c r="R1118" s="1" t="s">
        <v>1839</v>
      </c>
      <c r="S1118">
        <v>1372.99</v>
      </c>
      <c r="T1118">
        <v>159927</v>
      </c>
    </row>
    <row r="1119" spans="1:20" hidden="1" x14ac:dyDescent="0.4">
      <c r="A1119" s="1" t="s">
        <v>423</v>
      </c>
      <c r="B1119" s="1" t="s">
        <v>1461</v>
      </c>
      <c r="C1119" s="1" t="s">
        <v>1845</v>
      </c>
      <c r="D1119" s="1" t="s">
        <v>1731</v>
      </c>
      <c r="E1119">
        <v>20251205</v>
      </c>
      <c r="F1119" s="1" t="s">
        <v>1473</v>
      </c>
      <c r="G1119">
        <v>4</v>
      </c>
      <c r="H1119" s="1" t="s">
        <v>1494</v>
      </c>
      <c r="I1119" t="s">
        <v>1874</v>
      </c>
      <c r="J1119" s="1" t="s">
        <v>1453</v>
      </c>
      <c r="K1119" s="1" t="s">
        <v>1589</v>
      </c>
      <c r="L1119" s="1" t="s">
        <v>1718</v>
      </c>
      <c r="M1119" s="1" t="s">
        <v>1757</v>
      </c>
      <c r="N1119" t="s">
        <v>1964</v>
      </c>
      <c r="O1119" t="s">
        <v>2164</v>
      </c>
      <c r="P1119" t="s">
        <v>3071</v>
      </c>
      <c r="Q1119">
        <v>116.48</v>
      </c>
      <c r="R1119" s="1" t="s">
        <v>1839</v>
      </c>
      <c r="S1119">
        <v>1372.99</v>
      </c>
      <c r="T1119">
        <v>159927</v>
      </c>
    </row>
    <row r="1120" spans="1:20" hidden="1" x14ac:dyDescent="0.4">
      <c r="A1120" s="1" t="s">
        <v>423</v>
      </c>
      <c r="B1120" s="1" t="s">
        <v>1462</v>
      </c>
      <c r="C1120" s="1" t="s">
        <v>1845</v>
      </c>
      <c r="D1120" s="1" t="s">
        <v>1731</v>
      </c>
      <c r="E1120">
        <v>20251205</v>
      </c>
      <c r="F1120" s="1" t="s">
        <v>1473</v>
      </c>
      <c r="G1120">
        <v>4</v>
      </c>
      <c r="H1120" s="1" t="s">
        <v>1494</v>
      </c>
      <c r="I1120" t="s">
        <v>1874</v>
      </c>
      <c r="J1120" s="1" t="s">
        <v>1453</v>
      </c>
      <c r="K1120" s="1" t="s">
        <v>1589</v>
      </c>
      <c r="L1120" s="1" t="s">
        <v>1718</v>
      </c>
      <c r="M1120" s="1" t="s">
        <v>1757</v>
      </c>
      <c r="N1120" t="s">
        <v>1964</v>
      </c>
      <c r="O1120" t="s">
        <v>2164</v>
      </c>
      <c r="P1120" t="s">
        <v>3071</v>
      </c>
      <c r="Q1120">
        <v>125.94</v>
      </c>
      <c r="R1120" s="1" t="s">
        <v>1839</v>
      </c>
      <c r="S1120">
        <v>1372.99</v>
      </c>
      <c r="T1120">
        <v>172915</v>
      </c>
    </row>
    <row r="1121" spans="1:20" hidden="1" x14ac:dyDescent="0.4">
      <c r="A1121" s="1" t="s">
        <v>424</v>
      </c>
      <c r="B1121" s="1" t="s">
        <v>1453</v>
      </c>
      <c r="C1121" s="1" t="s">
        <v>1845</v>
      </c>
      <c r="D1121" s="1" t="s">
        <v>1731</v>
      </c>
      <c r="E1121">
        <v>20251206</v>
      </c>
      <c r="F1121" s="1" t="s">
        <v>1472</v>
      </c>
      <c r="G1121">
        <v>4</v>
      </c>
      <c r="H1121" s="1" t="s">
        <v>1494</v>
      </c>
      <c r="I1121" t="s">
        <v>1874</v>
      </c>
      <c r="J1121" s="1" t="s">
        <v>1457</v>
      </c>
      <c r="K1121" s="1" t="s">
        <v>1590</v>
      </c>
      <c r="L1121" s="1" t="s">
        <v>1719</v>
      </c>
      <c r="M1121" s="1" t="s">
        <v>1739</v>
      </c>
      <c r="N1121" t="s">
        <v>1965</v>
      </c>
      <c r="O1121" t="s">
        <v>2165</v>
      </c>
      <c r="P1121" t="s">
        <v>3072</v>
      </c>
      <c r="Q1121">
        <v>979.44</v>
      </c>
      <c r="R1121" s="1" t="s">
        <v>1839</v>
      </c>
      <c r="S1121">
        <v>4636.99</v>
      </c>
      <c r="T1121">
        <v>4541663</v>
      </c>
    </row>
    <row r="1122" spans="1:20" hidden="1" x14ac:dyDescent="0.4">
      <c r="A1122" s="1" t="s">
        <v>425</v>
      </c>
      <c r="B1122" s="1" t="s">
        <v>1453</v>
      </c>
      <c r="C1122" s="1" t="s">
        <v>1845</v>
      </c>
      <c r="D1122" s="1" t="s">
        <v>1462</v>
      </c>
      <c r="E1122">
        <v>20251205</v>
      </c>
      <c r="F1122" s="1" t="s">
        <v>1471</v>
      </c>
      <c r="G1122">
        <v>4</v>
      </c>
      <c r="H1122" s="1" t="s">
        <v>1498</v>
      </c>
      <c r="I1122" t="s">
        <v>1878</v>
      </c>
      <c r="J1122" s="1" t="s">
        <v>1460</v>
      </c>
      <c r="K1122" s="1" t="s">
        <v>1653</v>
      </c>
      <c r="L1122" s="1" t="s">
        <v>1731</v>
      </c>
      <c r="M1122" s="1" t="s">
        <v>1805</v>
      </c>
      <c r="N1122" t="s">
        <v>2037</v>
      </c>
      <c r="O1122" t="s">
        <v>2178</v>
      </c>
      <c r="P1122" t="s">
        <v>3166</v>
      </c>
      <c r="Q1122">
        <v>3000</v>
      </c>
      <c r="R1122" s="1" t="s">
        <v>1463</v>
      </c>
      <c r="S1122">
        <v>526</v>
      </c>
      <c r="T1122">
        <v>1578000</v>
      </c>
    </row>
    <row r="1123" spans="1:20" hidden="1" x14ac:dyDescent="0.4">
      <c r="A1123" s="1" t="s">
        <v>426</v>
      </c>
      <c r="B1123" s="1" t="s">
        <v>1453</v>
      </c>
      <c r="C1123" s="1" t="s">
        <v>1845</v>
      </c>
      <c r="D1123" s="1" t="s">
        <v>1731</v>
      </c>
      <c r="E1123">
        <v>20251209</v>
      </c>
      <c r="F1123" s="1" t="s">
        <v>1470</v>
      </c>
      <c r="G1123">
        <v>4</v>
      </c>
      <c r="H1123" s="1" t="s">
        <v>1490</v>
      </c>
      <c r="I1123" t="s">
        <v>1870</v>
      </c>
      <c r="J1123" s="1" t="s">
        <v>1456</v>
      </c>
      <c r="K1123" s="1" t="s">
        <v>1553</v>
      </c>
      <c r="L1123" s="1" t="s">
        <v>1729</v>
      </c>
      <c r="M1123" s="1" t="s">
        <v>1736</v>
      </c>
      <c r="N1123" t="s">
        <v>1925</v>
      </c>
      <c r="O1123" t="s">
        <v>2157</v>
      </c>
      <c r="P1123" t="s">
        <v>3038</v>
      </c>
      <c r="Q1123">
        <v>142</v>
      </c>
      <c r="R1123" s="1" t="s">
        <v>1718</v>
      </c>
      <c r="S1123">
        <v>3865.66</v>
      </c>
      <c r="T1123">
        <v>548924</v>
      </c>
    </row>
    <row r="1124" spans="1:20" hidden="1" x14ac:dyDescent="0.4">
      <c r="A1124" s="1" t="s">
        <v>427</v>
      </c>
      <c r="B1124" s="1" t="s">
        <v>1453</v>
      </c>
      <c r="C1124" s="1" t="s">
        <v>1845</v>
      </c>
      <c r="D1124" s="1" t="s">
        <v>1731</v>
      </c>
      <c r="E1124">
        <v>20251209</v>
      </c>
      <c r="F1124" s="1" t="s">
        <v>1470</v>
      </c>
      <c r="G1124">
        <v>4</v>
      </c>
      <c r="H1124" s="1" t="s">
        <v>1490</v>
      </c>
      <c r="I1124" t="s">
        <v>1870</v>
      </c>
      <c r="J1124" s="1" t="s">
        <v>1456</v>
      </c>
      <c r="K1124" s="1" t="s">
        <v>1557</v>
      </c>
      <c r="L1124" s="1" t="s">
        <v>1729</v>
      </c>
      <c r="M1124" s="1" t="s">
        <v>1737</v>
      </c>
      <c r="N1124" t="s">
        <v>1929</v>
      </c>
      <c r="O1124" t="s">
        <v>2157</v>
      </c>
      <c r="P1124" t="s">
        <v>2157</v>
      </c>
      <c r="Q1124">
        <v>4</v>
      </c>
      <c r="R1124" s="1" t="s">
        <v>1718</v>
      </c>
      <c r="S1124">
        <v>19745.5</v>
      </c>
      <c r="T1124">
        <v>78982</v>
      </c>
    </row>
    <row r="1125" spans="1:20" hidden="1" x14ac:dyDescent="0.4">
      <c r="A1125" s="1" t="s">
        <v>428</v>
      </c>
      <c r="B1125" s="1" t="s">
        <v>1453</v>
      </c>
      <c r="C1125" s="1" t="s">
        <v>1845</v>
      </c>
      <c r="D1125" s="1" t="s">
        <v>1731</v>
      </c>
      <c r="E1125">
        <v>20251209</v>
      </c>
      <c r="F1125" s="1" t="s">
        <v>1470</v>
      </c>
      <c r="G1125">
        <v>4</v>
      </c>
      <c r="H1125" s="1" t="s">
        <v>1490</v>
      </c>
      <c r="I1125" t="s">
        <v>1870</v>
      </c>
      <c r="J1125" s="1" t="s">
        <v>1456</v>
      </c>
      <c r="K1125" s="1" t="s">
        <v>1568</v>
      </c>
      <c r="L1125" s="1" t="s">
        <v>1729</v>
      </c>
      <c r="M1125" s="1" t="s">
        <v>1737</v>
      </c>
      <c r="N1125" t="s">
        <v>1941</v>
      </c>
      <c r="O1125" t="s">
        <v>2157</v>
      </c>
      <c r="P1125" t="s">
        <v>2157</v>
      </c>
      <c r="Q1125">
        <v>16</v>
      </c>
      <c r="R1125" s="1" t="s">
        <v>1718</v>
      </c>
      <c r="S1125">
        <v>18123.25</v>
      </c>
      <c r="T1125">
        <v>289972</v>
      </c>
    </row>
    <row r="1126" spans="1:20" hidden="1" x14ac:dyDescent="0.4">
      <c r="A1126" s="1" t="s">
        <v>429</v>
      </c>
      <c r="B1126" s="1" t="s">
        <v>1453</v>
      </c>
      <c r="C1126" s="1" t="s">
        <v>1845</v>
      </c>
      <c r="D1126" s="1" t="s">
        <v>1731</v>
      </c>
      <c r="E1126">
        <v>20251209</v>
      </c>
      <c r="F1126" s="1" t="s">
        <v>1470</v>
      </c>
      <c r="G1126">
        <v>4</v>
      </c>
      <c r="H1126" s="1" t="s">
        <v>1490</v>
      </c>
      <c r="I1126" t="s">
        <v>1870</v>
      </c>
      <c r="J1126" s="1" t="s">
        <v>1456</v>
      </c>
      <c r="K1126" s="1" t="s">
        <v>1558</v>
      </c>
      <c r="L1126" s="1" t="s">
        <v>1729</v>
      </c>
      <c r="M1126" s="1" t="s">
        <v>1737</v>
      </c>
      <c r="N1126" t="s">
        <v>1930</v>
      </c>
      <c r="O1126" t="s">
        <v>2157</v>
      </c>
      <c r="P1126" t="s">
        <v>2157</v>
      </c>
      <c r="Q1126">
        <v>2</v>
      </c>
      <c r="R1126" s="1" t="s">
        <v>1718</v>
      </c>
      <c r="S1126">
        <v>17832</v>
      </c>
      <c r="T1126">
        <v>35664</v>
      </c>
    </row>
    <row r="1127" spans="1:20" hidden="1" x14ac:dyDescent="0.4">
      <c r="A1127" s="1" t="s">
        <v>430</v>
      </c>
      <c r="B1127" s="1" t="s">
        <v>1453</v>
      </c>
      <c r="C1127" s="1" t="s">
        <v>1845</v>
      </c>
      <c r="D1127" s="1" t="s">
        <v>1731</v>
      </c>
      <c r="E1127">
        <v>20251209</v>
      </c>
      <c r="F1127" s="1" t="s">
        <v>1470</v>
      </c>
      <c r="G1127">
        <v>4</v>
      </c>
      <c r="H1127" s="1" t="s">
        <v>1490</v>
      </c>
      <c r="I1127" t="s">
        <v>1870</v>
      </c>
      <c r="J1127" s="1" t="s">
        <v>1456</v>
      </c>
      <c r="K1127" s="1" t="s">
        <v>1569</v>
      </c>
      <c r="L1127" s="1" t="s">
        <v>1729</v>
      </c>
      <c r="M1127" s="1" t="s">
        <v>1742</v>
      </c>
      <c r="N1127" t="s">
        <v>1942</v>
      </c>
      <c r="O1127" t="s">
        <v>2157</v>
      </c>
      <c r="P1127" t="s">
        <v>3043</v>
      </c>
      <c r="Q1127">
        <v>60</v>
      </c>
      <c r="R1127" s="1" t="s">
        <v>1718</v>
      </c>
      <c r="S1127">
        <v>12796</v>
      </c>
      <c r="T1127">
        <v>767760</v>
      </c>
    </row>
    <row r="1128" spans="1:20" hidden="1" x14ac:dyDescent="0.4">
      <c r="A1128" s="1" t="s">
        <v>430</v>
      </c>
      <c r="B1128" s="1" t="s">
        <v>1454</v>
      </c>
      <c r="C1128" s="1" t="s">
        <v>1845</v>
      </c>
      <c r="D1128" s="1" t="s">
        <v>1731</v>
      </c>
      <c r="E1128">
        <v>20251209</v>
      </c>
      <c r="F1128" s="1" t="s">
        <v>1470</v>
      </c>
      <c r="G1128">
        <v>4</v>
      </c>
      <c r="H1128" s="1" t="s">
        <v>1490</v>
      </c>
      <c r="I1128" t="s">
        <v>1870</v>
      </c>
      <c r="J1128" s="1" t="s">
        <v>1456</v>
      </c>
      <c r="K1128" s="1" t="s">
        <v>1570</v>
      </c>
      <c r="L1128" s="1" t="s">
        <v>1729</v>
      </c>
      <c r="M1128" s="1" t="s">
        <v>1741</v>
      </c>
      <c r="N1128" t="s">
        <v>1943</v>
      </c>
      <c r="O1128" t="s">
        <v>2157</v>
      </c>
      <c r="P1128" t="s">
        <v>3042</v>
      </c>
      <c r="Q1128">
        <v>5</v>
      </c>
      <c r="R1128" s="1" t="s">
        <v>1718</v>
      </c>
      <c r="S1128">
        <v>5450</v>
      </c>
      <c r="T1128">
        <v>27250</v>
      </c>
    </row>
    <row r="1129" spans="1:20" hidden="1" x14ac:dyDescent="0.4">
      <c r="A1129" s="1" t="s">
        <v>431</v>
      </c>
      <c r="B1129" s="1" t="s">
        <v>1453</v>
      </c>
      <c r="C1129" s="1" t="s">
        <v>1845</v>
      </c>
      <c r="D1129" s="1" t="s">
        <v>1462</v>
      </c>
      <c r="E1129">
        <v>20251208</v>
      </c>
      <c r="F1129" s="1" t="s">
        <v>1470</v>
      </c>
      <c r="G1129">
        <v>1</v>
      </c>
      <c r="H1129" s="1" t="s">
        <v>1499</v>
      </c>
      <c r="I1129" t="s">
        <v>1879</v>
      </c>
      <c r="J1129" s="1" t="s">
        <v>1456</v>
      </c>
      <c r="K1129" s="1" t="s">
        <v>1561</v>
      </c>
      <c r="L1129" s="1" t="s">
        <v>1716</v>
      </c>
      <c r="M1129" s="1" t="s">
        <v>1778</v>
      </c>
      <c r="N1129" t="s">
        <v>1954</v>
      </c>
      <c r="O1129" t="s">
        <v>2162</v>
      </c>
      <c r="P1129" t="s">
        <v>3054</v>
      </c>
      <c r="Q1129">
        <v>10</v>
      </c>
      <c r="R1129" s="1" t="s">
        <v>1463</v>
      </c>
      <c r="S1129">
        <v>1845</v>
      </c>
      <c r="T1129">
        <v>18450</v>
      </c>
    </row>
    <row r="1130" spans="1:20" hidden="1" x14ac:dyDescent="0.4">
      <c r="A1130" s="1" t="s">
        <v>432</v>
      </c>
      <c r="B1130" s="1" t="s">
        <v>1453</v>
      </c>
      <c r="C1130" s="1" t="s">
        <v>1845</v>
      </c>
      <c r="D1130" s="1" t="s">
        <v>1731</v>
      </c>
      <c r="E1130">
        <v>20251208</v>
      </c>
      <c r="F1130" s="1" t="s">
        <v>1473</v>
      </c>
      <c r="G1130">
        <v>4</v>
      </c>
      <c r="H1130" s="1" t="s">
        <v>1494</v>
      </c>
      <c r="I1130" t="s">
        <v>1874</v>
      </c>
      <c r="J1130" s="1" t="s">
        <v>1453</v>
      </c>
      <c r="K1130" s="1" t="s">
        <v>1589</v>
      </c>
      <c r="L1130" s="1" t="s">
        <v>1718</v>
      </c>
      <c r="M1130" s="1" t="s">
        <v>1758</v>
      </c>
      <c r="N1130" t="s">
        <v>1964</v>
      </c>
      <c r="O1130" t="s">
        <v>2164</v>
      </c>
      <c r="P1130" t="s">
        <v>3073</v>
      </c>
      <c r="Q1130">
        <v>120.12</v>
      </c>
      <c r="R1130" s="1" t="s">
        <v>1839</v>
      </c>
      <c r="S1130">
        <v>1372.99</v>
      </c>
      <c r="T1130">
        <v>164924</v>
      </c>
    </row>
    <row r="1131" spans="1:20" hidden="1" x14ac:dyDescent="0.4">
      <c r="A1131" s="1" t="s">
        <v>432</v>
      </c>
      <c r="B1131" s="1" t="s">
        <v>1454</v>
      </c>
      <c r="C1131" s="1" t="s">
        <v>1845</v>
      </c>
      <c r="D1131" s="1" t="s">
        <v>1731</v>
      </c>
      <c r="E1131">
        <v>20251208</v>
      </c>
      <c r="F1131" s="1" t="s">
        <v>1473</v>
      </c>
      <c r="G1131">
        <v>4</v>
      </c>
      <c r="H1131" s="1" t="s">
        <v>1494</v>
      </c>
      <c r="I1131" t="s">
        <v>1874</v>
      </c>
      <c r="J1131" s="1" t="s">
        <v>1453</v>
      </c>
      <c r="K1131" s="1" t="s">
        <v>1589</v>
      </c>
      <c r="L1131" s="1" t="s">
        <v>1718</v>
      </c>
      <c r="M1131" s="1" t="s">
        <v>1758</v>
      </c>
      <c r="N1131" t="s">
        <v>1964</v>
      </c>
      <c r="O1131" t="s">
        <v>2164</v>
      </c>
      <c r="P1131" t="s">
        <v>3073</v>
      </c>
      <c r="Q1131">
        <v>120.12</v>
      </c>
      <c r="R1131" s="1" t="s">
        <v>1839</v>
      </c>
      <c r="S1131">
        <v>1372.99</v>
      </c>
      <c r="T1131">
        <v>164924</v>
      </c>
    </row>
    <row r="1132" spans="1:20" hidden="1" x14ac:dyDescent="0.4">
      <c r="A1132" s="1" t="s">
        <v>432</v>
      </c>
      <c r="B1132" s="1" t="s">
        <v>1455</v>
      </c>
      <c r="C1132" s="1" t="s">
        <v>1845</v>
      </c>
      <c r="D1132" s="1" t="s">
        <v>1731</v>
      </c>
      <c r="E1132">
        <v>20251208</v>
      </c>
      <c r="F1132" s="1" t="s">
        <v>1473</v>
      </c>
      <c r="G1132">
        <v>4</v>
      </c>
      <c r="H1132" s="1" t="s">
        <v>1494</v>
      </c>
      <c r="I1132" t="s">
        <v>1874</v>
      </c>
      <c r="J1132" s="1" t="s">
        <v>1453</v>
      </c>
      <c r="K1132" s="1" t="s">
        <v>1589</v>
      </c>
      <c r="L1132" s="1" t="s">
        <v>1718</v>
      </c>
      <c r="M1132" s="1" t="s">
        <v>1758</v>
      </c>
      <c r="N1132" t="s">
        <v>1964</v>
      </c>
      <c r="O1132" t="s">
        <v>2164</v>
      </c>
      <c r="P1132" t="s">
        <v>3073</v>
      </c>
      <c r="Q1132">
        <v>120.12</v>
      </c>
      <c r="R1132" s="1" t="s">
        <v>1839</v>
      </c>
      <c r="S1132">
        <v>1372.99</v>
      </c>
      <c r="T1132">
        <v>164924</v>
      </c>
    </row>
    <row r="1133" spans="1:20" hidden="1" x14ac:dyDescent="0.4">
      <c r="A1133" s="1" t="s">
        <v>432</v>
      </c>
      <c r="B1133" s="1" t="s">
        <v>1456</v>
      </c>
      <c r="C1133" s="1" t="s">
        <v>1845</v>
      </c>
      <c r="D1133" s="1" t="s">
        <v>1731</v>
      </c>
      <c r="E1133">
        <v>20251208</v>
      </c>
      <c r="F1133" s="1" t="s">
        <v>1473</v>
      </c>
      <c r="G1133">
        <v>4</v>
      </c>
      <c r="H1133" s="1" t="s">
        <v>1494</v>
      </c>
      <c r="I1133" t="s">
        <v>1874</v>
      </c>
      <c r="J1133" s="1" t="s">
        <v>1453</v>
      </c>
      <c r="K1133" s="1" t="s">
        <v>1589</v>
      </c>
      <c r="L1133" s="1" t="s">
        <v>1718</v>
      </c>
      <c r="M1133" s="1" t="s">
        <v>1758</v>
      </c>
      <c r="N1133" t="s">
        <v>1964</v>
      </c>
      <c r="O1133" t="s">
        <v>2164</v>
      </c>
      <c r="P1133" t="s">
        <v>3073</v>
      </c>
      <c r="Q1133">
        <v>110.29</v>
      </c>
      <c r="R1133" s="1" t="s">
        <v>1839</v>
      </c>
      <c r="S1133">
        <v>1372.99</v>
      </c>
      <c r="T1133">
        <v>151428</v>
      </c>
    </row>
    <row r="1134" spans="1:20" hidden="1" x14ac:dyDescent="0.4">
      <c r="A1134" s="1" t="s">
        <v>432</v>
      </c>
      <c r="B1134" s="1" t="s">
        <v>1457</v>
      </c>
      <c r="C1134" s="1" t="s">
        <v>1845</v>
      </c>
      <c r="D1134" s="1" t="s">
        <v>1731</v>
      </c>
      <c r="E1134">
        <v>20251208</v>
      </c>
      <c r="F1134" s="1" t="s">
        <v>1473</v>
      </c>
      <c r="G1134">
        <v>4</v>
      </c>
      <c r="H1134" s="1" t="s">
        <v>1494</v>
      </c>
      <c r="I1134" t="s">
        <v>1874</v>
      </c>
      <c r="J1134" s="1" t="s">
        <v>1453</v>
      </c>
      <c r="K1134" s="1" t="s">
        <v>1589</v>
      </c>
      <c r="L1134" s="1" t="s">
        <v>1718</v>
      </c>
      <c r="M1134" s="1" t="s">
        <v>1758</v>
      </c>
      <c r="N1134" t="s">
        <v>1964</v>
      </c>
      <c r="O1134" t="s">
        <v>2164</v>
      </c>
      <c r="P1134" t="s">
        <v>3073</v>
      </c>
      <c r="Q1134">
        <v>126.67</v>
      </c>
      <c r="R1134" s="1" t="s">
        <v>1839</v>
      </c>
      <c r="S1134">
        <v>1372.99</v>
      </c>
      <c r="T1134">
        <v>173917</v>
      </c>
    </row>
    <row r="1135" spans="1:20" hidden="1" x14ac:dyDescent="0.4">
      <c r="A1135" s="1" t="s">
        <v>432</v>
      </c>
      <c r="B1135" s="1" t="s">
        <v>1458</v>
      </c>
      <c r="C1135" s="1" t="s">
        <v>1845</v>
      </c>
      <c r="D1135" s="1" t="s">
        <v>1731</v>
      </c>
      <c r="E1135">
        <v>20251208</v>
      </c>
      <c r="F1135" s="1" t="s">
        <v>1473</v>
      </c>
      <c r="G1135">
        <v>4</v>
      </c>
      <c r="H1135" s="1" t="s">
        <v>1494</v>
      </c>
      <c r="I1135" t="s">
        <v>1874</v>
      </c>
      <c r="J1135" s="1" t="s">
        <v>1453</v>
      </c>
      <c r="K1135" s="1" t="s">
        <v>1589</v>
      </c>
      <c r="L1135" s="1" t="s">
        <v>1718</v>
      </c>
      <c r="M1135" s="1" t="s">
        <v>1758</v>
      </c>
      <c r="N1135" t="s">
        <v>1964</v>
      </c>
      <c r="O1135" t="s">
        <v>2164</v>
      </c>
      <c r="P1135" t="s">
        <v>3073</v>
      </c>
      <c r="Q1135">
        <v>109.2</v>
      </c>
      <c r="R1135" s="1" t="s">
        <v>1839</v>
      </c>
      <c r="S1135">
        <v>1372.99</v>
      </c>
      <c r="T1135">
        <v>149931</v>
      </c>
    </row>
    <row r="1136" spans="1:20" hidden="1" x14ac:dyDescent="0.4">
      <c r="A1136" s="1" t="s">
        <v>432</v>
      </c>
      <c r="B1136" s="1" t="s">
        <v>1459</v>
      </c>
      <c r="C1136" s="1" t="s">
        <v>1845</v>
      </c>
      <c r="D1136" s="1" t="s">
        <v>1731</v>
      </c>
      <c r="E1136">
        <v>20251208</v>
      </c>
      <c r="F1136" s="1" t="s">
        <v>1473</v>
      </c>
      <c r="G1136">
        <v>4</v>
      </c>
      <c r="H1136" s="1" t="s">
        <v>1494</v>
      </c>
      <c r="I1136" t="s">
        <v>1874</v>
      </c>
      <c r="J1136" s="1" t="s">
        <v>1453</v>
      </c>
      <c r="K1136" s="1" t="s">
        <v>1589</v>
      </c>
      <c r="L1136" s="1" t="s">
        <v>1718</v>
      </c>
      <c r="M1136" s="1" t="s">
        <v>1758</v>
      </c>
      <c r="N1136" t="s">
        <v>1964</v>
      </c>
      <c r="O1136" t="s">
        <v>2164</v>
      </c>
      <c r="P1136" t="s">
        <v>3073</v>
      </c>
      <c r="Q1136">
        <v>109.2</v>
      </c>
      <c r="R1136" s="1" t="s">
        <v>1839</v>
      </c>
      <c r="S1136">
        <v>1372.99</v>
      </c>
      <c r="T1136">
        <v>149931</v>
      </c>
    </row>
    <row r="1137" spans="1:20" hidden="1" x14ac:dyDescent="0.4">
      <c r="A1137" s="1" t="s">
        <v>432</v>
      </c>
      <c r="B1137" s="1" t="s">
        <v>1460</v>
      </c>
      <c r="C1137" s="1" t="s">
        <v>1845</v>
      </c>
      <c r="D1137" s="1" t="s">
        <v>1731</v>
      </c>
      <c r="E1137">
        <v>20251208</v>
      </c>
      <c r="F1137" s="1" t="s">
        <v>1473</v>
      </c>
      <c r="G1137">
        <v>4</v>
      </c>
      <c r="H1137" s="1" t="s">
        <v>1494</v>
      </c>
      <c r="I1137" t="s">
        <v>1874</v>
      </c>
      <c r="J1137" s="1" t="s">
        <v>1453</v>
      </c>
      <c r="K1137" s="1" t="s">
        <v>1589</v>
      </c>
      <c r="L1137" s="1" t="s">
        <v>1718</v>
      </c>
      <c r="M1137" s="1" t="s">
        <v>1758</v>
      </c>
      <c r="N1137" t="s">
        <v>1964</v>
      </c>
      <c r="O1137" t="s">
        <v>2164</v>
      </c>
      <c r="P1137" t="s">
        <v>3073</v>
      </c>
      <c r="Q1137">
        <v>109.2</v>
      </c>
      <c r="R1137" s="1" t="s">
        <v>1839</v>
      </c>
      <c r="S1137">
        <v>1372.99</v>
      </c>
      <c r="T1137">
        <v>149931</v>
      </c>
    </row>
    <row r="1138" spans="1:20" hidden="1" x14ac:dyDescent="0.4">
      <c r="A1138" s="1" t="s">
        <v>432</v>
      </c>
      <c r="B1138" s="1" t="s">
        <v>1461</v>
      </c>
      <c r="C1138" s="1" t="s">
        <v>1845</v>
      </c>
      <c r="D1138" s="1" t="s">
        <v>1731</v>
      </c>
      <c r="E1138">
        <v>20251208</v>
      </c>
      <c r="F1138" s="1" t="s">
        <v>1473</v>
      </c>
      <c r="G1138">
        <v>4</v>
      </c>
      <c r="H1138" s="1" t="s">
        <v>1494</v>
      </c>
      <c r="I1138" t="s">
        <v>1874</v>
      </c>
      <c r="J1138" s="1" t="s">
        <v>1453</v>
      </c>
      <c r="K1138" s="1" t="s">
        <v>1589</v>
      </c>
      <c r="L1138" s="1" t="s">
        <v>1718</v>
      </c>
      <c r="M1138" s="1" t="s">
        <v>1758</v>
      </c>
      <c r="N1138" t="s">
        <v>1964</v>
      </c>
      <c r="O1138" t="s">
        <v>2164</v>
      </c>
      <c r="P1138" t="s">
        <v>3073</v>
      </c>
      <c r="Q1138">
        <v>109.2</v>
      </c>
      <c r="R1138" s="1" t="s">
        <v>1839</v>
      </c>
      <c r="S1138">
        <v>1372.99</v>
      </c>
      <c r="T1138">
        <v>149931</v>
      </c>
    </row>
    <row r="1139" spans="1:20" hidden="1" x14ac:dyDescent="0.4">
      <c r="A1139" s="1" t="s">
        <v>432</v>
      </c>
      <c r="B1139" s="1" t="s">
        <v>1462</v>
      </c>
      <c r="C1139" s="1" t="s">
        <v>1845</v>
      </c>
      <c r="D1139" s="1" t="s">
        <v>1731</v>
      </c>
      <c r="E1139">
        <v>20251208</v>
      </c>
      <c r="F1139" s="1" t="s">
        <v>1473</v>
      </c>
      <c r="G1139">
        <v>4</v>
      </c>
      <c r="H1139" s="1" t="s">
        <v>1494</v>
      </c>
      <c r="I1139" t="s">
        <v>1874</v>
      </c>
      <c r="J1139" s="1" t="s">
        <v>1453</v>
      </c>
      <c r="K1139" s="1" t="s">
        <v>1589</v>
      </c>
      <c r="L1139" s="1" t="s">
        <v>1718</v>
      </c>
      <c r="M1139" s="1" t="s">
        <v>1758</v>
      </c>
      <c r="N1139" t="s">
        <v>1964</v>
      </c>
      <c r="O1139" t="s">
        <v>2164</v>
      </c>
      <c r="P1139" t="s">
        <v>3073</v>
      </c>
      <c r="Q1139">
        <v>107.01</v>
      </c>
      <c r="R1139" s="1" t="s">
        <v>1839</v>
      </c>
      <c r="S1139">
        <v>1372.99</v>
      </c>
      <c r="T1139">
        <v>146924</v>
      </c>
    </row>
    <row r="1140" spans="1:20" hidden="1" x14ac:dyDescent="0.4">
      <c r="A1140" s="1" t="s">
        <v>433</v>
      </c>
      <c r="B1140" s="1" t="s">
        <v>1453</v>
      </c>
      <c r="C1140" s="1" t="s">
        <v>1845</v>
      </c>
      <c r="D1140" s="1" t="s">
        <v>1462</v>
      </c>
      <c r="E1140">
        <v>20251201</v>
      </c>
      <c r="F1140" s="1" t="s">
        <v>1474</v>
      </c>
      <c r="G1140">
        <v>4</v>
      </c>
      <c r="H1140" s="1" t="s">
        <v>1501</v>
      </c>
      <c r="I1140" t="s">
        <v>1881</v>
      </c>
      <c r="J1140" s="1" t="s">
        <v>1455</v>
      </c>
      <c r="K1140" s="1" t="s">
        <v>1657</v>
      </c>
      <c r="L1140" s="1" t="s">
        <v>1720</v>
      </c>
      <c r="M1140" s="1" t="s">
        <v>1737</v>
      </c>
      <c r="N1140" t="s">
        <v>2042</v>
      </c>
      <c r="O1140" t="s">
        <v>2166</v>
      </c>
      <c r="P1140" t="s">
        <v>2157</v>
      </c>
      <c r="Q1140">
        <v>1177.3900000000001</v>
      </c>
      <c r="R1140" s="1" t="s">
        <v>1839</v>
      </c>
      <c r="S1140">
        <v>1304.6400000000001</v>
      </c>
      <c r="T1140">
        <v>1536070</v>
      </c>
    </row>
    <row r="1141" spans="1:20" hidden="1" x14ac:dyDescent="0.4">
      <c r="A1141" s="1" t="s">
        <v>433</v>
      </c>
      <c r="B1141" s="1" t="s">
        <v>1454</v>
      </c>
      <c r="C1141" s="1" t="s">
        <v>1845</v>
      </c>
      <c r="D1141" s="1" t="s">
        <v>1462</v>
      </c>
      <c r="E1141">
        <v>20251201</v>
      </c>
      <c r="F1141" s="1" t="s">
        <v>1474</v>
      </c>
      <c r="G1141">
        <v>4</v>
      </c>
      <c r="H1141" s="1" t="s">
        <v>1501</v>
      </c>
      <c r="I1141" t="s">
        <v>1881</v>
      </c>
      <c r="J1141" s="1" t="s">
        <v>1455</v>
      </c>
      <c r="K1141" s="1" t="s">
        <v>1657</v>
      </c>
      <c r="L1141" s="1" t="s">
        <v>1720</v>
      </c>
      <c r="M1141" s="1" t="s">
        <v>1737</v>
      </c>
      <c r="N1141" t="s">
        <v>2043</v>
      </c>
      <c r="O1141" t="s">
        <v>2166</v>
      </c>
      <c r="P1141" t="s">
        <v>2157</v>
      </c>
      <c r="Q1141">
        <v>2023.58</v>
      </c>
      <c r="R1141" s="1" t="s">
        <v>1839</v>
      </c>
      <c r="S1141">
        <v>1304.6300000000001</v>
      </c>
      <c r="T1141">
        <v>2640023</v>
      </c>
    </row>
    <row r="1142" spans="1:20" hidden="1" x14ac:dyDescent="0.4">
      <c r="A1142" s="1" t="s">
        <v>433</v>
      </c>
      <c r="B1142" s="1" t="s">
        <v>1455</v>
      </c>
      <c r="C1142" s="1" t="s">
        <v>1845</v>
      </c>
      <c r="D1142" s="1" t="s">
        <v>1462</v>
      </c>
      <c r="E1142">
        <v>20251201</v>
      </c>
      <c r="F1142" s="1" t="s">
        <v>1474</v>
      </c>
      <c r="G1142">
        <v>4</v>
      </c>
      <c r="H1142" s="1" t="s">
        <v>1501</v>
      </c>
      <c r="I1142" t="s">
        <v>1881</v>
      </c>
      <c r="J1142" s="1" t="s">
        <v>1455</v>
      </c>
      <c r="K1142" s="1" t="s">
        <v>1658</v>
      </c>
      <c r="L1142" s="1" t="s">
        <v>1720</v>
      </c>
      <c r="M1142" s="1" t="s">
        <v>1762</v>
      </c>
      <c r="N1142" t="s">
        <v>2044</v>
      </c>
      <c r="O1142" t="s">
        <v>2166</v>
      </c>
      <c r="P1142" t="s">
        <v>3172</v>
      </c>
      <c r="Q1142">
        <v>658.48</v>
      </c>
      <c r="R1142" s="1" t="s">
        <v>1839</v>
      </c>
      <c r="S1142">
        <v>671.8</v>
      </c>
      <c r="T1142">
        <v>442366</v>
      </c>
    </row>
    <row r="1143" spans="1:20" hidden="1" x14ac:dyDescent="0.4">
      <c r="A1143" s="1" t="s">
        <v>434</v>
      </c>
      <c r="B1143" s="1" t="s">
        <v>1453</v>
      </c>
      <c r="C1143" s="1" t="s">
        <v>1845</v>
      </c>
      <c r="D1143" s="1" t="s">
        <v>1731</v>
      </c>
      <c r="E1143">
        <v>20251209</v>
      </c>
      <c r="F1143" s="1" t="s">
        <v>1470</v>
      </c>
      <c r="G1143">
        <v>4</v>
      </c>
      <c r="H1143" s="1" t="s">
        <v>1490</v>
      </c>
      <c r="I1143" t="s">
        <v>1870</v>
      </c>
      <c r="J1143" s="1" t="s">
        <v>1456</v>
      </c>
      <c r="K1143" s="1" t="s">
        <v>1554</v>
      </c>
      <c r="L1143" s="1" t="s">
        <v>1729</v>
      </c>
      <c r="M1143" s="1" t="s">
        <v>1737</v>
      </c>
      <c r="N1143" t="s">
        <v>1926</v>
      </c>
      <c r="O1143" t="s">
        <v>2157</v>
      </c>
      <c r="P1143" t="s">
        <v>2157</v>
      </c>
      <c r="Q1143">
        <v>1</v>
      </c>
      <c r="R1143" s="1" t="s">
        <v>1718</v>
      </c>
      <c r="S1143">
        <v>11337</v>
      </c>
      <c r="T1143">
        <v>11337</v>
      </c>
    </row>
    <row r="1144" spans="1:20" hidden="1" x14ac:dyDescent="0.4">
      <c r="A1144" s="1" t="s">
        <v>435</v>
      </c>
      <c r="B1144" s="1" t="s">
        <v>1453</v>
      </c>
      <c r="C1144" s="1" t="s">
        <v>1845</v>
      </c>
      <c r="D1144" s="1" t="s">
        <v>1731</v>
      </c>
      <c r="E1144">
        <v>20251209</v>
      </c>
      <c r="F1144" s="1" t="s">
        <v>1470</v>
      </c>
      <c r="G1144">
        <v>4</v>
      </c>
      <c r="H1144" s="1" t="s">
        <v>1490</v>
      </c>
      <c r="I1144" t="s">
        <v>1870</v>
      </c>
      <c r="J1144" s="1" t="s">
        <v>1456</v>
      </c>
      <c r="K1144" s="1" t="s">
        <v>1563</v>
      </c>
      <c r="L1144" s="1" t="s">
        <v>1729</v>
      </c>
      <c r="M1144" s="1" t="s">
        <v>1741</v>
      </c>
      <c r="N1144" t="s">
        <v>1935</v>
      </c>
      <c r="O1144" t="s">
        <v>2157</v>
      </c>
      <c r="P1144" t="s">
        <v>3042</v>
      </c>
      <c r="Q1144">
        <v>100</v>
      </c>
      <c r="R1144" s="1" t="s">
        <v>1718</v>
      </c>
      <c r="S1144">
        <v>2932</v>
      </c>
      <c r="T1144">
        <v>293200</v>
      </c>
    </row>
    <row r="1145" spans="1:20" hidden="1" x14ac:dyDescent="0.4">
      <c r="A1145" s="1" t="s">
        <v>435</v>
      </c>
      <c r="B1145" s="1" t="s">
        <v>1454</v>
      </c>
      <c r="C1145" s="1" t="s">
        <v>1845</v>
      </c>
      <c r="D1145" s="1" t="s">
        <v>1731</v>
      </c>
      <c r="E1145">
        <v>20251209</v>
      </c>
      <c r="F1145" s="1" t="s">
        <v>1470</v>
      </c>
      <c r="G1145">
        <v>4</v>
      </c>
      <c r="H1145" s="1" t="s">
        <v>1490</v>
      </c>
      <c r="I1145" t="s">
        <v>1870</v>
      </c>
      <c r="J1145" s="1" t="s">
        <v>1456</v>
      </c>
      <c r="K1145" s="1" t="s">
        <v>1563</v>
      </c>
      <c r="L1145" s="1" t="s">
        <v>1729</v>
      </c>
      <c r="M1145" s="1" t="s">
        <v>1741</v>
      </c>
      <c r="N1145" t="s">
        <v>1935</v>
      </c>
      <c r="O1145" t="s">
        <v>2157</v>
      </c>
      <c r="P1145" t="s">
        <v>3042</v>
      </c>
      <c r="Q1145">
        <v>100</v>
      </c>
      <c r="R1145" s="1" t="s">
        <v>1718</v>
      </c>
      <c r="S1145">
        <v>5624</v>
      </c>
      <c r="T1145">
        <v>562400</v>
      </c>
    </row>
    <row r="1146" spans="1:20" hidden="1" x14ac:dyDescent="0.4">
      <c r="A1146" s="1" t="s">
        <v>436</v>
      </c>
      <c r="B1146" s="1" t="s">
        <v>1453</v>
      </c>
      <c r="C1146" s="1" t="s">
        <v>1845</v>
      </c>
      <c r="D1146" s="1" t="s">
        <v>1731</v>
      </c>
      <c r="E1146">
        <v>20251208</v>
      </c>
      <c r="F1146" s="1" t="s">
        <v>1471</v>
      </c>
      <c r="G1146">
        <v>4</v>
      </c>
      <c r="H1146" s="1" t="s">
        <v>1494</v>
      </c>
      <c r="I1146" t="s">
        <v>1874</v>
      </c>
      <c r="J1146" s="1" t="s">
        <v>1454</v>
      </c>
      <c r="K1146" s="1" t="s">
        <v>1591</v>
      </c>
      <c r="L1146" s="1" t="s">
        <v>1732</v>
      </c>
      <c r="M1146" s="1" t="s">
        <v>1759</v>
      </c>
      <c r="N1146" t="s">
        <v>1966</v>
      </c>
      <c r="O1146" t="s">
        <v>2157</v>
      </c>
      <c r="P1146" t="s">
        <v>3074</v>
      </c>
      <c r="Q1146">
        <v>736.05</v>
      </c>
      <c r="R1146" s="1" t="s">
        <v>1840</v>
      </c>
      <c r="S1146">
        <v>2449.1999999999998</v>
      </c>
      <c r="T1146">
        <v>1802736</v>
      </c>
    </row>
    <row r="1147" spans="1:20" hidden="1" x14ac:dyDescent="0.4">
      <c r="A1147" s="1" t="s">
        <v>437</v>
      </c>
      <c r="B1147" s="1" t="s">
        <v>1453</v>
      </c>
      <c r="C1147" s="1" t="s">
        <v>1845</v>
      </c>
      <c r="D1147" s="1" t="s">
        <v>1731</v>
      </c>
      <c r="E1147">
        <v>20251210</v>
      </c>
      <c r="F1147" s="1" t="s">
        <v>1470</v>
      </c>
      <c r="G1147">
        <v>4</v>
      </c>
      <c r="H1147" s="1" t="s">
        <v>1490</v>
      </c>
      <c r="I1147" t="s">
        <v>1870</v>
      </c>
      <c r="J1147" s="1" t="s">
        <v>1456</v>
      </c>
      <c r="K1147" s="1" t="s">
        <v>1553</v>
      </c>
      <c r="L1147" s="1" t="s">
        <v>1729</v>
      </c>
      <c r="M1147" s="1" t="s">
        <v>1736</v>
      </c>
      <c r="N1147" t="s">
        <v>1925</v>
      </c>
      <c r="O1147" t="s">
        <v>2157</v>
      </c>
      <c r="P1147" t="s">
        <v>3038</v>
      </c>
      <c r="Q1147">
        <v>10</v>
      </c>
      <c r="R1147" s="1" t="s">
        <v>1718</v>
      </c>
      <c r="S1147">
        <v>11060.4</v>
      </c>
      <c r="T1147">
        <v>110604</v>
      </c>
    </row>
    <row r="1148" spans="1:20" hidden="1" x14ac:dyDescent="0.4">
      <c r="A1148" s="1" t="s">
        <v>437</v>
      </c>
      <c r="B1148" s="1" t="s">
        <v>1454</v>
      </c>
      <c r="C1148" s="1" t="s">
        <v>1845</v>
      </c>
      <c r="D1148" s="1" t="s">
        <v>1731</v>
      </c>
      <c r="E1148">
        <v>20251210</v>
      </c>
      <c r="F1148" s="1" t="s">
        <v>1470</v>
      </c>
      <c r="G1148">
        <v>4</v>
      </c>
      <c r="H1148" s="1" t="s">
        <v>1490</v>
      </c>
      <c r="I1148" t="s">
        <v>1870</v>
      </c>
      <c r="J1148" s="1" t="s">
        <v>1456</v>
      </c>
      <c r="K1148" s="1" t="s">
        <v>1554</v>
      </c>
      <c r="L1148" s="1" t="s">
        <v>1729</v>
      </c>
      <c r="M1148" s="1" t="s">
        <v>1737</v>
      </c>
      <c r="N1148" t="s">
        <v>1926</v>
      </c>
      <c r="O1148" t="s">
        <v>2157</v>
      </c>
      <c r="P1148" t="s">
        <v>2157</v>
      </c>
      <c r="Q1148">
        <v>25</v>
      </c>
      <c r="R1148" s="1" t="s">
        <v>1718</v>
      </c>
      <c r="S1148">
        <v>17862</v>
      </c>
      <c r="T1148">
        <v>446550</v>
      </c>
    </row>
    <row r="1149" spans="1:20" hidden="1" x14ac:dyDescent="0.4">
      <c r="A1149" s="1" t="s">
        <v>438</v>
      </c>
      <c r="B1149" s="1" t="s">
        <v>1453</v>
      </c>
      <c r="C1149" s="1" t="s">
        <v>1845</v>
      </c>
      <c r="D1149" s="1" t="s">
        <v>1731</v>
      </c>
      <c r="E1149">
        <v>20251210</v>
      </c>
      <c r="F1149" s="1" t="s">
        <v>1470</v>
      </c>
      <c r="G1149">
        <v>4</v>
      </c>
      <c r="H1149" s="1" t="s">
        <v>1490</v>
      </c>
      <c r="I1149" t="s">
        <v>1870</v>
      </c>
      <c r="J1149" s="1" t="s">
        <v>1456</v>
      </c>
      <c r="K1149" s="1" t="s">
        <v>1555</v>
      </c>
      <c r="L1149" s="1" t="s">
        <v>1729</v>
      </c>
      <c r="M1149" s="1" t="s">
        <v>1736</v>
      </c>
      <c r="N1149" t="s">
        <v>1927</v>
      </c>
      <c r="O1149" t="s">
        <v>2157</v>
      </c>
      <c r="P1149" t="s">
        <v>3038</v>
      </c>
      <c r="Q1149">
        <v>12</v>
      </c>
      <c r="R1149" s="1" t="s">
        <v>1718</v>
      </c>
      <c r="S1149">
        <v>10937</v>
      </c>
      <c r="T1149">
        <v>131244</v>
      </c>
    </row>
    <row r="1150" spans="1:20" hidden="1" x14ac:dyDescent="0.4">
      <c r="A1150" s="1" t="s">
        <v>438</v>
      </c>
      <c r="B1150" s="1" t="s">
        <v>1454</v>
      </c>
      <c r="C1150" s="1" t="s">
        <v>1845</v>
      </c>
      <c r="D1150" s="1" t="s">
        <v>1731</v>
      </c>
      <c r="E1150">
        <v>20251210</v>
      </c>
      <c r="F1150" s="1" t="s">
        <v>1470</v>
      </c>
      <c r="G1150">
        <v>4</v>
      </c>
      <c r="H1150" s="1" t="s">
        <v>1490</v>
      </c>
      <c r="I1150" t="s">
        <v>1870</v>
      </c>
      <c r="J1150" s="1" t="s">
        <v>1456</v>
      </c>
      <c r="K1150" s="1" t="s">
        <v>1562</v>
      </c>
      <c r="L1150" s="1" t="s">
        <v>1729</v>
      </c>
      <c r="M1150" s="1" t="s">
        <v>1735</v>
      </c>
      <c r="N1150" t="s">
        <v>1934</v>
      </c>
      <c r="O1150" t="s">
        <v>2157</v>
      </c>
      <c r="P1150" t="s">
        <v>3037</v>
      </c>
      <c r="Q1150">
        <v>16</v>
      </c>
      <c r="R1150" s="1" t="s">
        <v>1718</v>
      </c>
      <c r="S1150">
        <v>15521.25</v>
      </c>
      <c r="T1150">
        <v>248340</v>
      </c>
    </row>
    <row r="1151" spans="1:20" hidden="1" x14ac:dyDescent="0.4">
      <c r="A1151" s="1" t="s">
        <v>439</v>
      </c>
      <c r="B1151" s="1" t="s">
        <v>1453</v>
      </c>
      <c r="C1151" s="1" t="s">
        <v>1845</v>
      </c>
      <c r="D1151" s="1" t="s">
        <v>1731</v>
      </c>
      <c r="E1151">
        <v>20251210</v>
      </c>
      <c r="F1151" s="1" t="s">
        <v>1470</v>
      </c>
      <c r="G1151">
        <v>4</v>
      </c>
      <c r="H1151" s="1" t="s">
        <v>1490</v>
      </c>
      <c r="I1151" t="s">
        <v>1870</v>
      </c>
      <c r="J1151" s="1" t="s">
        <v>1456</v>
      </c>
      <c r="K1151" s="1" t="s">
        <v>1558</v>
      </c>
      <c r="L1151" s="1" t="s">
        <v>1729</v>
      </c>
      <c r="M1151" s="1" t="s">
        <v>1737</v>
      </c>
      <c r="N1151" t="s">
        <v>1930</v>
      </c>
      <c r="O1151" t="s">
        <v>2157</v>
      </c>
      <c r="P1151" t="s">
        <v>2157</v>
      </c>
      <c r="Q1151">
        <v>38</v>
      </c>
      <c r="R1151" s="1" t="s">
        <v>1718</v>
      </c>
      <c r="S1151">
        <v>17659.099999999999</v>
      </c>
      <c r="T1151">
        <v>671046</v>
      </c>
    </row>
    <row r="1152" spans="1:20" hidden="1" x14ac:dyDescent="0.4">
      <c r="A1152" s="1" t="s">
        <v>440</v>
      </c>
      <c r="B1152" s="1" t="s">
        <v>1453</v>
      </c>
      <c r="C1152" s="1" t="s">
        <v>1845</v>
      </c>
      <c r="D1152" s="1" t="s">
        <v>1731</v>
      </c>
      <c r="E1152">
        <v>20251210</v>
      </c>
      <c r="F1152" s="1" t="s">
        <v>1470</v>
      </c>
      <c r="G1152">
        <v>4</v>
      </c>
      <c r="H1152" s="1" t="s">
        <v>1490</v>
      </c>
      <c r="I1152" t="s">
        <v>1870</v>
      </c>
      <c r="J1152" s="1" t="s">
        <v>1456</v>
      </c>
      <c r="K1152" s="1" t="s">
        <v>1571</v>
      </c>
      <c r="L1152" s="1" t="s">
        <v>1729</v>
      </c>
      <c r="M1152" s="1" t="s">
        <v>1741</v>
      </c>
      <c r="N1152" t="s">
        <v>1944</v>
      </c>
      <c r="O1152" t="s">
        <v>2157</v>
      </c>
      <c r="P1152" t="s">
        <v>3042</v>
      </c>
      <c r="Q1152">
        <v>40</v>
      </c>
      <c r="R1152" s="1" t="s">
        <v>1718</v>
      </c>
      <c r="S1152">
        <v>5517</v>
      </c>
      <c r="T1152">
        <v>220680</v>
      </c>
    </row>
    <row r="1153" spans="1:20" hidden="1" x14ac:dyDescent="0.4">
      <c r="A1153" s="1" t="s">
        <v>440</v>
      </c>
      <c r="B1153" s="1" t="s">
        <v>1454</v>
      </c>
      <c r="C1153" s="1" t="s">
        <v>1845</v>
      </c>
      <c r="D1153" s="1" t="s">
        <v>1731</v>
      </c>
      <c r="E1153">
        <v>20251210</v>
      </c>
      <c r="F1153" s="1" t="s">
        <v>1470</v>
      </c>
      <c r="G1153">
        <v>4</v>
      </c>
      <c r="H1153" s="1" t="s">
        <v>1490</v>
      </c>
      <c r="I1153" t="s">
        <v>1870</v>
      </c>
      <c r="J1153" s="1" t="s">
        <v>1456</v>
      </c>
      <c r="K1153" s="1" t="s">
        <v>1559</v>
      </c>
      <c r="L1153" s="1" t="s">
        <v>1729</v>
      </c>
      <c r="M1153" s="1" t="s">
        <v>1739</v>
      </c>
      <c r="N1153" t="s">
        <v>1931</v>
      </c>
      <c r="O1153" t="s">
        <v>2157</v>
      </c>
      <c r="P1153" t="s">
        <v>3150</v>
      </c>
      <c r="Q1153">
        <v>1</v>
      </c>
      <c r="R1153" s="1" t="s">
        <v>1718</v>
      </c>
      <c r="S1153">
        <v>4836</v>
      </c>
      <c r="T1153">
        <v>4836</v>
      </c>
    </row>
    <row r="1154" spans="1:20" hidden="1" x14ac:dyDescent="0.4">
      <c r="A1154" s="1" t="s">
        <v>440</v>
      </c>
      <c r="B1154" s="1" t="s">
        <v>1455</v>
      </c>
      <c r="C1154" s="1" t="s">
        <v>1845</v>
      </c>
      <c r="D1154" s="1" t="s">
        <v>1731</v>
      </c>
      <c r="E1154">
        <v>20251210</v>
      </c>
      <c r="F1154" s="1" t="s">
        <v>1470</v>
      </c>
      <c r="G1154">
        <v>4</v>
      </c>
      <c r="H1154" s="1" t="s">
        <v>1490</v>
      </c>
      <c r="I1154" t="s">
        <v>1870</v>
      </c>
      <c r="J1154" s="1" t="s">
        <v>1456</v>
      </c>
      <c r="K1154" s="1" t="s">
        <v>1559</v>
      </c>
      <c r="L1154" s="1" t="s">
        <v>1729</v>
      </c>
      <c r="M1154" s="1" t="s">
        <v>1743</v>
      </c>
      <c r="N1154" t="s">
        <v>1931</v>
      </c>
      <c r="O1154" t="s">
        <v>2157</v>
      </c>
      <c r="P1154" t="s">
        <v>3154</v>
      </c>
      <c r="Q1154">
        <v>3</v>
      </c>
      <c r="R1154" s="1" t="s">
        <v>1718</v>
      </c>
      <c r="S1154">
        <v>2460</v>
      </c>
      <c r="T1154">
        <v>7380</v>
      </c>
    </row>
    <row r="1155" spans="1:20" hidden="1" x14ac:dyDescent="0.4">
      <c r="A1155" s="1" t="s">
        <v>441</v>
      </c>
      <c r="B1155" s="1" t="s">
        <v>1453</v>
      </c>
      <c r="C1155" s="1" t="s">
        <v>1845</v>
      </c>
      <c r="D1155" s="1" t="s">
        <v>1462</v>
      </c>
      <c r="E1155">
        <v>20251209</v>
      </c>
      <c r="F1155" s="1" t="s">
        <v>1471</v>
      </c>
      <c r="G1155">
        <v>4</v>
      </c>
      <c r="H1155" s="1" t="s">
        <v>1491</v>
      </c>
      <c r="I1155" t="s">
        <v>1871</v>
      </c>
      <c r="J1155" s="1" t="s">
        <v>1460</v>
      </c>
      <c r="K1155" s="1" t="s">
        <v>1641</v>
      </c>
      <c r="L1155" s="1" t="s">
        <v>1730</v>
      </c>
      <c r="M1155" s="1" t="s">
        <v>1768</v>
      </c>
      <c r="N1155" t="s">
        <v>2022</v>
      </c>
      <c r="O1155" t="s">
        <v>2175</v>
      </c>
      <c r="P1155" t="s">
        <v>3167</v>
      </c>
      <c r="Q1155">
        <v>10</v>
      </c>
      <c r="R1155" s="1" t="s">
        <v>1718</v>
      </c>
      <c r="S1155">
        <v>2864</v>
      </c>
      <c r="T1155">
        <v>28640</v>
      </c>
    </row>
    <row r="1156" spans="1:20" hidden="1" x14ac:dyDescent="0.4">
      <c r="A1156" s="1" t="s">
        <v>441</v>
      </c>
      <c r="B1156" s="1" t="s">
        <v>1454</v>
      </c>
      <c r="C1156" s="1" t="s">
        <v>1845</v>
      </c>
      <c r="D1156" s="1" t="s">
        <v>1462</v>
      </c>
      <c r="E1156">
        <v>20251209</v>
      </c>
      <c r="F1156" s="1" t="s">
        <v>1471</v>
      </c>
      <c r="G1156">
        <v>4</v>
      </c>
      <c r="H1156" s="1" t="s">
        <v>1491</v>
      </c>
      <c r="I1156" t="s">
        <v>1871</v>
      </c>
      <c r="J1156" s="1" t="s">
        <v>1460</v>
      </c>
      <c r="K1156" s="1" t="s">
        <v>1642</v>
      </c>
      <c r="L1156" s="1" t="s">
        <v>1725</v>
      </c>
      <c r="M1156" s="1" t="s">
        <v>1737</v>
      </c>
      <c r="N1156" t="s">
        <v>2023</v>
      </c>
      <c r="O1156" t="s">
        <v>2157</v>
      </c>
      <c r="P1156" t="s">
        <v>2157</v>
      </c>
      <c r="Q1156">
        <v>1</v>
      </c>
      <c r="R1156" s="1" t="s">
        <v>1842</v>
      </c>
      <c r="S1156">
        <v>580</v>
      </c>
      <c r="T1156">
        <v>580</v>
      </c>
    </row>
    <row r="1157" spans="1:20" hidden="1" x14ac:dyDescent="0.4">
      <c r="A1157" s="1" t="s">
        <v>442</v>
      </c>
      <c r="B1157" s="1" t="s">
        <v>1453</v>
      </c>
      <c r="C1157" s="1" t="s">
        <v>1845</v>
      </c>
      <c r="D1157" s="1" t="s">
        <v>1464</v>
      </c>
      <c r="E1157">
        <v>20251205</v>
      </c>
      <c r="F1157" s="1" t="s">
        <v>1471</v>
      </c>
      <c r="G1157">
        <v>4</v>
      </c>
      <c r="H1157" s="1" t="s">
        <v>1502</v>
      </c>
      <c r="I1157" t="s">
        <v>1882</v>
      </c>
      <c r="J1157" s="1" t="s">
        <v>1460</v>
      </c>
      <c r="K1157" s="1" t="s">
        <v>1622</v>
      </c>
      <c r="L1157" s="1" t="s">
        <v>1733</v>
      </c>
      <c r="M1157" s="1" t="s">
        <v>1737</v>
      </c>
      <c r="N1157" t="s">
        <v>2045</v>
      </c>
      <c r="O1157" t="s">
        <v>2162</v>
      </c>
      <c r="P1157" t="s">
        <v>2157</v>
      </c>
      <c r="Q1157">
        <v>2000.8</v>
      </c>
      <c r="R1157" s="1" t="s">
        <v>1463</v>
      </c>
      <c r="S1157">
        <v>180</v>
      </c>
      <c r="T1157">
        <v>360144</v>
      </c>
    </row>
    <row r="1158" spans="1:20" hidden="1" x14ac:dyDescent="0.4">
      <c r="A1158" s="1" t="s">
        <v>443</v>
      </c>
      <c r="B1158" s="1" t="s">
        <v>1453</v>
      </c>
      <c r="C1158" s="1" t="s">
        <v>1845</v>
      </c>
      <c r="D1158" s="1" t="s">
        <v>1462</v>
      </c>
      <c r="E1158">
        <v>20251208</v>
      </c>
      <c r="F1158" s="1" t="s">
        <v>1471</v>
      </c>
      <c r="G1158">
        <v>4</v>
      </c>
      <c r="H1158" s="1" t="s">
        <v>1498</v>
      </c>
      <c r="I1158" t="s">
        <v>1878</v>
      </c>
      <c r="J1158" s="1" t="s">
        <v>1460</v>
      </c>
      <c r="K1158" s="1" t="s">
        <v>1650</v>
      </c>
      <c r="L1158" s="1" t="s">
        <v>1731</v>
      </c>
      <c r="M1158" s="1" t="s">
        <v>1806</v>
      </c>
      <c r="N1158" t="s">
        <v>2032</v>
      </c>
      <c r="O1158" t="s">
        <v>2178</v>
      </c>
      <c r="P1158" t="s">
        <v>3173</v>
      </c>
      <c r="Q1158">
        <v>1000</v>
      </c>
      <c r="R1158" s="1" t="s">
        <v>1463</v>
      </c>
      <c r="S1158">
        <v>517</v>
      </c>
      <c r="T1158">
        <v>517000</v>
      </c>
    </row>
    <row r="1159" spans="1:20" hidden="1" x14ac:dyDescent="0.4">
      <c r="A1159" s="1" t="s">
        <v>444</v>
      </c>
      <c r="B1159" s="1" t="s">
        <v>1453</v>
      </c>
      <c r="C1159" s="1" t="s">
        <v>1845</v>
      </c>
      <c r="D1159" s="1" t="s">
        <v>1462</v>
      </c>
      <c r="E1159">
        <v>20251208</v>
      </c>
      <c r="F1159" s="1" t="s">
        <v>1471</v>
      </c>
      <c r="G1159">
        <v>4</v>
      </c>
      <c r="H1159" s="1" t="s">
        <v>1498</v>
      </c>
      <c r="I1159" t="s">
        <v>1878</v>
      </c>
      <c r="J1159" s="1" t="s">
        <v>1460</v>
      </c>
      <c r="K1159" s="1" t="s">
        <v>1647</v>
      </c>
      <c r="L1159" s="1" t="s">
        <v>1731</v>
      </c>
      <c r="M1159" s="1" t="s">
        <v>1800</v>
      </c>
      <c r="N1159" t="s">
        <v>2029</v>
      </c>
      <c r="O1159" t="s">
        <v>2178</v>
      </c>
      <c r="P1159" t="s">
        <v>3161</v>
      </c>
      <c r="Q1159">
        <v>2000</v>
      </c>
      <c r="R1159" s="1" t="s">
        <v>1463</v>
      </c>
      <c r="S1159">
        <v>460</v>
      </c>
      <c r="T1159">
        <v>920000</v>
      </c>
    </row>
    <row r="1160" spans="1:20" hidden="1" x14ac:dyDescent="0.4">
      <c r="A1160" s="1" t="s">
        <v>445</v>
      </c>
      <c r="B1160" s="1" t="s">
        <v>1453</v>
      </c>
      <c r="C1160" s="1" t="s">
        <v>1845</v>
      </c>
      <c r="D1160" s="1" t="s">
        <v>1462</v>
      </c>
      <c r="E1160">
        <v>20251208</v>
      </c>
      <c r="F1160" s="1" t="s">
        <v>1471</v>
      </c>
      <c r="G1160">
        <v>4</v>
      </c>
      <c r="H1160" s="1" t="s">
        <v>1498</v>
      </c>
      <c r="I1160" t="s">
        <v>1878</v>
      </c>
      <c r="J1160" s="1" t="s">
        <v>1460</v>
      </c>
      <c r="K1160" s="1" t="s">
        <v>1647</v>
      </c>
      <c r="L1160" s="1" t="s">
        <v>1731</v>
      </c>
      <c r="M1160" s="1" t="s">
        <v>1800</v>
      </c>
      <c r="N1160" t="s">
        <v>2029</v>
      </c>
      <c r="O1160" t="s">
        <v>2178</v>
      </c>
      <c r="P1160" t="s">
        <v>3161</v>
      </c>
      <c r="Q1160">
        <v>250</v>
      </c>
      <c r="R1160" s="1" t="s">
        <v>1463</v>
      </c>
      <c r="S1160">
        <v>460</v>
      </c>
      <c r="T1160">
        <v>115000</v>
      </c>
    </row>
    <row r="1161" spans="1:20" hidden="1" x14ac:dyDescent="0.4">
      <c r="A1161" s="1" t="s">
        <v>446</v>
      </c>
      <c r="B1161" s="1" t="s">
        <v>1453</v>
      </c>
      <c r="C1161" s="1" t="s">
        <v>1845</v>
      </c>
      <c r="D1161" s="1" t="s">
        <v>1462</v>
      </c>
      <c r="E1161">
        <v>20251209</v>
      </c>
      <c r="F1161" s="1" t="s">
        <v>1473</v>
      </c>
      <c r="G1161">
        <v>1</v>
      </c>
      <c r="H1161" s="1" t="s">
        <v>1493</v>
      </c>
      <c r="I1161" t="s">
        <v>1873</v>
      </c>
      <c r="J1161" s="1" t="s">
        <v>1453</v>
      </c>
      <c r="K1161" s="1" t="s">
        <v>1609</v>
      </c>
      <c r="L1161" s="1" t="s">
        <v>1716</v>
      </c>
      <c r="M1161" s="1" t="s">
        <v>1770</v>
      </c>
      <c r="N1161" t="s">
        <v>1983</v>
      </c>
      <c r="O1161" t="s">
        <v>2162</v>
      </c>
      <c r="P1161" t="s">
        <v>3094</v>
      </c>
      <c r="Q1161">
        <v>912.25</v>
      </c>
      <c r="R1161" s="1" t="s">
        <v>1463</v>
      </c>
      <c r="S1161">
        <v>1095</v>
      </c>
      <c r="T1161">
        <v>998913</v>
      </c>
    </row>
    <row r="1162" spans="1:20" hidden="1" x14ac:dyDescent="0.4">
      <c r="A1162" s="1" t="s">
        <v>447</v>
      </c>
      <c r="B1162" s="1" t="s">
        <v>1453</v>
      </c>
      <c r="C1162" s="1" t="s">
        <v>1845</v>
      </c>
      <c r="D1162" s="1" t="s">
        <v>1462</v>
      </c>
      <c r="E1162">
        <v>20251209</v>
      </c>
      <c r="F1162" s="1" t="s">
        <v>1470</v>
      </c>
      <c r="G1162">
        <v>1</v>
      </c>
      <c r="H1162" s="1" t="s">
        <v>1503</v>
      </c>
      <c r="I1162" t="s">
        <v>1883</v>
      </c>
      <c r="J1162" s="1" t="s">
        <v>1456</v>
      </c>
      <c r="K1162" s="1" t="s">
        <v>1632</v>
      </c>
      <c r="L1162" s="1" t="s">
        <v>1716</v>
      </c>
      <c r="M1162" s="1" t="s">
        <v>1735</v>
      </c>
      <c r="N1162" t="s">
        <v>2010</v>
      </c>
      <c r="O1162" t="s">
        <v>2162</v>
      </c>
      <c r="P1162" t="s">
        <v>3174</v>
      </c>
      <c r="Q1162">
        <v>1666.9</v>
      </c>
      <c r="R1162" s="1" t="s">
        <v>1463</v>
      </c>
      <c r="S1162">
        <v>2670</v>
      </c>
      <c r="T1162">
        <v>4450623</v>
      </c>
    </row>
    <row r="1163" spans="1:20" hidden="1" x14ac:dyDescent="0.4">
      <c r="A1163" s="1" t="s">
        <v>448</v>
      </c>
      <c r="B1163" s="1" t="s">
        <v>1453</v>
      </c>
      <c r="C1163" s="1" t="s">
        <v>1845</v>
      </c>
      <c r="D1163" s="1" t="s">
        <v>1731</v>
      </c>
      <c r="E1163">
        <v>20251209</v>
      </c>
      <c r="F1163" s="1" t="s">
        <v>1473</v>
      </c>
      <c r="G1163">
        <v>4</v>
      </c>
      <c r="H1163" s="1" t="s">
        <v>1494</v>
      </c>
      <c r="I1163" t="s">
        <v>1874</v>
      </c>
      <c r="J1163" s="1" t="s">
        <v>1453</v>
      </c>
      <c r="K1163" s="1" t="s">
        <v>1583</v>
      </c>
      <c r="L1163" s="1" t="s">
        <v>1718</v>
      </c>
      <c r="M1163" s="1" t="s">
        <v>1760</v>
      </c>
      <c r="N1163" t="s">
        <v>1958</v>
      </c>
      <c r="O1163" t="s">
        <v>2164</v>
      </c>
      <c r="P1163" t="s">
        <v>3075</v>
      </c>
      <c r="Q1163">
        <v>109.2</v>
      </c>
      <c r="R1163" s="1" t="s">
        <v>1839</v>
      </c>
      <c r="S1163">
        <v>2025.99</v>
      </c>
      <c r="T1163">
        <v>221239</v>
      </c>
    </row>
    <row r="1164" spans="1:20" hidden="1" x14ac:dyDescent="0.4">
      <c r="A1164" s="1" t="s">
        <v>448</v>
      </c>
      <c r="B1164" s="1" t="s">
        <v>1454</v>
      </c>
      <c r="C1164" s="1" t="s">
        <v>1845</v>
      </c>
      <c r="D1164" s="1" t="s">
        <v>1731</v>
      </c>
      <c r="E1164">
        <v>20251209</v>
      </c>
      <c r="F1164" s="1" t="s">
        <v>1473</v>
      </c>
      <c r="G1164">
        <v>4</v>
      </c>
      <c r="H1164" s="1" t="s">
        <v>1494</v>
      </c>
      <c r="I1164" t="s">
        <v>1874</v>
      </c>
      <c r="J1164" s="1" t="s">
        <v>1453</v>
      </c>
      <c r="K1164" s="1" t="s">
        <v>1583</v>
      </c>
      <c r="L1164" s="1" t="s">
        <v>1718</v>
      </c>
      <c r="M1164" s="1" t="s">
        <v>1760</v>
      </c>
      <c r="N1164" t="s">
        <v>1958</v>
      </c>
      <c r="O1164" t="s">
        <v>2164</v>
      </c>
      <c r="P1164" t="s">
        <v>3075</v>
      </c>
      <c r="Q1164">
        <v>109.2</v>
      </c>
      <c r="R1164" s="1" t="s">
        <v>1839</v>
      </c>
      <c r="S1164">
        <v>2025.99</v>
      </c>
      <c r="T1164">
        <v>221239</v>
      </c>
    </row>
    <row r="1165" spans="1:20" hidden="1" x14ac:dyDescent="0.4">
      <c r="A1165" s="1" t="s">
        <v>448</v>
      </c>
      <c r="B1165" s="1" t="s">
        <v>1455</v>
      </c>
      <c r="C1165" s="1" t="s">
        <v>1845</v>
      </c>
      <c r="D1165" s="1" t="s">
        <v>1731</v>
      </c>
      <c r="E1165">
        <v>20251209</v>
      </c>
      <c r="F1165" s="1" t="s">
        <v>1473</v>
      </c>
      <c r="G1165">
        <v>4</v>
      </c>
      <c r="H1165" s="1" t="s">
        <v>1494</v>
      </c>
      <c r="I1165" t="s">
        <v>1874</v>
      </c>
      <c r="J1165" s="1" t="s">
        <v>1453</v>
      </c>
      <c r="K1165" s="1" t="s">
        <v>1583</v>
      </c>
      <c r="L1165" s="1" t="s">
        <v>1718</v>
      </c>
      <c r="M1165" s="1" t="s">
        <v>1760</v>
      </c>
      <c r="N1165" t="s">
        <v>1958</v>
      </c>
      <c r="O1165" t="s">
        <v>2164</v>
      </c>
      <c r="P1165" t="s">
        <v>3075</v>
      </c>
      <c r="Q1165">
        <v>109.2</v>
      </c>
      <c r="R1165" s="1" t="s">
        <v>1839</v>
      </c>
      <c r="S1165">
        <v>2025.99</v>
      </c>
      <c r="T1165">
        <v>221239</v>
      </c>
    </row>
    <row r="1166" spans="1:20" hidden="1" x14ac:dyDescent="0.4">
      <c r="A1166" s="1" t="s">
        <v>448</v>
      </c>
      <c r="B1166" s="1" t="s">
        <v>1456</v>
      </c>
      <c r="C1166" s="1" t="s">
        <v>1845</v>
      </c>
      <c r="D1166" s="1" t="s">
        <v>1731</v>
      </c>
      <c r="E1166">
        <v>20251209</v>
      </c>
      <c r="F1166" s="1" t="s">
        <v>1473</v>
      </c>
      <c r="G1166">
        <v>4</v>
      </c>
      <c r="H1166" s="1" t="s">
        <v>1494</v>
      </c>
      <c r="I1166" t="s">
        <v>1874</v>
      </c>
      <c r="J1166" s="1" t="s">
        <v>1453</v>
      </c>
      <c r="K1166" s="1" t="s">
        <v>1583</v>
      </c>
      <c r="L1166" s="1" t="s">
        <v>1718</v>
      </c>
      <c r="M1166" s="1" t="s">
        <v>1760</v>
      </c>
      <c r="N1166" t="s">
        <v>1958</v>
      </c>
      <c r="O1166" t="s">
        <v>2164</v>
      </c>
      <c r="P1166" t="s">
        <v>3075</v>
      </c>
      <c r="Q1166">
        <v>107.38</v>
      </c>
      <c r="R1166" s="1" t="s">
        <v>1839</v>
      </c>
      <c r="S1166">
        <v>2025.99</v>
      </c>
      <c r="T1166">
        <v>217551</v>
      </c>
    </row>
    <row r="1167" spans="1:20" hidden="1" x14ac:dyDescent="0.4">
      <c r="A1167" s="1" t="s">
        <v>448</v>
      </c>
      <c r="B1167" s="1" t="s">
        <v>1457</v>
      </c>
      <c r="C1167" s="1" t="s">
        <v>1845</v>
      </c>
      <c r="D1167" s="1" t="s">
        <v>1731</v>
      </c>
      <c r="E1167">
        <v>20251209</v>
      </c>
      <c r="F1167" s="1" t="s">
        <v>1473</v>
      </c>
      <c r="G1167">
        <v>4</v>
      </c>
      <c r="H1167" s="1" t="s">
        <v>1494</v>
      </c>
      <c r="I1167" t="s">
        <v>1874</v>
      </c>
      <c r="J1167" s="1" t="s">
        <v>1453</v>
      </c>
      <c r="K1167" s="1" t="s">
        <v>1583</v>
      </c>
      <c r="L1167" s="1" t="s">
        <v>1718</v>
      </c>
      <c r="M1167" s="1" t="s">
        <v>1760</v>
      </c>
      <c r="N1167" t="s">
        <v>1958</v>
      </c>
      <c r="O1167" t="s">
        <v>2164</v>
      </c>
      <c r="P1167" t="s">
        <v>3075</v>
      </c>
      <c r="Q1167">
        <v>109.2</v>
      </c>
      <c r="R1167" s="1" t="s">
        <v>1839</v>
      </c>
      <c r="S1167">
        <v>2025.99</v>
      </c>
      <c r="T1167">
        <v>221239</v>
      </c>
    </row>
    <row r="1168" spans="1:20" hidden="1" x14ac:dyDescent="0.4">
      <c r="A1168" s="1" t="s">
        <v>448</v>
      </c>
      <c r="B1168" s="1" t="s">
        <v>1458</v>
      </c>
      <c r="C1168" s="1" t="s">
        <v>1845</v>
      </c>
      <c r="D1168" s="1" t="s">
        <v>1731</v>
      </c>
      <c r="E1168">
        <v>20251209</v>
      </c>
      <c r="F1168" s="1" t="s">
        <v>1473</v>
      </c>
      <c r="G1168">
        <v>4</v>
      </c>
      <c r="H1168" s="1" t="s">
        <v>1494</v>
      </c>
      <c r="I1168" t="s">
        <v>1874</v>
      </c>
      <c r="J1168" s="1" t="s">
        <v>1453</v>
      </c>
      <c r="K1168" s="1" t="s">
        <v>1583</v>
      </c>
      <c r="L1168" s="1" t="s">
        <v>1718</v>
      </c>
      <c r="M1168" s="1" t="s">
        <v>1760</v>
      </c>
      <c r="N1168" t="s">
        <v>1958</v>
      </c>
      <c r="O1168" t="s">
        <v>2164</v>
      </c>
      <c r="P1168" t="s">
        <v>3075</v>
      </c>
      <c r="Q1168">
        <v>115.75</v>
      </c>
      <c r="R1168" s="1" t="s">
        <v>1839</v>
      </c>
      <c r="S1168">
        <v>2025.99</v>
      </c>
      <c r="T1168">
        <v>234509</v>
      </c>
    </row>
    <row r="1169" spans="1:20" hidden="1" x14ac:dyDescent="0.4">
      <c r="A1169" s="1" t="s">
        <v>448</v>
      </c>
      <c r="B1169" s="1" t="s">
        <v>1459</v>
      </c>
      <c r="C1169" s="1" t="s">
        <v>1845</v>
      </c>
      <c r="D1169" s="1" t="s">
        <v>1731</v>
      </c>
      <c r="E1169">
        <v>20251209</v>
      </c>
      <c r="F1169" s="1" t="s">
        <v>1473</v>
      </c>
      <c r="G1169">
        <v>4</v>
      </c>
      <c r="H1169" s="1" t="s">
        <v>1494</v>
      </c>
      <c r="I1169" t="s">
        <v>1874</v>
      </c>
      <c r="J1169" s="1" t="s">
        <v>1453</v>
      </c>
      <c r="K1169" s="1" t="s">
        <v>1583</v>
      </c>
      <c r="L1169" s="1" t="s">
        <v>1718</v>
      </c>
      <c r="M1169" s="1" t="s">
        <v>1760</v>
      </c>
      <c r="N1169" t="s">
        <v>1958</v>
      </c>
      <c r="O1169" t="s">
        <v>2164</v>
      </c>
      <c r="P1169" t="s">
        <v>3075</v>
      </c>
      <c r="Q1169">
        <v>109.2</v>
      </c>
      <c r="R1169" s="1" t="s">
        <v>1839</v>
      </c>
      <c r="S1169">
        <v>2025.99</v>
      </c>
      <c r="T1169">
        <v>221239</v>
      </c>
    </row>
    <row r="1170" spans="1:20" hidden="1" x14ac:dyDescent="0.4">
      <c r="A1170" s="1" t="s">
        <v>448</v>
      </c>
      <c r="B1170" s="1" t="s">
        <v>1460</v>
      </c>
      <c r="C1170" s="1" t="s">
        <v>1845</v>
      </c>
      <c r="D1170" s="1" t="s">
        <v>1731</v>
      </c>
      <c r="E1170">
        <v>20251209</v>
      </c>
      <c r="F1170" s="1" t="s">
        <v>1473</v>
      </c>
      <c r="G1170">
        <v>4</v>
      </c>
      <c r="H1170" s="1" t="s">
        <v>1494</v>
      </c>
      <c r="I1170" t="s">
        <v>1874</v>
      </c>
      <c r="J1170" s="1" t="s">
        <v>1453</v>
      </c>
      <c r="K1170" s="1" t="s">
        <v>1583</v>
      </c>
      <c r="L1170" s="1" t="s">
        <v>1718</v>
      </c>
      <c r="M1170" s="1" t="s">
        <v>1760</v>
      </c>
      <c r="N1170" t="s">
        <v>1958</v>
      </c>
      <c r="O1170" t="s">
        <v>2164</v>
      </c>
      <c r="P1170" t="s">
        <v>3075</v>
      </c>
      <c r="Q1170">
        <v>109.2</v>
      </c>
      <c r="R1170" s="1" t="s">
        <v>1839</v>
      </c>
      <c r="S1170">
        <v>2025.99</v>
      </c>
      <c r="T1170">
        <v>221239</v>
      </c>
    </row>
    <row r="1171" spans="1:20" hidden="1" x14ac:dyDescent="0.4">
      <c r="A1171" s="1" t="s">
        <v>448</v>
      </c>
      <c r="B1171" s="1" t="s">
        <v>1461</v>
      </c>
      <c r="C1171" s="1" t="s">
        <v>1845</v>
      </c>
      <c r="D1171" s="1" t="s">
        <v>1731</v>
      </c>
      <c r="E1171">
        <v>20251209</v>
      </c>
      <c r="F1171" s="1" t="s">
        <v>1473</v>
      </c>
      <c r="G1171">
        <v>4</v>
      </c>
      <c r="H1171" s="1" t="s">
        <v>1494</v>
      </c>
      <c r="I1171" t="s">
        <v>1874</v>
      </c>
      <c r="J1171" s="1" t="s">
        <v>1453</v>
      </c>
      <c r="K1171" s="1" t="s">
        <v>1583</v>
      </c>
      <c r="L1171" s="1" t="s">
        <v>1718</v>
      </c>
      <c r="M1171" s="1" t="s">
        <v>1760</v>
      </c>
      <c r="N1171" t="s">
        <v>1958</v>
      </c>
      <c r="O1171" t="s">
        <v>2164</v>
      </c>
      <c r="P1171" t="s">
        <v>3075</v>
      </c>
      <c r="Q1171">
        <v>109.2</v>
      </c>
      <c r="R1171" s="1" t="s">
        <v>1839</v>
      </c>
      <c r="S1171">
        <v>2025.99</v>
      </c>
      <c r="T1171">
        <v>221239</v>
      </c>
    </row>
    <row r="1172" spans="1:20" hidden="1" x14ac:dyDescent="0.4">
      <c r="A1172" s="1" t="s">
        <v>448</v>
      </c>
      <c r="B1172" s="1" t="s">
        <v>1462</v>
      </c>
      <c r="C1172" s="1" t="s">
        <v>1845</v>
      </c>
      <c r="D1172" s="1" t="s">
        <v>1731</v>
      </c>
      <c r="E1172">
        <v>20251209</v>
      </c>
      <c r="F1172" s="1" t="s">
        <v>1473</v>
      </c>
      <c r="G1172">
        <v>4</v>
      </c>
      <c r="H1172" s="1" t="s">
        <v>1494</v>
      </c>
      <c r="I1172" t="s">
        <v>1874</v>
      </c>
      <c r="J1172" s="1" t="s">
        <v>1453</v>
      </c>
      <c r="K1172" s="1" t="s">
        <v>1583</v>
      </c>
      <c r="L1172" s="1" t="s">
        <v>1718</v>
      </c>
      <c r="M1172" s="1" t="s">
        <v>1760</v>
      </c>
      <c r="N1172" t="s">
        <v>1958</v>
      </c>
      <c r="O1172" t="s">
        <v>2164</v>
      </c>
      <c r="P1172" t="s">
        <v>3075</v>
      </c>
      <c r="Q1172">
        <v>107.38</v>
      </c>
      <c r="R1172" s="1" t="s">
        <v>1839</v>
      </c>
      <c r="S1172">
        <v>2025.99</v>
      </c>
      <c r="T1172">
        <v>217551</v>
      </c>
    </row>
    <row r="1173" spans="1:20" hidden="1" x14ac:dyDescent="0.4">
      <c r="A1173" s="1" t="s">
        <v>449</v>
      </c>
      <c r="B1173" s="1" t="s">
        <v>1453</v>
      </c>
      <c r="C1173" s="1" t="s">
        <v>1845</v>
      </c>
      <c r="D1173" s="1" t="s">
        <v>1731</v>
      </c>
      <c r="E1173">
        <v>20251209</v>
      </c>
      <c r="F1173" s="1" t="s">
        <v>1472</v>
      </c>
      <c r="G1173">
        <v>4</v>
      </c>
      <c r="H1173" s="1" t="s">
        <v>1494</v>
      </c>
      <c r="I1173" t="s">
        <v>1874</v>
      </c>
      <c r="J1173" s="1" t="s">
        <v>1457</v>
      </c>
      <c r="K1173" s="1" t="s">
        <v>1592</v>
      </c>
      <c r="L1173" s="1" t="s">
        <v>1719</v>
      </c>
      <c r="M1173" s="1" t="s">
        <v>1761</v>
      </c>
      <c r="N1173" t="s">
        <v>1967</v>
      </c>
      <c r="O1173" t="s">
        <v>2165</v>
      </c>
      <c r="P1173" t="s">
        <v>3175</v>
      </c>
      <c r="Q1173">
        <v>229.32</v>
      </c>
      <c r="R1173" s="1" t="s">
        <v>1839</v>
      </c>
      <c r="S1173">
        <v>2808.99</v>
      </c>
      <c r="T1173">
        <v>644159</v>
      </c>
    </row>
    <row r="1174" spans="1:20" hidden="1" x14ac:dyDescent="0.4">
      <c r="A1174" s="1" t="s">
        <v>450</v>
      </c>
      <c r="B1174" s="1" t="s">
        <v>1453</v>
      </c>
      <c r="C1174" s="1" t="s">
        <v>1845</v>
      </c>
      <c r="D1174" s="1" t="s">
        <v>1731</v>
      </c>
      <c r="E1174">
        <v>20251209</v>
      </c>
      <c r="F1174" s="1" t="s">
        <v>1472</v>
      </c>
      <c r="G1174">
        <v>4</v>
      </c>
      <c r="H1174" s="1" t="s">
        <v>1494</v>
      </c>
      <c r="I1174" t="s">
        <v>1874</v>
      </c>
      <c r="J1174" s="1" t="s">
        <v>1457</v>
      </c>
      <c r="K1174" s="1" t="s">
        <v>1593</v>
      </c>
      <c r="L1174" s="1" t="s">
        <v>1719</v>
      </c>
      <c r="M1174" s="1" t="s">
        <v>1762</v>
      </c>
      <c r="N1174" t="s">
        <v>2046</v>
      </c>
      <c r="O1174" t="s">
        <v>2165</v>
      </c>
      <c r="P1174" t="s">
        <v>3108</v>
      </c>
      <c r="Q1174">
        <v>343.98</v>
      </c>
      <c r="R1174" s="1" t="s">
        <v>1839</v>
      </c>
      <c r="S1174">
        <v>2903.99</v>
      </c>
      <c r="T1174">
        <v>998917</v>
      </c>
    </row>
    <row r="1175" spans="1:20" hidden="1" x14ac:dyDescent="0.4">
      <c r="A1175" s="1" t="s">
        <v>450</v>
      </c>
      <c r="B1175" s="1" t="s">
        <v>1454</v>
      </c>
      <c r="C1175" s="1" t="s">
        <v>1845</v>
      </c>
      <c r="D1175" s="1" t="s">
        <v>1731</v>
      </c>
      <c r="E1175">
        <v>20251209</v>
      </c>
      <c r="F1175" s="1" t="s">
        <v>1472</v>
      </c>
      <c r="G1175">
        <v>4</v>
      </c>
      <c r="H1175" s="1" t="s">
        <v>1494</v>
      </c>
      <c r="I1175" t="s">
        <v>1874</v>
      </c>
      <c r="J1175" s="1" t="s">
        <v>1457</v>
      </c>
      <c r="K1175" s="1" t="s">
        <v>1593</v>
      </c>
      <c r="L1175" s="1" t="s">
        <v>1719</v>
      </c>
      <c r="M1175" s="1" t="s">
        <v>1762</v>
      </c>
      <c r="N1175" t="s">
        <v>2046</v>
      </c>
      <c r="O1175" t="s">
        <v>2165</v>
      </c>
      <c r="P1175" t="s">
        <v>3108</v>
      </c>
      <c r="Q1175">
        <v>15.28</v>
      </c>
      <c r="R1175" s="1" t="s">
        <v>1839</v>
      </c>
      <c r="S1175">
        <v>1048.95</v>
      </c>
      <c r="T1175">
        <v>16028</v>
      </c>
    </row>
    <row r="1176" spans="1:20" hidden="1" x14ac:dyDescent="0.4">
      <c r="A1176" s="1" t="s">
        <v>451</v>
      </c>
      <c r="B1176" s="1" t="s">
        <v>1453</v>
      </c>
      <c r="C1176" s="1" t="s">
        <v>1845</v>
      </c>
      <c r="D1176" s="1" t="s">
        <v>1462</v>
      </c>
      <c r="E1176">
        <v>20251209</v>
      </c>
      <c r="F1176" s="1" t="s">
        <v>1473</v>
      </c>
      <c r="G1176">
        <v>1</v>
      </c>
      <c r="H1176" s="1" t="s">
        <v>1493</v>
      </c>
      <c r="I1176" t="s">
        <v>1873</v>
      </c>
      <c r="J1176" s="1" t="s">
        <v>1453</v>
      </c>
      <c r="K1176" s="1" t="s">
        <v>1611</v>
      </c>
      <c r="L1176" s="1" t="s">
        <v>1716</v>
      </c>
      <c r="M1176" s="1" t="s">
        <v>1782</v>
      </c>
      <c r="N1176" t="s">
        <v>1985</v>
      </c>
      <c r="O1176" t="s">
        <v>2162</v>
      </c>
      <c r="P1176" t="s">
        <v>3127</v>
      </c>
      <c r="Q1176">
        <v>1028</v>
      </c>
      <c r="R1176" s="1" t="s">
        <v>1463</v>
      </c>
      <c r="S1176">
        <v>1350</v>
      </c>
      <c r="T1176">
        <v>1387800</v>
      </c>
    </row>
    <row r="1177" spans="1:20" hidden="1" x14ac:dyDescent="0.4">
      <c r="A1177" s="1" t="s">
        <v>452</v>
      </c>
      <c r="B1177" s="1" t="s">
        <v>1453</v>
      </c>
      <c r="C1177" s="1" t="s">
        <v>1845</v>
      </c>
      <c r="D1177" s="1" t="s">
        <v>1462</v>
      </c>
      <c r="E1177">
        <v>20251210</v>
      </c>
      <c r="F1177" s="1" t="s">
        <v>1473</v>
      </c>
      <c r="G1177">
        <v>1</v>
      </c>
      <c r="H1177" s="1" t="s">
        <v>1493</v>
      </c>
      <c r="I1177" t="s">
        <v>1873</v>
      </c>
      <c r="J1177" s="1" t="s">
        <v>1453</v>
      </c>
      <c r="K1177" s="1" t="s">
        <v>1598</v>
      </c>
      <c r="L1177" s="1" t="s">
        <v>1716</v>
      </c>
      <c r="M1177" s="1" t="s">
        <v>1783</v>
      </c>
      <c r="N1177" t="s">
        <v>1973</v>
      </c>
      <c r="O1177" t="s">
        <v>2162</v>
      </c>
      <c r="P1177" t="s">
        <v>3128</v>
      </c>
      <c r="Q1177">
        <v>1170</v>
      </c>
      <c r="R1177" s="1" t="s">
        <v>1463</v>
      </c>
      <c r="S1177">
        <v>1450</v>
      </c>
      <c r="T1177">
        <v>1696500</v>
      </c>
    </row>
    <row r="1178" spans="1:20" hidden="1" x14ac:dyDescent="0.4">
      <c r="A1178" s="1" t="s">
        <v>453</v>
      </c>
      <c r="B1178" s="1" t="s">
        <v>1453</v>
      </c>
      <c r="C1178" s="1" t="s">
        <v>1845</v>
      </c>
      <c r="D1178" s="1" t="s">
        <v>1731</v>
      </c>
      <c r="E1178">
        <v>20251211</v>
      </c>
      <c r="F1178" s="1" t="s">
        <v>1470</v>
      </c>
      <c r="G1178">
        <v>4</v>
      </c>
      <c r="H1178" s="1" t="s">
        <v>1490</v>
      </c>
      <c r="I1178" t="s">
        <v>1870</v>
      </c>
      <c r="J1178" s="1" t="s">
        <v>1456</v>
      </c>
      <c r="K1178" s="1" t="s">
        <v>1553</v>
      </c>
      <c r="L1178" s="1" t="s">
        <v>1729</v>
      </c>
      <c r="M1178" s="1" t="s">
        <v>1736</v>
      </c>
      <c r="N1178" t="s">
        <v>1925</v>
      </c>
      <c r="O1178" t="s">
        <v>2157</v>
      </c>
      <c r="P1178" t="s">
        <v>3038</v>
      </c>
      <c r="Q1178">
        <v>1</v>
      </c>
      <c r="R1178" s="1" t="s">
        <v>1718</v>
      </c>
      <c r="S1178">
        <v>3711</v>
      </c>
      <c r="T1178">
        <v>3711</v>
      </c>
    </row>
    <row r="1179" spans="1:20" hidden="1" x14ac:dyDescent="0.4">
      <c r="A1179" s="1" t="s">
        <v>453</v>
      </c>
      <c r="B1179" s="1" t="s">
        <v>1454</v>
      </c>
      <c r="C1179" s="1" t="s">
        <v>1845</v>
      </c>
      <c r="D1179" s="1" t="s">
        <v>1731</v>
      </c>
      <c r="E1179">
        <v>20251211</v>
      </c>
      <c r="F1179" s="1" t="s">
        <v>1470</v>
      </c>
      <c r="G1179">
        <v>4</v>
      </c>
      <c r="H1179" s="1" t="s">
        <v>1490</v>
      </c>
      <c r="I1179" t="s">
        <v>1870</v>
      </c>
      <c r="J1179" s="1" t="s">
        <v>1456</v>
      </c>
      <c r="K1179" s="1" t="s">
        <v>1553</v>
      </c>
      <c r="L1179" s="1" t="s">
        <v>1729</v>
      </c>
      <c r="M1179" s="1" t="s">
        <v>1736</v>
      </c>
      <c r="N1179" t="s">
        <v>1925</v>
      </c>
      <c r="O1179" t="s">
        <v>2157</v>
      </c>
      <c r="P1179" t="s">
        <v>3038</v>
      </c>
      <c r="Q1179">
        <v>8</v>
      </c>
      <c r="R1179" s="1" t="s">
        <v>1718</v>
      </c>
      <c r="S1179">
        <v>7716.62</v>
      </c>
      <c r="T1179">
        <v>61733</v>
      </c>
    </row>
    <row r="1180" spans="1:20" hidden="1" x14ac:dyDescent="0.4">
      <c r="A1180" s="1" t="s">
        <v>453</v>
      </c>
      <c r="B1180" s="1" t="s">
        <v>1455</v>
      </c>
      <c r="C1180" s="1" t="s">
        <v>1845</v>
      </c>
      <c r="D1180" s="1" t="s">
        <v>1731</v>
      </c>
      <c r="E1180">
        <v>20251211</v>
      </c>
      <c r="F1180" s="1" t="s">
        <v>1470</v>
      </c>
      <c r="G1180">
        <v>4</v>
      </c>
      <c r="H1180" s="1" t="s">
        <v>1490</v>
      </c>
      <c r="I1180" t="s">
        <v>1870</v>
      </c>
      <c r="J1180" s="1" t="s">
        <v>1456</v>
      </c>
      <c r="K1180" s="1" t="s">
        <v>1554</v>
      </c>
      <c r="L1180" s="1" t="s">
        <v>1729</v>
      </c>
      <c r="M1180" s="1" t="s">
        <v>1737</v>
      </c>
      <c r="N1180" t="s">
        <v>1926</v>
      </c>
      <c r="O1180" t="s">
        <v>2157</v>
      </c>
      <c r="P1180" t="s">
        <v>2157</v>
      </c>
      <c r="Q1180">
        <v>47</v>
      </c>
      <c r="R1180" s="1" t="s">
        <v>1718</v>
      </c>
      <c r="S1180">
        <v>14790.14</v>
      </c>
      <c r="T1180">
        <v>695137</v>
      </c>
    </row>
    <row r="1181" spans="1:20" hidden="1" x14ac:dyDescent="0.4">
      <c r="A1181" s="1" t="s">
        <v>454</v>
      </c>
      <c r="B1181" s="1" t="s">
        <v>1453</v>
      </c>
      <c r="C1181" s="1" t="s">
        <v>1845</v>
      </c>
      <c r="D1181" s="1" t="s">
        <v>1731</v>
      </c>
      <c r="E1181">
        <v>20251211</v>
      </c>
      <c r="F1181" s="1" t="s">
        <v>1470</v>
      </c>
      <c r="G1181">
        <v>4</v>
      </c>
      <c r="H1181" s="1" t="s">
        <v>1490</v>
      </c>
      <c r="I1181" t="s">
        <v>1870</v>
      </c>
      <c r="J1181" s="1" t="s">
        <v>1456</v>
      </c>
      <c r="K1181" s="1" t="s">
        <v>1560</v>
      </c>
      <c r="L1181" s="1" t="s">
        <v>1729</v>
      </c>
      <c r="M1181" s="1" t="s">
        <v>1740</v>
      </c>
      <c r="N1181" t="s">
        <v>1932</v>
      </c>
      <c r="O1181" t="s">
        <v>2157</v>
      </c>
      <c r="P1181" t="s">
        <v>3041</v>
      </c>
      <c r="Q1181">
        <v>2</v>
      </c>
      <c r="R1181" s="1" t="s">
        <v>1718</v>
      </c>
      <c r="S1181">
        <v>6526</v>
      </c>
      <c r="T1181">
        <v>13052</v>
      </c>
    </row>
    <row r="1182" spans="1:20" hidden="1" x14ac:dyDescent="0.4">
      <c r="A1182" s="1" t="s">
        <v>454</v>
      </c>
      <c r="B1182" s="1" t="s">
        <v>1454</v>
      </c>
      <c r="C1182" s="1" t="s">
        <v>1845</v>
      </c>
      <c r="D1182" s="1" t="s">
        <v>1731</v>
      </c>
      <c r="E1182">
        <v>20251211</v>
      </c>
      <c r="F1182" s="1" t="s">
        <v>1470</v>
      </c>
      <c r="G1182">
        <v>4</v>
      </c>
      <c r="H1182" s="1" t="s">
        <v>1490</v>
      </c>
      <c r="I1182" t="s">
        <v>1870</v>
      </c>
      <c r="J1182" s="1" t="s">
        <v>1456</v>
      </c>
      <c r="K1182" s="1" t="s">
        <v>1561</v>
      </c>
      <c r="L1182" s="1" t="s">
        <v>1729</v>
      </c>
      <c r="M1182" s="1" t="s">
        <v>1737</v>
      </c>
      <c r="N1182" t="s">
        <v>1954</v>
      </c>
      <c r="O1182" t="s">
        <v>2157</v>
      </c>
      <c r="P1182" t="s">
        <v>2157</v>
      </c>
      <c r="Q1182">
        <v>6</v>
      </c>
      <c r="R1182" s="1" t="s">
        <v>1718</v>
      </c>
      <c r="S1182">
        <v>11216</v>
      </c>
      <c r="T1182">
        <v>67296</v>
      </c>
    </row>
    <row r="1183" spans="1:20" hidden="1" x14ac:dyDescent="0.4">
      <c r="A1183" s="1" t="s">
        <v>455</v>
      </c>
      <c r="B1183" s="1" t="s">
        <v>1453</v>
      </c>
      <c r="C1183" s="1" t="s">
        <v>1845</v>
      </c>
      <c r="D1183" s="1" t="s">
        <v>1731</v>
      </c>
      <c r="E1183">
        <v>20251211</v>
      </c>
      <c r="F1183" s="1" t="s">
        <v>1470</v>
      </c>
      <c r="G1183">
        <v>4</v>
      </c>
      <c r="H1183" s="1" t="s">
        <v>1490</v>
      </c>
      <c r="I1183" t="s">
        <v>1870</v>
      </c>
      <c r="J1183" s="1" t="s">
        <v>1456</v>
      </c>
      <c r="K1183" s="1" t="s">
        <v>1557</v>
      </c>
      <c r="L1183" s="1" t="s">
        <v>1729</v>
      </c>
      <c r="M1183" s="1" t="s">
        <v>1737</v>
      </c>
      <c r="N1183" t="s">
        <v>1929</v>
      </c>
      <c r="O1183" t="s">
        <v>2157</v>
      </c>
      <c r="P1183" t="s">
        <v>2157</v>
      </c>
      <c r="Q1183">
        <v>4</v>
      </c>
      <c r="R1183" s="1" t="s">
        <v>1718</v>
      </c>
      <c r="S1183">
        <v>7499.5</v>
      </c>
      <c r="T1183">
        <v>29998</v>
      </c>
    </row>
    <row r="1184" spans="1:20" hidden="1" x14ac:dyDescent="0.4">
      <c r="A1184" s="1" t="s">
        <v>456</v>
      </c>
      <c r="B1184" s="1" t="s">
        <v>1453</v>
      </c>
      <c r="C1184" s="1" t="s">
        <v>1845</v>
      </c>
      <c r="D1184" s="1" t="s">
        <v>1731</v>
      </c>
      <c r="E1184">
        <v>20251211</v>
      </c>
      <c r="F1184" s="1" t="s">
        <v>1470</v>
      </c>
      <c r="G1184">
        <v>4</v>
      </c>
      <c r="H1184" s="1" t="s">
        <v>1490</v>
      </c>
      <c r="I1184" t="s">
        <v>1870</v>
      </c>
      <c r="J1184" s="1" t="s">
        <v>1456</v>
      </c>
      <c r="K1184" s="1" t="s">
        <v>1558</v>
      </c>
      <c r="L1184" s="1" t="s">
        <v>1729</v>
      </c>
      <c r="M1184" s="1" t="s">
        <v>1737</v>
      </c>
      <c r="N1184" t="s">
        <v>1930</v>
      </c>
      <c r="O1184" t="s">
        <v>2157</v>
      </c>
      <c r="P1184" t="s">
        <v>2157</v>
      </c>
      <c r="Q1184">
        <v>6</v>
      </c>
      <c r="R1184" s="1" t="s">
        <v>1718</v>
      </c>
      <c r="S1184">
        <v>26099.66</v>
      </c>
      <c r="T1184">
        <v>156598</v>
      </c>
    </row>
    <row r="1185" spans="1:20" hidden="1" x14ac:dyDescent="0.4">
      <c r="A1185" s="1" t="s">
        <v>457</v>
      </c>
      <c r="B1185" s="1" t="s">
        <v>1453</v>
      </c>
      <c r="C1185" s="1" t="s">
        <v>1845</v>
      </c>
      <c r="D1185" s="1" t="s">
        <v>1731</v>
      </c>
      <c r="E1185">
        <v>20251211</v>
      </c>
      <c r="F1185" s="1" t="s">
        <v>1470</v>
      </c>
      <c r="G1185">
        <v>4</v>
      </c>
      <c r="H1185" s="1" t="s">
        <v>1490</v>
      </c>
      <c r="I1185" t="s">
        <v>1870</v>
      </c>
      <c r="J1185" s="1" t="s">
        <v>1456</v>
      </c>
      <c r="K1185" s="1" t="s">
        <v>1571</v>
      </c>
      <c r="L1185" s="1" t="s">
        <v>1729</v>
      </c>
      <c r="M1185" s="1" t="s">
        <v>1741</v>
      </c>
      <c r="N1185" t="s">
        <v>1944</v>
      </c>
      <c r="O1185" t="s">
        <v>2157</v>
      </c>
      <c r="P1185" t="s">
        <v>3042</v>
      </c>
      <c r="Q1185">
        <v>30</v>
      </c>
      <c r="R1185" s="1" t="s">
        <v>1718</v>
      </c>
      <c r="S1185">
        <v>14364</v>
      </c>
      <c r="T1185">
        <v>430920</v>
      </c>
    </row>
    <row r="1186" spans="1:20" hidden="1" x14ac:dyDescent="0.4">
      <c r="A1186" s="1" t="s">
        <v>458</v>
      </c>
      <c r="B1186" s="1" t="s">
        <v>1453</v>
      </c>
      <c r="C1186" s="1" t="s">
        <v>1845</v>
      </c>
      <c r="D1186" s="1" t="s">
        <v>1462</v>
      </c>
      <c r="E1186">
        <v>20251209</v>
      </c>
      <c r="F1186" s="1" t="s">
        <v>1471</v>
      </c>
      <c r="G1186">
        <v>4</v>
      </c>
      <c r="H1186" s="1" t="s">
        <v>1498</v>
      </c>
      <c r="I1186" t="s">
        <v>1878</v>
      </c>
      <c r="J1186" s="1" t="s">
        <v>1460</v>
      </c>
      <c r="K1186" s="1" t="s">
        <v>1651</v>
      </c>
      <c r="L1186" s="1" t="s">
        <v>1731</v>
      </c>
      <c r="M1186" s="1" t="s">
        <v>1737</v>
      </c>
      <c r="N1186" t="s">
        <v>2035</v>
      </c>
      <c r="O1186" t="s">
        <v>2178</v>
      </c>
      <c r="P1186" t="s">
        <v>2157</v>
      </c>
      <c r="Q1186">
        <v>75</v>
      </c>
      <c r="R1186" s="1" t="s">
        <v>1463</v>
      </c>
      <c r="S1186">
        <v>2597</v>
      </c>
      <c r="T1186">
        <v>194775</v>
      </c>
    </row>
    <row r="1187" spans="1:20" hidden="1" x14ac:dyDescent="0.4">
      <c r="A1187" s="1" t="s">
        <v>459</v>
      </c>
      <c r="B1187" s="1" t="s">
        <v>1453</v>
      </c>
      <c r="C1187" s="1" t="s">
        <v>1845</v>
      </c>
      <c r="D1187" s="1" t="s">
        <v>1462</v>
      </c>
      <c r="E1187">
        <v>20251209</v>
      </c>
      <c r="F1187" s="1" t="s">
        <v>1471</v>
      </c>
      <c r="G1187">
        <v>4</v>
      </c>
      <c r="H1187" s="1" t="s">
        <v>1498</v>
      </c>
      <c r="I1187" t="s">
        <v>1878</v>
      </c>
      <c r="J1187" s="1" t="s">
        <v>1460</v>
      </c>
      <c r="K1187" s="1" t="s">
        <v>1648</v>
      </c>
      <c r="L1187" s="1" t="s">
        <v>1731</v>
      </c>
      <c r="M1187" s="1" t="s">
        <v>1768</v>
      </c>
      <c r="N1187" t="s">
        <v>2030</v>
      </c>
      <c r="O1187" t="s">
        <v>2178</v>
      </c>
      <c r="P1187" t="s">
        <v>3158</v>
      </c>
      <c r="Q1187">
        <v>4750</v>
      </c>
      <c r="R1187" s="1" t="s">
        <v>1463</v>
      </c>
      <c r="S1187">
        <v>872</v>
      </c>
      <c r="T1187">
        <v>4142000</v>
      </c>
    </row>
    <row r="1188" spans="1:20" hidden="1" x14ac:dyDescent="0.4">
      <c r="A1188" s="1" t="s">
        <v>460</v>
      </c>
      <c r="B1188" s="1" t="s">
        <v>1453</v>
      </c>
      <c r="C1188" s="1" t="s">
        <v>1845</v>
      </c>
      <c r="D1188" s="1" t="s">
        <v>1462</v>
      </c>
      <c r="E1188">
        <v>20251209</v>
      </c>
      <c r="F1188" s="1" t="s">
        <v>1471</v>
      </c>
      <c r="G1188">
        <v>4</v>
      </c>
      <c r="H1188" s="1" t="s">
        <v>1498</v>
      </c>
      <c r="I1188" t="s">
        <v>1878</v>
      </c>
      <c r="J1188" s="1" t="s">
        <v>1460</v>
      </c>
      <c r="K1188" s="1" t="s">
        <v>1659</v>
      </c>
      <c r="L1188" s="1" t="s">
        <v>1731</v>
      </c>
      <c r="M1188" s="1" t="s">
        <v>1807</v>
      </c>
      <c r="N1188" t="s">
        <v>2047</v>
      </c>
      <c r="O1188" t="s">
        <v>2178</v>
      </c>
      <c r="P1188" t="s">
        <v>3176</v>
      </c>
      <c r="Q1188">
        <v>1000</v>
      </c>
      <c r="R1188" s="1" t="s">
        <v>1463</v>
      </c>
      <c r="S1188">
        <v>930</v>
      </c>
      <c r="T1188">
        <v>930000</v>
      </c>
    </row>
    <row r="1189" spans="1:20" hidden="1" x14ac:dyDescent="0.4">
      <c r="A1189" s="1" t="s">
        <v>461</v>
      </c>
      <c r="B1189" s="1" t="s">
        <v>1453</v>
      </c>
      <c r="C1189" s="1" t="s">
        <v>1845</v>
      </c>
      <c r="D1189" s="1" t="s">
        <v>1462</v>
      </c>
      <c r="E1189">
        <v>20251210</v>
      </c>
      <c r="F1189" s="1" t="s">
        <v>1470</v>
      </c>
      <c r="G1189">
        <v>1</v>
      </c>
      <c r="H1189" s="1" t="s">
        <v>1496</v>
      </c>
      <c r="I1189" t="s">
        <v>1876</v>
      </c>
      <c r="J1189" s="1" t="s">
        <v>1459</v>
      </c>
      <c r="K1189" s="1" t="s">
        <v>1579</v>
      </c>
      <c r="L1189" s="1" t="s">
        <v>1715</v>
      </c>
      <c r="M1189" s="1" t="s">
        <v>1795</v>
      </c>
      <c r="N1189" t="s">
        <v>1953</v>
      </c>
      <c r="O1189" t="s">
        <v>2161</v>
      </c>
      <c r="P1189" t="s">
        <v>3051</v>
      </c>
      <c r="Q1189">
        <v>2362</v>
      </c>
      <c r="R1189" s="1" t="s">
        <v>1463</v>
      </c>
      <c r="S1189">
        <v>793</v>
      </c>
      <c r="T1189">
        <v>1873066</v>
      </c>
    </row>
    <row r="1190" spans="1:20" hidden="1" x14ac:dyDescent="0.4">
      <c r="A1190" s="1" t="s">
        <v>461</v>
      </c>
      <c r="B1190" s="1" t="s">
        <v>1454</v>
      </c>
      <c r="C1190" s="1" t="s">
        <v>1845</v>
      </c>
      <c r="D1190" s="1" t="s">
        <v>1462</v>
      </c>
      <c r="E1190">
        <v>20251210</v>
      </c>
      <c r="F1190" s="1" t="s">
        <v>1470</v>
      </c>
      <c r="G1190">
        <v>1</v>
      </c>
      <c r="H1190" s="1" t="s">
        <v>1496</v>
      </c>
      <c r="I1190" t="s">
        <v>1876</v>
      </c>
      <c r="J1190" s="1" t="s">
        <v>1459</v>
      </c>
      <c r="K1190" s="1" t="s">
        <v>1579</v>
      </c>
      <c r="L1190" s="1" t="s">
        <v>1715</v>
      </c>
      <c r="M1190" s="1" t="s">
        <v>1796</v>
      </c>
      <c r="N1190" t="s">
        <v>1953</v>
      </c>
      <c r="O1190" t="s">
        <v>2161</v>
      </c>
      <c r="P1190" t="s">
        <v>3052</v>
      </c>
      <c r="Q1190">
        <v>372</v>
      </c>
      <c r="R1190" s="1" t="s">
        <v>1463</v>
      </c>
      <c r="S1190">
        <v>793</v>
      </c>
      <c r="T1190">
        <v>294996</v>
      </c>
    </row>
    <row r="1191" spans="1:20" hidden="1" x14ac:dyDescent="0.4">
      <c r="A1191" s="1" t="s">
        <v>461</v>
      </c>
      <c r="B1191" s="1" t="s">
        <v>1455</v>
      </c>
      <c r="C1191" s="1" t="s">
        <v>1845</v>
      </c>
      <c r="D1191" s="1" t="s">
        <v>1462</v>
      </c>
      <c r="E1191">
        <v>20251210</v>
      </c>
      <c r="F1191" s="1" t="s">
        <v>1470</v>
      </c>
      <c r="G1191">
        <v>1</v>
      </c>
      <c r="H1191" s="1" t="s">
        <v>1496</v>
      </c>
      <c r="I1191" t="s">
        <v>1876</v>
      </c>
      <c r="J1191" s="1" t="s">
        <v>1459</v>
      </c>
      <c r="K1191" s="1" t="s">
        <v>1579</v>
      </c>
      <c r="L1191" s="1" t="s">
        <v>1715</v>
      </c>
      <c r="M1191" s="1" t="s">
        <v>1797</v>
      </c>
      <c r="N1191" t="s">
        <v>1953</v>
      </c>
      <c r="O1191" t="s">
        <v>2161</v>
      </c>
      <c r="P1191" t="s">
        <v>3053</v>
      </c>
      <c r="Q1191">
        <v>1624</v>
      </c>
      <c r="R1191" s="1" t="s">
        <v>1463</v>
      </c>
      <c r="S1191">
        <v>793</v>
      </c>
      <c r="T1191">
        <v>1287832</v>
      </c>
    </row>
    <row r="1192" spans="1:20" hidden="1" x14ac:dyDescent="0.4">
      <c r="A1192" s="1" t="s">
        <v>462</v>
      </c>
      <c r="B1192" s="1" t="s">
        <v>1453</v>
      </c>
      <c r="C1192" s="1" t="s">
        <v>1845</v>
      </c>
      <c r="D1192" s="1" t="s">
        <v>1462</v>
      </c>
      <c r="E1192">
        <v>20251205</v>
      </c>
      <c r="F1192" s="1" t="s">
        <v>1471</v>
      </c>
      <c r="G1192">
        <v>4</v>
      </c>
      <c r="H1192" s="1" t="s">
        <v>1504</v>
      </c>
      <c r="I1192" t="s">
        <v>1884</v>
      </c>
      <c r="J1192" s="1" t="s">
        <v>1460</v>
      </c>
      <c r="K1192" s="1" t="s">
        <v>1660</v>
      </c>
      <c r="L1192" s="1" t="s">
        <v>1734</v>
      </c>
      <c r="M1192" s="1" t="s">
        <v>1788</v>
      </c>
      <c r="N1192" t="s">
        <v>2048</v>
      </c>
      <c r="O1192" t="s">
        <v>2179</v>
      </c>
      <c r="P1192" t="s">
        <v>3177</v>
      </c>
      <c r="Q1192">
        <v>400</v>
      </c>
      <c r="R1192" s="1" t="s">
        <v>1463</v>
      </c>
      <c r="S1192">
        <v>1950</v>
      </c>
      <c r="T1192">
        <v>780000</v>
      </c>
    </row>
    <row r="1193" spans="1:20" hidden="1" x14ac:dyDescent="0.4">
      <c r="A1193" s="1" t="s">
        <v>462</v>
      </c>
      <c r="B1193" s="1" t="s">
        <v>1454</v>
      </c>
      <c r="C1193" s="1" t="s">
        <v>1845</v>
      </c>
      <c r="D1193" s="1" t="s">
        <v>1462</v>
      </c>
      <c r="E1193">
        <v>20251205</v>
      </c>
      <c r="F1193" s="1" t="s">
        <v>1471</v>
      </c>
      <c r="G1193">
        <v>4</v>
      </c>
      <c r="H1193" s="1" t="s">
        <v>1504</v>
      </c>
      <c r="I1193" t="s">
        <v>1884</v>
      </c>
      <c r="J1193" s="1" t="s">
        <v>1460</v>
      </c>
      <c r="K1193" s="1" t="s">
        <v>1660</v>
      </c>
      <c r="L1193" s="1" t="s">
        <v>1734</v>
      </c>
      <c r="M1193" s="1" t="s">
        <v>1808</v>
      </c>
      <c r="N1193" t="s">
        <v>2048</v>
      </c>
      <c r="O1193" t="s">
        <v>2179</v>
      </c>
      <c r="P1193" t="s">
        <v>3178</v>
      </c>
      <c r="Q1193">
        <v>160</v>
      </c>
      <c r="R1193" s="1" t="s">
        <v>1463</v>
      </c>
      <c r="S1193">
        <v>2060</v>
      </c>
      <c r="T1193">
        <v>329600</v>
      </c>
    </row>
    <row r="1194" spans="1:20" hidden="1" x14ac:dyDescent="0.4">
      <c r="A1194" s="1" t="s">
        <v>462</v>
      </c>
      <c r="B1194" s="1" t="s">
        <v>1455</v>
      </c>
      <c r="C1194" s="1" t="s">
        <v>1845</v>
      </c>
      <c r="D1194" s="1" t="s">
        <v>1462</v>
      </c>
      <c r="E1194">
        <v>20251205</v>
      </c>
      <c r="F1194" s="1" t="s">
        <v>1471</v>
      </c>
      <c r="G1194">
        <v>4</v>
      </c>
      <c r="H1194" s="1" t="s">
        <v>1504</v>
      </c>
      <c r="I1194" t="s">
        <v>1884</v>
      </c>
      <c r="J1194" s="1" t="s">
        <v>1460</v>
      </c>
      <c r="K1194" s="1" t="s">
        <v>1660</v>
      </c>
      <c r="L1194" s="1" t="s">
        <v>1734</v>
      </c>
      <c r="M1194" s="1" t="s">
        <v>1793</v>
      </c>
      <c r="N1194" t="s">
        <v>2048</v>
      </c>
      <c r="O1194" t="s">
        <v>2179</v>
      </c>
      <c r="P1194" t="s">
        <v>3179</v>
      </c>
      <c r="Q1194">
        <v>320</v>
      </c>
      <c r="R1194" s="1" t="s">
        <v>1463</v>
      </c>
      <c r="S1194">
        <v>1950</v>
      </c>
      <c r="T1194">
        <v>624000</v>
      </c>
    </row>
    <row r="1195" spans="1:20" hidden="1" x14ac:dyDescent="0.4">
      <c r="A1195" s="1" t="s">
        <v>463</v>
      </c>
      <c r="B1195" s="1" t="s">
        <v>1453</v>
      </c>
      <c r="C1195" s="1" t="s">
        <v>1845</v>
      </c>
      <c r="D1195" s="1" t="s">
        <v>1462</v>
      </c>
      <c r="E1195">
        <v>20251211</v>
      </c>
      <c r="F1195" s="1" t="s">
        <v>1473</v>
      </c>
      <c r="G1195">
        <v>1</v>
      </c>
      <c r="H1195" s="1" t="s">
        <v>1493</v>
      </c>
      <c r="I1195" t="s">
        <v>1873</v>
      </c>
      <c r="J1195" s="1" t="s">
        <v>1453</v>
      </c>
      <c r="K1195" s="1" t="s">
        <v>1601</v>
      </c>
      <c r="L1195" s="1" t="s">
        <v>1716</v>
      </c>
      <c r="M1195" s="1" t="s">
        <v>1774</v>
      </c>
      <c r="N1195" t="s">
        <v>1976</v>
      </c>
      <c r="O1195" t="s">
        <v>2162</v>
      </c>
      <c r="P1195" t="s">
        <v>3102</v>
      </c>
      <c r="Q1195">
        <v>1159.8</v>
      </c>
      <c r="R1195" s="1" t="s">
        <v>1463</v>
      </c>
      <c r="S1195">
        <v>560</v>
      </c>
      <c r="T1195">
        <v>649488</v>
      </c>
    </row>
    <row r="1196" spans="1:20" hidden="1" x14ac:dyDescent="0.4">
      <c r="A1196" s="1" t="s">
        <v>464</v>
      </c>
      <c r="B1196" s="1" t="s">
        <v>1453</v>
      </c>
      <c r="C1196" s="1" t="s">
        <v>1845</v>
      </c>
      <c r="D1196" s="1" t="s">
        <v>1731</v>
      </c>
      <c r="E1196">
        <v>20251212</v>
      </c>
      <c r="F1196" s="1" t="s">
        <v>1470</v>
      </c>
      <c r="G1196">
        <v>4</v>
      </c>
      <c r="H1196" s="1" t="s">
        <v>1490</v>
      </c>
      <c r="I1196" t="s">
        <v>1870</v>
      </c>
      <c r="J1196" s="1" t="s">
        <v>1456</v>
      </c>
      <c r="K1196" s="1" t="s">
        <v>1553</v>
      </c>
      <c r="L1196" s="1" t="s">
        <v>1729</v>
      </c>
      <c r="M1196" s="1" t="s">
        <v>1736</v>
      </c>
      <c r="N1196" t="s">
        <v>1925</v>
      </c>
      <c r="O1196" t="s">
        <v>2157</v>
      </c>
      <c r="P1196" t="s">
        <v>3038</v>
      </c>
      <c r="Q1196">
        <v>36</v>
      </c>
      <c r="R1196" s="1" t="s">
        <v>1718</v>
      </c>
      <c r="S1196">
        <v>5922.66</v>
      </c>
      <c r="T1196">
        <v>213216</v>
      </c>
    </row>
    <row r="1197" spans="1:20" hidden="1" x14ac:dyDescent="0.4">
      <c r="A1197" s="1" t="s">
        <v>464</v>
      </c>
      <c r="B1197" s="1" t="s">
        <v>1454</v>
      </c>
      <c r="C1197" s="1" t="s">
        <v>1845</v>
      </c>
      <c r="D1197" s="1" t="s">
        <v>1731</v>
      </c>
      <c r="E1197">
        <v>20251212</v>
      </c>
      <c r="F1197" s="1" t="s">
        <v>1470</v>
      </c>
      <c r="G1197">
        <v>4</v>
      </c>
      <c r="H1197" s="1" t="s">
        <v>1490</v>
      </c>
      <c r="I1197" t="s">
        <v>1870</v>
      </c>
      <c r="J1197" s="1" t="s">
        <v>1456</v>
      </c>
      <c r="K1197" s="1" t="s">
        <v>1553</v>
      </c>
      <c r="L1197" s="1" t="s">
        <v>1729</v>
      </c>
      <c r="M1197" s="1" t="s">
        <v>1740</v>
      </c>
      <c r="N1197" t="s">
        <v>1925</v>
      </c>
      <c r="O1197" t="s">
        <v>2157</v>
      </c>
      <c r="P1197" t="s">
        <v>3041</v>
      </c>
      <c r="Q1197">
        <v>2</v>
      </c>
      <c r="R1197" s="1" t="s">
        <v>1718</v>
      </c>
      <c r="S1197">
        <v>6520</v>
      </c>
      <c r="T1197">
        <v>13040</v>
      </c>
    </row>
    <row r="1198" spans="1:20" hidden="1" x14ac:dyDescent="0.4">
      <c r="A1198" s="1" t="s">
        <v>464</v>
      </c>
      <c r="B1198" s="1" t="s">
        <v>1455</v>
      </c>
      <c r="C1198" s="1" t="s">
        <v>1845</v>
      </c>
      <c r="D1198" s="1" t="s">
        <v>1731</v>
      </c>
      <c r="E1198">
        <v>20251212</v>
      </c>
      <c r="F1198" s="1" t="s">
        <v>1470</v>
      </c>
      <c r="G1198">
        <v>4</v>
      </c>
      <c r="H1198" s="1" t="s">
        <v>1490</v>
      </c>
      <c r="I1198" t="s">
        <v>1870</v>
      </c>
      <c r="J1198" s="1" t="s">
        <v>1456</v>
      </c>
      <c r="K1198" s="1" t="s">
        <v>1553</v>
      </c>
      <c r="L1198" s="1" t="s">
        <v>1729</v>
      </c>
      <c r="M1198" s="1" t="s">
        <v>1740</v>
      </c>
      <c r="N1198" t="s">
        <v>1925</v>
      </c>
      <c r="O1198" t="s">
        <v>2157</v>
      </c>
      <c r="P1198" t="s">
        <v>3041</v>
      </c>
      <c r="Q1198">
        <v>12</v>
      </c>
      <c r="R1198" s="1" t="s">
        <v>1718</v>
      </c>
      <c r="S1198">
        <v>19193.16</v>
      </c>
      <c r="T1198">
        <v>230318</v>
      </c>
    </row>
    <row r="1199" spans="1:20" hidden="1" x14ac:dyDescent="0.4">
      <c r="A1199" s="1" t="s">
        <v>464</v>
      </c>
      <c r="B1199" s="1" t="s">
        <v>1456</v>
      </c>
      <c r="C1199" s="1" t="s">
        <v>1845</v>
      </c>
      <c r="D1199" s="1" t="s">
        <v>1731</v>
      </c>
      <c r="E1199">
        <v>20251212</v>
      </c>
      <c r="F1199" s="1" t="s">
        <v>1470</v>
      </c>
      <c r="G1199">
        <v>4</v>
      </c>
      <c r="H1199" s="1" t="s">
        <v>1490</v>
      </c>
      <c r="I1199" t="s">
        <v>1870</v>
      </c>
      <c r="J1199" s="1" t="s">
        <v>1456</v>
      </c>
      <c r="K1199" s="1" t="s">
        <v>1554</v>
      </c>
      <c r="L1199" s="1" t="s">
        <v>1729</v>
      </c>
      <c r="M1199" s="1" t="s">
        <v>1737</v>
      </c>
      <c r="N1199" t="s">
        <v>1926</v>
      </c>
      <c r="O1199" t="s">
        <v>2157</v>
      </c>
      <c r="P1199" t="s">
        <v>2157</v>
      </c>
      <c r="Q1199">
        <v>27</v>
      </c>
      <c r="R1199" s="1" t="s">
        <v>1718</v>
      </c>
      <c r="S1199">
        <v>14371.44</v>
      </c>
      <c r="T1199">
        <v>388029</v>
      </c>
    </row>
    <row r="1200" spans="1:20" hidden="1" x14ac:dyDescent="0.4">
      <c r="A1200" s="1" t="s">
        <v>465</v>
      </c>
      <c r="B1200" s="1" t="s">
        <v>1453</v>
      </c>
      <c r="C1200" s="1" t="s">
        <v>1845</v>
      </c>
      <c r="D1200" s="1" t="s">
        <v>1731</v>
      </c>
      <c r="E1200">
        <v>20251212</v>
      </c>
      <c r="F1200" s="1" t="s">
        <v>1470</v>
      </c>
      <c r="G1200">
        <v>4</v>
      </c>
      <c r="H1200" s="1" t="s">
        <v>1490</v>
      </c>
      <c r="I1200" t="s">
        <v>1870</v>
      </c>
      <c r="J1200" s="1" t="s">
        <v>1456</v>
      </c>
      <c r="K1200" s="1" t="s">
        <v>1560</v>
      </c>
      <c r="L1200" s="1" t="s">
        <v>1729</v>
      </c>
      <c r="M1200" s="1" t="s">
        <v>1740</v>
      </c>
      <c r="N1200" t="s">
        <v>1932</v>
      </c>
      <c r="O1200" t="s">
        <v>2157</v>
      </c>
      <c r="P1200" t="s">
        <v>3041</v>
      </c>
      <c r="Q1200">
        <v>1</v>
      </c>
      <c r="R1200" s="1" t="s">
        <v>1718</v>
      </c>
      <c r="S1200">
        <v>11914</v>
      </c>
      <c r="T1200">
        <v>11914</v>
      </c>
    </row>
    <row r="1201" spans="1:20" hidden="1" x14ac:dyDescent="0.4">
      <c r="A1201" s="1" t="s">
        <v>465</v>
      </c>
      <c r="B1201" s="1" t="s">
        <v>1454</v>
      </c>
      <c r="C1201" s="1" t="s">
        <v>1845</v>
      </c>
      <c r="D1201" s="1" t="s">
        <v>1731</v>
      </c>
      <c r="E1201">
        <v>20251212</v>
      </c>
      <c r="F1201" s="1" t="s">
        <v>1470</v>
      </c>
      <c r="G1201">
        <v>4</v>
      </c>
      <c r="H1201" s="1" t="s">
        <v>1490</v>
      </c>
      <c r="I1201" t="s">
        <v>1870</v>
      </c>
      <c r="J1201" s="1" t="s">
        <v>1456</v>
      </c>
      <c r="K1201" s="1" t="s">
        <v>1561</v>
      </c>
      <c r="L1201" s="1" t="s">
        <v>1729</v>
      </c>
      <c r="M1201" s="1" t="s">
        <v>1737</v>
      </c>
      <c r="N1201" t="s">
        <v>1954</v>
      </c>
      <c r="O1201" t="s">
        <v>2157</v>
      </c>
      <c r="P1201" t="s">
        <v>2157</v>
      </c>
      <c r="Q1201">
        <v>10</v>
      </c>
      <c r="R1201" s="1" t="s">
        <v>1718</v>
      </c>
      <c r="S1201">
        <v>6633.4</v>
      </c>
      <c r="T1201">
        <v>66334</v>
      </c>
    </row>
    <row r="1202" spans="1:20" hidden="1" x14ac:dyDescent="0.4">
      <c r="A1202" s="1" t="s">
        <v>466</v>
      </c>
      <c r="B1202" s="1" t="s">
        <v>1453</v>
      </c>
      <c r="C1202" s="1" t="s">
        <v>1845</v>
      </c>
      <c r="D1202" s="1" t="s">
        <v>1731</v>
      </c>
      <c r="E1202">
        <v>20251212</v>
      </c>
      <c r="F1202" s="1" t="s">
        <v>1470</v>
      </c>
      <c r="G1202">
        <v>4</v>
      </c>
      <c r="H1202" s="1" t="s">
        <v>1490</v>
      </c>
      <c r="I1202" t="s">
        <v>1870</v>
      </c>
      <c r="J1202" s="1" t="s">
        <v>1456</v>
      </c>
      <c r="K1202" s="1" t="s">
        <v>1557</v>
      </c>
      <c r="L1202" s="1" t="s">
        <v>1729</v>
      </c>
      <c r="M1202" s="1" t="s">
        <v>1737</v>
      </c>
      <c r="N1202" t="s">
        <v>1929</v>
      </c>
      <c r="O1202" t="s">
        <v>2157</v>
      </c>
      <c r="P1202" t="s">
        <v>2157</v>
      </c>
      <c r="Q1202">
        <v>14</v>
      </c>
      <c r="R1202" s="1" t="s">
        <v>1718</v>
      </c>
      <c r="S1202">
        <v>14995.28</v>
      </c>
      <c r="T1202">
        <v>209934</v>
      </c>
    </row>
    <row r="1203" spans="1:20" hidden="1" x14ac:dyDescent="0.4">
      <c r="A1203" s="1" t="s">
        <v>467</v>
      </c>
      <c r="B1203" s="1" t="s">
        <v>1453</v>
      </c>
      <c r="C1203" s="1" t="s">
        <v>1845</v>
      </c>
      <c r="D1203" s="1" t="s">
        <v>1731</v>
      </c>
      <c r="E1203">
        <v>20251212</v>
      </c>
      <c r="F1203" s="1" t="s">
        <v>1470</v>
      </c>
      <c r="G1203">
        <v>4</v>
      </c>
      <c r="H1203" s="1" t="s">
        <v>1490</v>
      </c>
      <c r="I1203" t="s">
        <v>1870</v>
      </c>
      <c r="J1203" s="1" t="s">
        <v>1456</v>
      </c>
      <c r="K1203" s="1" t="s">
        <v>1572</v>
      </c>
      <c r="L1203" s="1" t="s">
        <v>1729</v>
      </c>
      <c r="M1203" s="1" t="s">
        <v>1736</v>
      </c>
      <c r="N1203" t="s">
        <v>1945</v>
      </c>
      <c r="O1203" t="s">
        <v>2157</v>
      </c>
      <c r="P1203" t="s">
        <v>3038</v>
      </c>
      <c r="Q1203">
        <v>2</v>
      </c>
      <c r="R1203" s="1" t="s">
        <v>1718</v>
      </c>
      <c r="S1203">
        <v>10735</v>
      </c>
      <c r="T1203">
        <v>21470</v>
      </c>
    </row>
    <row r="1204" spans="1:20" hidden="1" x14ac:dyDescent="0.4">
      <c r="A1204" s="1" t="s">
        <v>468</v>
      </c>
      <c r="B1204" s="1" t="s">
        <v>1453</v>
      </c>
      <c r="C1204" s="1" t="s">
        <v>1845</v>
      </c>
      <c r="D1204" s="1" t="s">
        <v>1731</v>
      </c>
      <c r="E1204">
        <v>20251212</v>
      </c>
      <c r="F1204" s="1" t="s">
        <v>1470</v>
      </c>
      <c r="G1204">
        <v>4</v>
      </c>
      <c r="H1204" s="1" t="s">
        <v>1490</v>
      </c>
      <c r="I1204" t="s">
        <v>1870</v>
      </c>
      <c r="J1204" s="1" t="s">
        <v>1456</v>
      </c>
      <c r="K1204" s="1" t="s">
        <v>1558</v>
      </c>
      <c r="L1204" s="1" t="s">
        <v>1729</v>
      </c>
      <c r="M1204" s="1" t="s">
        <v>1737</v>
      </c>
      <c r="N1204" t="s">
        <v>1930</v>
      </c>
      <c r="O1204" t="s">
        <v>2157</v>
      </c>
      <c r="P1204" t="s">
        <v>2157</v>
      </c>
      <c r="Q1204">
        <v>8</v>
      </c>
      <c r="R1204" s="1" t="s">
        <v>1718</v>
      </c>
      <c r="S1204">
        <v>18679.25</v>
      </c>
      <c r="T1204">
        <v>149434</v>
      </c>
    </row>
    <row r="1205" spans="1:20" hidden="1" x14ac:dyDescent="0.4">
      <c r="A1205" s="1" t="s">
        <v>469</v>
      </c>
      <c r="B1205" s="1" t="s">
        <v>1453</v>
      </c>
      <c r="C1205" s="1" t="s">
        <v>1845</v>
      </c>
      <c r="D1205" s="1" t="s">
        <v>1731</v>
      </c>
      <c r="E1205">
        <v>20251212</v>
      </c>
      <c r="F1205" s="1" t="s">
        <v>1470</v>
      </c>
      <c r="G1205">
        <v>4</v>
      </c>
      <c r="H1205" s="1" t="s">
        <v>1490</v>
      </c>
      <c r="I1205" t="s">
        <v>1870</v>
      </c>
      <c r="J1205" s="1" t="s">
        <v>1456</v>
      </c>
      <c r="K1205" s="1" t="s">
        <v>1573</v>
      </c>
      <c r="L1205" s="1" t="s">
        <v>1729</v>
      </c>
      <c r="M1205" s="1" t="s">
        <v>1741</v>
      </c>
      <c r="N1205" t="s">
        <v>1946</v>
      </c>
      <c r="O1205" t="s">
        <v>2157</v>
      </c>
      <c r="P1205" t="s">
        <v>3042</v>
      </c>
      <c r="Q1205">
        <v>400</v>
      </c>
      <c r="R1205" s="1" t="s">
        <v>1718</v>
      </c>
      <c r="S1205">
        <v>2852</v>
      </c>
      <c r="T1205">
        <v>1140800</v>
      </c>
    </row>
    <row r="1206" spans="1:20" hidden="1" x14ac:dyDescent="0.4">
      <c r="A1206" s="1" t="s">
        <v>469</v>
      </c>
      <c r="B1206" s="1" t="s">
        <v>1454</v>
      </c>
      <c r="C1206" s="1" t="s">
        <v>1845</v>
      </c>
      <c r="D1206" s="1" t="s">
        <v>1731</v>
      </c>
      <c r="E1206">
        <v>20251212</v>
      </c>
      <c r="F1206" s="1" t="s">
        <v>1470</v>
      </c>
      <c r="G1206">
        <v>4</v>
      </c>
      <c r="H1206" s="1" t="s">
        <v>1490</v>
      </c>
      <c r="I1206" t="s">
        <v>1870</v>
      </c>
      <c r="J1206" s="1" t="s">
        <v>1456</v>
      </c>
      <c r="K1206" s="1" t="s">
        <v>1559</v>
      </c>
      <c r="L1206" s="1" t="s">
        <v>1729</v>
      </c>
      <c r="M1206" s="1" t="s">
        <v>1739</v>
      </c>
      <c r="N1206" t="s">
        <v>1931</v>
      </c>
      <c r="O1206" t="s">
        <v>2157</v>
      </c>
      <c r="P1206" t="s">
        <v>3150</v>
      </c>
      <c r="Q1206">
        <v>2</v>
      </c>
      <c r="R1206" s="1" t="s">
        <v>1718</v>
      </c>
      <c r="S1206">
        <v>8166</v>
      </c>
      <c r="T1206">
        <v>16332</v>
      </c>
    </row>
    <row r="1207" spans="1:20" hidden="1" x14ac:dyDescent="0.4">
      <c r="A1207" s="1" t="s">
        <v>469</v>
      </c>
      <c r="B1207" s="1" t="s">
        <v>1455</v>
      </c>
      <c r="C1207" s="1" t="s">
        <v>1845</v>
      </c>
      <c r="D1207" s="1" t="s">
        <v>1731</v>
      </c>
      <c r="E1207">
        <v>20251212</v>
      </c>
      <c r="F1207" s="1" t="s">
        <v>1470</v>
      </c>
      <c r="G1207">
        <v>4</v>
      </c>
      <c r="H1207" s="1" t="s">
        <v>1490</v>
      </c>
      <c r="I1207" t="s">
        <v>1870</v>
      </c>
      <c r="J1207" s="1" t="s">
        <v>1456</v>
      </c>
      <c r="K1207" s="1" t="s">
        <v>1570</v>
      </c>
      <c r="L1207" s="1" t="s">
        <v>1729</v>
      </c>
      <c r="M1207" s="1" t="s">
        <v>1744</v>
      </c>
      <c r="N1207" t="s">
        <v>1943</v>
      </c>
      <c r="O1207" t="s">
        <v>2157</v>
      </c>
      <c r="P1207" t="s">
        <v>3045</v>
      </c>
      <c r="Q1207">
        <v>10</v>
      </c>
      <c r="R1207" s="1" t="s">
        <v>1718</v>
      </c>
      <c r="S1207">
        <v>16304</v>
      </c>
      <c r="T1207">
        <v>163040</v>
      </c>
    </row>
    <row r="1208" spans="1:20" hidden="1" x14ac:dyDescent="0.4">
      <c r="A1208" s="1" t="s">
        <v>470</v>
      </c>
      <c r="B1208" s="1" t="s">
        <v>1453</v>
      </c>
      <c r="C1208" s="1" t="s">
        <v>1845</v>
      </c>
      <c r="D1208" s="1" t="s">
        <v>1731</v>
      </c>
      <c r="E1208">
        <v>20251212</v>
      </c>
      <c r="F1208" s="1" t="s">
        <v>1470</v>
      </c>
      <c r="G1208">
        <v>4</v>
      </c>
      <c r="H1208" s="1" t="s">
        <v>1490</v>
      </c>
      <c r="I1208" t="s">
        <v>1870</v>
      </c>
      <c r="J1208" s="1" t="s">
        <v>1456</v>
      </c>
      <c r="K1208" s="1" t="s">
        <v>1574</v>
      </c>
      <c r="L1208" s="1" t="s">
        <v>1729</v>
      </c>
      <c r="M1208" s="1" t="s">
        <v>1737</v>
      </c>
      <c r="N1208" t="s">
        <v>1947</v>
      </c>
      <c r="O1208" t="s">
        <v>2157</v>
      </c>
      <c r="P1208" t="s">
        <v>2157</v>
      </c>
      <c r="Q1208">
        <v>2</v>
      </c>
      <c r="R1208" s="1" t="s">
        <v>1718</v>
      </c>
      <c r="S1208">
        <v>2280</v>
      </c>
      <c r="T1208">
        <v>4560</v>
      </c>
    </row>
    <row r="1209" spans="1:20" hidden="1" x14ac:dyDescent="0.4">
      <c r="A1209" s="1" t="s">
        <v>470</v>
      </c>
      <c r="B1209" s="1" t="s">
        <v>1454</v>
      </c>
      <c r="C1209" s="1" t="s">
        <v>1845</v>
      </c>
      <c r="D1209" s="1" t="s">
        <v>1731</v>
      </c>
      <c r="E1209">
        <v>20251212</v>
      </c>
      <c r="F1209" s="1" t="s">
        <v>1470</v>
      </c>
      <c r="G1209">
        <v>4</v>
      </c>
      <c r="H1209" s="1" t="s">
        <v>1490</v>
      </c>
      <c r="I1209" t="s">
        <v>1870</v>
      </c>
      <c r="J1209" s="1" t="s">
        <v>1456</v>
      </c>
      <c r="K1209" s="1" t="s">
        <v>1574</v>
      </c>
      <c r="L1209" s="1" t="s">
        <v>1729</v>
      </c>
      <c r="M1209" s="1" t="s">
        <v>1737</v>
      </c>
      <c r="N1209" t="s">
        <v>1947</v>
      </c>
      <c r="O1209" t="s">
        <v>2157</v>
      </c>
      <c r="P1209" t="s">
        <v>2157</v>
      </c>
      <c r="Q1209">
        <v>2</v>
      </c>
      <c r="R1209" s="1" t="s">
        <v>1718</v>
      </c>
      <c r="S1209">
        <v>2280</v>
      </c>
      <c r="T1209">
        <v>4560</v>
      </c>
    </row>
    <row r="1210" spans="1:20" hidden="1" x14ac:dyDescent="0.4">
      <c r="A1210" s="1" t="s">
        <v>470</v>
      </c>
      <c r="B1210" s="1" t="s">
        <v>1455</v>
      </c>
      <c r="C1210" s="1" t="s">
        <v>1845</v>
      </c>
      <c r="D1210" s="1" t="s">
        <v>1731</v>
      </c>
      <c r="E1210">
        <v>20251212</v>
      </c>
      <c r="F1210" s="1" t="s">
        <v>1470</v>
      </c>
      <c r="G1210">
        <v>4</v>
      </c>
      <c r="H1210" s="1" t="s">
        <v>1490</v>
      </c>
      <c r="I1210" t="s">
        <v>1870</v>
      </c>
      <c r="J1210" s="1" t="s">
        <v>1456</v>
      </c>
      <c r="K1210" s="1" t="s">
        <v>1574</v>
      </c>
      <c r="L1210" s="1" t="s">
        <v>1729</v>
      </c>
      <c r="M1210" s="1" t="s">
        <v>1737</v>
      </c>
      <c r="N1210" t="s">
        <v>1947</v>
      </c>
      <c r="O1210" t="s">
        <v>2157</v>
      </c>
      <c r="P1210" t="s">
        <v>2157</v>
      </c>
      <c r="Q1210">
        <v>2</v>
      </c>
      <c r="R1210" s="1" t="s">
        <v>1718</v>
      </c>
      <c r="S1210">
        <v>5760</v>
      </c>
      <c r="T1210">
        <v>11520</v>
      </c>
    </row>
    <row r="1211" spans="1:20" hidden="1" x14ac:dyDescent="0.4">
      <c r="A1211" s="1" t="s">
        <v>471</v>
      </c>
      <c r="B1211" s="1" t="s">
        <v>1453</v>
      </c>
      <c r="C1211" s="1" t="s">
        <v>1845</v>
      </c>
      <c r="D1211" s="1" t="s">
        <v>1850</v>
      </c>
      <c r="E1211">
        <v>20251201</v>
      </c>
      <c r="F1211" s="1" t="s">
        <v>1474</v>
      </c>
      <c r="G1211">
        <v>4</v>
      </c>
      <c r="H1211" s="1" t="s">
        <v>1501</v>
      </c>
      <c r="I1211" t="s">
        <v>1881</v>
      </c>
      <c r="J1211" s="1" t="s">
        <v>1455</v>
      </c>
      <c r="K1211" s="1" t="s">
        <v>1661</v>
      </c>
      <c r="L1211" s="1" t="s">
        <v>1720</v>
      </c>
      <c r="M1211" s="1" t="s">
        <v>1762</v>
      </c>
      <c r="N1211" t="s">
        <v>2049</v>
      </c>
      <c r="O1211" t="s">
        <v>2166</v>
      </c>
      <c r="P1211" t="s">
        <v>3180</v>
      </c>
      <c r="Q1211">
        <v>-687.44</v>
      </c>
      <c r="R1211" s="1" t="s">
        <v>1842</v>
      </c>
      <c r="S1211">
        <v>1264.81</v>
      </c>
      <c r="T1211">
        <v>-869480</v>
      </c>
    </row>
    <row r="1212" spans="1:20" hidden="1" x14ac:dyDescent="0.4">
      <c r="A1212" s="1" t="s">
        <v>471</v>
      </c>
      <c r="B1212" s="1" t="s">
        <v>1454</v>
      </c>
      <c r="C1212" s="1" t="s">
        <v>1845</v>
      </c>
      <c r="D1212" s="1" t="s">
        <v>1850</v>
      </c>
      <c r="E1212">
        <v>20251201</v>
      </c>
      <c r="F1212" s="1" t="s">
        <v>1474</v>
      </c>
      <c r="G1212">
        <v>4</v>
      </c>
      <c r="H1212" s="1" t="s">
        <v>1501</v>
      </c>
      <c r="I1212" t="s">
        <v>1881</v>
      </c>
      <c r="J1212" s="1" t="s">
        <v>1455</v>
      </c>
      <c r="K1212" s="1" t="s">
        <v>1661</v>
      </c>
      <c r="L1212" s="1" t="s">
        <v>1720</v>
      </c>
      <c r="M1212" s="1" t="s">
        <v>1762</v>
      </c>
      <c r="N1212" t="s">
        <v>2049</v>
      </c>
      <c r="O1212" t="s">
        <v>2166</v>
      </c>
      <c r="P1212" t="s">
        <v>3181</v>
      </c>
      <c r="Q1212">
        <v>-190.32</v>
      </c>
      <c r="R1212" s="1" t="s">
        <v>1842</v>
      </c>
      <c r="S1212">
        <v>1264.8</v>
      </c>
      <c r="T1212">
        <v>-240716</v>
      </c>
    </row>
    <row r="1213" spans="1:20" hidden="1" x14ac:dyDescent="0.4">
      <c r="A1213" s="1" t="s">
        <v>471</v>
      </c>
      <c r="B1213" s="1" t="s">
        <v>1455</v>
      </c>
      <c r="C1213" s="1" t="s">
        <v>1845</v>
      </c>
      <c r="D1213" s="1" t="s">
        <v>1850</v>
      </c>
      <c r="E1213">
        <v>20251201</v>
      </c>
      <c r="F1213" s="1" t="s">
        <v>1474</v>
      </c>
      <c r="G1213">
        <v>4</v>
      </c>
      <c r="H1213" s="1" t="s">
        <v>1501</v>
      </c>
      <c r="I1213" t="s">
        <v>1881</v>
      </c>
      <c r="J1213" s="1" t="s">
        <v>1455</v>
      </c>
      <c r="K1213" s="1" t="s">
        <v>1661</v>
      </c>
      <c r="L1213" s="1" t="s">
        <v>1720</v>
      </c>
      <c r="M1213" s="1" t="s">
        <v>1762</v>
      </c>
      <c r="N1213" t="s">
        <v>2049</v>
      </c>
      <c r="O1213" t="s">
        <v>2166</v>
      </c>
      <c r="P1213" t="s">
        <v>3182</v>
      </c>
      <c r="Q1213">
        <v>-924.11</v>
      </c>
      <c r="R1213" s="1" t="s">
        <v>1842</v>
      </c>
      <c r="S1213">
        <v>1264.8</v>
      </c>
      <c r="T1213">
        <v>-1168814</v>
      </c>
    </row>
    <row r="1214" spans="1:20" hidden="1" x14ac:dyDescent="0.4">
      <c r="A1214" s="1" t="s">
        <v>471</v>
      </c>
      <c r="B1214" s="1" t="s">
        <v>1456</v>
      </c>
      <c r="C1214" s="1" t="s">
        <v>1845</v>
      </c>
      <c r="D1214" s="1" t="s">
        <v>1850</v>
      </c>
      <c r="E1214">
        <v>20251201</v>
      </c>
      <c r="F1214" s="1" t="s">
        <v>1474</v>
      </c>
      <c r="G1214">
        <v>4</v>
      </c>
      <c r="H1214" s="1" t="s">
        <v>1501</v>
      </c>
      <c r="I1214" t="s">
        <v>1881</v>
      </c>
      <c r="J1214" s="1" t="s">
        <v>1455</v>
      </c>
      <c r="K1214" s="1" t="s">
        <v>1661</v>
      </c>
      <c r="L1214" s="1" t="s">
        <v>1720</v>
      </c>
      <c r="M1214" s="1" t="s">
        <v>1762</v>
      </c>
      <c r="N1214" t="s">
        <v>2049</v>
      </c>
      <c r="O1214" t="s">
        <v>2166</v>
      </c>
      <c r="P1214" t="s">
        <v>3183</v>
      </c>
      <c r="Q1214">
        <v>-1058.8900000000001</v>
      </c>
      <c r="R1214" s="1" t="s">
        <v>1842</v>
      </c>
      <c r="S1214">
        <v>1264.8</v>
      </c>
      <c r="T1214">
        <v>-1339284</v>
      </c>
    </row>
    <row r="1215" spans="1:20" hidden="1" x14ac:dyDescent="0.4">
      <c r="A1215" s="1" t="s">
        <v>471</v>
      </c>
      <c r="B1215" s="1" t="s">
        <v>1457</v>
      </c>
      <c r="C1215" s="1" t="s">
        <v>1845</v>
      </c>
      <c r="D1215" s="1" t="s">
        <v>1850</v>
      </c>
      <c r="E1215">
        <v>20251201</v>
      </c>
      <c r="F1215" s="1" t="s">
        <v>1474</v>
      </c>
      <c r="G1215">
        <v>4</v>
      </c>
      <c r="H1215" s="1" t="s">
        <v>1501</v>
      </c>
      <c r="I1215" t="s">
        <v>1881</v>
      </c>
      <c r="J1215" s="1" t="s">
        <v>1455</v>
      </c>
      <c r="K1215" s="1" t="s">
        <v>1662</v>
      </c>
      <c r="L1215" s="1" t="s">
        <v>1720</v>
      </c>
      <c r="M1215" s="1" t="s">
        <v>1762</v>
      </c>
      <c r="N1215" t="s">
        <v>2050</v>
      </c>
      <c r="O1215" t="s">
        <v>2166</v>
      </c>
      <c r="P1215" t="s">
        <v>3172</v>
      </c>
      <c r="Q1215">
        <v>-555.33000000000004</v>
      </c>
      <c r="R1215" s="1" t="s">
        <v>1842</v>
      </c>
      <c r="S1215">
        <v>1018.35</v>
      </c>
      <c r="T1215">
        <v>-565520</v>
      </c>
    </row>
    <row r="1216" spans="1:20" hidden="1" x14ac:dyDescent="0.4">
      <c r="A1216" s="1" t="s">
        <v>471</v>
      </c>
      <c r="B1216" s="1" t="s">
        <v>1458</v>
      </c>
      <c r="C1216" s="1" t="s">
        <v>1845</v>
      </c>
      <c r="D1216" s="1" t="s">
        <v>1850</v>
      </c>
      <c r="E1216">
        <v>20251201</v>
      </c>
      <c r="F1216" s="1" t="s">
        <v>1474</v>
      </c>
      <c r="G1216">
        <v>4</v>
      </c>
      <c r="H1216" s="1" t="s">
        <v>1501</v>
      </c>
      <c r="I1216" t="s">
        <v>1881</v>
      </c>
      <c r="J1216" s="1" t="s">
        <v>1455</v>
      </c>
      <c r="K1216" s="1" t="s">
        <v>1662</v>
      </c>
      <c r="L1216" s="1" t="s">
        <v>1720</v>
      </c>
      <c r="M1216" s="1" t="s">
        <v>1762</v>
      </c>
      <c r="N1216" t="s">
        <v>2050</v>
      </c>
      <c r="O1216" t="s">
        <v>2166</v>
      </c>
      <c r="P1216" t="s">
        <v>3172</v>
      </c>
      <c r="Q1216">
        <v>-1252.6300000000001</v>
      </c>
      <c r="R1216" s="1" t="s">
        <v>1842</v>
      </c>
      <c r="S1216">
        <v>1018.35</v>
      </c>
      <c r="T1216">
        <v>-1275615</v>
      </c>
    </row>
    <row r="1217" spans="1:20" hidden="1" x14ac:dyDescent="0.4">
      <c r="A1217" s="1" t="s">
        <v>471</v>
      </c>
      <c r="B1217" s="1" t="s">
        <v>1459</v>
      </c>
      <c r="C1217" s="1" t="s">
        <v>1845</v>
      </c>
      <c r="D1217" s="1" t="s">
        <v>1850</v>
      </c>
      <c r="E1217">
        <v>20251201</v>
      </c>
      <c r="F1217" s="1" t="s">
        <v>1474</v>
      </c>
      <c r="G1217">
        <v>4</v>
      </c>
      <c r="H1217" s="1" t="s">
        <v>1501</v>
      </c>
      <c r="I1217" t="s">
        <v>1881</v>
      </c>
      <c r="J1217" s="1" t="s">
        <v>1455</v>
      </c>
      <c r="K1217" s="1" t="s">
        <v>1663</v>
      </c>
      <c r="L1217" s="1" t="s">
        <v>1720</v>
      </c>
      <c r="M1217" s="1" t="s">
        <v>1762</v>
      </c>
      <c r="N1217" t="s">
        <v>2051</v>
      </c>
      <c r="O1217" t="s">
        <v>2166</v>
      </c>
      <c r="P1217" t="s">
        <v>3180</v>
      </c>
      <c r="Q1217">
        <v>-427.97</v>
      </c>
      <c r="R1217" s="1" t="s">
        <v>1839</v>
      </c>
      <c r="S1217">
        <v>1356.25</v>
      </c>
      <c r="T1217">
        <v>-580434</v>
      </c>
    </row>
    <row r="1218" spans="1:20" hidden="1" x14ac:dyDescent="0.4">
      <c r="A1218" s="1" t="s">
        <v>471</v>
      </c>
      <c r="B1218" s="1" t="s">
        <v>1460</v>
      </c>
      <c r="C1218" s="1" t="s">
        <v>1845</v>
      </c>
      <c r="D1218" s="1" t="s">
        <v>1850</v>
      </c>
      <c r="E1218">
        <v>20251201</v>
      </c>
      <c r="F1218" s="1" t="s">
        <v>1474</v>
      </c>
      <c r="G1218">
        <v>4</v>
      </c>
      <c r="H1218" s="1" t="s">
        <v>1501</v>
      </c>
      <c r="I1218" t="s">
        <v>1881</v>
      </c>
      <c r="J1218" s="1" t="s">
        <v>1455</v>
      </c>
      <c r="K1218" s="1" t="s">
        <v>1663</v>
      </c>
      <c r="L1218" s="1" t="s">
        <v>1720</v>
      </c>
      <c r="M1218" s="1" t="s">
        <v>1762</v>
      </c>
      <c r="N1218" t="s">
        <v>2051</v>
      </c>
      <c r="O1218" t="s">
        <v>2166</v>
      </c>
      <c r="P1218" t="s">
        <v>3181</v>
      </c>
      <c r="Q1218">
        <v>-95.35</v>
      </c>
      <c r="R1218" s="1" t="s">
        <v>1839</v>
      </c>
      <c r="S1218">
        <v>1356.25</v>
      </c>
      <c r="T1218">
        <v>-129318</v>
      </c>
    </row>
    <row r="1219" spans="1:20" hidden="1" x14ac:dyDescent="0.4">
      <c r="A1219" s="1" t="s">
        <v>471</v>
      </c>
      <c r="B1219" s="1" t="s">
        <v>1461</v>
      </c>
      <c r="C1219" s="1" t="s">
        <v>1845</v>
      </c>
      <c r="D1219" s="1" t="s">
        <v>1850</v>
      </c>
      <c r="E1219">
        <v>20251201</v>
      </c>
      <c r="F1219" s="1" t="s">
        <v>1474</v>
      </c>
      <c r="G1219">
        <v>4</v>
      </c>
      <c r="H1219" s="1" t="s">
        <v>1501</v>
      </c>
      <c r="I1219" t="s">
        <v>1881</v>
      </c>
      <c r="J1219" s="1" t="s">
        <v>1455</v>
      </c>
      <c r="K1219" s="1" t="s">
        <v>1663</v>
      </c>
      <c r="L1219" s="1" t="s">
        <v>1720</v>
      </c>
      <c r="M1219" s="1" t="s">
        <v>1762</v>
      </c>
      <c r="N1219" t="s">
        <v>2051</v>
      </c>
      <c r="O1219" t="s">
        <v>2166</v>
      </c>
      <c r="P1219" t="s">
        <v>3182</v>
      </c>
      <c r="Q1219">
        <v>-559.13</v>
      </c>
      <c r="R1219" s="1" t="s">
        <v>1839</v>
      </c>
      <c r="S1219">
        <v>1356.25</v>
      </c>
      <c r="T1219">
        <v>-758320</v>
      </c>
    </row>
    <row r="1220" spans="1:20" hidden="1" x14ac:dyDescent="0.4">
      <c r="A1220" s="1" t="s">
        <v>471</v>
      </c>
      <c r="B1220" s="1" t="s">
        <v>1462</v>
      </c>
      <c r="C1220" s="1" t="s">
        <v>1845</v>
      </c>
      <c r="D1220" s="1" t="s">
        <v>1850</v>
      </c>
      <c r="E1220">
        <v>20251201</v>
      </c>
      <c r="F1220" s="1" t="s">
        <v>1474</v>
      </c>
      <c r="G1220">
        <v>4</v>
      </c>
      <c r="H1220" s="1" t="s">
        <v>1501</v>
      </c>
      <c r="I1220" t="s">
        <v>1881</v>
      </c>
      <c r="J1220" s="1" t="s">
        <v>1455</v>
      </c>
      <c r="K1220" s="1" t="s">
        <v>1663</v>
      </c>
      <c r="L1220" s="1" t="s">
        <v>1720</v>
      </c>
      <c r="M1220" s="1" t="s">
        <v>1762</v>
      </c>
      <c r="N1220" t="s">
        <v>2051</v>
      </c>
      <c r="O1220" t="s">
        <v>2166</v>
      </c>
      <c r="P1220" t="s">
        <v>3183</v>
      </c>
      <c r="Q1220">
        <v>-524.02</v>
      </c>
      <c r="R1220" s="1" t="s">
        <v>1839</v>
      </c>
      <c r="S1220">
        <v>1356.25</v>
      </c>
      <c r="T1220">
        <v>-710702</v>
      </c>
    </row>
    <row r="1221" spans="1:20" hidden="1" x14ac:dyDescent="0.4">
      <c r="A1221" s="1" t="s">
        <v>471</v>
      </c>
      <c r="B1221" s="1" t="s">
        <v>1463</v>
      </c>
      <c r="C1221" s="1" t="s">
        <v>1845</v>
      </c>
      <c r="D1221" s="1" t="s">
        <v>1850</v>
      </c>
      <c r="E1221">
        <v>20251201</v>
      </c>
      <c r="F1221" s="1" t="s">
        <v>1474</v>
      </c>
      <c r="G1221">
        <v>4</v>
      </c>
      <c r="H1221" s="1" t="s">
        <v>1501</v>
      </c>
      <c r="I1221" t="s">
        <v>1881</v>
      </c>
      <c r="J1221" s="1" t="s">
        <v>1455</v>
      </c>
      <c r="K1221" s="1" t="s">
        <v>1664</v>
      </c>
      <c r="L1221" s="1" t="s">
        <v>1720</v>
      </c>
      <c r="M1221" s="1" t="s">
        <v>1762</v>
      </c>
      <c r="N1221" t="s">
        <v>2052</v>
      </c>
      <c r="O1221" t="s">
        <v>2166</v>
      </c>
      <c r="P1221" t="s">
        <v>3172</v>
      </c>
      <c r="Q1221">
        <v>-340.56</v>
      </c>
      <c r="R1221" s="1" t="s">
        <v>1842</v>
      </c>
      <c r="S1221">
        <v>713</v>
      </c>
      <c r="T1221">
        <v>-242819</v>
      </c>
    </row>
    <row r="1222" spans="1:20" hidden="1" x14ac:dyDescent="0.4">
      <c r="A1222" s="1" t="s">
        <v>471</v>
      </c>
      <c r="B1222" s="1" t="s">
        <v>1464</v>
      </c>
      <c r="C1222" s="1" t="s">
        <v>1845</v>
      </c>
      <c r="D1222" s="1" t="s">
        <v>1850</v>
      </c>
      <c r="E1222">
        <v>20251201</v>
      </c>
      <c r="F1222" s="1" t="s">
        <v>1474</v>
      </c>
      <c r="G1222">
        <v>4</v>
      </c>
      <c r="H1222" s="1" t="s">
        <v>1501</v>
      </c>
      <c r="I1222" t="s">
        <v>1881</v>
      </c>
      <c r="J1222" s="1" t="s">
        <v>1455</v>
      </c>
      <c r="K1222" s="1" t="s">
        <v>1665</v>
      </c>
      <c r="L1222" s="1" t="s">
        <v>1720</v>
      </c>
      <c r="M1222" s="1" t="s">
        <v>1762</v>
      </c>
      <c r="N1222" t="s">
        <v>2053</v>
      </c>
      <c r="O1222" t="s">
        <v>2166</v>
      </c>
      <c r="P1222" t="s">
        <v>3172</v>
      </c>
      <c r="Q1222">
        <v>-962.22</v>
      </c>
      <c r="R1222" s="1" t="s">
        <v>1842</v>
      </c>
      <c r="S1222">
        <v>1190.4000000000001</v>
      </c>
      <c r="T1222">
        <v>-1145426</v>
      </c>
    </row>
    <row r="1223" spans="1:20" hidden="1" x14ac:dyDescent="0.4">
      <c r="A1223" s="1" t="s">
        <v>471</v>
      </c>
      <c r="B1223" s="1" t="s">
        <v>1465</v>
      </c>
      <c r="C1223" s="1" t="s">
        <v>1845</v>
      </c>
      <c r="D1223" s="1" t="s">
        <v>1850</v>
      </c>
      <c r="E1223">
        <v>20251201</v>
      </c>
      <c r="F1223" s="1" t="s">
        <v>1474</v>
      </c>
      <c r="G1223">
        <v>4</v>
      </c>
      <c r="H1223" s="1" t="s">
        <v>1501</v>
      </c>
      <c r="I1223" t="s">
        <v>1881</v>
      </c>
      <c r="J1223" s="1" t="s">
        <v>1455</v>
      </c>
      <c r="K1223" s="1" t="s">
        <v>1665</v>
      </c>
      <c r="L1223" s="1" t="s">
        <v>1720</v>
      </c>
      <c r="M1223" s="1" t="s">
        <v>1762</v>
      </c>
      <c r="N1223" t="s">
        <v>2053</v>
      </c>
      <c r="O1223" t="s">
        <v>2166</v>
      </c>
      <c r="P1223" t="s">
        <v>3172</v>
      </c>
      <c r="Q1223">
        <v>-656.48</v>
      </c>
      <c r="R1223" s="1" t="s">
        <v>1842</v>
      </c>
      <c r="S1223">
        <v>1190.4000000000001</v>
      </c>
      <c r="T1223">
        <v>-781473</v>
      </c>
    </row>
    <row r="1224" spans="1:20" hidden="1" x14ac:dyDescent="0.4">
      <c r="A1224" s="1" t="s">
        <v>471</v>
      </c>
      <c r="B1224" s="1" t="s">
        <v>1466</v>
      </c>
      <c r="C1224" s="1" t="s">
        <v>1845</v>
      </c>
      <c r="D1224" s="1" t="s">
        <v>1850</v>
      </c>
      <c r="E1224">
        <v>20251201</v>
      </c>
      <c r="F1224" s="1" t="s">
        <v>1474</v>
      </c>
      <c r="G1224">
        <v>4</v>
      </c>
      <c r="H1224" s="1" t="s">
        <v>1501</v>
      </c>
      <c r="I1224" t="s">
        <v>1881</v>
      </c>
      <c r="J1224" s="1" t="s">
        <v>1455</v>
      </c>
      <c r="K1224" s="1" t="s">
        <v>1665</v>
      </c>
      <c r="L1224" s="1" t="s">
        <v>1720</v>
      </c>
      <c r="M1224" s="1" t="s">
        <v>1762</v>
      </c>
      <c r="N1224" t="s">
        <v>2053</v>
      </c>
      <c r="O1224" t="s">
        <v>2166</v>
      </c>
      <c r="P1224" t="s">
        <v>3172</v>
      </c>
      <c r="Q1224">
        <v>-718.88</v>
      </c>
      <c r="R1224" s="1" t="s">
        <v>1839</v>
      </c>
      <c r="S1224">
        <v>1190.4000000000001</v>
      </c>
      <c r="T1224">
        <v>-855754</v>
      </c>
    </row>
    <row r="1225" spans="1:20" hidden="1" x14ac:dyDescent="0.4">
      <c r="A1225" s="1" t="s">
        <v>471</v>
      </c>
      <c r="B1225" s="1" t="s">
        <v>1467</v>
      </c>
      <c r="C1225" s="1" t="s">
        <v>1845</v>
      </c>
      <c r="D1225" s="1" t="s">
        <v>1850</v>
      </c>
      <c r="E1225">
        <v>20251201</v>
      </c>
      <c r="F1225" s="1" t="s">
        <v>1474</v>
      </c>
      <c r="G1225">
        <v>4</v>
      </c>
      <c r="H1225" s="1" t="s">
        <v>1501</v>
      </c>
      <c r="I1225" t="s">
        <v>1881</v>
      </c>
      <c r="J1225" s="1" t="s">
        <v>1455</v>
      </c>
      <c r="K1225" s="1" t="s">
        <v>1666</v>
      </c>
      <c r="L1225" s="1" t="s">
        <v>1720</v>
      </c>
      <c r="M1225" s="1" t="s">
        <v>1762</v>
      </c>
      <c r="N1225" t="s">
        <v>2054</v>
      </c>
      <c r="O1225" t="s">
        <v>2166</v>
      </c>
      <c r="P1225" t="s">
        <v>3172</v>
      </c>
      <c r="Q1225">
        <v>-1367.28</v>
      </c>
      <c r="R1225" s="1" t="s">
        <v>1842</v>
      </c>
      <c r="S1225">
        <v>1002.85</v>
      </c>
      <c r="T1225">
        <v>-1371176</v>
      </c>
    </row>
    <row r="1226" spans="1:20" hidden="1" x14ac:dyDescent="0.4">
      <c r="A1226" s="1" t="s">
        <v>472</v>
      </c>
      <c r="B1226" s="1" t="s">
        <v>1453</v>
      </c>
      <c r="C1226" s="1" t="s">
        <v>1845</v>
      </c>
      <c r="D1226" s="1" t="s">
        <v>1462</v>
      </c>
      <c r="E1226">
        <v>20251201</v>
      </c>
      <c r="F1226" s="1" t="s">
        <v>1474</v>
      </c>
      <c r="G1226">
        <v>4</v>
      </c>
      <c r="H1226" s="1" t="s">
        <v>1501</v>
      </c>
      <c r="I1226" t="s">
        <v>1881</v>
      </c>
      <c r="J1226" s="1" t="s">
        <v>1455</v>
      </c>
      <c r="K1226" s="1" t="s">
        <v>1661</v>
      </c>
      <c r="L1226" s="1" t="s">
        <v>1720</v>
      </c>
      <c r="M1226" s="1" t="s">
        <v>1762</v>
      </c>
      <c r="N1226" t="s">
        <v>2049</v>
      </c>
      <c r="O1226" t="s">
        <v>2166</v>
      </c>
      <c r="P1226" t="s">
        <v>3180</v>
      </c>
      <c r="Q1226">
        <v>687.44</v>
      </c>
      <c r="R1226" s="1" t="s">
        <v>1842</v>
      </c>
      <c r="S1226">
        <v>1279.83</v>
      </c>
      <c r="T1226">
        <v>879806</v>
      </c>
    </row>
    <row r="1227" spans="1:20" hidden="1" x14ac:dyDescent="0.4">
      <c r="A1227" s="1" t="s">
        <v>472</v>
      </c>
      <c r="B1227" s="1" t="s">
        <v>1454</v>
      </c>
      <c r="C1227" s="1" t="s">
        <v>1845</v>
      </c>
      <c r="D1227" s="1" t="s">
        <v>1462</v>
      </c>
      <c r="E1227">
        <v>20251201</v>
      </c>
      <c r="F1227" s="1" t="s">
        <v>1474</v>
      </c>
      <c r="G1227">
        <v>4</v>
      </c>
      <c r="H1227" s="1" t="s">
        <v>1501</v>
      </c>
      <c r="I1227" t="s">
        <v>1881</v>
      </c>
      <c r="J1227" s="1" t="s">
        <v>1455</v>
      </c>
      <c r="K1227" s="1" t="s">
        <v>1661</v>
      </c>
      <c r="L1227" s="1" t="s">
        <v>1720</v>
      </c>
      <c r="M1227" s="1" t="s">
        <v>1762</v>
      </c>
      <c r="N1227" t="s">
        <v>2049</v>
      </c>
      <c r="O1227" t="s">
        <v>2166</v>
      </c>
      <c r="P1227" t="s">
        <v>3181</v>
      </c>
      <c r="Q1227">
        <v>190.32</v>
      </c>
      <c r="R1227" s="1" t="s">
        <v>1842</v>
      </c>
      <c r="S1227">
        <v>1279.83</v>
      </c>
      <c r="T1227">
        <v>243577</v>
      </c>
    </row>
    <row r="1228" spans="1:20" hidden="1" x14ac:dyDescent="0.4">
      <c r="A1228" s="1" t="s">
        <v>472</v>
      </c>
      <c r="B1228" s="1" t="s">
        <v>1455</v>
      </c>
      <c r="C1228" s="1" t="s">
        <v>1845</v>
      </c>
      <c r="D1228" s="1" t="s">
        <v>1462</v>
      </c>
      <c r="E1228">
        <v>20251201</v>
      </c>
      <c r="F1228" s="1" t="s">
        <v>1474</v>
      </c>
      <c r="G1228">
        <v>4</v>
      </c>
      <c r="H1228" s="1" t="s">
        <v>1501</v>
      </c>
      <c r="I1228" t="s">
        <v>1881</v>
      </c>
      <c r="J1228" s="1" t="s">
        <v>1455</v>
      </c>
      <c r="K1228" s="1" t="s">
        <v>1661</v>
      </c>
      <c r="L1228" s="1" t="s">
        <v>1720</v>
      </c>
      <c r="M1228" s="1" t="s">
        <v>1762</v>
      </c>
      <c r="N1228" t="s">
        <v>2049</v>
      </c>
      <c r="O1228" t="s">
        <v>2166</v>
      </c>
      <c r="P1228" t="s">
        <v>3182</v>
      </c>
      <c r="Q1228">
        <v>924.11</v>
      </c>
      <c r="R1228" s="1" t="s">
        <v>1842</v>
      </c>
      <c r="S1228">
        <v>1279.83</v>
      </c>
      <c r="T1228">
        <v>1182703</v>
      </c>
    </row>
    <row r="1229" spans="1:20" hidden="1" x14ac:dyDescent="0.4">
      <c r="A1229" s="1" t="s">
        <v>472</v>
      </c>
      <c r="B1229" s="1" t="s">
        <v>1456</v>
      </c>
      <c r="C1229" s="1" t="s">
        <v>1845</v>
      </c>
      <c r="D1229" s="1" t="s">
        <v>1462</v>
      </c>
      <c r="E1229">
        <v>20251201</v>
      </c>
      <c r="F1229" s="1" t="s">
        <v>1474</v>
      </c>
      <c r="G1229">
        <v>4</v>
      </c>
      <c r="H1229" s="1" t="s">
        <v>1501</v>
      </c>
      <c r="I1229" t="s">
        <v>1881</v>
      </c>
      <c r="J1229" s="1" t="s">
        <v>1455</v>
      </c>
      <c r="K1229" s="1" t="s">
        <v>1661</v>
      </c>
      <c r="L1229" s="1" t="s">
        <v>1720</v>
      </c>
      <c r="M1229" s="1" t="s">
        <v>1762</v>
      </c>
      <c r="N1229" t="s">
        <v>2049</v>
      </c>
      <c r="O1229" t="s">
        <v>2166</v>
      </c>
      <c r="P1229" t="s">
        <v>3183</v>
      </c>
      <c r="Q1229">
        <v>1058.8900000000001</v>
      </c>
      <c r="R1229" s="1" t="s">
        <v>1842</v>
      </c>
      <c r="S1229">
        <v>1279.83</v>
      </c>
      <c r="T1229">
        <v>1355199</v>
      </c>
    </row>
    <row r="1230" spans="1:20" hidden="1" x14ac:dyDescent="0.4">
      <c r="A1230" s="1" t="s">
        <v>472</v>
      </c>
      <c r="B1230" s="1" t="s">
        <v>1457</v>
      </c>
      <c r="C1230" s="1" t="s">
        <v>1845</v>
      </c>
      <c r="D1230" s="1" t="s">
        <v>1462</v>
      </c>
      <c r="E1230">
        <v>20251201</v>
      </c>
      <c r="F1230" s="1" t="s">
        <v>1474</v>
      </c>
      <c r="G1230">
        <v>4</v>
      </c>
      <c r="H1230" s="1" t="s">
        <v>1501</v>
      </c>
      <c r="I1230" t="s">
        <v>1881</v>
      </c>
      <c r="J1230" s="1" t="s">
        <v>1455</v>
      </c>
      <c r="K1230" s="1" t="s">
        <v>1662</v>
      </c>
      <c r="L1230" s="1" t="s">
        <v>1720</v>
      </c>
      <c r="M1230" s="1" t="s">
        <v>1762</v>
      </c>
      <c r="N1230" t="s">
        <v>2050</v>
      </c>
      <c r="O1230" t="s">
        <v>2166</v>
      </c>
      <c r="P1230" t="s">
        <v>3172</v>
      </c>
      <c r="Q1230">
        <v>555.33000000000004</v>
      </c>
      <c r="R1230" s="1" t="s">
        <v>1842</v>
      </c>
      <c r="S1230">
        <v>1030.45</v>
      </c>
      <c r="T1230">
        <v>572239</v>
      </c>
    </row>
    <row r="1231" spans="1:20" hidden="1" x14ac:dyDescent="0.4">
      <c r="A1231" s="1" t="s">
        <v>472</v>
      </c>
      <c r="B1231" s="1" t="s">
        <v>1458</v>
      </c>
      <c r="C1231" s="1" t="s">
        <v>1845</v>
      </c>
      <c r="D1231" s="1" t="s">
        <v>1462</v>
      </c>
      <c r="E1231">
        <v>20251201</v>
      </c>
      <c r="F1231" s="1" t="s">
        <v>1474</v>
      </c>
      <c r="G1231">
        <v>4</v>
      </c>
      <c r="H1231" s="1" t="s">
        <v>1501</v>
      </c>
      <c r="I1231" t="s">
        <v>1881</v>
      </c>
      <c r="J1231" s="1" t="s">
        <v>1455</v>
      </c>
      <c r="K1231" s="1" t="s">
        <v>1662</v>
      </c>
      <c r="L1231" s="1" t="s">
        <v>1720</v>
      </c>
      <c r="M1231" s="1" t="s">
        <v>1762</v>
      </c>
      <c r="N1231" t="s">
        <v>2050</v>
      </c>
      <c r="O1231" t="s">
        <v>2166</v>
      </c>
      <c r="P1231" t="s">
        <v>3172</v>
      </c>
      <c r="Q1231">
        <v>1252.6300000000001</v>
      </c>
      <c r="R1231" s="1" t="s">
        <v>1842</v>
      </c>
      <c r="S1231">
        <v>1030.45</v>
      </c>
      <c r="T1231">
        <v>1290772</v>
      </c>
    </row>
    <row r="1232" spans="1:20" hidden="1" x14ac:dyDescent="0.4">
      <c r="A1232" s="1" t="s">
        <v>472</v>
      </c>
      <c r="B1232" s="1" t="s">
        <v>1459</v>
      </c>
      <c r="C1232" s="1" t="s">
        <v>1845</v>
      </c>
      <c r="D1232" s="1" t="s">
        <v>1462</v>
      </c>
      <c r="E1232">
        <v>20251201</v>
      </c>
      <c r="F1232" s="1" t="s">
        <v>1474</v>
      </c>
      <c r="G1232">
        <v>4</v>
      </c>
      <c r="H1232" s="1" t="s">
        <v>1501</v>
      </c>
      <c r="I1232" t="s">
        <v>1881</v>
      </c>
      <c r="J1232" s="1" t="s">
        <v>1455</v>
      </c>
      <c r="K1232" s="1" t="s">
        <v>1663</v>
      </c>
      <c r="L1232" s="1" t="s">
        <v>1720</v>
      </c>
      <c r="M1232" s="1" t="s">
        <v>1762</v>
      </c>
      <c r="N1232" t="s">
        <v>2051</v>
      </c>
      <c r="O1232" t="s">
        <v>2166</v>
      </c>
      <c r="P1232" t="s">
        <v>3180</v>
      </c>
      <c r="Q1232">
        <v>427.97</v>
      </c>
      <c r="R1232" s="1" t="s">
        <v>1839</v>
      </c>
      <c r="S1232">
        <v>1372.37</v>
      </c>
      <c r="T1232">
        <v>587333</v>
      </c>
    </row>
    <row r="1233" spans="1:20" hidden="1" x14ac:dyDescent="0.4">
      <c r="A1233" s="1" t="s">
        <v>472</v>
      </c>
      <c r="B1233" s="1" t="s">
        <v>1460</v>
      </c>
      <c r="C1233" s="1" t="s">
        <v>1845</v>
      </c>
      <c r="D1233" s="1" t="s">
        <v>1462</v>
      </c>
      <c r="E1233">
        <v>20251201</v>
      </c>
      <c r="F1233" s="1" t="s">
        <v>1474</v>
      </c>
      <c r="G1233">
        <v>4</v>
      </c>
      <c r="H1233" s="1" t="s">
        <v>1501</v>
      </c>
      <c r="I1233" t="s">
        <v>1881</v>
      </c>
      <c r="J1233" s="1" t="s">
        <v>1455</v>
      </c>
      <c r="K1233" s="1" t="s">
        <v>1663</v>
      </c>
      <c r="L1233" s="1" t="s">
        <v>1720</v>
      </c>
      <c r="M1233" s="1" t="s">
        <v>1762</v>
      </c>
      <c r="N1233" t="s">
        <v>2051</v>
      </c>
      <c r="O1233" t="s">
        <v>2166</v>
      </c>
      <c r="P1233" t="s">
        <v>3181</v>
      </c>
      <c r="Q1233">
        <v>95.35</v>
      </c>
      <c r="R1233" s="1" t="s">
        <v>1839</v>
      </c>
      <c r="S1233">
        <v>1372.37</v>
      </c>
      <c r="T1233">
        <v>130855</v>
      </c>
    </row>
    <row r="1234" spans="1:20" hidden="1" x14ac:dyDescent="0.4">
      <c r="A1234" s="1" t="s">
        <v>472</v>
      </c>
      <c r="B1234" s="1" t="s">
        <v>1461</v>
      </c>
      <c r="C1234" s="1" t="s">
        <v>1845</v>
      </c>
      <c r="D1234" s="1" t="s">
        <v>1462</v>
      </c>
      <c r="E1234">
        <v>20251201</v>
      </c>
      <c r="F1234" s="1" t="s">
        <v>1474</v>
      </c>
      <c r="G1234">
        <v>4</v>
      </c>
      <c r="H1234" s="1" t="s">
        <v>1501</v>
      </c>
      <c r="I1234" t="s">
        <v>1881</v>
      </c>
      <c r="J1234" s="1" t="s">
        <v>1455</v>
      </c>
      <c r="K1234" s="1" t="s">
        <v>1663</v>
      </c>
      <c r="L1234" s="1" t="s">
        <v>1720</v>
      </c>
      <c r="M1234" s="1" t="s">
        <v>1762</v>
      </c>
      <c r="N1234" t="s">
        <v>2051</v>
      </c>
      <c r="O1234" t="s">
        <v>2166</v>
      </c>
      <c r="P1234" t="s">
        <v>3182</v>
      </c>
      <c r="Q1234">
        <v>559.13</v>
      </c>
      <c r="R1234" s="1" t="s">
        <v>1839</v>
      </c>
      <c r="S1234">
        <v>1372.36</v>
      </c>
      <c r="T1234">
        <v>767327</v>
      </c>
    </row>
    <row r="1235" spans="1:20" hidden="1" x14ac:dyDescent="0.4">
      <c r="A1235" s="1" t="s">
        <v>472</v>
      </c>
      <c r="B1235" s="1" t="s">
        <v>1462</v>
      </c>
      <c r="C1235" s="1" t="s">
        <v>1845</v>
      </c>
      <c r="D1235" s="1" t="s">
        <v>1462</v>
      </c>
      <c r="E1235">
        <v>20251201</v>
      </c>
      <c r="F1235" s="1" t="s">
        <v>1474</v>
      </c>
      <c r="G1235">
        <v>4</v>
      </c>
      <c r="H1235" s="1" t="s">
        <v>1501</v>
      </c>
      <c r="I1235" t="s">
        <v>1881</v>
      </c>
      <c r="J1235" s="1" t="s">
        <v>1455</v>
      </c>
      <c r="K1235" s="1" t="s">
        <v>1663</v>
      </c>
      <c r="L1235" s="1" t="s">
        <v>1720</v>
      </c>
      <c r="M1235" s="1" t="s">
        <v>1762</v>
      </c>
      <c r="N1235" t="s">
        <v>2051</v>
      </c>
      <c r="O1235" t="s">
        <v>2166</v>
      </c>
      <c r="P1235" t="s">
        <v>3183</v>
      </c>
      <c r="Q1235">
        <v>524.02</v>
      </c>
      <c r="R1235" s="1" t="s">
        <v>1839</v>
      </c>
      <c r="S1235">
        <v>1372.36</v>
      </c>
      <c r="T1235">
        <v>719144</v>
      </c>
    </row>
    <row r="1236" spans="1:20" hidden="1" x14ac:dyDescent="0.4">
      <c r="A1236" s="1" t="s">
        <v>472</v>
      </c>
      <c r="B1236" s="1" t="s">
        <v>1463</v>
      </c>
      <c r="C1236" s="1" t="s">
        <v>1845</v>
      </c>
      <c r="D1236" s="1" t="s">
        <v>1462</v>
      </c>
      <c r="E1236">
        <v>20251201</v>
      </c>
      <c r="F1236" s="1" t="s">
        <v>1474</v>
      </c>
      <c r="G1236">
        <v>4</v>
      </c>
      <c r="H1236" s="1" t="s">
        <v>1501</v>
      </c>
      <c r="I1236" t="s">
        <v>1881</v>
      </c>
      <c r="J1236" s="1" t="s">
        <v>1455</v>
      </c>
      <c r="K1236" s="1" t="s">
        <v>1664</v>
      </c>
      <c r="L1236" s="1" t="s">
        <v>1720</v>
      </c>
      <c r="M1236" s="1" t="s">
        <v>1762</v>
      </c>
      <c r="N1236" t="s">
        <v>2052</v>
      </c>
      <c r="O1236" t="s">
        <v>2166</v>
      </c>
      <c r="P1236" t="s">
        <v>3172</v>
      </c>
      <c r="Q1236">
        <v>340.56</v>
      </c>
      <c r="R1236" s="1" t="s">
        <v>1842</v>
      </c>
      <c r="S1236">
        <v>721.48</v>
      </c>
      <c r="T1236">
        <v>245707</v>
      </c>
    </row>
    <row r="1237" spans="1:20" hidden="1" x14ac:dyDescent="0.4">
      <c r="A1237" s="1" t="s">
        <v>472</v>
      </c>
      <c r="B1237" s="1" t="s">
        <v>1464</v>
      </c>
      <c r="C1237" s="1" t="s">
        <v>1845</v>
      </c>
      <c r="D1237" s="1" t="s">
        <v>1462</v>
      </c>
      <c r="E1237">
        <v>20251201</v>
      </c>
      <c r="F1237" s="1" t="s">
        <v>1474</v>
      </c>
      <c r="G1237">
        <v>4</v>
      </c>
      <c r="H1237" s="1" t="s">
        <v>1501</v>
      </c>
      <c r="I1237" t="s">
        <v>1881</v>
      </c>
      <c r="J1237" s="1" t="s">
        <v>1455</v>
      </c>
      <c r="K1237" s="1" t="s">
        <v>1665</v>
      </c>
      <c r="L1237" s="1" t="s">
        <v>1720</v>
      </c>
      <c r="M1237" s="1" t="s">
        <v>1762</v>
      </c>
      <c r="N1237" t="s">
        <v>2053</v>
      </c>
      <c r="O1237" t="s">
        <v>2166</v>
      </c>
      <c r="P1237" t="s">
        <v>3172</v>
      </c>
      <c r="Q1237">
        <v>962.22</v>
      </c>
      <c r="R1237" s="1" t="s">
        <v>1842</v>
      </c>
      <c r="S1237">
        <v>1204.55</v>
      </c>
      <c r="T1237">
        <v>1159042</v>
      </c>
    </row>
    <row r="1238" spans="1:20" hidden="1" x14ac:dyDescent="0.4">
      <c r="A1238" s="1" t="s">
        <v>472</v>
      </c>
      <c r="B1238" s="1" t="s">
        <v>1465</v>
      </c>
      <c r="C1238" s="1" t="s">
        <v>1845</v>
      </c>
      <c r="D1238" s="1" t="s">
        <v>1462</v>
      </c>
      <c r="E1238">
        <v>20251201</v>
      </c>
      <c r="F1238" s="1" t="s">
        <v>1474</v>
      </c>
      <c r="G1238">
        <v>4</v>
      </c>
      <c r="H1238" s="1" t="s">
        <v>1501</v>
      </c>
      <c r="I1238" t="s">
        <v>1881</v>
      </c>
      <c r="J1238" s="1" t="s">
        <v>1455</v>
      </c>
      <c r="K1238" s="1" t="s">
        <v>1665</v>
      </c>
      <c r="L1238" s="1" t="s">
        <v>1720</v>
      </c>
      <c r="M1238" s="1" t="s">
        <v>1762</v>
      </c>
      <c r="N1238" t="s">
        <v>2053</v>
      </c>
      <c r="O1238" t="s">
        <v>2166</v>
      </c>
      <c r="P1238" t="s">
        <v>3172</v>
      </c>
      <c r="Q1238">
        <v>656.48</v>
      </c>
      <c r="R1238" s="1" t="s">
        <v>1842</v>
      </c>
      <c r="S1238">
        <v>1204.55</v>
      </c>
      <c r="T1238">
        <v>790762</v>
      </c>
    </row>
    <row r="1239" spans="1:20" hidden="1" x14ac:dyDescent="0.4">
      <c r="A1239" s="1" t="s">
        <v>472</v>
      </c>
      <c r="B1239" s="1" t="s">
        <v>1466</v>
      </c>
      <c r="C1239" s="1" t="s">
        <v>1845</v>
      </c>
      <c r="D1239" s="1" t="s">
        <v>1462</v>
      </c>
      <c r="E1239">
        <v>20251201</v>
      </c>
      <c r="F1239" s="1" t="s">
        <v>1474</v>
      </c>
      <c r="G1239">
        <v>4</v>
      </c>
      <c r="H1239" s="1" t="s">
        <v>1501</v>
      </c>
      <c r="I1239" t="s">
        <v>1881</v>
      </c>
      <c r="J1239" s="1" t="s">
        <v>1455</v>
      </c>
      <c r="K1239" s="1" t="s">
        <v>1665</v>
      </c>
      <c r="L1239" s="1" t="s">
        <v>1720</v>
      </c>
      <c r="M1239" s="1" t="s">
        <v>1762</v>
      </c>
      <c r="N1239" t="s">
        <v>2053</v>
      </c>
      <c r="O1239" t="s">
        <v>2166</v>
      </c>
      <c r="P1239" t="s">
        <v>3172</v>
      </c>
      <c r="Q1239">
        <v>718.88</v>
      </c>
      <c r="R1239" s="1" t="s">
        <v>1839</v>
      </c>
      <c r="S1239">
        <v>1204.55</v>
      </c>
      <c r="T1239">
        <v>865926</v>
      </c>
    </row>
    <row r="1240" spans="1:20" hidden="1" x14ac:dyDescent="0.4">
      <c r="A1240" s="1" t="s">
        <v>472</v>
      </c>
      <c r="B1240" s="1" t="s">
        <v>1467</v>
      </c>
      <c r="C1240" s="1" t="s">
        <v>1845</v>
      </c>
      <c r="D1240" s="1" t="s">
        <v>1462</v>
      </c>
      <c r="E1240">
        <v>20251201</v>
      </c>
      <c r="F1240" s="1" t="s">
        <v>1474</v>
      </c>
      <c r="G1240">
        <v>4</v>
      </c>
      <c r="H1240" s="1" t="s">
        <v>1501</v>
      </c>
      <c r="I1240" t="s">
        <v>1881</v>
      </c>
      <c r="J1240" s="1" t="s">
        <v>1455</v>
      </c>
      <c r="K1240" s="1" t="s">
        <v>1666</v>
      </c>
      <c r="L1240" s="1" t="s">
        <v>1720</v>
      </c>
      <c r="M1240" s="1" t="s">
        <v>1762</v>
      </c>
      <c r="N1240" t="s">
        <v>2054</v>
      </c>
      <c r="O1240" t="s">
        <v>2166</v>
      </c>
      <c r="P1240" t="s">
        <v>3172</v>
      </c>
      <c r="Q1240">
        <v>1367.28</v>
      </c>
      <c r="R1240" s="1" t="s">
        <v>1842</v>
      </c>
      <c r="S1240">
        <v>1014.76</v>
      </c>
      <c r="T1240">
        <v>1387461</v>
      </c>
    </row>
    <row r="1241" spans="1:20" hidden="1" x14ac:dyDescent="0.4">
      <c r="A1241" s="1" t="s">
        <v>473</v>
      </c>
      <c r="B1241" s="1" t="s">
        <v>1453</v>
      </c>
      <c r="C1241" s="1" t="s">
        <v>1845</v>
      </c>
      <c r="D1241" s="1" t="s">
        <v>1850</v>
      </c>
      <c r="E1241">
        <v>20251201</v>
      </c>
      <c r="F1241" s="1" t="s">
        <v>1474</v>
      </c>
      <c r="G1241">
        <v>4</v>
      </c>
      <c r="H1241" s="1" t="s">
        <v>1501</v>
      </c>
      <c r="I1241" t="s">
        <v>1881</v>
      </c>
      <c r="J1241" s="1" t="s">
        <v>1455</v>
      </c>
      <c r="K1241" s="1" t="s">
        <v>1667</v>
      </c>
      <c r="L1241" s="1" t="s">
        <v>1720</v>
      </c>
      <c r="M1241" s="1" t="s">
        <v>1762</v>
      </c>
      <c r="N1241" t="s">
        <v>2055</v>
      </c>
      <c r="O1241" t="s">
        <v>2166</v>
      </c>
      <c r="P1241" t="s">
        <v>3172</v>
      </c>
      <c r="Q1241">
        <v>-727.71</v>
      </c>
      <c r="R1241" s="1" t="s">
        <v>1839</v>
      </c>
      <c r="S1241">
        <v>821.5</v>
      </c>
      <c r="T1241">
        <v>-597813</v>
      </c>
    </row>
    <row r="1242" spans="1:20" hidden="1" x14ac:dyDescent="0.4">
      <c r="A1242" s="1" t="s">
        <v>473</v>
      </c>
      <c r="B1242" s="1" t="s">
        <v>1454</v>
      </c>
      <c r="C1242" s="1" t="s">
        <v>1845</v>
      </c>
      <c r="D1242" s="1" t="s">
        <v>1850</v>
      </c>
      <c r="E1242">
        <v>20251201</v>
      </c>
      <c r="F1242" s="1" t="s">
        <v>1474</v>
      </c>
      <c r="G1242">
        <v>4</v>
      </c>
      <c r="H1242" s="1" t="s">
        <v>1501</v>
      </c>
      <c r="I1242" t="s">
        <v>1881</v>
      </c>
      <c r="J1242" s="1" t="s">
        <v>1455</v>
      </c>
      <c r="K1242" s="1" t="s">
        <v>1667</v>
      </c>
      <c r="L1242" s="1" t="s">
        <v>1720</v>
      </c>
      <c r="M1242" s="1" t="s">
        <v>1762</v>
      </c>
      <c r="N1242" t="s">
        <v>2055</v>
      </c>
      <c r="O1242" t="s">
        <v>2166</v>
      </c>
      <c r="P1242" t="s">
        <v>3172</v>
      </c>
      <c r="Q1242">
        <v>-1424.85</v>
      </c>
      <c r="R1242" s="1" t="s">
        <v>1839</v>
      </c>
      <c r="S1242">
        <v>821.5</v>
      </c>
      <c r="T1242">
        <v>-1170514</v>
      </c>
    </row>
    <row r="1243" spans="1:20" hidden="1" x14ac:dyDescent="0.4">
      <c r="A1243" s="1" t="s">
        <v>473</v>
      </c>
      <c r="B1243" s="1" t="s">
        <v>1455</v>
      </c>
      <c r="C1243" s="1" t="s">
        <v>1845</v>
      </c>
      <c r="D1243" s="1" t="s">
        <v>1850</v>
      </c>
      <c r="E1243">
        <v>20251201</v>
      </c>
      <c r="F1243" s="1" t="s">
        <v>1474</v>
      </c>
      <c r="G1243">
        <v>4</v>
      </c>
      <c r="H1243" s="1" t="s">
        <v>1501</v>
      </c>
      <c r="I1243" t="s">
        <v>1881</v>
      </c>
      <c r="J1243" s="1" t="s">
        <v>1455</v>
      </c>
      <c r="K1243" s="1" t="s">
        <v>1668</v>
      </c>
      <c r="L1243" s="1" t="s">
        <v>1720</v>
      </c>
      <c r="M1243" s="1" t="s">
        <v>1762</v>
      </c>
      <c r="N1243" t="s">
        <v>2056</v>
      </c>
      <c r="O1243" t="s">
        <v>2166</v>
      </c>
      <c r="P1243" t="s">
        <v>3172</v>
      </c>
      <c r="Q1243">
        <v>-500.54</v>
      </c>
      <c r="R1243" s="1" t="s">
        <v>1839</v>
      </c>
      <c r="S1243">
        <v>697.51</v>
      </c>
      <c r="T1243">
        <v>-349131</v>
      </c>
    </row>
    <row r="1244" spans="1:20" hidden="1" x14ac:dyDescent="0.4">
      <c r="A1244" s="1" t="s">
        <v>473</v>
      </c>
      <c r="B1244" s="1" t="s">
        <v>1456</v>
      </c>
      <c r="C1244" s="1" t="s">
        <v>1845</v>
      </c>
      <c r="D1244" s="1" t="s">
        <v>1850</v>
      </c>
      <c r="E1244">
        <v>20251201</v>
      </c>
      <c r="F1244" s="1" t="s">
        <v>1474</v>
      </c>
      <c r="G1244">
        <v>4</v>
      </c>
      <c r="H1244" s="1" t="s">
        <v>1501</v>
      </c>
      <c r="I1244" t="s">
        <v>1881</v>
      </c>
      <c r="J1244" s="1" t="s">
        <v>1455</v>
      </c>
      <c r="K1244" s="1" t="s">
        <v>1665</v>
      </c>
      <c r="L1244" s="1" t="s">
        <v>1720</v>
      </c>
      <c r="M1244" s="1" t="s">
        <v>1762</v>
      </c>
      <c r="N1244" t="s">
        <v>2053</v>
      </c>
      <c r="O1244" t="s">
        <v>2166</v>
      </c>
      <c r="P1244" t="s">
        <v>3172</v>
      </c>
      <c r="Q1244">
        <v>-656.94</v>
      </c>
      <c r="R1244" s="1" t="s">
        <v>1839</v>
      </c>
      <c r="S1244">
        <v>1190.4000000000001</v>
      </c>
      <c r="T1244">
        <v>-782021</v>
      </c>
    </row>
    <row r="1245" spans="1:20" hidden="1" x14ac:dyDescent="0.4">
      <c r="A1245" s="1" t="s">
        <v>473</v>
      </c>
      <c r="B1245" s="1" t="s">
        <v>1457</v>
      </c>
      <c r="C1245" s="1" t="s">
        <v>1845</v>
      </c>
      <c r="D1245" s="1" t="s">
        <v>1850</v>
      </c>
      <c r="E1245">
        <v>20251201</v>
      </c>
      <c r="F1245" s="1" t="s">
        <v>1474</v>
      </c>
      <c r="G1245">
        <v>4</v>
      </c>
      <c r="H1245" s="1" t="s">
        <v>1501</v>
      </c>
      <c r="I1245" t="s">
        <v>1881</v>
      </c>
      <c r="J1245" s="1" t="s">
        <v>1455</v>
      </c>
      <c r="K1245" s="1" t="s">
        <v>1665</v>
      </c>
      <c r="L1245" s="1" t="s">
        <v>1720</v>
      </c>
      <c r="M1245" s="1" t="s">
        <v>1762</v>
      </c>
      <c r="N1245" t="s">
        <v>2053</v>
      </c>
      <c r="O1245" t="s">
        <v>2166</v>
      </c>
      <c r="P1245" t="s">
        <v>3172</v>
      </c>
      <c r="Q1245">
        <v>-923.59</v>
      </c>
      <c r="R1245" s="1" t="s">
        <v>1842</v>
      </c>
      <c r="S1245">
        <v>1190.4000000000001</v>
      </c>
      <c r="T1245">
        <v>-1099441</v>
      </c>
    </row>
    <row r="1246" spans="1:20" hidden="1" x14ac:dyDescent="0.4">
      <c r="A1246" s="1" t="s">
        <v>473</v>
      </c>
      <c r="B1246" s="1" t="s">
        <v>1458</v>
      </c>
      <c r="C1246" s="1" t="s">
        <v>1845</v>
      </c>
      <c r="D1246" s="1" t="s">
        <v>1850</v>
      </c>
      <c r="E1246">
        <v>20251201</v>
      </c>
      <c r="F1246" s="1" t="s">
        <v>1474</v>
      </c>
      <c r="G1246">
        <v>4</v>
      </c>
      <c r="H1246" s="1" t="s">
        <v>1501</v>
      </c>
      <c r="I1246" t="s">
        <v>1881</v>
      </c>
      <c r="J1246" s="1" t="s">
        <v>1455</v>
      </c>
      <c r="K1246" s="1" t="s">
        <v>1665</v>
      </c>
      <c r="L1246" s="1" t="s">
        <v>1720</v>
      </c>
      <c r="M1246" s="1" t="s">
        <v>1762</v>
      </c>
      <c r="N1246" t="s">
        <v>2053</v>
      </c>
      <c r="O1246" t="s">
        <v>2166</v>
      </c>
      <c r="P1246" t="s">
        <v>3172</v>
      </c>
      <c r="Q1246">
        <v>-960.26</v>
      </c>
      <c r="R1246" s="1" t="s">
        <v>1839</v>
      </c>
      <c r="S1246">
        <v>1190.4000000000001</v>
      </c>
      <c r="T1246">
        <v>-1143093</v>
      </c>
    </row>
    <row r="1247" spans="1:20" hidden="1" x14ac:dyDescent="0.4">
      <c r="A1247" s="1" t="s">
        <v>473</v>
      </c>
      <c r="B1247" s="1" t="s">
        <v>1459</v>
      </c>
      <c r="C1247" s="1" t="s">
        <v>1845</v>
      </c>
      <c r="D1247" s="1" t="s">
        <v>1850</v>
      </c>
      <c r="E1247">
        <v>20251201</v>
      </c>
      <c r="F1247" s="1" t="s">
        <v>1474</v>
      </c>
      <c r="G1247">
        <v>4</v>
      </c>
      <c r="H1247" s="1" t="s">
        <v>1501</v>
      </c>
      <c r="I1247" t="s">
        <v>1881</v>
      </c>
      <c r="J1247" s="1" t="s">
        <v>1455</v>
      </c>
      <c r="K1247" s="1" t="s">
        <v>1669</v>
      </c>
      <c r="L1247" s="1" t="s">
        <v>1720</v>
      </c>
      <c r="M1247" s="1" t="s">
        <v>1762</v>
      </c>
      <c r="N1247" t="s">
        <v>2057</v>
      </c>
      <c r="O1247" t="s">
        <v>2166</v>
      </c>
      <c r="P1247" t="s">
        <v>3172</v>
      </c>
      <c r="Q1247">
        <v>-1127.53</v>
      </c>
      <c r="R1247" s="1" t="s">
        <v>1842</v>
      </c>
      <c r="S1247">
        <v>1289.5999999999999</v>
      </c>
      <c r="T1247">
        <v>-1454062</v>
      </c>
    </row>
    <row r="1248" spans="1:20" hidden="1" x14ac:dyDescent="0.4">
      <c r="A1248" s="1" t="s">
        <v>474</v>
      </c>
      <c r="B1248" s="1" t="s">
        <v>1453</v>
      </c>
      <c r="C1248" s="1" t="s">
        <v>1845</v>
      </c>
      <c r="D1248" s="1" t="s">
        <v>1462</v>
      </c>
      <c r="E1248">
        <v>20251201</v>
      </c>
      <c r="F1248" s="1" t="s">
        <v>1474</v>
      </c>
      <c r="G1248">
        <v>4</v>
      </c>
      <c r="H1248" s="1" t="s">
        <v>1501</v>
      </c>
      <c r="I1248" t="s">
        <v>1881</v>
      </c>
      <c r="J1248" s="1" t="s">
        <v>1455</v>
      </c>
      <c r="K1248" s="1" t="s">
        <v>1667</v>
      </c>
      <c r="L1248" s="1" t="s">
        <v>1720</v>
      </c>
      <c r="M1248" s="1" t="s">
        <v>1762</v>
      </c>
      <c r="N1248" t="s">
        <v>2055</v>
      </c>
      <c r="O1248" t="s">
        <v>2166</v>
      </c>
      <c r="P1248" t="s">
        <v>3172</v>
      </c>
      <c r="Q1248">
        <v>727.71</v>
      </c>
      <c r="R1248" s="1" t="s">
        <v>1839</v>
      </c>
      <c r="S1248">
        <v>831.27</v>
      </c>
      <c r="T1248">
        <v>604923</v>
      </c>
    </row>
    <row r="1249" spans="1:20" hidden="1" x14ac:dyDescent="0.4">
      <c r="A1249" s="1" t="s">
        <v>474</v>
      </c>
      <c r="B1249" s="1" t="s">
        <v>1454</v>
      </c>
      <c r="C1249" s="1" t="s">
        <v>1845</v>
      </c>
      <c r="D1249" s="1" t="s">
        <v>1462</v>
      </c>
      <c r="E1249">
        <v>20251201</v>
      </c>
      <c r="F1249" s="1" t="s">
        <v>1474</v>
      </c>
      <c r="G1249">
        <v>4</v>
      </c>
      <c r="H1249" s="1" t="s">
        <v>1501</v>
      </c>
      <c r="I1249" t="s">
        <v>1881</v>
      </c>
      <c r="J1249" s="1" t="s">
        <v>1455</v>
      </c>
      <c r="K1249" s="1" t="s">
        <v>1667</v>
      </c>
      <c r="L1249" s="1" t="s">
        <v>1720</v>
      </c>
      <c r="M1249" s="1" t="s">
        <v>1762</v>
      </c>
      <c r="N1249" t="s">
        <v>2055</v>
      </c>
      <c r="O1249" t="s">
        <v>2166</v>
      </c>
      <c r="P1249" t="s">
        <v>3172</v>
      </c>
      <c r="Q1249">
        <v>1424.85</v>
      </c>
      <c r="R1249" s="1" t="s">
        <v>1839</v>
      </c>
      <c r="S1249">
        <v>831.28</v>
      </c>
      <c r="T1249">
        <v>1184449</v>
      </c>
    </row>
    <row r="1250" spans="1:20" hidden="1" x14ac:dyDescent="0.4">
      <c r="A1250" s="1" t="s">
        <v>474</v>
      </c>
      <c r="B1250" s="1" t="s">
        <v>1455</v>
      </c>
      <c r="C1250" s="1" t="s">
        <v>1845</v>
      </c>
      <c r="D1250" s="1" t="s">
        <v>1462</v>
      </c>
      <c r="E1250">
        <v>20251201</v>
      </c>
      <c r="F1250" s="1" t="s">
        <v>1474</v>
      </c>
      <c r="G1250">
        <v>4</v>
      </c>
      <c r="H1250" s="1" t="s">
        <v>1501</v>
      </c>
      <c r="I1250" t="s">
        <v>1881</v>
      </c>
      <c r="J1250" s="1" t="s">
        <v>1455</v>
      </c>
      <c r="K1250" s="1" t="s">
        <v>1668</v>
      </c>
      <c r="L1250" s="1" t="s">
        <v>1720</v>
      </c>
      <c r="M1250" s="1" t="s">
        <v>1762</v>
      </c>
      <c r="N1250" t="s">
        <v>2056</v>
      </c>
      <c r="O1250" t="s">
        <v>2166</v>
      </c>
      <c r="P1250" t="s">
        <v>3172</v>
      </c>
      <c r="Q1250">
        <v>500.54</v>
      </c>
      <c r="R1250" s="1" t="s">
        <v>1839</v>
      </c>
      <c r="S1250">
        <v>705.81</v>
      </c>
      <c r="T1250">
        <v>353286</v>
      </c>
    </row>
    <row r="1251" spans="1:20" hidden="1" x14ac:dyDescent="0.4">
      <c r="A1251" s="1" t="s">
        <v>474</v>
      </c>
      <c r="B1251" s="1" t="s">
        <v>1456</v>
      </c>
      <c r="C1251" s="1" t="s">
        <v>1845</v>
      </c>
      <c r="D1251" s="1" t="s">
        <v>1462</v>
      </c>
      <c r="E1251">
        <v>20251201</v>
      </c>
      <c r="F1251" s="1" t="s">
        <v>1474</v>
      </c>
      <c r="G1251">
        <v>4</v>
      </c>
      <c r="H1251" s="1" t="s">
        <v>1501</v>
      </c>
      <c r="I1251" t="s">
        <v>1881</v>
      </c>
      <c r="J1251" s="1" t="s">
        <v>1455</v>
      </c>
      <c r="K1251" s="1" t="s">
        <v>1665</v>
      </c>
      <c r="L1251" s="1" t="s">
        <v>1720</v>
      </c>
      <c r="M1251" s="1" t="s">
        <v>1762</v>
      </c>
      <c r="N1251" t="s">
        <v>2053</v>
      </c>
      <c r="O1251" t="s">
        <v>2166</v>
      </c>
      <c r="P1251" t="s">
        <v>3172</v>
      </c>
      <c r="Q1251">
        <v>656.94</v>
      </c>
      <c r="R1251" s="1" t="s">
        <v>1839</v>
      </c>
      <c r="S1251">
        <v>1204.56</v>
      </c>
      <c r="T1251">
        <v>791323</v>
      </c>
    </row>
    <row r="1252" spans="1:20" hidden="1" x14ac:dyDescent="0.4">
      <c r="A1252" s="1" t="s">
        <v>474</v>
      </c>
      <c r="B1252" s="1" t="s">
        <v>1457</v>
      </c>
      <c r="C1252" s="1" t="s">
        <v>1845</v>
      </c>
      <c r="D1252" s="1" t="s">
        <v>1462</v>
      </c>
      <c r="E1252">
        <v>20251201</v>
      </c>
      <c r="F1252" s="1" t="s">
        <v>1474</v>
      </c>
      <c r="G1252">
        <v>4</v>
      </c>
      <c r="H1252" s="1" t="s">
        <v>1501</v>
      </c>
      <c r="I1252" t="s">
        <v>1881</v>
      </c>
      <c r="J1252" s="1" t="s">
        <v>1455</v>
      </c>
      <c r="K1252" s="1" t="s">
        <v>1665</v>
      </c>
      <c r="L1252" s="1" t="s">
        <v>1720</v>
      </c>
      <c r="M1252" s="1" t="s">
        <v>1762</v>
      </c>
      <c r="N1252" t="s">
        <v>2053</v>
      </c>
      <c r="O1252" t="s">
        <v>2166</v>
      </c>
      <c r="P1252" t="s">
        <v>3172</v>
      </c>
      <c r="Q1252">
        <v>923.59</v>
      </c>
      <c r="R1252" s="1" t="s">
        <v>1842</v>
      </c>
      <c r="S1252">
        <v>1204.56</v>
      </c>
      <c r="T1252">
        <v>1112519</v>
      </c>
    </row>
    <row r="1253" spans="1:20" hidden="1" x14ac:dyDescent="0.4">
      <c r="A1253" s="1" t="s">
        <v>474</v>
      </c>
      <c r="B1253" s="1" t="s">
        <v>1458</v>
      </c>
      <c r="C1253" s="1" t="s">
        <v>1845</v>
      </c>
      <c r="D1253" s="1" t="s">
        <v>1462</v>
      </c>
      <c r="E1253">
        <v>20251201</v>
      </c>
      <c r="F1253" s="1" t="s">
        <v>1474</v>
      </c>
      <c r="G1253">
        <v>4</v>
      </c>
      <c r="H1253" s="1" t="s">
        <v>1501</v>
      </c>
      <c r="I1253" t="s">
        <v>1881</v>
      </c>
      <c r="J1253" s="1" t="s">
        <v>1455</v>
      </c>
      <c r="K1253" s="1" t="s">
        <v>1665</v>
      </c>
      <c r="L1253" s="1" t="s">
        <v>1720</v>
      </c>
      <c r="M1253" s="1" t="s">
        <v>1762</v>
      </c>
      <c r="N1253" t="s">
        <v>2053</v>
      </c>
      <c r="O1253" t="s">
        <v>2166</v>
      </c>
      <c r="P1253" t="s">
        <v>3172</v>
      </c>
      <c r="Q1253">
        <v>960.26</v>
      </c>
      <c r="R1253" s="1" t="s">
        <v>1839</v>
      </c>
      <c r="S1253">
        <v>1204.56</v>
      </c>
      <c r="T1253">
        <v>1156690</v>
      </c>
    </row>
    <row r="1254" spans="1:20" hidden="1" x14ac:dyDescent="0.4">
      <c r="A1254" s="1" t="s">
        <v>474</v>
      </c>
      <c r="B1254" s="1" t="s">
        <v>1459</v>
      </c>
      <c r="C1254" s="1" t="s">
        <v>1845</v>
      </c>
      <c r="D1254" s="1" t="s">
        <v>1462</v>
      </c>
      <c r="E1254">
        <v>20251201</v>
      </c>
      <c r="F1254" s="1" t="s">
        <v>1474</v>
      </c>
      <c r="G1254">
        <v>4</v>
      </c>
      <c r="H1254" s="1" t="s">
        <v>1501</v>
      </c>
      <c r="I1254" t="s">
        <v>1881</v>
      </c>
      <c r="J1254" s="1" t="s">
        <v>1455</v>
      </c>
      <c r="K1254" s="1" t="s">
        <v>1669</v>
      </c>
      <c r="L1254" s="1" t="s">
        <v>1720</v>
      </c>
      <c r="M1254" s="1" t="s">
        <v>1762</v>
      </c>
      <c r="N1254" t="s">
        <v>2057</v>
      </c>
      <c r="O1254" t="s">
        <v>2166</v>
      </c>
      <c r="P1254" t="s">
        <v>3172</v>
      </c>
      <c r="Q1254">
        <v>1127.53</v>
      </c>
      <c r="R1254" s="1" t="s">
        <v>1842</v>
      </c>
      <c r="S1254">
        <v>1304.93</v>
      </c>
      <c r="T1254">
        <v>1471347</v>
      </c>
    </row>
    <row r="1255" spans="1:20" hidden="1" x14ac:dyDescent="0.4">
      <c r="A1255" s="1" t="s">
        <v>475</v>
      </c>
      <c r="B1255" s="1" t="s">
        <v>1453</v>
      </c>
      <c r="C1255" s="1" t="s">
        <v>1845</v>
      </c>
      <c r="D1255" s="1" t="s">
        <v>1850</v>
      </c>
      <c r="E1255">
        <v>20251201</v>
      </c>
      <c r="F1255" s="1" t="s">
        <v>1474</v>
      </c>
      <c r="G1255">
        <v>4</v>
      </c>
      <c r="H1255" s="1" t="s">
        <v>1505</v>
      </c>
      <c r="I1255" t="s">
        <v>1885</v>
      </c>
      <c r="J1255" s="1" t="s">
        <v>1455</v>
      </c>
      <c r="K1255" s="1" t="s">
        <v>1670</v>
      </c>
      <c r="L1255" s="1" t="s">
        <v>1720</v>
      </c>
      <c r="M1255" s="1" t="s">
        <v>1762</v>
      </c>
      <c r="N1255" t="s">
        <v>2058</v>
      </c>
      <c r="O1255" t="s">
        <v>2166</v>
      </c>
      <c r="P1255" t="s">
        <v>3172</v>
      </c>
      <c r="Q1255">
        <v>-516.53</v>
      </c>
      <c r="R1255" s="1" t="s">
        <v>1839</v>
      </c>
      <c r="S1255">
        <v>728.5</v>
      </c>
      <c r="T1255">
        <v>-376292</v>
      </c>
    </row>
    <row r="1256" spans="1:20" hidden="1" x14ac:dyDescent="0.4">
      <c r="A1256" s="1" t="s">
        <v>475</v>
      </c>
      <c r="B1256" s="1" t="s">
        <v>1454</v>
      </c>
      <c r="C1256" s="1" t="s">
        <v>1845</v>
      </c>
      <c r="D1256" s="1" t="s">
        <v>1850</v>
      </c>
      <c r="E1256">
        <v>20251201</v>
      </c>
      <c r="F1256" s="1" t="s">
        <v>1474</v>
      </c>
      <c r="G1256">
        <v>4</v>
      </c>
      <c r="H1256" s="1" t="s">
        <v>1505</v>
      </c>
      <c r="I1256" t="s">
        <v>1885</v>
      </c>
      <c r="J1256" s="1" t="s">
        <v>1455</v>
      </c>
      <c r="K1256" s="1" t="s">
        <v>1670</v>
      </c>
      <c r="L1256" s="1" t="s">
        <v>1720</v>
      </c>
      <c r="M1256" s="1" t="s">
        <v>1762</v>
      </c>
      <c r="N1256" t="s">
        <v>2058</v>
      </c>
      <c r="O1256" t="s">
        <v>2166</v>
      </c>
      <c r="P1256" t="s">
        <v>3172</v>
      </c>
      <c r="Q1256">
        <v>-526.61</v>
      </c>
      <c r="R1256" s="1" t="s">
        <v>1839</v>
      </c>
      <c r="S1256">
        <v>728.5</v>
      </c>
      <c r="T1256">
        <v>-383635</v>
      </c>
    </row>
    <row r="1257" spans="1:20" hidden="1" x14ac:dyDescent="0.4">
      <c r="A1257" s="1" t="s">
        <v>475</v>
      </c>
      <c r="B1257" s="1" t="s">
        <v>1455</v>
      </c>
      <c r="C1257" s="1" t="s">
        <v>1845</v>
      </c>
      <c r="D1257" s="1" t="s">
        <v>1850</v>
      </c>
      <c r="E1257">
        <v>20251201</v>
      </c>
      <c r="F1257" s="1" t="s">
        <v>1474</v>
      </c>
      <c r="G1257">
        <v>4</v>
      </c>
      <c r="H1257" s="1" t="s">
        <v>1505</v>
      </c>
      <c r="I1257" t="s">
        <v>1885</v>
      </c>
      <c r="J1257" s="1" t="s">
        <v>1455</v>
      </c>
      <c r="K1257" s="1" t="s">
        <v>1670</v>
      </c>
      <c r="L1257" s="1" t="s">
        <v>1720</v>
      </c>
      <c r="M1257" s="1" t="s">
        <v>1762</v>
      </c>
      <c r="N1257" t="s">
        <v>2058</v>
      </c>
      <c r="O1257" t="s">
        <v>2166</v>
      </c>
      <c r="P1257" t="s">
        <v>3172</v>
      </c>
      <c r="Q1257">
        <v>-557.76</v>
      </c>
      <c r="R1257" s="1" t="s">
        <v>1839</v>
      </c>
      <c r="S1257">
        <v>728.5</v>
      </c>
      <c r="T1257">
        <v>-406328</v>
      </c>
    </row>
    <row r="1258" spans="1:20" hidden="1" x14ac:dyDescent="0.4">
      <c r="A1258" s="1" t="s">
        <v>475</v>
      </c>
      <c r="B1258" s="1" t="s">
        <v>1456</v>
      </c>
      <c r="C1258" s="1" t="s">
        <v>1845</v>
      </c>
      <c r="D1258" s="1" t="s">
        <v>1850</v>
      </c>
      <c r="E1258">
        <v>20251201</v>
      </c>
      <c r="F1258" s="1" t="s">
        <v>1474</v>
      </c>
      <c r="G1258">
        <v>4</v>
      </c>
      <c r="H1258" s="1" t="s">
        <v>1505</v>
      </c>
      <c r="I1258" t="s">
        <v>1885</v>
      </c>
      <c r="J1258" s="1" t="s">
        <v>1455</v>
      </c>
      <c r="K1258" s="1" t="s">
        <v>1670</v>
      </c>
      <c r="L1258" s="1" t="s">
        <v>1720</v>
      </c>
      <c r="M1258" s="1" t="s">
        <v>1762</v>
      </c>
      <c r="N1258" t="s">
        <v>2058</v>
      </c>
      <c r="O1258" t="s">
        <v>2166</v>
      </c>
      <c r="P1258" t="s">
        <v>3172</v>
      </c>
      <c r="Q1258">
        <v>-1792.08</v>
      </c>
      <c r="R1258" s="1" t="s">
        <v>1839</v>
      </c>
      <c r="S1258">
        <v>728.5</v>
      </c>
      <c r="T1258">
        <v>-1305530</v>
      </c>
    </row>
    <row r="1259" spans="1:20" hidden="1" x14ac:dyDescent="0.4">
      <c r="A1259" s="1" t="s">
        <v>476</v>
      </c>
      <c r="B1259" s="1" t="s">
        <v>1453</v>
      </c>
      <c r="C1259" s="1" t="s">
        <v>1845</v>
      </c>
      <c r="D1259" s="1" t="s">
        <v>1462</v>
      </c>
      <c r="E1259">
        <v>20251201</v>
      </c>
      <c r="F1259" s="1" t="s">
        <v>1474</v>
      </c>
      <c r="G1259">
        <v>4</v>
      </c>
      <c r="H1259" s="1" t="s">
        <v>1505</v>
      </c>
      <c r="I1259" t="s">
        <v>1885</v>
      </c>
      <c r="J1259" s="1" t="s">
        <v>1455</v>
      </c>
      <c r="K1259" s="1" t="s">
        <v>1670</v>
      </c>
      <c r="L1259" s="1" t="s">
        <v>1720</v>
      </c>
      <c r="M1259" s="1" t="s">
        <v>1762</v>
      </c>
      <c r="N1259" t="s">
        <v>2058</v>
      </c>
      <c r="O1259" t="s">
        <v>2166</v>
      </c>
      <c r="P1259" t="s">
        <v>3172</v>
      </c>
      <c r="Q1259">
        <v>516.53</v>
      </c>
      <c r="R1259" s="1" t="s">
        <v>1839</v>
      </c>
      <c r="S1259">
        <v>737.14</v>
      </c>
      <c r="T1259">
        <v>380754</v>
      </c>
    </row>
    <row r="1260" spans="1:20" hidden="1" x14ac:dyDescent="0.4">
      <c r="A1260" s="1" t="s">
        <v>476</v>
      </c>
      <c r="B1260" s="1" t="s">
        <v>1454</v>
      </c>
      <c r="C1260" s="1" t="s">
        <v>1845</v>
      </c>
      <c r="D1260" s="1" t="s">
        <v>1462</v>
      </c>
      <c r="E1260">
        <v>20251201</v>
      </c>
      <c r="F1260" s="1" t="s">
        <v>1474</v>
      </c>
      <c r="G1260">
        <v>4</v>
      </c>
      <c r="H1260" s="1" t="s">
        <v>1505</v>
      </c>
      <c r="I1260" t="s">
        <v>1885</v>
      </c>
      <c r="J1260" s="1" t="s">
        <v>1455</v>
      </c>
      <c r="K1260" s="1" t="s">
        <v>1670</v>
      </c>
      <c r="L1260" s="1" t="s">
        <v>1720</v>
      </c>
      <c r="M1260" s="1" t="s">
        <v>1762</v>
      </c>
      <c r="N1260" t="s">
        <v>2058</v>
      </c>
      <c r="O1260" t="s">
        <v>2166</v>
      </c>
      <c r="P1260" t="s">
        <v>3172</v>
      </c>
      <c r="Q1260">
        <v>526.61</v>
      </c>
      <c r="R1260" s="1" t="s">
        <v>1839</v>
      </c>
      <c r="S1260">
        <v>737.14</v>
      </c>
      <c r="T1260">
        <v>388185</v>
      </c>
    </row>
    <row r="1261" spans="1:20" hidden="1" x14ac:dyDescent="0.4">
      <c r="A1261" s="1" t="s">
        <v>476</v>
      </c>
      <c r="B1261" s="1" t="s">
        <v>1455</v>
      </c>
      <c r="C1261" s="1" t="s">
        <v>1845</v>
      </c>
      <c r="D1261" s="1" t="s">
        <v>1462</v>
      </c>
      <c r="E1261">
        <v>20251201</v>
      </c>
      <c r="F1261" s="1" t="s">
        <v>1474</v>
      </c>
      <c r="G1261">
        <v>4</v>
      </c>
      <c r="H1261" s="1" t="s">
        <v>1505</v>
      </c>
      <c r="I1261" t="s">
        <v>1885</v>
      </c>
      <c r="J1261" s="1" t="s">
        <v>1455</v>
      </c>
      <c r="K1261" s="1" t="s">
        <v>1670</v>
      </c>
      <c r="L1261" s="1" t="s">
        <v>1720</v>
      </c>
      <c r="M1261" s="1" t="s">
        <v>1762</v>
      </c>
      <c r="N1261" t="s">
        <v>2058</v>
      </c>
      <c r="O1261" t="s">
        <v>2166</v>
      </c>
      <c r="P1261" t="s">
        <v>3172</v>
      </c>
      <c r="Q1261">
        <v>557.76</v>
      </c>
      <c r="R1261" s="1" t="s">
        <v>1839</v>
      </c>
      <c r="S1261">
        <v>737.14</v>
      </c>
      <c r="T1261">
        <v>411147</v>
      </c>
    </row>
    <row r="1262" spans="1:20" hidden="1" x14ac:dyDescent="0.4">
      <c r="A1262" s="1" t="s">
        <v>476</v>
      </c>
      <c r="B1262" s="1" t="s">
        <v>1456</v>
      </c>
      <c r="C1262" s="1" t="s">
        <v>1845</v>
      </c>
      <c r="D1262" s="1" t="s">
        <v>1462</v>
      </c>
      <c r="E1262">
        <v>20251201</v>
      </c>
      <c r="F1262" s="1" t="s">
        <v>1474</v>
      </c>
      <c r="G1262">
        <v>4</v>
      </c>
      <c r="H1262" s="1" t="s">
        <v>1505</v>
      </c>
      <c r="I1262" t="s">
        <v>1885</v>
      </c>
      <c r="J1262" s="1" t="s">
        <v>1455</v>
      </c>
      <c r="K1262" s="1" t="s">
        <v>1670</v>
      </c>
      <c r="L1262" s="1" t="s">
        <v>1720</v>
      </c>
      <c r="M1262" s="1" t="s">
        <v>1762</v>
      </c>
      <c r="N1262" t="s">
        <v>2058</v>
      </c>
      <c r="O1262" t="s">
        <v>2166</v>
      </c>
      <c r="P1262" t="s">
        <v>3172</v>
      </c>
      <c r="Q1262">
        <v>1792.08</v>
      </c>
      <c r="R1262" s="1" t="s">
        <v>1839</v>
      </c>
      <c r="S1262">
        <v>737.15</v>
      </c>
      <c r="T1262">
        <v>1321031</v>
      </c>
    </row>
    <row r="1263" spans="1:20" hidden="1" x14ac:dyDescent="0.4">
      <c r="A1263" s="1" t="s">
        <v>477</v>
      </c>
      <c r="B1263" s="1" t="s">
        <v>1453</v>
      </c>
      <c r="C1263" s="1" t="s">
        <v>1845</v>
      </c>
      <c r="D1263" s="1" t="s">
        <v>1850</v>
      </c>
      <c r="E1263">
        <v>20251201</v>
      </c>
      <c r="F1263" s="1" t="s">
        <v>1474</v>
      </c>
      <c r="G1263">
        <v>4</v>
      </c>
      <c r="H1263" s="1" t="s">
        <v>1505</v>
      </c>
      <c r="I1263" t="s">
        <v>1885</v>
      </c>
      <c r="J1263" s="1" t="s">
        <v>1455</v>
      </c>
      <c r="K1263" s="1" t="s">
        <v>1670</v>
      </c>
      <c r="L1263" s="1" t="s">
        <v>1720</v>
      </c>
      <c r="M1263" s="1" t="s">
        <v>1762</v>
      </c>
      <c r="N1263" t="s">
        <v>2058</v>
      </c>
      <c r="O1263" t="s">
        <v>2166</v>
      </c>
      <c r="P1263" t="s">
        <v>3172</v>
      </c>
      <c r="Q1263">
        <v>-1072.3</v>
      </c>
      <c r="R1263" s="1" t="s">
        <v>1839</v>
      </c>
      <c r="S1263">
        <v>728.5</v>
      </c>
      <c r="T1263">
        <v>-781170</v>
      </c>
    </row>
    <row r="1264" spans="1:20" hidden="1" x14ac:dyDescent="0.4">
      <c r="A1264" s="1" t="s">
        <v>477</v>
      </c>
      <c r="B1264" s="1" t="s">
        <v>1454</v>
      </c>
      <c r="C1264" s="1" t="s">
        <v>1845</v>
      </c>
      <c r="D1264" s="1" t="s">
        <v>1850</v>
      </c>
      <c r="E1264">
        <v>20251201</v>
      </c>
      <c r="F1264" s="1" t="s">
        <v>1474</v>
      </c>
      <c r="G1264">
        <v>4</v>
      </c>
      <c r="H1264" s="1" t="s">
        <v>1505</v>
      </c>
      <c r="I1264" t="s">
        <v>1885</v>
      </c>
      <c r="J1264" s="1" t="s">
        <v>1455</v>
      </c>
      <c r="K1264" s="1" t="s">
        <v>1666</v>
      </c>
      <c r="L1264" s="1" t="s">
        <v>1720</v>
      </c>
      <c r="M1264" s="1" t="s">
        <v>1762</v>
      </c>
      <c r="N1264" t="s">
        <v>2054</v>
      </c>
      <c r="O1264" t="s">
        <v>2166</v>
      </c>
      <c r="P1264" t="s">
        <v>3172</v>
      </c>
      <c r="Q1264">
        <v>-1017.35</v>
      </c>
      <c r="R1264" s="1" t="s">
        <v>1839</v>
      </c>
      <c r="S1264">
        <v>1002.85</v>
      </c>
      <c r="T1264">
        <v>-1020249</v>
      </c>
    </row>
    <row r="1265" spans="1:20" hidden="1" x14ac:dyDescent="0.4">
      <c r="A1265" s="1" t="s">
        <v>477</v>
      </c>
      <c r="B1265" s="1" t="s">
        <v>1455</v>
      </c>
      <c r="C1265" s="1" t="s">
        <v>1845</v>
      </c>
      <c r="D1265" s="1" t="s">
        <v>1850</v>
      </c>
      <c r="E1265">
        <v>20251201</v>
      </c>
      <c r="F1265" s="1" t="s">
        <v>1474</v>
      </c>
      <c r="G1265">
        <v>4</v>
      </c>
      <c r="H1265" s="1" t="s">
        <v>1505</v>
      </c>
      <c r="I1265" t="s">
        <v>1885</v>
      </c>
      <c r="J1265" s="1" t="s">
        <v>1455</v>
      </c>
      <c r="K1265" s="1" t="s">
        <v>1666</v>
      </c>
      <c r="L1265" s="1" t="s">
        <v>1720</v>
      </c>
      <c r="M1265" s="1" t="s">
        <v>1762</v>
      </c>
      <c r="N1265" t="s">
        <v>2054</v>
      </c>
      <c r="O1265" t="s">
        <v>2166</v>
      </c>
      <c r="P1265" t="s">
        <v>3172</v>
      </c>
      <c r="Q1265">
        <v>-1057.67</v>
      </c>
      <c r="R1265" s="1" t="s">
        <v>1839</v>
      </c>
      <c r="S1265">
        <v>1002.85</v>
      </c>
      <c r="T1265">
        <v>-1060684</v>
      </c>
    </row>
    <row r="1266" spans="1:20" hidden="1" x14ac:dyDescent="0.4">
      <c r="A1266" s="1" t="s">
        <v>477</v>
      </c>
      <c r="B1266" s="1" t="s">
        <v>1456</v>
      </c>
      <c r="C1266" s="1" t="s">
        <v>1845</v>
      </c>
      <c r="D1266" s="1" t="s">
        <v>1850</v>
      </c>
      <c r="E1266">
        <v>20251201</v>
      </c>
      <c r="F1266" s="1" t="s">
        <v>1474</v>
      </c>
      <c r="G1266">
        <v>4</v>
      </c>
      <c r="H1266" s="1" t="s">
        <v>1505</v>
      </c>
      <c r="I1266" t="s">
        <v>1885</v>
      </c>
      <c r="J1266" s="1" t="s">
        <v>1455</v>
      </c>
      <c r="K1266" s="1" t="s">
        <v>1666</v>
      </c>
      <c r="L1266" s="1" t="s">
        <v>1720</v>
      </c>
      <c r="M1266" s="1" t="s">
        <v>1762</v>
      </c>
      <c r="N1266" t="s">
        <v>2054</v>
      </c>
      <c r="O1266" t="s">
        <v>2166</v>
      </c>
      <c r="P1266" t="s">
        <v>3172</v>
      </c>
      <c r="Q1266">
        <v>-561.34</v>
      </c>
      <c r="R1266" s="1" t="s">
        <v>1839</v>
      </c>
      <c r="S1266">
        <v>1002.85</v>
      </c>
      <c r="T1266">
        <v>-562939</v>
      </c>
    </row>
    <row r="1267" spans="1:20" hidden="1" x14ac:dyDescent="0.4">
      <c r="A1267" s="1" t="s">
        <v>478</v>
      </c>
      <c r="B1267" s="1" t="s">
        <v>1453</v>
      </c>
      <c r="C1267" s="1" t="s">
        <v>1845</v>
      </c>
      <c r="D1267" s="1" t="s">
        <v>1462</v>
      </c>
      <c r="E1267">
        <v>20251201</v>
      </c>
      <c r="F1267" s="1" t="s">
        <v>1474</v>
      </c>
      <c r="G1267">
        <v>4</v>
      </c>
      <c r="H1267" s="1" t="s">
        <v>1505</v>
      </c>
      <c r="I1267" t="s">
        <v>1885</v>
      </c>
      <c r="J1267" s="1" t="s">
        <v>1455</v>
      </c>
      <c r="K1267" s="1" t="s">
        <v>1670</v>
      </c>
      <c r="L1267" s="1" t="s">
        <v>1720</v>
      </c>
      <c r="M1267" s="1" t="s">
        <v>1762</v>
      </c>
      <c r="N1267" t="s">
        <v>2058</v>
      </c>
      <c r="O1267" t="s">
        <v>2166</v>
      </c>
      <c r="P1267" t="s">
        <v>3172</v>
      </c>
      <c r="Q1267">
        <v>1072.3</v>
      </c>
      <c r="R1267" s="1" t="s">
        <v>1839</v>
      </c>
      <c r="S1267">
        <v>737.15</v>
      </c>
      <c r="T1267">
        <v>790445</v>
      </c>
    </row>
    <row r="1268" spans="1:20" hidden="1" x14ac:dyDescent="0.4">
      <c r="A1268" s="1" t="s">
        <v>478</v>
      </c>
      <c r="B1268" s="1" t="s">
        <v>1454</v>
      </c>
      <c r="C1268" s="1" t="s">
        <v>1845</v>
      </c>
      <c r="D1268" s="1" t="s">
        <v>1462</v>
      </c>
      <c r="E1268">
        <v>20251201</v>
      </c>
      <c r="F1268" s="1" t="s">
        <v>1474</v>
      </c>
      <c r="G1268">
        <v>4</v>
      </c>
      <c r="H1268" s="1" t="s">
        <v>1505</v>
      </c>
      <c r="I1268" t="s">
        <v>1885</v>
      </c>
      <c r="J1268" s="1" t="s">
        <v>1455</v>
      </c>
      <c r="K1268" s="1" t="s">
        <v>1666</v>
      </c>
      <c r="L1268" s="1" t="s">
        <v>1720</v>
      </c>
      <c r="M1268" s="1" t="s">
        <v>1762</v>
      </c>
      <c r="N1268" t="s">
        <v>2054</v>
      </c>
      <c r="O1268" t="s">
        <v>2166</v>
      </c>
      <c r="P1268" t="s">
        <v>3172</v>
      </c>
      <c r="Q1268">
        <v>1017.35</v>
      </c>
      <c r="R1268" s="1" t="s">
        <v>1839</v>
      </c>
      <c r="S1268">
        <v>1014.75</v>
      </c>
      <c r="T1268">
        <v>1032355</v>
      </c>
    </row>
    <row r="1269" spans="1:20" hidden="1" x14ac:dyDescent="0.4">
      <c r="A1269" s="1" t="s">
        <v>478</v>
      </c>
      <c r="B1269" s="1" t="s">
        <v>1455</v>
      </c>
      <c r="C1269" s="1" t="s">
        <v>1845</v>
      </c>
      <c r="D1269" s="1" t="s">
        <v>1462</v>
      </c>
      <c r="E1269">
        <v>20251201</v>
      </c>
      <c r="F1269" s="1" t="s">
        <v>1474</v>
      </c>
      <c r="G1269">
        <v>4</v>
      </c>
      <c r="H1269" s="1" t="s">
        <v>1505</v>
      </c>
      <c r="I1269" t="s">
        <v>1885</v>
      </c>
      <c r="J1269" s="1" t="s">
        <v>1455</v>
      </c>
      <c r="K1269" s="1" t="s">
        <v>1666</v>
      </c>
      <c r="L1269" s="1" t="s">
        <v>1720</v>
      </c>
      <c r="M1269" s="1" t="s">
        <v>1762</v>
      </c>
      <c r="N1269" t="s">
        <v>2054</v>
      </c>
      <c r="O1269" t="s">
        <v>2166</v>
      </c>
      <c r="P1269" t="s">
        <v>3172</v>
      </c>
      <c r="Q1269">
        <v>1057.67</v>
      </c>
      <c r="R1269" s="1" t="s">
        <v>1839</v>
      </c>
      <c r="S1269">
        <v>1014.75</v>
      </c>
      <c r="T1269">
        <v>1073270</v>
      </c>
    </row>
    <row r="1270" spans="1:20" hidden="1" x14ac:dyDescent="0.4">
      <c r="A1270" s="1" t="s">
        <v>478</v>
      </c>
      <c r="B1270" s="1" t="s">
        <v>1456</v>
      </c>
      <c r="C1270" s="1" t="s">
        <v>1845</v>
      </c>
      <c r="D1270" s="1" t="s">
        <v>1462</v>
      </c>
      <c r="E1270">
        <v>20251201</v>
      </c>
      <c r="F1270" s="1" t="s">
        <v>1474</v>
      </c>
      <c r="G1270">
        <v>4</v>
      </c>
      <c r="H1270" s="1" t="s">
        <v>1505</v>
      </c>
      <c r="I1270" t="s">
        <v>1885</v>
      </c>
      <c r="J1270" s="1" t="s">
        <v>1455</v>
      </c>
      <c r="K1270" s="1" t="s">
        <v>1666</v>
      </c>
      <c r="L1270" s="1" t="s">
        <v>1720</v>
      </c>
      <c r="M1270" s="1" t="s">
        <v>1762</v>
      </c>
      <c r="N1270" t="s">
        <v>2054</v>
      </c>
      <c r="O1270" t="s">
        <v>2166</v>
      </c>
      <c r="P1270" t="s">
        <v>3172</v>
      </c>
      <c r="Q1270">
        <v>561.34</v>
      </c>
      <c r="R1270" s="1" t="s">
        <v>1839</v>
      </c>
      <c r="S1270">
        <v>1014.75</v>
      </c>
      <c r="T1270">
        <v>569619</v>
      </c>
    </row>
    <row r="1271" spans="1:20" hidden="1" x14ac:dyDescent="0.4">
      <c r="A1271" s="1" t="s">
        <v>479</v>
      </c>
      <c r="B1271" s="1" t="s">
        <v>1453</v>
      </c>
      <c r="C1271" s="1" t="s">
        <v>1845</v>
      </c>
      <c r="D1271" s="1" t="s">
        <v>1462</v>
      </c>
      <c r="E1271">
        <v>20251210</v>
      </c>
      <c r="F1271" s="1" t="s">
        <v>1470</v>
      </c>
      <c r="G1271">
        <v>1</v>
      </c>
      <c r="H1271" s="1" t="s">
        <v>1497</v>
      </c>
      <c r="I1271" t="s">
        <v>1877</v>
      </c>
      <c r="J1271" s="1" t="s">
        <v>1459</v>
      </c>
      <c r="K1271" s="1" t="s">
        <v>1645</v>
      </c>
      <c r="L1271" s="1" t="s">
        <v>1721</v>
      </c>
      <c r="M1271" s="1" t="s">
        <v>1737</v>
      </c>
      <c r="N1271" t="s">
        <v>2003</v>
      </c>
      <c r="O1271" t="s">
        <v>2167</v>
      </c>
      <c r="P1271" t="s">
        <v>3131</v>
      </c>
      <c r="Q1271">
        <v>1800</v>
      </c>
      <c r="R1271" s="1" t="s">
        <v>1840</v>
      </c>
      <c r="S1271">
        <v>305</v>
      </c>
      <c r="T1271">
        <v>549000</v>
      </c>
    </row>
    <row r="1272" spans="1:20" hidden="1" x14ac:dyDescent="0.4">
      <c r="A1272" s="1" t="s">
        <v>480</v>
      </c>
      <c r="B1272" s="1" t="s">
        <v>1453</v>
      </c>
      <c r="C1272" s="1" t="s">
        <v>1845</v>
      </c>
      <c r="D1272" s="1" t="s">
        <v>1462</v>
      </c>
      <c r="E1272">
        <v>20251210</v>
      </c>
      <c r="F1272" s="1" t="s">
        <v>1471</v>
      </c>
      <c r="G1272">
        <v>4</v>
      </c>
      <c r="H1272" s="1" t="s">
        <v>1498</v>
      </c>
      <c r="I1272" t="s">
        <v>1878</v>
      </c>
      <c r="J1272" s="1" t="s">
        <v>1460</v>
      </c>
      <c r="K1272" s="1" t="s">
        <v>1629</v>
      </c>
      <c r="L1272" s="1" t="s">
        <v>1731</v>
      </c>
      <c r="M1272" s="1" t="s">
        <v>1809</v>
      </c>
      <c r="N1272" t="s">
        <v>2038</v>
      </c>
      <c r="O1272" t="s">
        <v>2178</v>
      </c>
      <c r="P1272" t="s">
        <v>3184</v>
      </c>
      <c r="Q1272">
        <v>500</v>
      </c>
      <c r="R1272" s="1" t="s">
        <v>1463</v>
      </c>
      <c r="S1272">
        <v>527</v>
      </c>
      <c r="T1272">
        <v>263500</v>
      </c>
    </row>
    <row r="1273" spans="1:20" hidden="1" x14ac:dyDescent="0.4">
      <c r="A1273" s="1" t="s">
        <v>481</v>
      </c>
      <c r="B1273" s="1" t="s">
        <v>1453</v>
      </c>
      <c r="C1273" s="1" t="s">
        <v>1845</v>
      </c>
      <c r="D1273" s="1" t="s">
        <v>1731</v>
      </c>
      <c r="E1273">
        <v>20251211</v>
      </c>
      <c r="F1273" s="1" t="s">
        <v>1473</v>
      </c>
      <c r="G1273">
        <v>4</v>
      </c>
      <c r="H1273" s="1" t="s">
        <v>1494</v>
      </c>
      <c r="I1273" t="s">
        <v>1874</v>
      </c>
      <c r="J1273" s="1" t="s">
        <v>1453</v>
      </c>
      <c r="K1273" s="1" t="s">
        <v>1595</v>
      </c>
      <c r="L1273" s="1" t="s">
        <v>1718</v>
      </c>
      <c r="M1273" s="1" t="s">
        <v>1735</v>
      </c>
      <c r="N1273" t="s">
        <v>2059</v>
      </c>
      <c r="O1273" t="s">
        <v>2164</v>
      </c>
      <c r="P1273" t="s">
        <v>3185</v>
      </c>
      <c r="Q1273">
        <v>75</v>
      </c>
      <c r="R1273" s="1" t="s">
        <v>1839</v>
      </c>
      <c r="S1273">
        <v>1719</v>
      </c>
      <c r="T1273">
        <v>128925</v>
      </c>
    </row>
    <row r="1274" spans="1:20" hidden="1" x14ac:dyDescent="0.4">
      <c r="A1274" s="1" t="s">
        <v>481</v>
      </c>
      <c r="B1274" s="1" t="s">
        <v>1454</v>
      </c>
      <c r="C1274" s="1" t="s">
        <v>1845</v>
      </c>
      <c r="D1274" s="1" t="s">
        <v>1731</v>
      </c>
      <c r="E1274">
        <v>20251211</v>
      </c>
      <c r="F1274" s="1" t="s">
        <v>1473</v>
      </c>
      <c r="G1274">
        <v>4</v>
      </c>
      <c r="H1274" s="1" t="s">
        <v>1494</v>
      </c>
      <c r="I1274" t="s">
        <v>1874</v>
      </c>
      <c r="J1274" s="1" t="s">
        <v>1453</v>
      </c>
      <c r="K1274" s="1" t="s">
        <v>1595</v>
      </c>
      <c r="L1274" s="1" t="s">
        <v>1718</v>
      </c>
      <c r="M1274" s="1" t="s">
        <v>1735</v>
      </c>
      <c r="N1274" t="s">
        <v>2059</v>
      </c>
      <c r="O1274" t="s">
        <v>2164</v>
      </c>
      <c r="P1274" t="s">
        <v>3185</v>
      </c>
      <c r="Q1274">
        <v>75</v>
      </c>
      <c r="R1274" s="1" t="s">
        <v>1839</v>
      </c>
      <c r="S1274">
        <v>1719</v>
      </c>
      <c r="T1274">
        <v>128925</v>
      </c>
    </row>
    <row r="1275" spans="1:20" hidden="1" x14ac:dyDescent="0.4">
      <c r="A1275" s="1" t="s">
        <v>481</v>
      </c>
      <c r="B1275" s="1" t="s">
        <v>1455</v>
      </c>
      <c r="C1275" s="1" t="s">
        <v>1845</v>
      </c>
      <c r="D1275" s="1" t="s">
        <v>1731</v>
      </c>
      <c r="E1275">
        <v>20251211</v>
      </c>
      <c r="F1275" s="1" t="s">
        <v>1473</v>
      </c>
      <c r="G1275">
        <v>4</v>
      </c>
      <c r="H1275" s="1" t="s">
        <v>1494</v>
      </c>
      <c r="I1275" t="s">
        <v>1874</v>
      </c>
      <c r="J1275" s="1" t="s">
        <v>1453</v>
      </c>
      <c r="K1275" s="1" t="s">
        <v>1595</v>
      </c>
      <c r="L1275" s="1" t="s">
        <v>1718</v>
      </c>
      <c r="M1275" s="1" t="s">
        <v>1735</v>
      </c>
      <c r="N1275" t="s">
        <v>2059</v>
      </c>
      <c r="O1275" t="s">
        <v>2164</v>
      </c>
      <c r="P1275" t="s">
        <v>3185</v>
      </c>
      <c r="Q1275">
        <v>73.75</v>
      </c>
      <c r="R1275" s="1" t="s">
        <v>1839</v>
      </c>
      <c r="S1275">
        <v>1718.99</v>
      </c>
      <c r="T1275">
        <v>126776</v>
      </c>
    </row>
    <row r="1276" spans="1:20" hidden="1" x14ac:dyDescent="0.4">
      <c r="A1276" s="1" t="s">
        <v>481</v>
      </c>
      <c r="B1276" s="1" t="s">
        <v>1456</v>
      </c>
      <c r="C1276" s="1" t="s">
        <v>1845</v>
      </c>
      <c r="D1276" s="1" t="s">
        <v>1731</v>
      </c>
      <c r="E1276">
        <v>20251211</v>
      </c>
      <c r="F1276" s="1" t="s">
        <v>1473</v>
      </c>
      <c r="G1276">
        <v>4</v>
      </c>
      <c r="H1276" s="1" t="s">
        <v>1494</v>
      </c>
      <c r="I1276" t="s">
        <v>1874</v>
      </c>
      <c r="J1276" s="1" t="s">
        <v>1453</v>
      </c>
      <c r="K1276" s="1" t="s">
        <v>1595</v>
      </c>
      <c r="L1276" s="1" t="s">
        <v>1718</v>
      </c>
      <c r="M1276" s="1" t="s">
        <v>1735</v>
      </c>
      <c r="N1276" t="s">
        <v>2059</v>
      </c>
      <c r="O1276" t="s">
        <v>2164</v>
      </c>
      <c r="P1276" t="s">
        <v>3185</v>
      </c>
      <c r="Q1276">
        <v>75.5</v>
      </c>
      <c r="R1276" s="1" t="s">
        <v>1839</v>
      </c>
      <c r="S1276">
        <v>1718.99</v>
      </c>
      <c r="T1276">
        <v>129784</v>
      </c>
    </row>
    <row r="1277" spans="1:20" hidden="1" x14ac:dyDescent="0.4">
      <c r="A1277" s="1" t="s">
        <v>481</v>
      </c>
      <c r="B1277" s="1" t="s">
        <v>1457</v>
      </c>
      <c r="C1277" s="1" t="s">
        <v>1845</v>
      </c>
      <c r="D1277" s="1" t="s">
        <v>1731</v>
      </c>
      <c r="E1277">
        <v>20251211</v>
      </c>
      <c r="F1277" s="1" t="s">
        <v>1473</v>
      </c>
      <c r="G1277">
        <v>4</v>
      </c>
      <c r="H1277" s="1" t="s">
        <v>1494</v>
      </c>
      <c r="I1277" t="s">
        <v>1874</v>
      </c>
      <c r="J1277" s="1" t="s">
        <v>1453</v>
      </c>
      <c r="K1277" s="1" t="s">
        <v>1595</v>
      </c>
      <c r="L1277" s="1" t="s">
        <v>1718</v>
      </c>
      <c r="M1277" s="1" t="s">
        <v>1735</v>
      </c>
      <c r="N1277" t="s">
        <v>2059</v>
      </c>
      <c r="O1277" t="s">
        <v>2164</v>
      </c>
      <c r="P1277" t="s">
        <v>3185</v>
      </c>
      <c r="Q1277">
        <v>75</v>
      </c>
      <c r="R1277" s="1" t="s">
        <v>1839</v>
      </c>
      <c r="S1277">
        <v>1719</v>
      </c>
      <c r="T1277">
        <v>128925</v>
      </c>
    </row>
    <row r="1278" spans="1:20" hidden="1" x14ac:dyDescent="0.4">
      <c r="A1278" s="1" t="s">
        <v>481</v>
      </c>
      <c r="B1278" s="1" t="s">
        <v>1458</v>
      </c>
      <c r="C1278" s="1" t="s">
        <v>1845</v>
      </c>
      <c r="D1278" s="1" t="s">
        <v>1731</v>
      </c>
      <c r="E1278">
        <v>20251211</v>
      </c>
      <c r="F1278" s="1" t="s">
        <v>1473</v>
      </c>
      <c r="G1278">
        <v>4</v>
      </c>
      <c r="H1278" s="1" t="s">
        <v>1494</v>
      </c>
      <c r="I1278" t="s">
        <v>1874</v>
      </c>
      <c r="J1278" s="1" t="s">
        <v>1453</v>
      </c>
      <c r="K1278" s="1" t="s">
        <v>1595</v>
      </c>
      <c r="L1278" s="1" t="s">
        <v>1718</v>
      </c>
      <c r="M1278" s="1" t="s">
        <v>1735</v>
      </c>
      <c r="N1278" t="s">
        <v>2059</v>
      </c>
      <c r="O1278" t="s">
        <v>2164</v>
      </c>
      <c r="P1278" t="s">
        <v>3185</v>
      </c>
      <c r="Q1278">
        <v>76</v>
      </c>
      <c r="R1278" s="1" t="s">
        <v>1839</v>
      </c>
      <c r="S1278">
        <v>1719</v>
      </c>
      <c r="T1278">
        <v>130644</v>
      </c>
    </row>
    <row r="1279" spans="1:20" hidden="1" x14ac:dyDescent="0.4">
      <c r="A1279" s="1" t="s">
        <v>481</v>
      </c>
      <c r="B1279" s="1" t="s">
        <v>1459</v>
      </c>
      <c r="C1279" s="1" t="s">
        <v>1845</v>
      </c>
      <c r="D1279" s="1" t="s">
        <v>1731</v>
      </c>
      <c r="E1279">
        <v>20251211</v>
      </c>
      <c r="F1279" s="1" t="s">
        <v>1473</v>
      </c>
      <c r="G1279">
        <v>4</v>
      </c>
      <c r="H1279" s="1" t="s">
        <v>1494</v>
      </c>
      <c r="I1279" t="s">
        <v>1874</v>
      </c>
      <c r="J1279" s="1" t="s">
        <v>1453</v>
      </c>
      <c r="K1279" s="1" t="s">
        <v>1595</v>
      </c>
      <c r="L1279" s="1" t="s">
        <v>1718</v>
      </c>
      <c r="M1279" s="1" t="s">
        <v>1735</v>
      </c>
      <c r="N1279" t="s">
        <v>2059</v>
      </c>
      <c r="O1279" t="s">
        <v>2164</v>
      </c>
      <c r="P1279" t="s">
        <v>3185</v>
      </c>
      <c r="Q1279">
        <v>75</v>
      </c>
      <c r="R1279" s="1" t="s">
        <v>1839</v>
      </c>
      <c r="S1279">
        <v>1719</v>
      </c>
      <c r="T1279">
        <v>128925</v>
      </c>
    </row>
    <row r="1280" spans="1:20" hidden="1" x14ac:dyDescent="0.4">
      <c r="A1280" s="1" t="s">
        <v>481</v>
      </c>
      <c r="B1280" s="1" t="s">
        <v>1460</v>
      </c>
      <c r="C1280" s="1" t="s">
        <v>1845</v>
      </c>
      <c r="D1280" s="1" t="s">
        <v>1731</v>
      </c>
      <c r="E1280">
        <v>20251211</v>
      </c>
      <c r="F1280" s="1" t="s">
        <v>1473</v>
      </c>
      <c r="G1280">
        <v>4</v>
      </c>
      <c r="H1280" s="1" t="s">
        <v>1494</v>
      </c>
      <c r="I1280" t="s">
        <v>1874</v>
      </c>
      <c r="J1280" s="1" t="s">
        <v>1453</v>
      </c>
      <c r="K1280" s="1" t="s">
        <v>1595</v>
      </c>
      <c r="L1280" s="1" t="s">
        <v>1718</v>
      </c>
      <c r="M1280" s="1" t="s">
        <v>1735</v>
      </c>
      <c r="N1280" t="s">
        <v>2059</v>
      </c>
      <c r="O1280" t="s">
        <v>2164</v>
      </c>
      <c r="P1280" t="s">
        <v>3185</v>
      </c>
      <c r="Q1280">
        <v>75</v>
      </c>
      <c r="R1280" s="1" t="s">
        <v>1839</v>
      </c>
      <c r="S1280">
        <v>1719</v>
      </c>
      <c r="T1280">
        <v>128925</v>
      </c>
    </row>
    <row r="1281" spans="1:20" hidden="1" x14ac:dyDescent="0.4">
      <c r="A1281" s="1" t="s">
        <v>481</v>
      </c>
      <c r="B1281" s="1" t="s">
        <v>1461</v>
      </c>
      <c r="C1281" s="1" t="s">
        <v>1845</v>
      </c>
      <c r="D1281" s="1" t="s">
        <v>1731</v>
      </c>
      <c r="E1281">
        <v>20251211</v>
      </c>
      <c r="F1281" s="1" t="s">
        <v>1473</v>
      </c>
      <c r="G1281">
        <v>4</v>
      </c>
      <c r="H1281" s="1" t="s">
        <v>1494</v>
      </c>
      <c r="I1281" t="s">
        <v>1874</v>
      </c>
      <c r="J1281" s="1" t="s">
        <v>1453</v>
      </c>
      <c r="K1281" s="1" t="s">
        <v>1595</v>
      </c>
      <c r="L1281" s="1" t="s">
        <v>1718</v>
      </c>
      <c r="M1281" s="1" t="s">
        <v>1735</v>
      </c>
      <c r="N1281" t="s">
        <v>2059</v>
      </c>
      <c r="O1281" t="s">
        <v>2164</v>
      </c>
      <c r="P1281" t="s">
        <v>3185</v>
      </c>
      <c r="Q1281">
        <v>75</v>
      </c>
      <c r="R1281" s="1" t="s">
        <v>1839</v>
      </c>
      <c r="S1281">
        <v>1719</v>
      </c>
      <c r="T1281">
        <v>128925</v>
      </c>
    </row>
    <row r="1282" spans="1:20" hidden="1" x14ac:dyDescent="0.4">
      <c r="A1282" s="1" t="s">
        <v>481</v>
      </c>
      <c r="B1282" s="1" t="s">
        <v>1462</v>
      </c>
      <c r="C1282" s="1" t="s">
        <v>1845</v>
      </c>
      <c r="D1282" s="1" t="s">
        <v>1731</v>
      </c>
      <c r="E1282">
        <v>20251211</v>
      </c>
      <c r="F1282" s="1" t="s">
        <v>1473</v>
      </c>
      <c r="G1282">
        <v>4</v>
      </c>
      <c r="H1282" s="1" t="s">
        <v>1494</v>
      </c>
      <c r="I1282" t="s">
        <v>1874</v>
      </c>
      <c r="J1282" s="1" t="s">
        <v>1453</v>
      </c>
      <c r="K1282" s="1" t="s">
        <v>1595</v>
      </c>
      <c r="L1282" s="1" t="s">
        <v>1718</v>
      </c>
      <c r="M1282" s="1" t="s">
        <v>1735</v>
      </c>
      <c r="N1282" t="s">
        <v>2059</v>
      </c>
      <c r="O1282" t="s">
        <v>2164</v>
      </c>
      <c r="P1282" t="s">
        <v>3185</v>
      </c>
      <c r="Q1282">
        <v>75</v>
      </c>
      <c r="R1282" s="1" t="s">
        <v>1839</v>
      </c>
      <c r="S1282">
        <v>1719</v>
      </c>
      <c r="T1282">
        <v>128925</v>
      </c>
    </row>
    <row r="1283" spans="1:20" hidden="1" x14ac:dyDescent="0.4">
      <c r="A1283" s="1" t="s">
        <v>482</v>
      </c>
      <c r="B1283" s="1" t="s">
        <v>1453</v>
      </c>
      <c r="C1283" s="1" t="s">
        <v>1845</v>
      </c>
      <c r="D1283" s="1" t="s">
        <v>1731</v>
      </c>
      <c r="E1283">
        <v>20251211</v>
      </c>
      <c r="F1283" s="1" t="s">
        <v>1473</v>
      </c>
      <c r="G1283">
        <v>4</v>
      </c>
      <c r="H1283" s="1" t="s">
        <v>1494</v>
      </c>
      <c r="I1283" t="s">
        <v>1874</v>
      </c>
      <c r="J1283" s="1" t="s">
        <v>1453</v>
      </c>
      <c r="K1283" s="1" t="s">
        <v>1595</v>
      </c>
      <c r="L1283" s="1" t="s">
        <v>1718</v>
      </c>
      <c r="M1283" s="1" t="s">
        <v>1735</v>
      </c>
      <c r="N1283" t="s">
        <v>2059</v>
      </c>
      <c r="O1283" t="s">
        <v>2164</v>
      </c>
      <c r="P1283" t="s">
        <v>3185</v>
      </c>
      <c r="Q1283">
        <v>77.75</v>
      </c>
      <c r="R1283" s="1" t="s">
        <v>1839</v>
      </c>
      <c r="S1283">
        <v>1718.99</v>
      </c>
      <c r="T1283">
        <v>133652</v>
      </c>
    </row>
    <row r="1284" spans="1:20" hidden="1" x14ac:dyDescent="0.4">
      <c r="A1284" s="1" t="s">
        <v>482</v>
      </c>
      <c r="B1284" s="1" t="s">
        <v>1454</v>
      </c>
      <c r="C1284" s="1" t="s">
        <v>1845</v>
      </c>
      <c r="D1284" s="1" t="s">
        <v>1731</v>
      </c>
      <c r="E1284">
        <v>20251211</v>
      </c>
      <c r="F1284" s="1" t="s">
        <v>1473</v>
      </c>
      <c r="G1284">
        <v>4</v>
      </c>
      <c r="H1284" s="1" t="s">
        <v>1494</v>
      </c>
      <c r="I1284" t="s">
        <v>1874</v>
      </c>
      <c r="J1284" s="1" t="s">
        <v>1453</v>
      </c>
      <c r="K1284" s="1" t="s">
        <v>1595</v>
      </c>
      <c r="L1284" s="1" t="s">
        <v>1718</v>
      </c>
      <c r="M1284" s="1" t="s">
        <v>1735</v>
      </c>
      <c r="N1284" t="s">
        <v>2059</v>
      </c>
      <c r="O1284" t="s">
        <v>2164</v>
      </c>
      <c r="P1284" t="s">
        <v>3185</v>
      </c>
      <c r="Q1284">
        <v>71.5</v>
      </c>
      <c r="R1284" s="1" t="s">
        <v>1839</v>
      </c>
      <c r="S1284">
        <v>1718.99</v>
      </c>
      <c r="T1284">
        <v>122908</v>
      </c>
    </row>
    <row r="1285" spans="1:20" hidden="1" x14ac:dyDescent="0.4">
      <c r="A1285" s="1" t="s">
        <v>482</v>
      </c>
      <c r="B1285" s="1" t="s">
        <v>1455</v>
      </c>
      <c r="C1285" s="1" t="s">
        <v>1845</v>
      </c>
      <c r="D1285" s="1" t="s">
        <v>1731</v>
      </c>
      <c r="E1285">
        <v>20251211</v>
      </c>
      <c r="F1285" s="1" t="s">
        <v>1473</v>
      </c>
      <c r="G1285">
        <v>4</v>
      </c>
      <c r="H1285" s="1" t="s">
        <v>1494</v>
      </c>
      <c r="I1285" t="s">
        <v>1874</v>
      </c>
      <c r="J1285" s="1" t="s">
        <v>1453</v>
      </c>
      <c r="K1285" s="1" t="s">
        <v>1595</v>
      </c>
      <c r="L1285" s="1" t="s">
        <v>1718</v>
      </c>
      <c r="M1285" s="1" t="s">
        <v>1735</v>
      </c>
      <c r="N1285" t="s">
        <v>2059</v>
      </c>
      <c r="O1285" t="s">
        <v>2164</v>
      </c>
      <c r="P1285" t="s">
        <v>3185</v>
      </c>
      <c r="Q1285">
        <v>75</v>
      </c>
      <c r="R1285" s="1" t="s">
        <v>1839</v>
      </c>
      <c r="S1285">
        <v>1719</v>
      </c>
      <c r="T1285">
        <v>128925</v>
      </c>
    </row>
    <row r="1286" spans="1:20" hidden="1" x14ac:dyDescent="0.4">
      <c r="A1286" s="1" t="s">
        <v>482</v>
      </c>
      <c r="B1286" s="1" t="s">
        <v>1456</v>
      </c>
      <c r="C1286" s="1" t="s">
        <v>1845</v>
      </c>
      <c r="D1286" s="1" t="s">
        <v>1731</v>
      </c>
      <c r="E1286">
        <v>20251211</v>
      </c>
      <c r="F1286" s="1" t="s">
        <v>1473</v>
      </c>
      <c r="G1286">
        <v>4</v>
      </c>
      <c r="H1286" s="1" t="s">
        <v>1494</v>
      </c>
      <c r="I1286" t="s">
        <v>1874</v>
      </c>
      <c r="J1286" s="1" t="s">
        <v>1453</v>
      </c>
      <c r="K1286" s="1" t="s">
        <v>1595</v>
      </c>
      <c r="L1286" s="1" t="s">
        <v>1718</v>
      </c>
      <c r="M1286" s="1" t="s">
        <v>1735</v>
      </c>
      <c r="N1286" t="s">
        <v>2059</v>
      </c>
      <c r="O1286" t="s">
        <v>2164</v>
      </c>
      <c r="P1286" t="s">
        <v>3185</v>
      </c>
      <c r="Q1286">
        <v>75.5</v>
      </c>
      <c r="R1286" s="1" t="s">
        <v>1839</v>
      </c>
      <c r="S1286">
        <v>1718.99</v>
      </c>
      <c r="T1286">
        <v>129784</v>
      </c>
    </row>
    <row r="1287" spans="1:20" hidden="1" x14ac:dyDescent="0.4">
      <c r="A1287" s="1" t="s">
        <v>482</v>
      </c>
      <c r="B1287" s="1" t="s">
        <v>1457</v>
      </c>
      <c r="C1287" s="1" t="s">
        <v>1845</v>
      </c>
      <c r="D1287" s="1" t="s">
        <v>1731</v>
      </c>
      <c r="E1287">
        <v>20251211</v>
      </c>
      <c r="F1287" s="1" t="s">
        <v>1473</v>
      </c>
      <c r="G1287">
        <v>4</v>
      </c>
      <c r="H1287" s="1" t="s">
        <v>1494</v>
      </c>
      <c r="I1287" t="s">
        <v>1874</v>
      </c>
      <c r="J1287" s="1" t="s">
        <v>1453</v>
      </c>
      <c r="K1287" s="1" t="s">
        <v>1595</v>
      </c>
      <c r="L1287" s="1" t="s">
        <v>1718</v>
      </c>
      <c r="M1287" s="1" t="s">
        <v>1735</v>
      </c>
      <c r="N1287" t="s">
        <v>2059</v>
      </c>
      <c r="O1287" t="s">
        <v>2164</v>
      </c>
      <c r="P1287" t="s">
        <v>3185</v>
      </c>
      <c r="Q1287">
        <v>75</v>
      </c>
      <c r="R1287" s="1" t="s">
        <v>1839</v>
      </c>
      <c r="S1287">
        <v>1719</v>
      </c>
      <c r="T1287">
        <v>128925</v>
      </c>
    </row>
    <row r="1288" spans="1:20" hidden="1" x14ac:dyDescent="0.4">
      <c r="A1288" s="1" t="s">
        <v>482</v>
      </c>
      <c r="B1288" s="1" t="s">
        <v>1458</v>
      </c>
      <c r="C1288" s="1" t="s">
        <v>1845</v>
      </c>
      <c r="D1288" s="1" t="s">
        <v>1731</v>
      </c>
      <c r="E1288">
        <v>20251211</v>
      </c>
      <c r="F1288" s="1" t="s">
        <v>1473</v>
      </c>
      <c r="G1288">
        <v>4</v>
      </c>
      <c r="H1288" s="1" t="s">
        <v>1494</v>
      </c>
      <c r="I1288" t="s">
        <v>1874</v>
      </c>
      <c r="J1288" s="1" t="s">
        <v>1453</v>
      </c>
      <c r="K1288" s="1" t="s">
        <v>1595</v>
      </c>
      <c r="L1288" s="1" t="s">
        <v>1718</v>
      </c>
      <c r="M1288" s="1" t="s">
        <v>1735</v>
      </c>
      <c r="N1288" t="s">
        <v>2059</v>
      </c>
      <c r="O1288" t="s">
        <v>2164</v>
      </c>
      <c r="P1288" t="s">
        <v>3185</v>
      </c>
      <c r="Q1288">
        <v>75</v>
      </c>
      <c r="R1288" s="1" t="s">
        <v>1839</v>
      </c>
      <c r="S1288">
        <v>1719</v>
      </c>
      <c r="T1288">
        <v>128925</v>
      </c>
    </row>
    <row r="1289" spans="1:20" hidden="1" x14ac:dyDescent="0.4">
      <c r="A1289" s="1" t="s">
        <v>482</v>
      </c>
      <c r="B1289" s="1" t="s">
        <v>1459</v>
      </c>
      <c r="C1289" s="1" t="s">
        <v>1845</v>
      </c>
      <c r="D1289" s="1" t="s">
        <v>1731</v>
      </c>
      <c r="E1289">
        <v>20251211</v>
      </c>
      <c r="F1289" s="1" t="s">
        <v>1473</v>
      </c>
      <c r="G1289">
        <v>4</v>
      </c>
      <c r="H1289" s="1" t="s">
        <v>1494</v>
      </c>
      <c r="I1289" t="s">
        <v>1874</v>
      </c>
      <c r="J1289" s="1" t="s">
        <v>1453</v>
      </c>
      <c r="K1289" s="1" t="s">
        <v>1595</v>
      </c>
      <c r="L1289" s="1" t="s">
        <v>1718</v>
      </c>
      <c r="M1289" s="1" t="s">
        <v>1735</v>
      </c>
      <c r="N1289" t="s">
        <v>2059</v>
      </c>
      <c r="O1289" t="s">
        <v>2164</v>
      </c>
      <c r="P1289" t="s">
        <v>3185</v>
      </c>
      <c r="Q1289">
        <v>75</v>
      </c>
      <c r="R1289" s="1" t="s">
        <v>1839</v>
      </c>
      <c r="S1289">
        <v>1719</v>
      </c>
      <c r="T1289">
        <v>128925</v>
      </c>
    </row>
    <row r="1290" spans="1:20" hidden="1" x14ac:dyDescent="0.4">
      <c r="A1290" s="1" t="s">
        <v>482</v>
      </c>
      <c r="B1290" s="1" t="s">
        <v>1460</v>
      </c>
      <c r="C1290" s="1" t="s">
        <v>1845</v>
      </c>
      <c r="D1290" s="1" t="s">
        <v>1731</v>
      </c>
      <c r="E1290">
        <v>20251211</v>
      </c>
      <c r="F1290" s="1" t="s">
        <v>1473</v>
      </c>
      <c r="G1290">
        <v>4</v>
      </c>
      <c r="H1290" s="1" t="s">
        <v>1494</v>
      </c>
      <c r="I1290" t="s">
        <v>1874</v>
      </c>
      <c r="J1290" s="1" t="s">
        <v>1453</v>
      </c>
      <c r="K1290" s="1" t="s">
        <v>1595</v>
      </c>
      <c r="L1290" s="1" t="s">
        <v>1718</v>
      </c>
      <c r="M1290" s="1" t="s">
        <v>1735</v>
      </c>
      <c r="N1290" t="s">
        <v>2059</v>
      </c>
      <c r="O1290" t="s">
        <v>2164</v>
      </c>
      <c r="P1290" t="s">
        <v>3185</v>
      </c>
      <c r="Q1290">
        <v>76.25</v>
      </c>
      <c r="R1290" s="1" t="s">
        <v>1839</v>
      </c>
      <c r="S1290">
        <v>1718.99</v>
      </c>
      <c r="T1290">
        <v>131073</v>
      </c>
    </row>
    <row r="1291" spans="1:20" hidden="1" x14ac:dyDescent="0.4">
      <c r="A1291" s="1" t="s">
        <v>483</v>
      </c>
      <c r="B1291" s="1" t="s">
        <v>1453</v>
      </c>
      <c r="C1291" s="1" t="s">
        <v>1845</v>
      </c>
      <c r="D1291" s="1" t="s">
        <v>1848</v>
      </c>
      <c r="E1291">
        <v>20251205</v>
      </c>
      <c r="F1291" s="1" t="s">
        <v>1473</v>
      </c>
      <c r="G1291">
        <v>4</v>
      </c>
      <c r="H1291" s="1" t="s">
        <v>1494</v>
      </c>
      <c r="I1291" t="s">
        <v>1874</v>
      </c>
      <c r="J1291" s="1" t="s">
        <v>1453</v>
      </c>
      <c r="K1291" s="1" t="s">
        <v>1589</v>
      </c>
      <c r="L1291" s="1" t="s">
        <v>1718</v>
      </c>
      <c r="M1291" s="1" t="s">
        <v>1758</v>
      </c>
      <c r="N1291" t="s">
        <v>1964</v>
      </c>
      <c r="O1291" t="s">
        <v>2164</v>
      </c>
      <c r="P1291" t="s">
        <v>3080</v>
      </c>
      <c r="Q1291">
        <v>-18.2</v>
      </c>
      <c r="R1291" s="1" t="s">
        <v>1839</v>
      </c>
      <c r="S1291">
        <v>1372.96</v>
      </c>
      <c r="T1291">
        <v>-24988</v>
      </c>
    </row>
    <row r="1292" spans="1:20" hidden="1" x14ac:dyDescent="0.4">
      <c r="A1292" s="1" t="s">
        <v>484</v>
      </c>
      <c r="B1292" s="1" t="s">
        <v>1453</v>
      </c>
      <c r="C1292" s="1" t="s">
        <v>1845</v>
      </c>
      <c r="D1292" s="1" t="s">
        <v>1462</v>
      </c>
      <c r="E1292">
        <v>20251211</v>
      </c>
      <c r="F1292" s="1" t="s">
        <v>1471</v>
      </c>
      <c r="G1292">
        <v>4</v>
      </c>
      <c r="H1292" s="1" t="s">
        <v>1498</v>
      </c>
      <c r="I1292" t="s">
        <v>1878</v>
      </c>
      <c r="J1292" s="1" t="s">
        <v>1460</v>
      </c>
      <c r="K1292" s="1" t="s">
        <v>1651</v>
      </c>
      <c r="L1292" s="1" t="s">
        <v>1731</v>
      </c>
      <c r="M1292" s="1" t="s">
        <v>1737</v>
      </c>
      <c r="N1292" t="s">
        <v>2035</v>
      </c>
      <c r="O1292" t="s">
        <v>2178</v>
      </c>
      <c r="P1292" t="s">
        <v>2157</v>
      </c>
      <c r="Q1292">
        <v>50</v>
      </c>
      <c r="R1292" s="1" t="s">
        <v>1463</v>
      </c>
      <c r="S1292">
        <v>2597</v>
      </c>
      <c r="T1292">
        <v>129850</v>
      </c>
    </row>
    <row r="1293" spans="1:20" hidden="1" x14ac:dyDescent="0.4">
      <c r="A1293" s="1" t="s">
        <v>485</v>
      </c>
      <c r="B1293" s="1" t="s">
        <v>1453</v>
      </c>
      <c r="C1293" s="1" t="s">
        <v>1845</v>
      </c>
      <c r="D1293" s="1" t="s">
        <v>1462</v>
      </c>
      <c r="E1293">
        <v>20251211</v>
      </c>
      <c r="F1293" s="1" t="s">
        <v>1471</v>
      </c>
      <c r="G1293">
        <v>4</v>
      </c>
      <c r="H1293" s="1" t="s">
        <v>1498</v>
      </c>
      <c r="I1293" t="s">
        <v>1878</v>
      </c>
      <c r="J1293" s="1" t="s">
        <v>1460</v>
      </c>
      <c r="K1293" s="1" t="s">
        <v>1647</v>
      </c>
      <c r="L1293" s="1" t="s">
        <v>1731</v>
      </c>
      <c r="M1293" s="1" t="s">
        <v>1798</v>
      </c>
      <c r="N1293" t="s">
        <v>2029</v>
      </c>
      <c r="O1293" t="s">
        <v>2178</v>
      </c>
      <c r="P1293" t="s">
        <v>3157</v>
      </c>
      <c r="Q1293">
        <v>250</v>
      </c>
      <c r="R1293" s="1" t="s">
        <v>1463</v>
      </c>
      <c r="S1293">
        <v>578</v>
      </c>
      <c r="T1293">
        <v>144500</v>
      </c>
    </row>
    <row r="1294" spans="1:20" hidden="1" x14ac:dyDescent="0.4">
      <c r="A1294" s="1" t="s">
        <v>486</v>
      </c>
      <c r="B1294" s="1" t="s">
        <v>1453</v>
      </c>
      <c r="C1294" s="1" t="s">
        <v>1845</v>
      </c>
      <c r="D1294" s="1" t="s">
        <v>1462</v>
      </c>
      <c r="E1294">
        <v>20251211</v>
      </c>
      <c r="F1294" s="1" t="s">
        <v>1471</v>
      </c>
      <c r="G1294">
        <v>4</v>
      </c>
      <c r="H1294" s="1" t="s">
        <v>1498</v>
      </c>
      <c r="I1294" t="s">
        <v>1878</v>
      </c>
      <c r="J1294" s="1" t="s">
        <v>1460</v>
      </c>
      <c r="K1294" s="1" t="s">
        <v>1649</v>
      </c>
      <c r="L1294" s="1" t="s">
        <v>1731</v>
      </c>
      <c r="M1294" s="1" t="s">
        <v>1799</v>
      </c>
      <c r="N1294" t="s">
        <v>2031</v>
      </c>
      <c r="O1294" t="s">
        <v>2178</v>
      </c>
      <c r="P1294" t="s">
        <v>3159</v>
      </c>
      <c r="Q1294">
        <v>250</v>
      </c>
      <c r="R1294" s="1" t="s">
        <v>1463</v>
      </c>
      <c r="S1294">
        <v>1450</v>
      </c>
      <c r="T1294">
        <v>362500</v>
      </c>
    </row>
    <row r="1295" spans="1:20" hidden="1" x14ac:dyDescent="0.4">
      <c r="A1295" s="1" t="s">
        <v>487</v>
      </c>
      <c r="B1295" s="1" t="s">
        <v>1453</v>
      </c>
      <c r="C1295" s="1" t="s">
        <v>1845</v>
      </c>
      <c r="D1295" s="1" t="s">
        <v>1462</v>
      </c>
      <c r="E1295">
        <v>20251210</v>
      </c>
      <c r="F1295" s="1" t="s">
        <v>1471</v>
      </c>
      <c r="G1295">
        <v>4</v>
      </c>
      <c r="H1295" s="1" t="s">
        <v>1498</v>
      </c>
      <c r="I1295" t="s">
        <v>1878</v>
      </c>
      <c r="J1295" s="1" t="s">
        <v>1460</v>
      </c>
      <c r="K1295" s="1" t="s">
        <v>1671</v>
      </c>
      <c r="L1295" s="1" t="s">
        <v>1731</v>
      </c>
      <c r="M1295" s="1" t="s">
        <v>1810</v>
      </c>
      <c r="N1295" t="s">
        <v>2060</v>
      </c>
      <c r="O1295" t="s">
        <v>2178</v>
      </c>
      <c r="P1295" t="s">
        <v>3165</v>
      </c>
      <c r="Q1295">
        <v>250</v>
      </c>
      <c r="R1295" s="1" t="s">
        <v>1463</v>
      </c>
      <c r="S1295">
        <v>538</v>
      </c>
      <c r="T1295">
        <v>134500</v>
      </c>
    </row>
    <row r="1296" spans="1:20" hidden="1" x14ac:dyDescent="0.4">
      <c r="A1296" s="1" t="s">
        <v>488</v>
      </c>
      <c r="B1296" s="1" t="s">
        <v>1453</v>
      </c>
      <c r="C1296" s="1" t="s">
        <v>1845</v>
      </c>
      <c r="D1296" s="1" t="s">
        <v>1462</v>
      </c>
      <c r="E1296">
        <v>20251211</v>
      </c>
      <c r="F1296" s="1" t="s">
        <v>1471</v>
      </c>
      <c r="G1296">
        <v>4</v>
      </c>
      <c r="H1296" s="1" t="s">
        <v>1498</v>
      </c>
      <c r="I1296" t="s">
        <v>1878</v>
      </c>
      <c r="J1296" s="1" t="s">
        <v>1460</v>
      </c>
      <c r="K1296" s="1" t="s">
        <v>1650</v>
      </c>
      <c r="L1296" s="1" t="s">
        <v>1731</v>
      </c>
      <c r="M1296" s="1" t="s">
        <v>1747</v>
      </c>
      <c r="N1296" t="s">
        <v>2032</v>
      </c>
      <c r="O1296" t="s">
        <v>2178</v>
      </c>
      <c r="P1296" t="s">
        <v>3186</v>
      </c>
      <c r="Q1296">
        <v>1000</v>
      </c>
      <c r="R1296" s="1" t="s">
        <v>1463</v>
      </c>
      <c r="S1296">
        <v>685</v>
      </c>
      <c r="T1296">
        <v>685000</v>
      </c>
    </row>
    <row r="1297" spans="1:20" hidden="1" x14ac:dyDescent="0.4">
      <c r="A1297" s="1" t="s">
        <v>489</v>
      </c>
      <c r="B1297" s="1" t="s">
        <v>1453</v>
      </c>
      <c r="C1297" s="1" t="s">
        <v>1845</v>
      </c>
      <c r="D1297" s="1" t="s">
        <v>1462</v>
      </c>
      <c r="E1297">
        <v>20251210</v>
      </c>
      <c r="F1297" s="1" t="s">
        <v>1473</v>
      </c>
      <c r="G1297">
        <v>1</v>
      </c>
      <c r="H1297" s="1" t="s">
        <v>1493</v>
      </c>
      <c r="I1297" t="s">
        <v>1873</v>
      </c>
      <c r="J1297" s="1" t="s">
        <v>1453</v>
      </c>
      <c r="K1297" s="1" t="s">
        <v>1611</v>
      </c>
      <c r="L1297" s="1" t="s">
        <v>1716</v>
      </c>
      <c r="M1297" s="1" t="s">
        <v>1784</v>
      </c>
      <c r="N1297" t="s">
        <v>1985</v>
      </c>
      <c r="O1297" t="s">
        <v>2162</v>
      </c>
      <c r="P1297" t="s">
        <v>3133</v>
      </c>
      <c r="Q1297">
        <v>1020</v>
      </c>
      <c r="R1297" s="1" t="s">
        <v>1463</v>
      </c>
      <c r="S1297">
        <v>1350</v>
      </c>
      <c r="T1297">
        <v>1377000</v>
      </c>
    </row>
    <row r="1298" spans="1:20" hidden="1" x14ac:dyDescent="0.4">
      <c r="A1298" s="1" t="s">
        <v>490</v>
      </c>
      <c r="B1298" s="1" t="s">
        <v>1453</v>
      </c>
      <c r="C1298" s="1" t="s">
        <v>1845</v>
      </c>
      <c r="D1298" s="1" t="s">
        <v>1731</v>
      </c>
      <c r="E1298">
        <v>20251212</v>
      </c>
      <c r="F1298" s="1" t="s">
        <v>1473</v>
      </c>
      <c r="G1298">
        <v>4</v>
      </c>
      <c r="H1298" s="1" t="s">
        <v>1494</v>
      </c>
      <c r="I1298" t="s">
        <v>1874</v>
      </c>
      <c r="J1298" s="1" t="s">
        <v>1453</v>
      </c>
      <c r="K1298" s="1" t="s">
        <v>1595</v>
      </c>
      <c r="L1298" s="1" t="s">
        <v>1718</v>
      </c>
      <c r="M1298" s="1" t="s">
        <v>1735</v>
      </c>
      <c r="N1298" t="s">
        <v>2059</v>
      </c>
      <c r="O1298" t="s">
        <v>2164</v>
      </c>
      <c r="P1298" t="s">
        <v>3185</v>
      </c>
      <c r="Q1298">
        <v>82.5</v>
      </c>
      <c r="R1298" s="1" t="s">
        <v>1839</v>
      </c>
      <c r="S1298">
        <v>1718.99</v>
      </c>
      <c r="T1298">
        <v>141817</v>
      </c>
    </row>
    <row r="1299" spans="1:20" hidden="1" x14ac:dyDescent="0.4">
      <c r="A1299" s="1" t="s">
        <v>490</v>
      </c>
      <c r="B1299" s="1" t="s">
        <v>1454</v>
      </c>
      <c r="C1299" s="1" t="s">
        <v>1845</v>
      </c>
      <c r="D1299" s="1" t="s">
        <v>1731</v>
      </c>
      <c r="E1299">
        <v>20251212</v>
      </c>
      <c r="F1299" s="1" t="s">
        <v>1473</v>
      </c>
      <c r="G1299">
        <v>4</v>
      </c>
      <c r="H1299" s="1" t="s">
        <v>1494</v>
      </c>
      <c r="I1299" t="s">
        <v>1874</v>
      </c>
      <c r="J1299" s="1" t="s">
        <v>1453</v>
      </c>
      <c r="K1299" s="1" t="s">
        <v>1595</v>
      </c>
      <c r="L1299" s="1" t="s">
        <v>1718</v>
      </c>
      <c r="M1299" s="1" t="s">
        <v>1735</v>
      </c>
      <c r="N1299" t="s">
        <v>2059</v>
      </c>
      <c r="O1299" t="s">
        <v>2164</v>
      </c>
      <c r="P1299" t="s">
        <v>3185</v>
      </c>
      <c r="Q1299">
        <v>82.5</v>
      </c>
      <c r="R1299" s="1" t="s">
        <v>1839</v>
      </c>
      <c r="S1299">
        <v>1718.99</v>
      </c>
      <c r="T1299">
        <v>141817</v>
      </c>
    </row>
    <row r="1300" spans="1:20" hidden="1" x14ac:dyDescent="0.4">
      <c r="A1300" s="1" t="s">
        <v>490</v>
      </c>
      <c r="B1300" s="1" t="s">
        <v>1455</v>
      </c>
      <c r="C1300" s="1" t="s">
        <v>1845</v>
      </c>
      <c r="D1300" s="1" t="s">
        <v>1731</v>
      </c>
      <c r="E1300">
        <v>20251212</v>
      </c>
      <c r="F1300" s="1" t="s">
        <v>1473</v>
      </c>
      <c r="G1300">
        <v>4</v>
      </c>
      <c r="H1300" s="1" t="s">
        <v>1494</v>
      </c>
      <c r="I1300" t="s">
        <v>1874</v>
      </c>
      <c r="J1300" s="1" t="s">
        <v>1453</v>
      </c>
      <c r="K1300" s="1" t="s">
        <v>1595</v>
      </c>
      <c r="L1300" s="1" t="s">
        <v>1718</v>
      </c>
      <c r="M1300" s="1" t="s">
        <v>1735</v>
      </c>
      <c r="N1300" t="s">
        <v>2059</v>
      </c>
      <c r="O1300" t="s">
        <v>2164</v>
      </c>
      <c r="P1300" t="s">
        <v>3185</v>
      </c>
      <c r="Q1300">
        <v>82.5</v>
      </c>
      <c r="R1300" s="1" t="s">
        <v>1839</v>
      </c>
      <c r="S1300">
        <v>1718.99</v>
      </c>
      <c r="T1300">
        <v>141817</v>
      </c>
    </row>
    <row r="1301" spans="1:20" hidden="1" x14ac:dyDescent="0.4">
      <c r="A1301" s="1" t="s">
        <v>490</v>
      </c>
      <c r="B1301" s="1" t="s">
        <v>1456</v>
      </c>
      <c r="C1301" s="1" t="s">
        <v>1845</v>
      </c>
      <c r="D1301" s="1" t="s">
        <v>1731</v>
      </c>
      <c r="E1301">
        <v>20251212</v>
      </c>
      <c r="F1301" s="1" t="s">
        <v>1473</v>
      </c>
      <c r="G1301">
        <v>4</v>
      </c>
      <c r="H1301" s="1" t="s">
        <v>1494</v>
      </c>
      <c r="I1301" t="s">
        <v>1874</v>
      </c>
      <c r="J1301" s="1" t="s">
        <v>1453</v>
      </c>
      <c r="K1301" s="1" t="s">
        <v>1595</v>
      </c>
      <c r="L1301" s="1" t="s">
        <v>1718</v>
      </c>
      <c r="M1301" s="1" t="s">
        <v>1735</v>
      </c>
      <c r="N1301" t="s">
        <v>2059</v>
      </c>
      <c r="O1301" t="s">
        <v>2164</v>
      </c>
      <c r="P1301" t="s">
        <v>3185</v>
      </c>
      <c r="Q1301">
        <v>80.25</v>
      </c>
      <c r="R1301" s="1" t="s">
        <v>1839</v>
      </c>
      <c r="S1301">
        <v>1718.99</v>
      </c>
      <c r="T1301">
        <v>137949</v>
      </c>
    </row>
    <row r="1302" spans="1:20" hidden="1" x14ac:dyDescent="0.4">
      <c r="A1302" s="1" t="s">
        <v>490</v>
      </c>
      <c r="B1302" s="1" t="s">
        <v>1457</v>
      </c>
      <c r="C1302" s="1" t="s">
        <v>1845</v>
      </c>
      <c r="D1302" s="1" t="s">
        <v>1731</v>
      </c>
      <c r="E1302">
        <v>20251212</v>
      </c>
      <c r="F1302" s="1" t="s">
        <v>1473</v>
      </c>
      <c r="G1302">
        <v>4</v>
      </c>
      <c r="H1302" s="1" t="s">
        <v>1494</v>
      </c>
      <c r="I1302" t="s">
        <v>1874</v>
      </c>
      <c r="J1302" s="1" t="s">
        <v>1453</v>
      </c>
      <c r="K1302" s="1" t="s">
        <v>1595</v>
      </c>
      <c r="L1302" s="1" t="s">
        <v>1718</v>
      </c>
      <c r="M1302" s="1" t="s">
        <v>1735</v>
      </c>
      <c r="N1302" t="s">
        <v>2059</v>
      </c>
      <c r="O1302" t="s">
        <v>2164</v>
      </c>
      <c r="P1302" t="s">
        <v>3185</v>
      </c>
      <c r="Q1302">
        <v>62.5</v>
      </c>
      <c r="R1302" s="1" t="s">
        <v>1839</v>
      </c>
      <c r="S1302">
        <v>1718.99</v>
      </c>
      <c r="T1302">
        <v>107437</v>
      </c>
    </row>
    <row r="1303" spans="1:20" hidden="1" x14ac:dyDescent="0.4">
      <c r="A1303" s="1" t="s">
        <v>490</v>
      </c>
      <c r="B1303" s="1" t="s">
        <v>1458</v>
      </c>
      <c r="C1303" s="1" t="s">
        <v>1845</v>
      </c>
      <c r="D1303" s="1" t="s">
        <v>1731</v>
      </c>
      <c r="E1303">
        <v>20251212</v>
      </c>
      <c r="F1303" s="1" t="s">
        <v>1473</v>
      </c>
      <c r="G1303">
        <v>4</v>
      </c>
      <c r="H1303" s="1" t="s">
        <v>1494</v>
      </c>
      <c r="I1303" t="s">
        <v>1874</v>
      </c>
      <c r="J1303" s="1" t="s">
        <v>1453</v>
      </c>
      <c r="K1303" s="1" t="s">
        <v>1595</v>
      </c>
      <c r="L1303" s="1" t="s">
        <v>1718</v>
      </c>
      <c r="M1303" s="1" t="s">
        <v>1735</v>
      </c>
      <c r="N1303" t="s">
        <v>2059</v>
      </c>
      <c r="O1303" t="s">
        <v>2164</v>
      </c>
      <c r="P1303" t="s">
        <v>3185</v>
      </c>
      <c r="Q1303">
        <v>63.5</v>
      </c>
      <c r="R1303" s="1" t="s">
        <v>1839</v>
      </c>
      <c r="S1303">
        <v>1718.99</v>
      </c>
      <c r="T1303">
        <v>109156</v>
      </c>
    </row>
    <row r="1304" spans="1:20" hidden="1" x14ac:dyDescent="0.4">
      <c r="A1304" s="1" t="s">
        <v>491</v>
      </c>
      <c r="B1304" s="1" t="s">
        <v>1453</v>
      </c>
      <c r="C1304" s="1" t="s">
        <v>1845</v>
      </c>
      <c r="D1304" s="1" t="s">
        <v>1731</v>
      </c>
      <c r="E1304">
        <v>20251215</v>
      </c>
      <c r="F1304" s="1" t="s">
        <v>1470</v>
      </c>
      <c r="G1304">
        <v>4</v>
      </c>
      <c r="H1304" s="1" t="s">
        <v>1490</v>
      </c>
      <c r="I1304" t="s">
        <v>1870</v>
      </c>
      <c r="J1304" s="1" t="s">
        <v>1456</v>
      </c>
      <c r="K1304" s="1" t="s">
        <v>1553</v>
      </c>
      <c r="L1304" s="1" t="s">
        <v>1729</v>
      </c>
      <c r="M1304" s="1" t="s">
        <v>1736</v>
      </c>
      <c r="N1304" t="s">
        <v>1925</v>
      </c>
      <c r="O1304" t="s">
        <v>2157</v>
      </c>
      <c r="P1304" t="s">
        <v>3038</v>
      </c>
      <c r="Q1304">
        <v>17</v>
      </c>
      <c r="R1304" s="1" t="s">
        <v>1718</v>
      </c>
      <c r="S1304">
        <v>11535.82</v>
      </c>
      <c r="T1304">
        <v>196109</v>
      </c>
    </row>
    <row r="1305" spans="1:20" hidden="1" x14ac:dyDescent="0.4">
      <c r="A1305" s="1" t="s">
        <v>491</v>
      </c>
      <c r="B1305" s="1" t="s">
        <v>1454</v>
      </c>
      <c r="C1305" s="1" t="s">
        <v>1845</v>
      </c>
      <c r="D1305" s="1" t="s">
        <v>1731</v>
      </c>
      <c r="E1305">
        <v>20251215</v>
      </c>
      <c r="F1305" s="1" t="s">
        <v>1470</v>
      </c>
      <c r="G1305">
        <v>4</v>
      </c>
      <c r="H1305" s="1" t="s">
        <v>1490</v>
      </c>
      <c r="I1305" t="s">
        <v>1870</v>
      </c>
      <c r="J1305" s="1" t="s">
        <v>1456</v>
      </c>
      <c r="K1305" s="1" t="s">
        <v>1553</v>
      </c>
      <c r="L1305" s="1" t="s">
        <v>1729</v>
      </c>
      <c r="M1305" s="1" t="s">
        <v>1740</v>
      </c>
      <c r="N1305" t="s">
        <v>1925</v>
      </c>
      <c r="O1305" t="s">
        <v>2157</v>
      </c>
      <c r="P1305" t="s">
        <v>3041</v>
      </c>
      <c r="Q1305">
        <v>2</v>
      </c>
      <c r="R1305" s="1" t="s">
        <v>1718</v>
      </c>
      <c r="S1305">
        <v>14786</v>
      </c>
      <c r="T1305">
        <v>29572</v>
      </c>
    </row>
    <row r="1306" spans="1:20" hidden="1" x14ac:dyDescent="0.4">
      <c r="A1306" s="1" t="s">
        <v>491</v>
      </c>
      <c r="B1306" s="1" t="s">
        <v>1455</v>
      </c>
      <c r="C1306" s="1" t="s">
        <v>1845</v>
      </c>
      <c r="D1306" s="1" t="s">
        <v>1731</v>
      </c>
      <c r="E1306">
        <v>20251215</v>
      </c>
      <c r="F1306" s="1" t="s">
        <v>1470</v>
      </c>
      <c r="G1306">
        <v>4</v>
      </c>
      <c r="H1306" s="1" t="s">
        <v>1490</v>
      </c>
      <c r="I1306" t="s">
        <v>1870</v>
      </c>
      <c r="J1306" s="1" t="s">
        <v>1456</v>
      </c>
      <c r="K1306" s="1" t="s">
        <v>1554</v>
      </c>
      <c r="L1306" s="1" t="s">
        <v>1729</v>
      </c>
      <c r="M1306" s="1" t="s">
        <v>1737</v>
      </c>
      <c r="N1306" t="s">
        <v>1926</v>
      </c>
      <c r="O1306" t="s">
        <v>2157</v>
      </c>
      <c r="P1306" t="s">
        <v>2157</v>
      </c>
      <c r="Q1306">
        <v>15</v>
      </c>
      <c r="R1306" s="1" t="s">
        <v>1718</v>
      </c>
      <c r="S1306">
        <v>11497.93</v>
      </c>
      <c r="T1306">
        <v>172469</v>
      </c>
    </row>
    <row r="1307" spans="1:20" hidden="1" x14ac:dyDescent="0.4">
      <c r="A1307" s="1" t="s">
        <v>492</v>
      </c>
      <c r="B1307" s="1" t="s">
        <v>1453</v>
      </c>
      <c r="C1307" s="1" t="s">
        <v>1845</v>
      </c>
      <c r="D1307" s="1" t="s">
        <v>1731</v>
      </c>
      <c r="E1307">
        <v>20251215</v>
      </c>
      <c r="F1307" s="1" t="s">
        <v>1470</v>
      </c>
      <c r="G1307">
        <v>4</v>
      </c>
      <c r="H1307" s="1" t="s">
        <v>1490</v>
      </c>
      <c r="I1307" t="s">
        <v>1870</v>
      </c>
      <c r="J1307" s="1" t="s">
        <v>1456</v>
      </c>
      <c r="K1307" s="1" t="s">
        <v>1561</v>
      </c>
      <c r="L1307" s="1" t="s">
        <v>1729</v>
      </c>
      <c r="M1307" s="1" t="s">
        <v>1737</v>
      </c>
      <c r="N1307" t="s">
        <v>1954</v>
      </c>
      <c r="O1307" t="s">
        <v>2157</v>
      </c>
      <c r="P1307" t="s">
        <v>2157</v>
      </c>
      <c r="Q1307">
        <v>4</v>
      </c>
      <c r="R1307" s="1" t="s">
        <v>1718</v>
      </c>
      <c r="S1307">
        <v>14018</v>
      </c>
      <c r="T1307">
        <v>56072</v>
      </c>
    </row>
    <row r="1308" spans="1:20" hidden="1" x14ac:dyDescent="0.4">
      <c r="A1308" s="1" t="s">
        <v>492</v>
      </c>
      <c r="B1308" s="1" t="s">
        <v>1454</v>
      </c>
      <c r="C1308" s="1" t="s">
        <v>1845</v>
      </c>
      <c r="D1308" s="1" t="s">
        <v>1731</v>
      </c>
      <c r="E1308">
        <v>20251215</v>
      </c>
      <c r="F1308" s="1" t="s">
        <v>1470</v>
      </c>
      <c r="G1308">
        <v>4</v>
      </c>
      <c r="H1308" s="1" t="s">
        <v>1490</v>
      </c>
      <c r="I1308" t="s">
        <v>1870</v>
      </c>
      <c r="J1308" s="1" t="s">
        <v>1456</v>
      </c>
      <c r="K1308" s="1" t="s">
        <v>1565</v>
      </c>
      <c r="L1308" s="1" t="s">
        <v>1729</v>
      </c>
      <c r="M1308" s="1" t="s">
        <v>1743</v>
      </c>
      <c r="N1308" t="s">
        <v>1937</v>
      </c>
      <c r="O1308" t="s">
        <v>2157</v>
      </c>
      <c r="P1308" t="s">
        <v>3154</v>
      </c>
      <c r="Q1308">
        <v>2</v>
      </c>
      <c r="R1308" s="1" t="s">
        <v>1718</v>
      </c>
      <c r="S1308">
        <v>10423</v>
      </c>
      <c r="T1308">
        <v>20846</v>
      </c>
    </row>
    <row r="1309" spans="1:20" hidden="1" x14ac:dyDescent="0.4">
      <c r="A1309" s="1" t="s">
        <v>493</v>
      </c>
      <c r="B1309" s="1" t="s">
        <v>1453</v>
      </c>
      <c r="C1309" s="1" t="s">
        <v>1845</v>
      </c>
      <c r="D1309" s="1" t="s">
        <v>1731</v>
      </c>
      <c r="E1309">
        <v>20251215</v>
      </c>
      <c r="F1309" s="1" t="s">
        <v>1470</v>
      </c>
      <c r="G1309">
        <v>4</v>
      </c>
      <c r="H1309" s="1" t="s">
        <v>1490</v>
      </c>
      <c r="I1309" t="s">
        <v>1870</v>
      </c>
      <c r="J1309" s="1" t="s">
        <v>1456</v>
      </c>
      <c r="K1309" s="1" t="s">
        <v>1557</v>
      </c>
      <c r="L1309" s="1" t="s">
        <v>1729</v>
      </c>
      <c r="M1309" s="1" t="s">
        <v>1737</v>
      </c>
      <c r="N1309" t="s">
        <v>1929</v>
      </c>
      <c r="O1309" t="s">
        <v>2157</v>
      </c>
      <c r="P1309" t="s">
        <v>2157</v>
      </c>
      <c r="Q1309">
        <v>20</v>
      </c>
      <c r="R1309" s="1" t="s">
        <v>1718</v>
      </c>
      <c r="S1309">
        <v>18442.900000000001</v>
      </c>
      <c r="T1309">
        <v>368858</v>
      </c>
    </row>
    <row r="1310" spans="1:20" hidden="1" x14ac:dyDescent="0.4">
      <c r="A1310" s="1" t="s">
        <v>494</v>
      </c>
      <c r="B1310" s="1" t="s">
        <v>1453</v>
      </c>
      <c r="C1310" s="1" t="s">
        <v>1845</v>
      </c>
      <c r="D1310" s="1" t="s">
        <v>1731</v>
      </c>
      <c r="E1310">
        <v>20251215</v>
      </c>
      <c r="F1310" s="1" t="s">
        <v>1470</v>
      </c>
      <c r="G1310">
        <v>4</v>
      </c>
      <c r="H1310" s="1" t="s">
        <v>1490</v>
      </c>
      <c r="I1310" t="s">
        <v>1870</v>
      </c>
      <c r="J1310" s="1" t="s">
        <v>1456</v>
      </c>
      <c r="K1310" s="1" t="s">
        <v>1568</v>
      </c>
      <c r="L1310" s="1" t="s">
        <v>1729</v>
      </c>
      <c r="M1310" s="1" t="s">
        <v>1737</v>
      </c>
      <c r="N1310" t="s">
        <v>1941</v>
      </c>
      <c r="O1310" t="s">
        <v>2157</v>
      </c>
      <c r="P1310" t="s">
        <v>2157</v>
      </c>
      <c r="Q1310">
        <v>6</v>
      </c>
      <c r="R1310" s="1" t="s">
        <v>1718</v>
      </c>
      <c r="S1310">
        <v>43330</v>
      </c>
      <c r="T1310">
        <v>259980</v>
      </c>
    </row>
    <row r="1311" spans="1:20" hidden="1" x14ac:dyDescent="0.4">
      <c r="A1311" s="1" t="s">
        <v>495</v>
      </c>
      <c r="B1311" s="1" t="s">
        <v>1453</v>
      </c>
      <c r="C1311" s="1" t="s">
        <v>1845</v>
      </c>
      <c r="D1311" s="1" t="s">
        <v>1731</v>
      </c>
      <c r="E1311">
        <v>20251215</v>
      </c>
      <c r="F1311" s="1" t="s">
        <v>1470</v>
      </c>
      <c r="G1311">
        <v>4</v>
      </c>
      <c r="H1311" s="1" t="s">
        <v>1490</v>
      </c>
      <c r="I1311" t="s">
        <v>1870</v>
      </c>
      <c r="J1311" s="1" t="s">
        <v>1456</v>
      </c>
      <c r="K1311" s="1" t="s">
        <v>1558</v>
      </c>
      <c r="L1311" s="1" t="s">
        <v>1729</v>
      </c>
      <c r="M1311" s="1" t="s">
        <v>1737</v>
      </c>
      <c r="N1311" t="s">
        <v>1930</v>
      </c>
      <c r="O1311" t="s">
        <v>2157</v>
      </c>
      <c r="P1311" t="s">
        <v>2157</v>
      </c>
      <c r="Q1311">
        <v>4</v>
      </c>
      <c r="R1311" s="1" t="s">
        <v>1718</v>
      </c>
      <c r="S1311">
        <v>9736</v>
      </c>
      <c r="T1311">
        <v>38944</v>
      </c>
    </row>
    <row r="1312" spans="1:20" hidden="1" x14ac:dyDescent="0.4">
      <c r="A1312" s="1" t="s">
        <v>496</v>
      </c>
      <c r="B1312" s="1" t="s">
        <v>1453</v>
      </c>
      <c r="C1312" s="1" t="s">
        <v>1845</v>
      </c>
      <c r="D1312" s="1" t="s">
        <v>1731</v>
      </c>
      <c r="E1312">
        <v>20251215</v>
      </c>
      <c r="F1312" s="1" t="s">
        <v>1470</v>
      </c>
      <c r="G1312">
        <v>4</v>
      </c>
      <c r="H1312" s="1" t="s">
        <v>1490</v>
      </c>
      <c r="I1312" t="s">
        <v>1870</v>
      </c>
      <c r="J1312" s="1" t="s">
        <v>1456</v>
      </c>
      <c r="K1312" s="1" t="s">
        <v>1575</v>
      </c>
      <c r="L1312" s="1" t="s">
        <v>1729</v>
      </c>
      <c r="M1312" s="1" t="s">
        <v>1735</v>
      </c>
      <c r="N1312" t="s">
        <v>1948</v>
      </c>
      <c r="O1312" t="s">
        <v>2157</v>
      </c>
      <c r="P1312" t="s">
        <v>3037</v>
      </c>
      <c r="Q1312">
        <v>240</v>
      </c>
      <c r="R1312" s="1" t="s">
        <v>1718</v>
      </c>
      <c r="S1312">
        <v>3934</v>
      </c>
      <c r="T1312">
        <v>944160</v>
      </c>
    </row>
    <row r="1313" spans="1:20" hidden="1" x14ac:dyDescent="0.4">
      <c r="A1313" s="1" t="s">
        <v>496</v>
      </c>
      <c r="B1313" s="1" t="s">
        <v>1454</v>
      </c>
      <c r="C1313" s="1" t="s">
        <v>1845</v>
      </c>
      <c r="D1313" s="1" t="s">
        <v>1731</v>
      </c>
      <c r="E1313">
        <v>20251215</v>
      </c>
      <c r="F1313" s="1" t="s">
        <v>1470</v>
      </c>
      <c r="G1313">
        <v>4</v>
      </c>
      <c r="H1313" s="1" t="s">
        <v>1490</v>
      </c>
      <c r="I1313" t="s">
        <v>1870</v>
      </c>
      <c r="J1313" s="1" t="s">
        <v>1456</v>
      </c>
      <c r="K1313" s="1" t="s">
        <v>1575</v>
      </c>
      <c r="L1313" s="1" t="s">
        <v>1729</v>
      </c>
      <c r="M1313" s="1" t="s">
        <v>1735</v>
      </c>
      <c r="N1313" t="s">
        <v>1948</v>
      </c>
      <c r="O1313" t="s">
        <v>2157</v>
      </c>
      <c r="P1313" t="s">
        <v>3037</v>
      </c>
      <c r="Q1313">
        <v>170</v>
      </c>
      <c r="R1313" s="1" t="s">
        <v>1718</v>
      </c>
      <c r="S1313">
        <v>11979</v>
      </c>
      <c r="T1313">
        <v>2036430</v>
      </c>
    </row>
    <row r="1314" spans="1:20" hidden="1" x14ac:dyDescent="0.4">
      <c r="A1314" s="1" t="s">
        <v>497</v>
      </c>
      <c r="B1314" s="1" t="s">
        <v>1453</v>
      </c>
      <c r="C1314" s="1" t="s">
        <v>1845</v>
      </c>
      <c r="D1314" s="1" t="s">
        <v>1462</v>
      </c>
      <c r="E1314">
        <v>20251212</v>
      </c>
      <c r="F1314" s="1" t="s">
        <v>1470</v>
      </c>
      <c r="G1314">
        <v>1</v>
      </c>
      <c r="H1314" s="1" t="s">
        <v>1503</v>
      </c>
      <c r="I1314" t="s">
        <v>1883</v>
      </c>
      <c r="J1314" s="1" t="s">
        <v>1456</v>
      </c>
      <c r="K1314" s="1" t="s">
        <v>1606</v>
      </c>
      <c r="L1314" s="1" t="s">
        <v>1716</v>
      </c>
      <c r="M1314" s="1" t="s">
        <v>1735</v>
      </c>
      <c r="N1314" t="s">
        <v>1981</v>
      </c>
      <c r="O1314" t="s">
        <v>2162</v>
      </c>
      <c r="P1314" t="s">
        <v>3134</v>
      </c>
      <c r="Q1314">
        <v>925.2</v>
      </c>
      <c r="R1314" s="1" t="s">
        <v>1463</v>
      </c>
      <c r="S1314">
        <v>2193</v>
      </c>
      <c r="T1314">
        <v>2028963</v>
      </c>
    </row>
    <row r="1315" spans="1:20" hidden="1" x14ac:dyDescent="0.4">
      <c r="A1315" s="1" t="s">
        <v>497</v>
      </c>
      <c r="B1315" s="1" t="s">
        <v>1454</v>
      </c>
      <c r="C1315" s="1" t="s">
        <v>1845</v>
      </c>
      <c r="D1315" s="1" t="s">
        <v>1462</v>
      </c>
      <c r="E1315">
        <v>20251212</v>
      </c>
      <c r="F1315" s="1" t="s">
        <v>1470</v>
      </c>
      <c r="G1315">
        <v>1</v>
      </c>
      <c r="H1315" s="1" t="s">
        <v>1503</v>
      </c>
      <c r="I1315" t="s">
        <v>1883</v>
      </c>
      <c r="J1315" s="1" t="s">
        <v>1456</v>
      </c>
      <c r="K1315" s="1" t="s">
        <v>1606</v>
      </c>
      <c r="L1315" s="1" t="s">
        <v>1716</v>
      </c>
      <c r="M1315" s="1" t="s">
        <v>1735</v>
      </c>
      <c r="N1315" t="s">
        <v>1981</v>
      </c>
      <c r="O1315" t="s">
        <v>2162</v>
      </c>
      <c r="P1315" t="s">
        <v>3134</v>
      </c>
      <c r="Q1315">
        <v>796.68</v>
      </c>
      <c r="R1315" s="1" t="s">
        <v>1463</v>
      </c>
      <c r="S1315">
        <v>1870</v>
      </c>
      <c r="T1315">
        <v>1489791</v>
      </c>
    </row>
    <row r="1316" spans="1:20" hidden="1" x14ac:dyDescent="0.4">
      <c r="A1316" s="1" t="s">
        <v>497</v>
      </c>
      <c r="B1316" s="1" t="s">
        <v>1455</v>
      </c>
      <c r="C1316" s="1" t="s">
        <v>1845</v>
      </c>
      <c r="D1316" s="1" t="s">
        <v>1462</v>
      </c>
      <c r="E1316">
        <v>20251212</v>
      </c>
      <c r="F1316" s="1" t="s">
        <v>1470</v>
      </c>
      <c r="G1316">
        <v>1</v>
      </c>
      <c r="H1316" s="1" t="s">
        <v>1503</v>
      </c>
      <c r="I1316" t="s">
        <v>1883</v>
      </c>
      <c r="J1316" s="1" t="s">
        <v>1456</v>
      </c>
      <c r="K1316" s="1" t="s">
        <v>1606</v>
      </c>
      <c r="L1316" s="1" t="s">
        <v>1716</v>
      </c>
      <c r="M1316" s="1" t="s">
        <v>1735</v>
      </c>
      <c r="N1316" t="s">
        <v>1981</v>
      </c>
      <c r="O1316" t="s">
        <v>2162</v>
      </c>
      <c r="P1316" t="s">
        <v>3135</v>
      </c>
      <c r="Q1316">
        <v>927.5</v>
      </c>
      <c r="R1316" s="1" t="s">
        <v>1463</v>
      </c>
      <c r="S1316">
        <v>2193</v>
      </c>
      <c r="T1316">
        <v>2034007</v>
      </c>
    </row>
    <row r="1317" spans="1:20" hidden="1" x14ac:dyDescent="0.4">
      <c r="A1317" s="1" t="s">
        <v>497</v>
      </c>
      <c r="B1317" s="1" t="s">
        <v>1456</v>
      </c>
      <c r="C1317" s="1" t="s">
        <v>1845</v>
      </c>
      <c r="D1317" s="1" t="s">
        <v>1462</v>
      </c>
      <c r="E1317">
        <v>20251212</v>
      </c>
      <c r="F1317" s="1" t="s">
        <v>1470</v>
      </c>
      <c r="G1317">
        <v>1</v>
      </c>
      <c r="H1317" s="1" t="s">
        <v>1503</v>
      </c>
      <c r="I1317" t="s">
        <v>1883</v>
      </c>
      <c r="J1317" s="1" t="s">
        <v>1456</v>
      </c>
      <c r="K1317" s="1" t="s">
        <v>1606</v>
      </c>
      <c r="L1317" s="1" t="s">
        <v>1716</v>
      </c>
      <c r="M1317" s="1" t="s">
        <v>1735</v>
      </c>
      <c r="N1317" t="s">
        <v>1981</v>
      </c>
      <c r="O1317" t="s">
        <v>2162</v>
      </c>
      <c r="P1317" t="s">
        <v>3135</v>
      </c>
      <c r="Q1317">
        <v>795.86</v>
      </c>
      <c r="R1317" s="1" t="s">
        <v>1463</v>
      </c>
      <c r="S1317">
        <v>1870</v>
      </c>
      <c r="T1317">
        <v>1488258</v>
      </c>
    </row>
    <row r="1318" spans="1:20" hidden="1" x14ac:dyDescent="0.4">
      <c r="A1318" s="1" t="s">
        <v>498</v>
      </c>
      <c r="B1318" s="1" t="s">
        <v>1453</v>
      </c>
      <c r="C1318" s="1" t="s">
        <v>1845</v>
      </c>
      <c r="D1318" s="1" t="s">
        <v>1731</v>
      </c>
      <c r="E1318">
        <v>20251212</v>
      </c>
      <c r="F1318" s="1" t="s">
        <v>1473</v>
      </c>
      <c r="G1318">
        <v>4</v>
      </c>
      <c r="H1318" s="1" t="s">
        <v>1494</v>
      </c>
      <c r="I1318" t="s">
        <v>1874</v>
      </c>
      <c r="J1318" s="1" t="s">
        <v>1453</v>
      </c>
      <c r="K1318" s="1" t="s">
        <v>1672</v>
      </c>
      <c r="L1318" s="1" t="s">
        <v>1725</v>
      </c>
      <c r="M1318" s="1" t="s">
        <v>1811</v>
      </c>
      <c r="N1318" t="s">
        <v>2061</v>
      </c>
      <c r="O1318" t="s">
        <v>2157</v>
      </c>
      <c r="P1318" t="s">
        <v>3187</v>
      </c>
      <c r="Q1318">
        <v>5</v>
      </c>
      <c r="R1318" s="1" t="s">
        <v>1463</v>
      </c>
      <c r="S1318">
        <v>990</v>
      </c>
      <c r="T1318">
        <v>4950</v>
      </c>
    </row>
    <row r="1319" spans="1:20" hidden="1" x14ac:dyDescent="0.4">
      <c r="A1319" s="1" t="s">
        <v>498</v>
      </c>
      <c r="B1319" s="1" t="s">
        <v>1454</v>
      </c>
      <c r="C1319" s="1" t="s">
        <v>1845</v>
      </c>
      <c r="D1319" s="1" t="s">
        <v>1731</v>
      </c>
      <c r="E1319">
        <v>20251212</v>
      </c>
      <c r="F1319" s="1" t="s">
        <v>1473</v>
      </c>
      <c r="G1319">
        <v>4</v>
      </c>
      <c r="H1319" s="1" t="s">
        <v>1494</v>
      </c>
      <c r="I1319" t="s">
        <v>1874</v>
      </c>
      <c r="J1319" s="1" t="s">
        <v>1453</v>
      </c>
      <c r="K1319" s="1" t="s">
        <v>1672</v>
      </c>
      <c r="L1319" s="1" t="s">
        <v>1725</v>
      </c>
      <c r="M1319" s="1" t="s">
        <v>1811</v>
      </c>
      <c r="N1319" t="s">
        <v>2061</v>
      </c>
      <c r="O1319" t="s">
        <v>2157</v>
      </c>
      <c r="P1319" t="s">
        <v>3187</v>
      </c>
      <c r="Q1319">
        <v>5</v>
      </c>
      <c r="R1319" s="1" t="s">
        <v>1463</v>
      </c>
      <c r="S1319">
        <v>990</v>
      </c>
      <c r="T1319">
        <v>4950</v>
      </c>
    </row>
    <row r="1320" spans="1:20" hidden="1" x14ac:dyDescent="0.4">
      <c r="A1320" s="1" t="s">
        <v>499</v>
      </c>
      <c r="B1320" s="1" t="s">
        <v>1453</v>
      </c>
      <c r="C1320" s="1" t="s">
        <v>1845</v>
      </c>
      <c r="D1320" s="1" t="s">
        <v>1731</v>
      </c>
      <c r="E1320">
        <v>20251212</v>
      </c>
      <c r="F1320" s="1" t="s">
        <v>1472</v>
      </c>
      <c r="G1320">
        <v>4</v>
      </c>
      <c r="H1320" s="1" t="s">
        <v>1494</v>
      </c>
      <c r="I1320" t="s">
        <v>1874</v>
      </c>
      <c r="J1320" s="1" t="s">
        <v>1457</v>
      </c>
      <c r="K1320" s="1" t="s">
        <v>1597</v>
      </c>
      <c r="L1320" s="1" t="s">
        <v>1719</v>
      </c>
      <c r="M1320" s="1" t="s">
        <v>1762</v>
      </c>
      <c r="N1320" t="s">
        <v>1972</v>
      </c>
      <c r="O1320" t="s">
        <v>2165</v>
      </c>
      <c r="P1320" t="s">
        <v>3108</v>
      </c>
      <c r="Q1320">
        <v>562.74</v>
      </c>
      <c r="R1320" s="1" t="s">
        <v>1839</v>
      </c>
      <c r="S1320">
        <v>2630.99</v>
      </c>
      <c r="T1320">
        <v>1480568</v>
      </c>
    </row>
    <row r="1321" spans="1:20" hidden="1" x14ac:dyDescent="0.4">
      <c r="A1321" s="1" t="s">
        <v>499</v>
      </c>
      <c r="B1321" s="1" t="s">
        <v>1454</v>
      </c>
      <c r="C1321" s="1" t="s">
        <v>1845</v>
      </c>
      <c r="D1321" s="1" t="s">
        <v>1731</v>
      </c>
      <c r="E1321">
        <v>20251212</v>
      </c>
      <c r="F1321" s="1" t="s">
        <v>1472</v>
      </c>
      <c r="G1321">
        <v>4</v>
      </c>
      <c r="H1321" s="1" t="s">
        <v>1494</v>
      </c>
      <c r="I1321" t="s">
        <v>1874</v>
      </c>
      <c r="J1321" s="1" t="s">
        <v>1457</v>
      </c>
      <c r="K1321" s="1" t="s">
        <v>1597</v>
      </c>
      <c r="L1321" s="1" t="s">
        <v>1719</v>
      </c>
      <c r="M1321" s="1" t="s">
        <v>1762</v>
      </c>
      <c r="N1321" t="s">
        <v>1972</v>
      </c>
      <c r="O1321" t="s">
        <v>2165</v>
      </c>
      <c r="P1321" t="s">
        <v>3188</v>
      </c>
      <c r="Q1321">
        <v>86.85</v>
      </c>
      <c r="R1321" s="1" t="s">
        <v>1839</v>
      </c>
      <c r="S1321">
        <v>2630.99</v>
      </c>
      <c r="T1321">
        <v>228502</v>
      </c>
    </row>
    <row r="1322" spans="1:20" hidden="1" x14ac:dyDescent="0.4">
      <c r="A1322" s="1" t="s">
        <v>500</v>
      </c>
      <c r="B1322" s="1" t="s">
        <v>1453</v>
      </c>
      <c r="C1322" s="1" t="s">
        <v>1845</v>
      </c>
      <c r="D1322" s="1" t="s">
        <v>1731</v>
      </c>
      <c r="E1322">
        <v>20251212</v>
      </c>
      <c r="F1322" s="1" t="s">
        <v>1472</v>
      </c>
      <c r="G1322">
        <v>4</v>
      </c>
      <c r="H1322" s="1" t="s">
        <v>1494</v>
      </c>
      <c r="I1322" t="s">
        <v>1874</v>
      </c>
      <c r="J1322" s="1" t="s">
        <v>1457</v>
      </c>
      <c r="K1322" s="1" t="s">
        <v>1597</v>
      </c>
      <c r="L1322" s="1" t="s">
        <v>1719</v>
      </c>
      <c r="M1322" s="1" t="s">
        <v>1762</v>
      </c>
      <c r="N1322" t="s">
        <v>1972</v>
      </c>
      <c r="O1322" t="s">
        <v>2165</v>
      </c>
      <c r="P1322" t="s">
        <v>3108</v>
      </c>
      <c r="Q1322">
        <v>328.26</v>
      </c>
      <c r="R1322" s="1" t="s">
        <v>1839</v>
      </c>
      <c r="S1322">
        <v>2630.99</v>
      </c>
      <c r="T1322">
        <v>863652</v>
      </c>
    </row>
    <row r="1323" spans="1:20" hidden="1" x14ac:dyDescent="0.4">
      <c r="A1323" s="1" t="s">
        <v>501</v>
      </c>
      <c r="B1323" s="1" t="s">
        <v>1453</v>
      </c>
      <c r="C1323" s="1" t="s">
        <v>1845</v>
      </c>
      <c r="D1323" s="1" t="s">
        <v>1731</v>
      </c>
      <c r="E1323">
        <v>20251212</v>
      </c>
      <c r="F1323" s="1" t="s">
        <v>1473</v>
      </c>
      <c r="G1323">
        <v>4</v>
      </c>
      <c r="H1323" s="1" t="s">
        <v>1494</v>
      </c>
      <c r="I1323" t="s">
        <v>1874</v>
      </c>
      <c r="J1323" s="1" t="s">
        <v>1453</v>
      </c>
      <c r="K1323" s="1" t="s">
        <v>1598</v>
      </c>
      <c r="L1323" s="1" t="s">
        <v>1718</v>
      </c>
      <c r="M1323" s="1" t="s">
        <v>1765</v>
      </c>
      <c r="N1323" t="s">
        <v>1973</v>
      </c>
      <c r="O1323" t="s">
        <v>2164</v>
      </c>
      <c r="P1323" t="s">
        <v>3084</v>
      </c>
      <c r="Q1323">
        <v>42.22</v>
      </c>
      <c r="R1323" s="1" t="s">
        <v>1839</v>
      </c>
      <c r="S1323">
        <v>3020.98</v>
      </c>
      <c r="T1323">
        <v>127546</v>
      </c>
    </row>
    <row r="1324" spans="1:20" hidden="1" x14ac:dyDescent="0.4">
      <c r="A1324" s="1" t="s">
        <v>501</v>
      </c>
      <c r="B1324" s="1" t="s">
        <v>1454</v>
      </c>
      <c r="C1324" s="1" t="s">
        <v>1845</v>
      </c>
      <c r="D1324" s="1" t="s">
        <v>1731</v>
      </c>
      <c r="E1324">
        <v>20251212</v>
      </c>
      <c r="F1324" s="1" t="s">
        <v>1473</v>
      </c>
      <c r="G1324">
        <v>4</v>
      </c>
      <c r="H1324" s="1" t="s">
        <v>1494</v>
      </c>
      <c r="I1324" t="s">
        <v>1874</v>
      </c>
      <c r="J1324" s="1" t="s">
        <v>1453</v>
      </c>
      <c r="K1324" s="1" t="s">
        <v>1598</v>
      </c>
      <c r="L1324" s="1" t="s">
        <v>1718</v>
      </c>
      <c r="M1324" s="1" t="s">
        <v>1765</v>
      </c>
      <c r="N1324" t="s">
        <v>1973</v>
      </c>
      <c r="O1324" t="s">
        <v>2164</v>
      </c>
      <c r="P1324" t="s">
        <v>3084</v>
      </c>
      <c r="Q1324">
        <v>35.299999999999997</v>
      </c>
      <c r="R1324" s="1" t="s">
        <v>1839</v>
      </c>
      <c r="S1324">
        <v>3020.99</v>
      </c>
      <c r="T1324">
        <v>106641</v>
      </c>
    </row>
    <row r="1325" spans="1:20" hidden="1" x14ac:dyDescent="0.4">
      <c r="A1325" s="1" t="s">
        <v>501</v>
      </c>
      <c r="B1325" s="1" t="s">
        <v>1455</v>
      </c>
      <c r="C1325" s="1" t="s">
        <v>1845</v>
      </c>
      <c r="D1325" s="1" t="s">
        <v>1731</v>
      </c>
      <c r="E1325">
        <v>20251212</v>
      </c>
      <c r="F1325" s="1" t="s">
        <v>1473</v>
      </c>
      <c r="G1325">
        <v>4</v>
      </c>
      <c r="H1325" s="1" t="s">
        <v>1494</v>
      </c>
      <c r="I1325" t="s">
        <v>1874</v>
      </c>
      <c r="J1325" s="1" t="s">
        <v>1453</v>
      </c>
      <c r="K1325" s="1" t="s">
        <v>1598</v>
      </c>
      <c r="L1325" s="1" t="s">
        <v>1718</v>
      </c>
      <c r="M1325" s="1" t="s">
        <v>1765</v>
      </c>
      <c r="N1325" t="s">
        <v>1973</v>
      </c>
      <c r="O1325" t="s">
        <v>2164</v>
      </c>
      <c r="P1325" t="s">
        <v>3084</v>
      </c>
      <c r="Q1325">
        <v>46.59</v>
      </c>
      <c r="R1325" s="1" t="s">
        <v>1839</v>
      </c>
      <c r="S1325">
        <v>3020.99</v>
      </c>
      <c r="T1325">
        <v>140748</v>
      </c>
    </row>
    <row r="1326" spans="1:20" hidden="1" x14ac:dyDescent="0.4">
      <c r="A1326" s="1" t="s">
        <v>501</v>
      </c>
      <c r="B1326" s="1" t="s">
        <v>1456</v>
      </c>
      <c r="C1326" s="1" t="s">
        <v>1845</v>
      </c>
      <c r="D1326" s="1" t="s">
        <v>1731</v>
      </c>
      <c r="E1326">
        <v>20251212</v>
      </c>
      <c r="F1326" s="1" t="s">
        <v>1473</v>
      </c>
      <c r="G1326">
        <v>4</v>
      </c>
      <c r="H1326" s="1" t="s">
        <v>1494</v>
      </c>
      <c r="I1326" t="s">
        <v>1874</v>
      </c>
      <c r="J1326" s="1" t="s">
        <v>1453</v>
      </c>
      <c r="K1326" s="1" t="s">
        <v>1598</v>
      </c>
      <c r="L1326" s="1" t="s">
        <v>1718</v>
      </c>
      <c r="M1326" s="1" t="s">
        <v>1765</v>
      </c>
      <c r="N1326" t="s">
        <v>1973</v>
      </c>
      <c r="O1326" t="s">
        <v>2164</v>
      </c>
      <c r="P1326" t="s">
        <v>3084</v>
      </c>
      <c r="Q1326">
        <v>91</v>
      </c>
      <c r="R1326" s="1" t="s">
        <v>1839</v>
      </c>
      <c r="S1326">
        <v>3021</v>
      </c>
      <c r="T1326">
        <v>274911</v>
      </c>
    </row>
    <row r="1327" spans="1:20" hidden="1" x14ac:dyDescent="0.4">
      <c r="A1327" s="1" t="s">
        <v>501</v>
      </c>
      <c r="B1327" s="1" t="s">
        <v>1457</v>
      </c>
      <c r="C1327" s="1" t="s">
        <v>1845</v>
      </c>
      <c r="D1327" s="1" t="s">
        <v>1731</v>
      </c>
      <c r="E1327">
        <v>20251212</v>
      </c>
      <c r="F1327" s="1" t="s">
        <v>1473</v>
      </c>
      <c r="G1327">
        <v>4</v>
      </c>
      <c r="H1327" s="1" t="s">
        <v>1494</v>
      </c>
      <c r="I1327" t="s">
        <v>1874</v>
      </c>
      <c r="J1327" s="1" t="s">
        <v>1453</v>
      </c>
      <c r="K1327" s="1" t="s">
        <v>1598</v>
      </c>
      <c r="L1327" s="1" t="s">
        <v>1718</v>
      </c>
      <c r="M1327" s="1" t="s">
        <v>1765</v>
      </c>
      <c r="N1327" t="s">
        <v>1973</v>
      </c>
      <c r="O1327" t="s">
        <v>2164</v>
      </c>
      <c r="P1327" t="s">
        <v>3084</v>
      </c>
      <c r="Q1327">
        <v>74.62</v>
      </c>
      <c r="R1327" s="1" t="s">
        <v>1839</v>
      </c>
      <c r="S1327">
        <v>3020.99</v>
      </c>
      <c r="T1327">
        <v>225427</v>
      </c>
    </row>
    <row r="1328" spans="1:20" hidden="1" x14ac:dyDescent="0.4">
      <c r="A1328" s="1" t="s">
        <v>501</v>
      </c>
      <c r="B1328" s="1" t="s">
        <v>1458</v>
      </c>
      <c r="C1328" s="1" t="s">
        <v>1845</v>
      </c>
      <c r="D1328" s="1" t="s">
        <v>1731</v>
      </c>
      <c r="E1328">
        <v>20251212</v>
      </c>
      <c r="F1328" s="1" t="s">
        <v>1473</v>
      </c>
      <c r="G1328">
        <v>4</v>
      </c>
      <c r="H1328" s="1" t="s">
        <v>1494</v>
      </c>
      <c r="I1328" t="s">
        <v>1874</v>
      </c>
      <c r="J1328" s="1" t="s">
        <v>1453</v>
      </c>
      <c r="K1328" s="1" t="s">
        <v>1598</v>
      </c>
      <c r="L1328" s="1" t="s">
        <v>1718</v>
      </c>
      <c r="M1328" s="1" t="s">
        <v>1765</v>
      </c>
      <c r="N1328" t="s">
        <v>1973</v>
      </c>
      <c r="O1328" t="s">
        <v>2164</v>
      </c>
      <c r="P1328" t="s">
        <v>3084</v>
      </c>
      <c r="Q1328">
        <v>76.44</v>
      </c>
      <c r="R1328" s="1" t="s">
        <v>1839</v>
      </c>
      <c r="S1328">
        <v>3020.99</v>
      </c>
      <c r="T1328">
        <v>230925</v>
      </c>
    </row>
    <row r="1329" spans="1:20" hidden="1" x14ac:dyDescent="0.4">
      <c r="A1329" s="1" t="s">
        <v>502</v>
      </c>
      <c r="B1329" s="1" t="s">
        <v>1453</v>
      </c>
      <c r="C1329" s="1" t="s">
        <v>1845</v>
      </c>
      <c r="D1329" s="1" t="s">
        <v>1462</v>
      </c>
      <c r="E1329">
        <v>20251212</v>
      </c>
      <c r="F1329" s="1" t="s">
        <v>1471</v>
      </c>
      <c r="G1329">
        <v>4</v>
      </c>
      <c r="H1329" s="1" t="s">
        <v>1498</v>
      </c>
      <c r="I1329" t="s">
        <v>1878</v>
      </c>
      <c r="J1329" s="1" t="s">
        <v>1460</v>
      </c>
      <c r="K1329" s="1" t="s">
        <v>1659</v>
      </c>
      <c r="L1329" s="1" t="s">
        <v>1731</v>
      </c>
      <c r="M1329" s="1" t="s">
        <v>1807</v>
      </c>
      <c r="N1329" t="s">
        <v>2047</v>
      </c>
      <c r="O1329" t="s">
        <v>2178</v>
      </c>
      <c r="P1329" t="s">
        <v>3176</v>
      </c>
      <c r="Q1329">
        <v>500</v>
      </c>
      <c r="R1329" s="1" t="s">
        <v>1463</v>
      </c>
      <c r="S1329">
        <v>696</v>
      </c>
      <c r="T1329">
        <v>348000</v>
      </c>
    </row>
    <row r="1330" spans="1:20" hidden="1" x14ac:dyDescent="0.4">
      <c r="A1330" s="1" t="s">
        <v>503</v>
      </c>
      <c r="B1330" s="1" t="s">
        <v>1453</v>
      </c>
      <c r="C1330" s="1" t="s">
        <v>1845</v>
      </c>
      <c r="D1330" s="1" t="s">
        <v>1462</v>
      </c>
      <c r="E1330">
        <v>20251212</v>
      </c>
      <c r="F1330" s="1" t="s">
        <v>1471</v>
      </c>
      <c r="G1330">
        <v>4</v>
      </c>
      <c r="H1330" s="1" t="s">
        <v>1498</v>
      </c>
      <c r="I1330" t="s">
        <v>1878</v>
      </c>
      <c r="J1330" s="1" t="s">
        <v>1460</v>
      </c>
      <c r="K1330" s="1" t="s">
        <v>1649</v>
      </c>
      <c r="L1330" s="1" t="s">
        <v>1731</v>
      </c>
      <c r="M1330" s="1" t="s">
        <v>1761</v>
      </c>
      <c r="N1330" t="s">
        <v>2031</v>
      </c>
      <c r="O1330" t="s">
        <v>2178</v>
      </c>
      <c r="P1330" t="s">
        <v>3156</v>
      </c>
      <c r="Q1330">
        <v>250</v>
      </c>
      <c r="R1330" s="1" t="s">
        <v>1463</v>
      </c>
      <c r="S1330">
        <v>1450</v>
      </c>
      <c r="T1330">
        <v>362500</v>
      </c>
    </row>
    <row r="1331" spans="1:20" hidden="1" x14ac:dyDescent="0.4">
      <c r="A1331" s="1" t="s">
        <v>504</v>
      </c>
      <c r="B1331" s="1" t="s">
        <v>1453</v>
      </c>
      <c r="C1331" s="1" t="s">
        <v>1845</v>
      </c>
      <c r="D1331" s="1" t="s">
        <v>1462</v>
      </c>
      <c r="E1331">
        <v>20251212</v>
      </c>
      <c r="F1331" s="1" t="s">
        <v>1471</v>
      </c>
      <c r="G1331">
        <v>4</v>
      </c>
      <c r="H1331" s="1" t="s">
        <v>1498</v>
      </c>
      <c r="I1331" t="s">
        <v>1878</v>
      </c>
      <c r="J1331" s="1" t="s">
        <v>1460</v>
      </c>
      <c r="K1331" s="1" t="s">
        <v>1628</v>
      </c>
      <c r="L1331" s="1" t="s">
        <v>1731</v>
      </c>
      <c r="M1331" s="1" t="s">
        <v>1735</v>
      </c>
      <c r="N1331" t="s">
        <v>2062</v>
      </c>
      <c r="O1331" t="s">
        <v>2178</v>
      </c>
      <c r="P1331" t="s">
        <v>3189</v>
      </c>
      <c r="Q1331">
        <v>12500</v>
      </c>
      <c r="R1331" s="1" t="s">
        <v>1463</v>
      </c>
      <c r="S1331">
        <v>442</v>
      </c>
      <c r="T1331">
        <v>5525000</v>
      </c>
    </row>
    <row r="1332" spans="1:20" hidden="1" x14ac:dyDescent="0.4">
      <c r="A1332" s="1" t="s">
        <v>505</v>
      </c>
      <c r="B1332" s="1" t="s">
        <v>1453</v>
      </c>
      <c r="C1332" s="1" t="s">
        <v>1845</v>
      </c>
      <c r="D1332" s="1" t="s">
        <v>1462</v>
      </c>
      <c r="E1332">
        <v>20251215</v>
      </c>
      <c r="F1332" s="1" t="s">
        <v>1473</v>
      </c>
      <c r="G1332">
        <v>1</v>
      </c>
      <c r="H1332" s="1" t="s">
        <v>1493</v>
      </c>
      <c r="I1332" t="s">
        <v>1873</v>
      </c>
      <c r="J1332" s="1" t="s">
        <v>1453</v>
      </c>
      <c r="K1332" s="1" t="s">
        <v>1601</v>
      </c>
      <c r="L1332" s="1" t="s">
        <v>1716</v>
      </c>
      <c r="M1332" s="1" t="s">
        <v>1785</v>
      </c>
      <c r="N1332" t="s">
        <v>1976</v>
      </c>
      <c r="O1332" t="s">
        <v>2162</v>
      </c>
      <c r="P1332" t="s">
        <v>3136</v>
      </c>
      <c r="Q1332">
        <v>1159.8</v>
      </c>
      <c r="R1332" s="1" t="s">
        <v>1463</v>
      </c>
      <c r="S1332">
        <v>560</v>
      </c>
      <c r="T1332">
        <v>649488</v>
      </c>
    </row>
    <row r="1333" spans="1:20" hidden="1" x14ac:dyDescent="0.4">
      <c r="A1333" s="1" t="s">
        <v>506</v>
      </c>
      <c r="B1333" s="1" t="s">
        <v>1453</v>
      </c>
      <c r="C1333" s="1" t="s">
        <v>1845</v>
      </c>
      <c r="D1333" s="1" t="s">
        <v>1731</v>
      </c>
      <c r="E1333">
        <v>20251215</v>
      </c>
      <c r="F1333" s="1" t="s">
        <v>1470</v>
      </c>
      <c r="G1333">
        <v>4</v>
      </c>
      <c r="H1333" s="1" t="s">
        <v>1494</v>
      </c>
      <c r="I1333" t="s">
        <v>1874</v>
      </c>
      <c r="J1333" s="1" t="s">
        <v>1456</v>
      </c>
      <c r="K1333" s="1" t="s">
        <v>1599</v>
      </c>
      <c r="L1333" s="1" t="s">
        <v>1729</v>
      </c>
      <c r="M1333" s="1" t="s">
        <v>1737</v>
      </c>
      <c r="N1333" t="s">
        <v>2063</v>
      </c>
      <c r="O1333" t="s">
        <v>2157</v>
      </c>
      <c r="P1333" t="s">
        <v>2157</v>
      </c>
      <c r="Q1333">
        <v>12.3</v>
      </c>
      <c r="R1333" s="1" t="s">
        <v>1839</v>
      </c>
      <c r="S1333">
        <v>1071.95</v>
      </c>
      <c r="T1333">
        <v>13185</v>
      </c>
    </row>
    <row r="1334" spans="1:20" hidden="1" x14ac:dyDescent="0.4">
      <c r="A1334" s="1" t="s">
        <v>506</v>
      </c>
      <c r="B1334" s="1" t="s">
        <v>1454</v>
      </c>
      <c r="C1334" s="1" t="s">
        <v>1845</v>
      </c>
      <c r="D1334" s="1" t="s">
        <v>1731</v>
      </c>
      <c r="E1334">
        <v>20251215</v>
      </c>
      <c r="F1334" s="1" t="s">
        <v>1470</v>
      </c>
      <c r="G1334">
        <v>4</v>
      </c>
      <c r="H1334" s="1" t="s">
        <v>1494</v>
      </c>
      <c r="I1334" t="s">
        <v>1874</v>
      </c>
      <c r="J1334" s="1" t="s">
        <v>1456</v>
      </c>
      <c r="K1334" s="1" t="s">
        <v>1599</v>
      </c>
      <c r="L1334" s="1" t="s">
        <v>1729</v>
      </c>
      <c r="M1334" s="1" t="s">
        <v>1737</v>
      </c>
      <c r="N1334" t="s">
        <v>2063</v>
      </c>
      <c r="O1334" t="s">
        <v>2157</v>
      </c>
      <c r="P1334" t="s">
        <v>2157</v>
      </c>
      <c r="Q1334">
        <v>12.3</v>
      </c>
      <c r="R1334" s="1" t="s">
        <v>1839</v>
      </c>
      <c r="S1334">
        <v>1071.95</v>
      </c>
      <c r="T1334">
        <v>13185</v>
      </c>
    </row>
    <row r="1335" spans="1:20" hidden="1" x14ac:dyDescent="0.4">
      <c r="A1335" s="1" t="s">
        <v>506</v>
      </c>
      <c r="B1335" s="1" t="s">
        <v>1455</v>
      </c>
      <c r="C1335" s="1" t="s">
        <v>1845</v>
      </c>
      <c r="D1335" s="1" t="s">
        <v>1731</v>
      </c>
      <c r="E1335">
        <v>20251215</v>
      </c>
      <c r="F1335" s="1" t="s">
        <v>1470</v>
      </c>
      <c r="G1335">
        <v>4</v>
      </c>
      <c r="H1335" s="1" t="s">
        <v>1494</v>
      </c>
      <c r="I1335" t="s">
        <v>1874</v>
      </c>
      <c r="J1335" s="1" t="s">
        <v>1456</v>
      </c>
      <c r="K1335" s="1" t="s">
        <v>1599</v>
      </c>
      <c r="L1335" s="1" t="s">
        <v>1729</v>
      </c>
      <c r="M1335" s="1" t="s">
        <v>1737</v>
      </c>
      <c r="N1335" t="s">
        <v>2063</v>
      </c>
      <c r="O1335" t="s">
        <v>2157</v>
      </c>
      <c r="P1335" t="s">
        <v>2157</v>
      </c>
      <c r="Q1335">
        <v>12.3</v>
      </c>
      <c r="R1335" s="1" t="s">
        <v>1839</v>
      </c>
      <c r="S1335">
        <v>1071.95</v>
      </c>
      <c r="T1335">
        <v>13185</v>
      </c>
    </row>
    <row r="1336" spans="1:20" hidden="1" x14ac:dyDescent="0.4">
      <c r="A1336" s="1" t="s">
        <v>506</v>
      </c>
      <c r="B1336" s="1" t="s">
        <v>1456</v>
      </c>
      <c r="C1336" s="1" t="s">
        <v>1845</v>
      </c>
      <c r="D1336" s="1" t="s">
        <v>1731</v>
      </c>
      <c r="E1336">
        <v>20251215</v>
      </c>
      <c r="F1336" s="1" t="s">
        <v>1470</v>
      </c>
      <c r="G1336">
        <v>4</v>
      </c>
      <c r="H1336" s="1" t="s">
        <v>1494</v>
      </c>
      <c r="I1336" t="s">
        <v>1874</v>
      </c>
      <c r="J1336" s="1" t="s">
        <v>1456</v>
      </c>
      <c r="K1336" s="1" t="s">
        <v>1599</v>
      </c>
      <c r="L1336" s="1" t="s">
        <v>1729</v>
      </c>
      <c r="M1336" s="1" t="s">
        <v>1737</v>
      </c>
      <c r="N1336" t="s">
        <v>2063</v>
      </c>
      <c r="O1336" t="s">
        <v>2157</v>
      </c>
      <c r="P1336" t="s">
        <v>2157</v>
      </c>
      <c r="Q1336">
        <v>12.6</v>
      </c>
      <c r="R1336" s="1" t="s">
        <v>1839</v>
      </c>
      <c r="S1336">
        <v>1071.98</v>
      </c>
      <c r="T1336">
        <v>13507</v>
      </c>
    </row>
    <row r="1337" spans="1:20" hidden="1" x14ac:dyDescent="0.4">
      <c r="A1337" s="1" t="s">
        <v>506</v>
      </c>
      <c r="B1337" s="1" t="s">
        <v>1457</v>
      </c>
      <c r="C1337" s="1" t="s">
        <v>1845</v>
      </c>
      <c r="D1337" s="1" t="s">
        <v>1731</v>
      </c>
      <c r="E1337">
        <v>20251215</v>
      </c>
      <c r="F1337" s="1" t="s">
        <v>1470</v>
      </c>
      <c r="G1337">
        <v>4</v>
      </c>
      <c r="H1337" s="1" t="s">
        <v>1494</v>
      </c>
      <c r="I1337" t="s">
        <v>1874</v>
      </c>
      <c r="J1337" s="1" t="s">
        <v>1456</v>
      </c>
      <c r="K1337" s="1" t="s">
        <v>1599</v>
      </c>
      <c r="L1337" s="1" t="s">
        <v>1729</v>
      </c>
      <c r="M1337" s="1" t="s">
        <v>1737</v>
      </c>
      <c r="N1337" t="s">
        <v>2063</v>
      </c>
      <c r="O1337" t="s">
        <v>2157</v>
      </c>
      <c r="P1337" t="s">
        <v>2157</v>
      </c>
      <c r="Q1337">
        <v>12.3</v>
      </c>
      <c r="R1337" s="1" t="s">
        <v>1839</v>
      </c>
      <c r="S1337">
        <v>1071.95</v>
      </c>
      <c r="T1337">
        <v>13185</v>
      </c>
    </row>
    <row r="1338" spans="1:20" hidden="1" x14ac:dyDescent="0.4">
      <c r="A1338" s="1" t="s">
        <v>506</v>
      </c>
      <c r="B1338" s="1" t="s">
        <v>1458</v>
      </c>
      <c r="C1338" s="1" t="s">
        <v>1845</v>
      </c>
      <c r="D1338" s="1" t="s">
        <v>1731</v>
      </c>
      <c r="E1338">
        <v>20251215</v>
      </c>
      <c r="F1338" s="1" t="s">
        <v>1470</v>
      </c>
      <c r="G1338">
        <v>4</v>
      </c>
      <c r="H1338" s="1" t="s">
        <v>1494</v>
      </c>
      <c r="I1338" t="s">
        <v>1874</v>
      </c>
      <c r="J1338" s="1" t="s">
        <v>1456</v>
      </c>
      <c r="K1338" s="1" t="s">
        <v>1599</v>
      </c>
      <c r="L1338" s="1" t="s">
        <v>1729</v>
      </c>
      <c r="M1338" s="1" t="s">
        <v>1737</v>
      </c>
      <c r="N1338" t="s">
        <v>2063</v>
      </c>
      <c r="O1338" t="s">
        <v>2157</v>
      </c>
      <c r="P1338" t="s">
        <v>2157</v>
      </c>
      <c r="Q1338">
        <v>12.3</v>
      </c>
      <c r="R1338" s="1" t="s">
        <v>1839</v>
      </c>
      <c r="S1338">
        <v>1071.95</v>
      </c>
      <c r="T1338">
        <v>13185</v>
      </c>
    </row>
    <row r="1339" spans="1:20" hidden="1" x14ac:dyDescent="0.4">
      <c r="A1339" s="1" t="s">
        <v>506</v>
      </c>
      <c r="B1339" s="1" t="s">
        <v>1459</v>
      </c>
      <c r="C1339" s="1" t="s">
        <v>1845</v>
      </c>
      <c r="D1339" s="1" t="s">
        <v>1731</v>
      </c>
      <c r="E1339">
        <v>20251215</v>
      </c>
      <c r="F1339" s="1" t="s">
        <v>1470</v>
      </c>
      <c r="G1339">
        <v>4</v>
      </c>
      <c r="H1339" s="1" t="s">
        <v>1494</v>
      </c>
      <c r="I1339" t="s">
        <v>1874</v>
      </c>
      <c r="J1339" s="1" t="s">
        <v>1456</v>
      </c>
      <c r="K1339" s="1" t="s">
        <v>1599</v>
      </c>
      <c r="L1339" s="1" t="s">
        <v>1729</v>
      </c>
      <c r="M1339" s="1" t="s">
        <v>1737</v>
      </c>
      <c r="N1339" t="s">
        <v>2063</v>
      </c>
      <c r="O1339" t="s">
        <v>2157</v>
      </c>
      <c r="P1339" t="s">
        <v>2157</v>
      </c>
      <c r="Q1339">
        <v>12.42</v>
      </c>
      <c r="R1339" s="1" t="s">
        <v>1839</v>
      </c>
      <c r="S1339">
        <v>1071.98</v>
      </c>
      <c r="T1339">
        <v>13314</v>
      </c>
    </row>
    <row r="1340" spans="1:20" hidden="1" x14ac:dyDescent="0.4">
      <c r="A1340" s="1" t="s">
        <v>506</v>
      </c>
      <c r="B1340" s="1" t="s">
        <v>1460</v>
      </c>
      <c r="C1340" s="1" t="s">
        <v>1845</v>
      </c>
      <c r="D1340" s="1" t="s">
        <v>1731</v>
      </c>
      <c r="E1340">
        <v>20251215</v>
      </c>
      <c r="F1340" s="1" t="s">
        <v>1470</v>
      </c>
      <c r="G1340">
        <v>4</v>
      </c>
      <c r="H1340" s="1" t="s">
        <v>1494</v>
      </c>
      <c r="I1340" t="s">
        <v>1874</v>
      </c>
      <c r="J1340" s="1" t="s">
        <v>1456</v>
      </c>
      <c r="K1340" s="1" t="s">
        <v>1599</v>
      </c>
      <c r="L1340" s="1" t="s">
        <v>1729</v>
      </c>
      <c r="M1340" s="1" t="s">
        <v>1737</v>
      </c>
      <c r="N1340" t="s">
        <v>2063</v>
      </c>
      <c r="O1340" t="s">
        <v>2157</v>
      </c>
      <c r="P1340" t="s">
        <v>2157</v>
      </c>
      <c r="Q1340">
        <v>12.3</v>
      </c>
      <c r="R1340" s="1" t="s">
        <v>1839</v>
      </c>
      <c r="S1340">
        <v>1071.95</v>
      </c>
      <c r="T1340">
        <v>13185</v>
      </c>
    </row>
    <row r="1341" spans="1:20" hidden="1" x14ac:dyDescent="0.4">
      <c r="A1341" s="1" t="s">
        <v>506</v>
      </c>
      <c r="B1341" s="1" t="s">
        <v>1461</v>
      </c>
      <c r="C1341" s="1" t="s">
        <v>1845</v>
      </c>
      <c r="D1341" s="1" t="s">
        <v>1731</v>
      </c>
      <c r="E1341">
        <v>20251215</v>
      </c>
      <c r="F1341" s="1" t="s">
        <v>1470</v>
      </c>
      <c r="G1341">
        <v>4</v>
      </c>
      <c r="H1341" s="1" t="s">
        <v>1494</v>
      </c>
      <c r="I1341" t="s">
        <v>1874</v>
      </c>
      <c r="J1341" s="1" t="s">
        <v>1456</v>
      </c>
      <c r="K1341" s="1" t="s">
        <v>1599</v>
      </c>
      <c r="L1341" s="1" t="s">
        <v>1729</v>
      </c>
      <c r="M1341" s="1" t="s">
        <v>1737</v>
      </c>
      <c r="N1341" t="s">
        <v>2063</v>
      </c>
      <c r="O1341" t="s">
        <v>2157</v>
      </c>
      <c r="P1341" t="s">
        <v>2157</v>
      </c>
      <c r="Q1341">
        <v>12.42</v>
      </c>
      <c r="R1341" s="1" t="s">
        <v>1839</v>
      </c>
      <c r="S1341">
        <v>1071.98</v>
      </c>
      <c r="T1341">
        <v>13314</v>
      </c>
    </row>
    <row r="1342" spans="1:20" hidden="1" x14ac:dyDescent="0.4">
      <c r="A1342" s="1" t="s">
        <v>506</v>
      </c>
      <c r="B1342" s="1" t="s">
        <v>1462</v>
      </c>
      <c r="C1342" s="1" t="s">
        <v>1845</v>
      </c>
      <c r="D1342" s="1" t="s">
        <v>1731</v>
      </c>
      <c r="E1342">
        <v>20251215</v>
      </c>
      <c r="F1342" s="1" t="s">
        <v>1470</v>
      </c>
      <c r="G1342">
        <v>4</v>
      </c>
      <c r="H1342" s="1" t="s">
        <v>1494</v>
      </c>
      <c r="I1342" t="s">
        <v>1874</v>
      </c>
      <c r="J1342" s="1" t="s">
        <v>1456</v>
      </c>
      <c r="K1342" s="1" t="s">
        <v>1599</v>
      </c>
      <c r="L1342" s="1" t="s">
        <v>1729</v>
      </c>
      <c r="M1342" s="1" t="s">
        <v>1737</v>
      </c>
      <c r="N1342" t="s">
        <v>2063</v>
      </c>
      <c r="O1342" t="s">
        <v>2157</v>
      </c>
      <c r="P1342" t="s">
        <v>2157</v>
      </c>
      <c r="Q1342">
        <v>13.2</v>
      </c>
      <c r="R1342" s="1" t="s">
        <v>1839</v>
      </c>
      <c r="S1342">
        <v>1071.96</v>
      </c>
      <c r="T1342">
        <v>14150</v>
      </c>
    </row>
    <row r="1343" spans="1:20" hidden="1" x14ac:dyDescent="0.4">
      <c r="A1343" s="1" t="s">
        <v>506</v>
      </c>
      <c r="B1343" s="1" t="s">
        <v>1463</v>
      </c>
      <c r="C1343" s="1" t="s">
        <v>1845</v>
      </c>
      <c r="D1343" s="1" t="s">
        <v>1731</v>
      </c>
      <c r="E1343">
        <v>20251215</v>
      </c>
      <c r="F1343" s="1" t="s">
        <v>1470</v>
      </c>
      <c r="G1343">
        <v>4</v>
      </c>
      <c r="H1343" s="1" t="s">
        <v>1494</v>
      </c>
      <c r="I1343" t="s">
        <v>1874</v>
      </c>
      <c r="J1343" s="1" t="s">
        <v>1456</v>
      </c>
      <c r="K1343" s="1" t="s">
        <v>1599</v>
      </c>
      <c r="L1343" s="1" t="s">
        <v>1729</v>
      </c>
      <c r="M1343" s="1" t="s">
        <v>1737</v>
      </c>
      <c r="N1343" t="s">
        <v>2063</v>
      </c>
      <c r="O1343" t="s">
        <v>2157</v>
      </c>
      <c r="P1343" t="s">
        <v>2157</v>
      </c>
      <c r="Q1343">
        <v>12.3</v>
      </c>
      <c r="R1343" s="1" t="s">
        <v>1839</v>
      </c>
      <c r="S1343">
        <v>1071.95</v>
      </c>
      <c r="T1343">
        <v>13185</v>
      </c>
    </row>
    <row r="1344" spans="1:20" hidden="1" x14ac:dyDescent="0.4">
      <c r="A1344" s="1" t="s">
        <v>507</v>
      </c>
      <c r="B1344" s="1" t="s">
        <v>1453</v>
      </c>
      <c r="C1344" s="1" t="s">
        <v>1845</v>
      </c>
      <c r="D1344" s="1" t="s">
        <v>1731</v>
      </c>
      <c r="E1344">
        <v>20251215</v>
      </c>
      <c r="F1344" s="1" t="s">
        <v>1470</v>
      </c>
      <c r="G1344">
        <v>4</v>
      </c>
      <c r="H1344" s="1" t="s">
        <v>1494</v>
      </c>
      <c r="I1344" t="s">
        <v>1874</v>
      </c>
      <c r="J1344" s="1" t="s">
        <v>1456</v>
      </c>
      <c r="K1344" s="1" t="s">
        <v>1599</v>
      </c>
      <c r="L1344" s="1" t="s">
        <v>1729</v>
      </c>
      <c r="M1344" s="1" t="s">
        <v>1737</v>
      </c>
      <c r="N1344" t="s">
        <v>2063</v>
      </c>
      <c r="O1344" t="s">
        <v>2157</v>
      </c>
      <c r="P1344" t="s">
        <v>2157</v>
      </c>
      <c r="Q1344">
        <v>12.3</v>
      </c>
      <c r="R1344" s="1" t="s">
        <v>1839</v>
      </c>
      <c r="S1344">
        <v>1071.95</v>
      </c>
      <c r="T1344">
        <v>13185</v>
      </c>
    </row>
    <row r="1345" spans="1:20" hidden="1" x14ac:dyDescent="0.4">
      <c r="A1345" s="1" t="s">
        <v>507</v>
      </c>
      <c r="B1345" s="1" t="s">
        <v>1454</v>
      </c>
      <c r="C1345" s="1" t="s">
        <v>1845</v>
      </c>
      <c r="D1345" s="1" t="s">
        <v>1731</v>
      </c>
      <c r="E1345">
        <v>20251215</v>
      </c>
      <c r="F1345" s="1" t="s">
        <v>1470</v>
      </c>
      <c r="G1345">
        <v>4</v>
      </c>
      <c r="H1345" s="1" t="s">
        <v>1494</v>
      </c>
      <c r="I1345" t="s">
        <v>1874</v>
      </c>
      <c r="J1345" s="1" t="s">
        <v>1456</v>
      </c>
      <c r="K1345" s="1" t="s">
        <v>1599</v>
      </c>
      <c r="L1345" s="1" t="s">
        <v>1729</v>
      </c>
      <c r="M1345" s="1" t="s">
        <v>1737</v>
      </c>
      <c r="N1345" t="s">
        <v>2063</v>
      </c>
      <c r="O1345" t="s">
        <v>2157</v>
      </c>
      <c r="P1345" t="s">
        <v>2157</v>
      </c>
      <c r="Q1345">
        <v>12.3</v>
      </c>
      <c r="R1345" s="1" t="s">
        <v>1839</v>
      </c>
      <c r="S1345">
        <v>1071.95</v>
      </c>
      <c r="T1345">
        <v>13185</v>
      </c>
    </row>
    <row r="1346" spans="1:20" hidden="1" x14ac:dyDescent="0.4">
      <c r="A1346" s="1" t="s">
        <v>507</v>
      </c>
      <c r="B1346" s="1" t="s">
        <v>1455</v>
      </c>
      <c r="C1346" s="1" t="s">
        <v>1845</v>
      </c>
      <c r="D1346" s="1" t="s">
        <v>1731</v>
      </c>
      <c r="E1346">
        <v>20251215</v>
      </c>
      <c r="F1346" s="1" t="s">
        <v>1470</v>
      </c>
      <c r="G1346">
        <v>4</v>
      </c>
      <c r="H1346" s="1" t="s">
        <v>1494</v>
      </c>
      <c r="I1346" t="s">
        <v>1874</v>
      </c>
      <c r="J1346" s="1" t="s">
        <v>1456</v>
      </c>
      <c r="K1346" s="1" t="s">
        <v>1599</v>
      </c>
      <c r="L1346" s="1" t="s">
        <v>1729</v>
      </c>
      <c r="M1346" s="1" t="s">
        <v>1737</v>
      </c>
      <c r="N1346" t="s">
        <v>2063</v>
      </c>
      <c r="O1346" t="s">
        <v>2157</v>
      </c>
      <c r="P1346" t="s">
        <v>2157</v>
      </c>
      <c r="Q1346">
        <v>12.3</v>
      </c>
      <c r="R1346" s="1" t="s">
        <v>1839</v>
      </c>
      <c r="S1346">
        <v>1071.95</v>
      </c>
      <c r="T1346">
        <v>13185</v>
      </c>
    </row>
    <row r="1347" spans="1:20" hidden="1" x14ac:dyDescent="0.4">
      <c r="A1347" s="1" t="s">
        <v>507</v>
      </c>
      <c r="B1347" s="1" t="s">
        <v>1456</v>
      </c>
      <c r="C1347" s="1" t="s">
        <v>1845</v>
      </c>
      <c r="D1347" s="1" t="s">
        <v>1731</v>
      </c>
      <c r="E1347">
        <v>20251215</v>
      </c>
      <c r="F1347" s="1" t="s">
        <v>1470</v>
      </c>
      <c r="G1347">
        <v>4</v>
      </c>
      <c r="H1347" s="1" t="s">
        <v>1494</v>
      </c>
      <c r="I1347" t="s">
        <v>1874</v>
      </c>
      <c r="J1347" s="1" t="s">
        <v>1456</v>
      </c>
      <c r="K1347" s="1" t="s">
        <v>1599</v>
      </c>
      <c r="L1347" s="1" t="s">
        <v>1729</v>
      </c>
      <c r="M1347" s="1" t="s">
        <v>1737</v>
      </c>
      <c r="N1347" t="s">
        <v>2063</v>
      </c>
      <c r="O1347" t="s">
        <v>2157</v>
      </c>
      <c r="P1347" t="s">
        <v>2157</v>
      </c>
      <c r="Q1347">
        <v>12.3</v>
      </c>
      <c r="R1347" s="1" t="s">
        <v>1839</v>
      </c>
      <c r="S1347">
        <v>1071.95</v>
      </c>
      <c r="T1347">
        <v>13185</v>
      </c>
    </row>
    <row r="1348" spans="1:20" hidden="1" x14ac:dyDescent="0.4">
      <c r="A1348" s="1" t="s">
        <v>507</v>
      </c>
      <c r="B1348" s="1" t="s">
        <v>1457</v>
      </c>
      <c r="C1348" s="1" t="s">
        <v>1845</v>
      </c>
      <c r="D1348" s="1" t="s">
        <v>1731</v>
      </c>
      <c r="E1348">
        <v>20251215</v>
      </c>
      <c r="F1348" s="1" t="s">
        <v>1470</v>
      </c>
      <c r="G1348">
        <v>4</v>
      </c>
      <c r="H1348" s="1" t="s">
        <v>1494</v>
      </c>
      <c r="I1348" t="s">
        <v>1874</v>
      </c>
      <c r="J1348" s="1" t="s">
        <v>1456</v>
      </c>
      <c r="K1348" s="1" t="s">
        <v>1599</v>
      </c>
      <c r="L1348" s="1" t="s">
        <v>1729</v>
      </c>
      <c r="M1348" s="1" t="s">
        <v>1737</v>
      </c>
      <c r="N1348" t="s">
        <v>2063</v>
      </c>
      <c r="O1348" t="s">
        <v>2157</v>
      </c>
      <c r="P1348" t="s">
        <v>2157</v>
      </c>
      <c r="Q1348">
        <v>12.3</v>
      </c>
      <c r="R1348" s="1" t="s">
        <v>1839</v>
      </c>
      <c r="S1348">
        <v>1071.95</v>
      </c>
      <c r="T1348">
        <v>13185</v>
      </c>
    </row>
    <row r="1349" spans="1:20" hidden="1" x14ac:dyDescent="0.4">
      <c r="A1349" s="1" t="s">
        <v>507</v>
      </c>
      <c r="B1349" s="1" t="s">
        <v>1458</v>
      </c>
      <c r="C1349" s="1" t="s">
        <v>1845</v>
      </c>
      <c r="D1349" s="1" t="s">
        <v>1731</v>
      </c>
      <c r="E1349">
        <v>20251215</v>
      </c>
      <c r="F1349" s="1" t="s">
        <v>1470</v>
      </c>
      <c r="G1349">
        <v>4</v>
      </c>
      <c r="H1349" s="1" t="s">
        <v>1494</v>
      </c>
      <c r="I1349" t="s">
        <v>1874</v>
      </c>
      <c r="J1349" s="1" t="s">
        <v>1456</v>
      </c>
      <c r="K1349" s="1" t="s">
        <v>1599</v>
      </c>
      <c r="L1349" s="1" t="s">
        <v>1729</v>
      </c>
      <c r="M1349" s="1" t="s">
        <v>1737</v>
      </c>
      <c r="N1349" t="s">
        <v>2063</v>
      </c>
      <c r="O1349" t="s">
        <v>2157</v>
      </c>
      <c r="P1349" t="s">
        <v>2157</v>
      </c>
      <c r="Q1349">
        <v>12.3</v>
      </c>
      <c r="R1349" s="1" t="s">
        <v>1839</v>
      </c>
      <c r="S1349">
        <v>1071.95</v>
      </c>
      <c r="T1349">
        <v>13185</v>
      </c>
    </row>
    <row r="1350" spans="1:20" hidden="1" x14ac:dyDescent="0.4">
      <c r="A1350" s="1" t="s">
        <v>507</v>
      </c>
      <c r="B1350" s="1" t="s">
        <v>1459</v>
      </c>
      <c r="C1350" s="1" t="s">
        <v>1845</v>
      </c>
      <c r="D1350" s="1" t="s">
        <v>1731</v>
      </c>
      <c r="E1350">
        <v>20251215</v>
      </c>
      <c r="F1350" s="1" t="s">
        <v>1470</v>
      </c>
      <c r="G1350">
        <v>4</v>
      </c>
      <c r="H1350" s="1" t="s">
        <v>1494</v>
      </c>
      <c r="I1350" t="s">
        <v>1874</v>
      </c>
      <c r="J1350" s="1" t="s">
        <v>1456</v>
      </c>
      <c r="K1350" s="1" t="s">
        <v>1599</v>
      </c>
      <c r="L1350" s="1" t="s">
        <v>1729</v>
      </c>
      <c r="M1350" s="1" t="s">
        <v>1737</v>
      </c>
      <c r="N1350" t="s">
        <v>2063</v>
      </c>
      <c r="O1350" t="s">
        <v>2157</v>
      </c>
      <c r="P1350" t="s">
        <v>2157</v>
      </c>
      <c r="Q1350">
        <v>12.3</v>
      </c>
      <c r="R1350" s="1" t="s">
        <v>1839</v>
      </c>
      <c r="S1350">
        <v>1071.95</v>
      </c>
      <c r="T1350">
        <v>13185</v>
      </c>
    </row>
    <row r="1351" spans="1:20" hidden="1" x14ac:dyDescent="0.4">
      <c r="A1351" s="1" t="s">
        <v>507</v>
      </c>
      <c r="B1351" s="1" t="s">
        <v>1460</v>
      </c>
      <c r="C1351" s="1" t="s">
        <v>1845</v>
      </c>
      <c r="D1351" s="1" t="s">
        <v>1731</v>
      </c>
      <c r="E1351">
        <v>20251215</v>
      </c>
      <c r="F1351" s="1" t="s">
        <v>1470</v>
      </c>
      <c r="G1351">
        <v>4</v>
      </c>
      <c r="H1351" s="1" t="s">
        <v>1494</v>
      </c>
      <c r="I1351" t="s">
        <v>1874</v>
      </c>
      <c r="J1351" s="1" t="s">
        <v>1456</v>
      </c>
      <c r="K1351" s="1" t="s">
        <v>1599</v>
      </c>
      <c r="L1351" s="1" t="s">
        <v>1729</v>
      </c>
      <c r="M1351" s="1" t="s">
        <v>1737</v>
      </c>
      <c r="N1351" t="s">
        <v>2063</v>
      </c>
      <c r="O1351" t="s">
        <v>2157</v>
      </c>
      <c r="P1351" t="s">
        <v>2157</v>
      </c>
      <c r="Q1351">
        <v>12.3</v>
      </c>
      <c r="R1351" s="1" t="s">
        <v>1839</v>
      </c>
      <c r="S1351">
        <v>1071.95</v>
      </c>
      <c r="T1351">
        <v>13185</v>
      </c>
    </row>
    <row r="1352" spans="1:20" hidden="1" x14ac:dyDescent="0.4">
      <c r="A1352" s="1" t="s">
        <v>507</v>
      </c>
      <c r="B1352" s="1" t="s">
        <v>1461</v>
      </c>
      <c r="C1352" s="1" t="s">
        <v>1845</v>
      </c>
      <c r="D1352" s="1" t="s">
        <v>1731</v>
      </c>
      <c r="E1352">
        <v>20251215</v>
      </c>
      <c r="F1352" s="1" t="s">
        <v>1470</v>
      </c>
      <c r="G1352">
        <v>4</v>
      </c>
      <c r="H1352" s="1" t="s">
        <v>1494</v>
      </c>
      <c r="I1352" t="s">
        <v>1874</v>
      </c>
      <c r="J1352" s="1" t="s">
        <v>1456</v>
      </c>
      <c r="K1352" s="1" t="s">
        <v>1599</v>
      </c>
      <c r="L1352" s="1" t="s">
        <v>1729</v>
      </c>
      <c r="M1352" s="1" t="s">
        <v>1737</v>
      </c>
      <c r="N1352" t="s">
        <v>2063</v>
      </c>
      <c r="O1352" t="s">
        <v>2157</v>
      </c>
      <c r="P1352" t="s">
        <v>2157</v>
      </c>
      <c r="Q1352">
        <v>12.3</v>
      </c>
      <c r="R1352" s="1" t="s">
        <v>1839</v>
      </c>
      <c r="S1352">
        <v>1071.95</v>
      </c>
      <c r="T1352">
        <v>13185</v>
      </c>
    </row>
    <row r="1353" spans="1:20" hidden="1" x14ac:dyDescent="0.4">
      <c r="A1353" s="1" t="s">
        <v>507</v>
      </c>
      <c r="B1353" s="1" t="s">
        <v>1462</v>
      </c>
      <c r="C1353" s="1" t="s">
        <v>1845</v>
      </c>
      <c r="D1353" s="1" t="s">
        <v>1731</v>
      </c>
      <c r="E1353">
        <v>20251215</v>
      </c>
      <c r="F1353" s="1" t="s">
        <v>1470</v>
      </c>
      <c r="G1353">
        <v>4</v>
      </c>
      <c r="H1353" s="1" t="s">
        <v>1494</v>
      </c>
      <c r="I1353" t="s">
        <v>1874</v>
      </c>
      <c r="J1353" s="1" t="s">
        <v>1456</v>
      </c>
      <c r="K1353" s="1" t="s">
        <v>1599</v>
      </c>
      <c r="L1353" s="1" t="s">
        <v>1729</v>
      </c>
      <c r="M1353" s="1" t="s">
        <v>1737</v>
      </c>
      <c r="N1353" t="s">
        <v>2063</v>
      </c>
      <c r="O1353" t="s">
        <v>2157</v>
      </c>
      <c r="P1353" t="s">
        <v>2157</v>
      </c>
      <c r="Q1353">
        <v>12.3</v>
      </c>
      <c r="R1353" s="1" t="s">
        <v>1839</v>
      </c>
      <c r="S1353">
        <v>1071.95</v>
      </c>
      <c r="T1353">
        <v>13185</v>
      </c>
    </row>
    <row r="1354" spans="1:20" hidden="1" x14ac:dyDescent="0.4">
      <c r="A1354" s="1" t="s">
        <v>507</v>
      </c>
      <c r="B1354" s="1" t="s">
        <v>1463</v>
      </c>
      <c r="C1354" s="1" t="s">
        <v>1845</v>
      </c>
      <c r="D1354" s="1" t="s">
        <v>1731</v>
      </c>
      <c r="E1354">
        <v>20251215</v>
      </c>
      <c r="F1354" s="1" t="s">
        <v>1470</v>
      </c>
      <c r="G1354">
        <v>4</v>
      </c>
      <c r="H1354" s="1" t="s">
        <v>1494</v>
      </c>
      <c r="I1354" t="s">
        <v>1874</v>
      </c>
      <c r="J1354" s="1" t="s">
        <v>1456</v>
      </c>
      <c r="K1354" s="1" t="s">
        <v>1599</v>
      </c>
      <c r="L1354" s="1" t="s">
        <v>1729</v>
      </c>
      <c r="M1354" s="1" t="s">
        <v>1737</v>
      </c>
      <c r="N1354" t="s">
        <v>2063</v>
      </c>
      <c r="O1354" t="s">
        <v>2157</v>
      </c>
      <c r="P1354" t="s">
        <v>2157</v>
      </c>
      <c r="Q1354">
        <v>12.72</v>
      </c>
      <c r="R1354" s="1" t="s">
        <v>1839</v>
      </c>
      <c r="S1354">
        <v>1071.93</v>
      </c>
      <c r="T1354">
        <v>13635</v>
      </c>
    </row>
    <row r="1355" spans="1:20" hidden="1" x14ac:dyDescent="0.4">
      <c r="A1355" s="1" t="s">
        <v>508</v>
      </c>
      <c r="B1355" s="1" t="s">
        <v>1453</v>
      </c>
      <c r="C1355" s="1" t="s">
        <v>1845</v>
      </c>
      <c r="D1355" s="1" t="s">
        <v>1731</v>
      </c>
      <c r="E1355">
        <v>20251215</v>
      </c>
      <c r="F1355" s="1" t="s">
        <v>1470</v>
      </c>
      <c r="G1355">
        <v>4</v>
      </c>
      <c r="H1355" s="1" t="s">
        <v>1494</v>
      </c>
      <c r="I1355" t="s">
        <v>1874</v>
      </c>
      <c r="J1355" s="1" t="s">
        <v>1456</v>
      </c>
      <c r="K1355" s="1" t="s">
        <v>1599</v>
      </c>
      <c r="L1355" s="1" t="s">
        <v>1729</v>
      </c>
      <c r="M1355" s="1" t="s">
        <v>1737</v>
      </c>
      <c r="N1355" t="s">
        <v>2063</v>
      </c>
      <c r="O1355" t="s">
        <v>2157</v>
      </c>
      <c r="P1355" t="s">
        <v>2157</v>
      </c>
      <c r="Q1355">
        <v>12.72</v>
      </c>
      <c r="R1355" s="1" t="s">
        <v>1839</v>
      </c>
      <c r="S1355">
        <v>1071.93</v>
      </c>
      <c r="T1355">
        <v>13635</v>
      </c>
    </row>
    <row r="1356" spans="1:20" hidden="1" x14ac:dyDescent="0.4">
      <c r="A1356" s="1" t="s">
        <v>508</v>
      </c>
      <c r="B1356" s="1" t="s">
        <v>1454</v>
      </c>
      <c r="C1356" s="1" t="s">
        <v>1845</v>
      </c>
      <c r="D1356" s="1" t="s">
        <v>1731</v>
      </c>
      <c r="E1356">
        <v>20251215</v>
      </c>
      <c r="F1356" s="1" t="s">
        <v>1470</v>
      </c>
      <c r="G1356">
        <v>4</v>
      </c>
      <c r="H1356" s="1" t="s">
        <v>1494</v>
      </c>
      <c r="I1356" t="s">
        <v>1874</v>
      </c>
      <c r="J1356" s="1" t="s">
        <v>1456</v>
      </c>
      <c r="K1356" s="1" t="s">
        <v>1599</v>
      </c>
      <c r="L1356" s="1" t="s">
        <v>1729</v>
      </c>
      <c r="M1356" s="1" t="s">
        <v>1737</v>
      </c>
      <c r="N1356" t="s">
        <v>2063</v>
      </c>
      <c r="O1356" t="s">
        <v>2157</v>
      </c>
      <c r="P1356" t="s">
        <v>2157</v>
      </c>
      <c r="Q1356">
        <v>12.72</v>
      </c>
      <c r="R1356" s="1" t="s">
        <v>1839</v>
      </c>
      <c r="S1356">
        <v>1071.93</v>
      </c>
      <c r="T1356">
        <v>13635</v>
      </c>
    </row>
    <row r="1357" spans="1:20" hidden="1" x14ac:dyDescent="0.4">
      <c r="A1357" s="1" t="s">
        <v>508</v>
      </c>
      <c r="B1357" s="1" t="s">
        <v>1455</v>
      </c>
      <c r="C1357" s="1" t="s">
        <v>1845</v>
      </c>
      <c r="D1357" s="1" t="s">
        <v>1731</v>
      </c>
      <c r="E1357">
        <v>20251215</v>
      </c>
      <c r="F1357" s="1" t="s">
        <v>1470</v>
      </c>
      <c r="G1357">
        <v>4</v>
      </c>
      <c r="H1357" s="1" t="s">
        <v>1494</v>
      </c>
      <c r="I1357" t="s">
        <v>1874</v>
      </c>
      <c r="J1357" s="1" t="s">
        <v>1456</v>
      </c>
      <c r="K1357" s="1" t="s">
        <v>1599</v>
      </c>
      <c r="L1357" s="1" t="s">
        <v>1729</v>
      </c>
      <c r="M1357" s="1" t="s">
        <v>1737</v>
      </c>
      <c r="N1357" t="s">
        <v>2063</v>
      </c>
      <c r="O1357" t="s">
        <v>2157</v>
      </c>
      <c r="P1357" t="s">
        <v>2157</v>
      </c>
      <c r="Q1357">
        <v>12.3</v>
      </c>
      <c r="R1357" s="1" t="s">
        <v>1839</v>
      </c>
      <c r="S1357">
        <v>1071.95</v>
      </c>
      <c r="T1357">
        <v>13185</v>
      </c>
    </row>
    <row r="1358" spans="1:20" hidden="1" x14ac:dyDescent="0.4">
      <c r="A1358" s="1" t="s">
        <v>508</v>
      </c>
      <c r="B1358" s="1" t="s">
        <v>1456</v>
      </c>
      <c r="C1358" s="1" t="s">
        <v>1845</v>
      </c>
      <c r="D1358" s="1" t="s">
        <v>1731</v>
      </c>
      <c r="E1358">
        <v>20251215</v>
      </c>
      <c r="F1358" s="1" t="s">
        <v>1470</v>
      </c>
      <c r="G1358">
        <v>4</v>
      </c>
      <c r="H1358" s="1" t="s">
        <v>1494</v>
      </c>
      <c r="I1358" t="s">
        <v>1874</v>
      </c>
      <c r="J1358" s="1" t="s">
        <v>1456</v>
      </c>
      <c r="K1358" s="1" t="s">
        <v>1599</v>
      </c>
      <c r="L1358" s="1" t="s">
        <v>1729</v>
      </c>
      <c r="M1358" s="1" t="s">
        <v>1737</v>
      </c>
      <c r="N1358" t="s">
        <v>2063</v>
      </c>
      <c r="O1358" t="s">
        <v>2157</v>
      </c>
      <c r="P1358" t="s">
        <v>2157</v>
      </c>
      <c r="Q1358">
        <v>12.3</v>
      </c>
      <c r="R1358" s="1" t="s">
        <v>1839</v>
      </c>
      <c r="S1358">
        <v>1071.95</v>
      </c>
      <c r="T1358">
        <v>13185</v>
      </c>
    </row>
    <row r="1359" spans="1:20" hidden="1" x14ac:dyDescent="0.4">
      <c r="A1359" s="1" t="s">
        <v>508</v>
      </c>
      <c r="B1359" s="1" t="s">
        <v>1457</v>
      </c>
      <c r="C1359" s="1" t="s">
        <v>1845</v>
      </c>
      <c r="D1359" s="1" t="s">
        <v>1731</v>
      </c>
      <c r="E1359">
        <v>20251215</v>
      </c>
      <c r="F1359" s="1" t="s">
        <v>1470</v>
      </c>
      <c r="G1359">
        <v>4</v>
      </c>
      <c r="H1359" s="1" t="s">
        <v>1494</v>
      </c>
      <c r="I1359" t="s">
        <v>1874</v>
      </c>
      <c r="J1359" s="1" t="s">
        <v>1456</v>
      </c>
      <c r="K1359" s="1" t="s">
        <v>1599</v>
      </c>
      <c r="L1359" s="1" t="s">
        <v>1729</v>
      </c>
      <c r="M1359" s="1" t="s">
        <v>1737</v>
      </c>
      <c r="N1359" t="s">
        <v>2063</v>
      </c>
      <c r="O1359" t="s">
        <v>2157</v>
      </c>
      <c r="P1359" t="s">
        <v>2157</v>
      </c>
      <c r="Q1359">
        <v>12.3</v>
      </c>
      <c r="R1359" s="1" t="s">
        <v>1839</v>
      </c>
      <c r="S1359">
        <v>1071.95</v>
      </c>
      <c r="T1359">
        <v>13185</v>
      </c>
    </row>
    <row r="1360" spans="1:20" hidden="1" x14ac:dyDescent="0.4">
      <c r="A1360" s="1" t="s">
        <v>508</v>
      </c>
      <c r="B1360" s="1" t="s">
        <v>1458</v>
      </c>
      <c r="C1360" s="1" t="s">
        <v>1845</v>
      </c>
      <c r="D1360" s="1" t="s">
        <v>1731</v>
      </c>
      <c r="E1360">
        <v>20251215</v>
      </c>
      <c r="F1360" s="1" t="s">
        <v>1470</v>
      </c>
      <c r="G1360">
        <v>4</v>
      </c>
      <c r="H1360" s="1" t="s">
        <v>1494</v>
      </c>
      <c r="I1360" t="s">
        <v>1874</v>
      </c>
      <c r="J1360" s="1" t="s">
        <v>1456</v>
      </c>
      <c r="K1360" s="1" t="s">
        <v>1599</v>
      </c>
      <c r="L1360" s="1" t="s">
        <v>1729</v>
      </c>
      <c r="M1360" s="1" t="s">
        <v>1737</v>
      </c>
      <c r="N1360" t="s">
        <v>2063</v>
      </c>
      <c r="O1360" t="s">
        <v>2157</v>
      </c>
      <c r="P1360" t="s">
        <v>2157</v>
      </c>
      <c r="Q1360">
        <v>12.3</v>
      </c>
      <c r="R1360" s="1" t="s">
        <v>1839</v>
      </c>
      <c r="S1360">
        <v>1071.95</v>
      </c>
      <c r="T1360">
        <v>13185</v>
      </c>
    </row>
    <row r="1361" spans="1:20" hidden="1" x14ac:dyDescent="0.4">
      <c r="A1361" s="1" t="s">
        <v>508</v>
      </c>
      <c r="B1361" s="1" t="s">
        <v>1459</v>
      </c>
      <c r="C1361" s="1" t="s">
        <v>1845</v>
      </c>
      <c r="D1361" s="1" t="s">
        <v>1731</v>
      </c>
      <c r="E1361">
        <v>20251215</v>
      </c>
      <c r="F1361" s="1" t="s">
        <v>1470</v>
      </c>
      <c r="G1361">
        <v>4</v>
      </c>
      <c r="H1361" s="1" t="s">
        <v>1494</v>
      </c>
      <c r="I1361" t="s">
        <v>1874</v>
      </c>
      <c r="J1361" s="1" t="s">
        <v>1456</v>
      </c>
      <c r="K1361" s="1" t="s">
        <v>1599</v>
      </c>
      <c r="L1361" s="1" t="s">
        <v>1729</v>
      </c>
      <c r="M1361" s="1" t="s">
        <v>1737</v>
      </c>
      <c r="N1361" t="s">
        <v>2063</v>
      </c>
      <c r="O1361" t="s">
        <v>2157</v>
      </c>
      <c r="P1361" t="s">
        <v>2157</v>
      </c>
      <c r="Q1361">
        <v>12.3</v>
      </c>
      <c r="R1361" s="1" t="s">
        <v>1839</v>
      </c>
      <c r="S1361">
        <v>1071.95</v>
      </c>
      <c r="T1361">
        <v>13185</v>
      </c>
    </row>
    <row r="1362" spans="1:20" hidden="1" x14ac:dyDescent="0.4">
      <c r="A1362" s="1" t="s">
        <v>508</v>
      </c>
      <c r="B1362" s="1" t="s">
        <v>1460</v>
      </c>
      <c r="C1362" s="1" t="s">
        <v>1845</v>
      </c>
      <c r="D1362" s="1" t="s">
        <v>1731</v>
      </c>
      <c r="E1362">
        <v>20251215</v>
      </c>
      <c r="F1362" s="1" t="s">
        <v>1470</v>
      </c>
      <c r="G1362">
        <v>4</v>
      </c>
      <c r="H1362" s="1" t="s">
        <v>1494</v>
      </c>
      <c r="I1362" t="s">
        <v>1874</v>
      </c>
      <c r="J1362" s="1" t="s">
        <v>1456</v>
      </c>
      <c r="K1362" s="1" t="s">
        <v>1599</v>
      </c>
      <c r="L1362" s="1" t="s">
        <v>1729</v>
      </c>
      <c r="M1362" s="1" t="s">
        <v>1737</v>
      </c>
      <c r="N1362" t="s">
        <v>2063</v>
      </c>
      <c r="O1362" t="s">
        <v>2157</v>
      </c>
      <c r="P1362" t="s">
        <v>2157</v>
      </c>
      <c r="Q1362">
        <v>12.3</v>
      </c>
      <c r="R1362" s="1" t="s">
        <v>1839</v>
      </c>
      <c r="S1362">
        <v>1071.95</v>
      </c>
      <c r="T1362">
        <v>13185</v>
      </c>
    </row>
    <row r="1363" spans="1:20" hidden="1" x14ac:dyDescent="0.4">
      <c r="A1363" s="1" t="s">
        <v>508</v>
      </c>
      <c r="B1363" s="1" t="s">
        <v>1461</v>
      </c>
      <c r="C1363" s="1" t="s">
        <v>1845</v>
      </c>
      <c r="D1363" s="1" t="s">
        <v>1731</v>
      </c>
      <c r="E1363">
        <v>20251215</v>
      </c>
      <c r="F1363" s="1" t="s">
        <v>1470</v>
      </c>
      <c r="G1363">
        <v>4</v>
      </c>
      <c r="H1363" s="1" t="s">
        <v>1494</v>
      </c>
      <c r="I1363" t="s">
        <v>1874</v>
      </c>
      <c r="J1363" s="1" t="s">
        <v>1456</v>
      </c>
      <c r="K1363" s="1" t="s">
        <v>1599</v>
      </c>
      <c r="L1363" s="1" t="s">
        <v>1729</v>
      </c>
      <c r="M1363" s="1" t="s">
        <v>1737</v>
      </c>
      <c r="N1363" t="s">
        <v>2063</v>
      </c>
      <c r="O1363" t="s">
        <v>2157</v>
      </c>
      <c r="P1363" t="s">
        <v>2157</v>
      </c>
      <c r="Q1363">
        <v>12.3</v>
      </c>
      <c r="R1363" s="1" t="s">
        <v>1839</v>
      </c>
      <c r="S1363">
        <v>1071.95</v>
      </c>
      <c r="T1363">
        <v>13185</v>
      </c>
    </row>
    <row r="1364" spans="1:20" hidden="1" x14ac:dyDescent="0.4">
      <c r="A1364" s="1" t="s">
        <v>508</v>
      </c>
      <c r="B1364" s="1" t="s">
        <v>1462</v>
      </c>
      <c r="C1364" s="1" t="s">
        <v>1845</v>
      </c>
      <c r="D1364" s="1" t="s">
        <v>1731</v>
      </c>
      <c r="E1364">
        <v>20251215</v>
      </c>
      <c r="F1364" s="1" t="s">
        <v>1470</v>
      </c>
      <c r="G1364">
        <v>4</v>
      </c>
      <c r="H1364" s="1" t="s">
        <v>1494</v>
      </c>
      <c r="I1364" t="s">
        <v>1874</v>
      </c>
      <c r="J1364" s="1" t="s">
        <v>1456</v>
      </c>
      <c r="K1364" s="1" t="s">
        <v>1599</v>
      </c>
      <c r="L1364" s="1" t="s">
        <v>1729</v>
      </c>
      <c r="M1364" s="1" t="s">
        <v>1737</v>
      </c>
      <c r="N1364" t="s">
        <v>2063</v>
      </c>
      <c r="O1364" t="s">
        <v>2157</v>
      </c>
      <c r="P1364" t="s">
        <v>2157</v>
      </c>
      <c r="Q1364">
        <v>12.3</v>
      </c>
      <c r="R1364" s="1" t="s">
        <v>1839</v>
      </c>
      <c r="S1364">
        <v>1071.95</v>
      </c>
      <c r="T1364">
        <v>13185</v>
      </c>
    </row>
    <row r="1365" spans="1:20" hidden="1" x14ac:dyDescent="0.4">
      <c r="A1365" s="1" t="s">
        <v>508</v>
      </c>
      <c r="B1365" s="1" t="s">
        <v>1463</v>
      </c>
      <c r="C1365" s="1" t="s">
        <v>1845</v>
      </c>
      <c r="D1365" s="1" t="s">
        <v>1731</v>
      </c>
      <c r="E1365">
        <v>20251215</v>
      </c>
      <c r="F1365" s="1" t="s">
        <v>1470</v>
      </c>
      <c r="G1365">
        <v>4</v>
      </c>
      <c r="H1365" s="1" t="s">
        <v>1494</v>
      </c>
      <c r="I1365" t="s">
        <v>1874</v>
      </c>
      <c r="J1365" s="1" t="s">
        <v>1456</v>
      </c>
      <c r="K1365" s="1" t="s">
        <v>1599</v>
      </c>
      <c r="L1365" s="1" t="s">
        <v>1729</v>
      </c>
      <c r="M1365" s="1" t="s">
        <v>1737</v>
      </c>
      <c r="N1365" t="s">
        <v>2063</v>
      </c>
      <c r="O1365" t="s">
        <v>2157</v>
      </c>
      <c r="P1365" t="s">
        <v>2157</v>
      </c>
      <c r="Q1365">
        <v>12.3</v>
      </c>
      <c r="R1365" s="1" t="s">
        <v>1839</v>
      </c>
      <c r="S1365">
        <v>1071.95</v>
      </c>
      <c r="T1365">
        <v>13185</v>
      </c>
    </row>
    <row r="1366" spans="1:20" hidden="1" x14ac:dyDescent="0.4">
      <c r="A1366" s="1" t="s">
        <v>509</v>
      </c>
      <c r="B1366" s="1" t="s">
        <v>1453</v>
      </c>
      <c r="C1366" s="1" t="s">
        <v>1845</v>
      </c>
      <c r="D1366" s="1" t="s">
        <v>1731</v>
      </c>
      <c r="E1366">
        <v>20251215</v>
      </c>
      <c r="F1366" s="1" t="s">
        <v>1470</v>
      </c>
      <c r="G1366">
        <v>4</v>
      </c>
      <c r="H1366" s="1" t="s">
        <v>1494</v>
      </c>
      <c r="I1366" t="s">
        <v>1874</v>
      </c>
      <c r="J1366" s="1" t="s">
        <v>1456</v>
      </c>
      <c r="K1366" s="1" t="s">
        <v>1599</v>
      </c>
      <c r="L1366" s="1" t="s">
        <v>1729</v>
      </c>
      <c r="M1366" s="1" t="s">
        <v>1737</v>
      </c>
      <c r="N1366" t="s">
        <v>2063</v>
      </c>
      <c r="O1366" t="s">
        <v>2157</v>
      </c>
      <c r="P1366" t="s">
        <v>2157</v>
      </c>
      <c r="Q1366">
        <v>12.3</v>
      </c>
      <c r="R1366" s="1" t="s">
        <v>1839</v>
      </c>
      <c r="S1366">
        <v>1071.95</v>
      </c>
      <c r="T1366">
        <v>13185</v>
      </c>
    </row>
    <row r="1367" spans="1:20" hidden="1" x14ac:dyDescent="0.4">
      <c r="A1367" s="1" t="s">
        <v>509</v>
      </c>
      <c r="B1367" s="1" t="s">
        <v>1454</v>
      </c>
      <c r="C1367" s="1" t="s">
        <v>1845</v>
      </c>
      <c r="D1367" s="1" t="s">
        <v>1731</v>
      </c>
      <c r="E1367">
        <v>20251215</v>
      </c>
      <c r="F1367" s="1" t="s">
        <v>1470</v>
      </c>
      <c r="G1367">
        <v>4</v>
      </c>
      <c r="H1367" s="1" t="s">
        <v>1494</v>
      </c>
      <c r="I1367" t="s">
        <v>1874</v>
      </c>
      <c r="J1367" s="1" t="s">
        <v>1456</v>
      </c>
      <c r="K1367" s="1" t="s">
        <v>1599</v>
      </c>
      <c r="L1367" s="1" t="s">
        <v>1729</v>
      </c>
      <c r="M1367" s="1" t="s">
        <v>1737</v>
      </c>
      <c r="N1367" t="s">
        <v>2063</v>
      </c>
      <c r="O1367" t="s">
        <v>2157</v>
      </c>
      <c r="P1367" t="s">
        <v>2157</v>
      </c>
      <c r="Q1367">
        <v>13.08</v>
      </c>
      <c r="R1367" s="1" t="s">
        <v>1839</v>
      </c>
      <c r="S1367">
        <v>1071.94</v>
      </c>
      <c r="T1367">
        <v>14021</v>
      </c>
    </row>
    <row r="1368" spans="1:20" hidden="1" x14ac:dyDescent="0.4">
      <c r="A1368" s="1" t="s">
        <v>509</v>
      </c>
      <c r="B1368" s="1" t="s">
        <v>1455</v>
      </c>
      <c r="C1368" s="1" t="s">
        <v>1845</v>
      </c>
      <c r="D1368" s="1" t="s">
        <v>1731</v>
      </c>
      <c r="E1368">
        <v>20251215</v>
      </c>
      <c r="F1368" s="1" t="s">
        <v>1470</v>
      </c>
      <c r="G1368">
        <v>4</v>
      </c>
      <c r="H1368" s="1" t="s">
        <v>1494</v>
      </c>
      <c r="I1368" t="s">
        <v>1874</v>
      </c>
      <c r="J1368" s="1" t="s">
        <v>1456</v>
      </c>
      <c r="K1368" s="1" t="s">
        <v>1599</v>
      </c>
      <c r="L1368" s="1" t="s">
        <v>1729</v>
      </c>
      <c r="M1368" s="1" t="s">
        <v>1737</v>
      </c>
      <c r="N1368" t="s">
        <v>2063</v>
      </c>
      <c r="O1368" t="s">
        <v>2157</v>
      </c>
      <c r="P1368" t="s">
        <v>2157</v>
      </c>
      <c r="Q1368">
        <v>12.3</v>
      </c>
      <c r="R1368" s="1" t="s">
        <v>1839</v>
      </c>
      <c r="S1368">
        <v>1071.95</v>
      </c>
      <c r="T1368">
        <v>13185</v>
      </c>
    </row>
    <row r="1369" spans="1:20" hidden="1" x14ac:dyDescent="0.4">
      <c r="A1369" s="1" t="s">
        <v>509</v>
      </c>
      <c r="B1369" s="1" t="s">
        <v>1456</v>
      </c>
      <c r="C1369" s="1" t="s">
        <v>1845</v>
      </c>
      <c r="D1369" s="1" t="s">
        <v>1731</v>
      </c>
      <c r="E1369">
        <v>20251215</v>
      </c>
      <c r="F1369" s="1" t="s">
        <v>1470</v>
      </c>
      <c r="G1369">
        <v>4</v>
      </c>
      <c r="H1369" s="1" t="s">
        <v>1494</v>
      </c>
      <c r="I1369" t="s">
        <v>1874</v>
      </c>
      <c r="J1369" s="1" t="s">
        <v>1456</v>
      </c>
      <c r="K1369" s="1" t="s">
        <v>1599</v>
      </c>
      <c r="L1369" s="1" t="s">
        <v>1729</v>
      </c>
      <c r="M1369" s="1" t="s">
        <v>1737</v>
      </c>
      <c r="N1369" t="s">
        <v>2063</v>
      </c>
      <c r="O1369" t="s">
        <v>2157</v>
      </c>
      <c r="P1369" t="s">
        <v>2157</v>
      </c>
      <c r="Q1369">
        <v>13.02</v>
      </c>
      <c r="R1369" s="1" t="s">
        <v>1839</v>
      </c>
      <c r="S1369">
        <v>1071.96</v>
      </c>
      <c r="T1369">
        <v>13957</v>
      </c>
    </row>
    <row r="1370" spans="1:20" hidden="1" x14ac:dyDescent="0.4">
      <c r="A1370" s="1" t="s">
        <v>509</v>
      </c>
      <c r="B1370" s="1" t="s">
        <v>1457</v>
      </c>
      <c r="C1370" s="1" t="s">
        <v>1845</v>
      </c>
      <c r="D1370" s="1" t="s">
        <v>1731</v>
      </c>
      <c r="E1370">
        <v>20251215</v>
      </c>
      <c r="F1370" s="1" t="s">
        <v>1470</v>
      </c>
      <c r="G1370">
        <v>4</v>
      </c>
      <c r="H1370" s="1" t="s">
        <v>1494</v>
      </c>
      <c r="I1370" t="s">
        <v>1874</v>
      </c>
      <c r="J1370" s="1" t="s">
        <v>1456</v>
      </c>
      <c r="K1370" s="1" t="s">
        <v>1599</v>
      </c>
      <c r="L1370" s="1" t="s">
        <v>1729</v>
      </c>
      <c r="M1370" s="1" t="s">
        <v>1737</v>
      </c>
      <c r="N1370" t="s">
        <v>2063</v>
      </c>
      <c r="O1370" t="s">
        <v>2157</v>
      </c>
      <c r="P1370" t="s">
        <v>2157</v>
      </c>
      <c r="Q1370">
        <v>13.08</v>
      </c>
      <c r="R1370" s="1" t="s">
        <v>1839</v>
      </c>
      <c r="S1370">
        <v>1071.94</v>
      </c>
      <c r="T1370">
        <v>14021</v>
      </c>
    </row>
    <row r="1371" spans="1:20" hidden="1" x14ac:dyDescent="0.4">
      <c r="A1371" s="1" t="s">
        <v>509</v>
      </c>
      <c r="B1371" s="1" t="s">
        <v>1458</v>
      </c>
      <c r="C1371" s="1" t="s">
        <v>1845</v>
      </c>
      <c r="D1371" s="1" t="s">
        <v>1731</v>
      </c>
      <c r="E1371">
        <v>20251215</v>
      </c>
      <c r="F1371" s="1" t="s">
        <v>1470</v>
      </c>
      <c r="G1371">
        <v>4</v>
      </c>
      <c r="H1371" s="1" t="s">
        <v>1494</v>
      </c>
      <c r="I1371" t="s">
        <v>1874</v>
      </c>
      <c r="J1371" s="1" t="s">
        <v>1456</v>
      </c>
      <c r="K1371" s="1" t="s">
        <v>1599</v>
      </c>
      <c r="L1371" s="1" t="s">
        <v>1729</v>
      </c>
      <c r="M1371" s="1" t="s">
        <v>1737</v>
      </c>
      <c r="N1371" t="s">
        <v>2063</v>
      </c>
      <c r="O1371" t="s">
        <v>2157</v>
      </c>
      <c r="P1371" t="s">
        <v>2157</v>
      </c>
      <c r="Q1371">
        <v>12.42</v>
      </c>
      <c r="R1371" s="1" t="s">
        <v>1839</v>
      </c>
      <c r="S1371">
        <v>1071.98</v>
      </c>
      <c r="T1371">
        <v>13314</v>
      </c>
    </row>
    <row r="1372" spans="1:20" hidden="1" x14ac:dyDescent="0.4">
      <c r="A1372" s="1" t="s">
        <v>509</v>
      </c>
      <c r="B1372" s="1" t="s">
        <v>1459</v>
      </c>
      <c r="C1372" s="1" t="s">
        <v>1845</v>
      </c>
      <c r="D1372" s="1" t="s">
        <v>1731</v>
      </c>
      <c r="E1372">
        <v>20251215</v>
      </c>
      <c r="F1372" s="1" t="s">
        <v>1470</v>
      </c>
      <c r="G1372">
        <v>4</v>
      </c>
      <c r="H1372" s="1" t="s">
        <v>1494</v>
      </c>
      <c r="I1372" t="s">
        <v>1874</v>
      </c>
      <c r="J1372" s="1" t="s">
        <v>1456</v>
      </c>
      <c r="K1372" s="1" t="s">
        <v>1599</v>
      </c>
      <c r="L1372" s="1" t="s">
        <v>1729</v>
      </c>
      <c r="M1372" s="1" t="s">
        <v>1737</v>
      </c>
      <c r="N1372" t="s">
        <v>2063</v>
      </c>
      <c r="O1372" t="s">
        <v>2157</v>
      </c>
      <c r="P1372" t="s">
        <v>2157</v>
      </c>
      <c r="Q1372">
        <v>12.3</v>
      </c>
      <c r="R1372" s="1" t="s">
        <v>1839</v>
      </c>
      <c r="S1372">
        <v>1071.95</v>
      </c>
      <c r="T1372">
        <v>13185</v>
      </c>
    </row>
    <row r="1373" spans="1:20" hidden="1" x14ac:dyDescent="0.4">
      <c r="A1373" s="1" t="s">
        <v>509</v>
      </c>
      <c r="B1373" s="1" t="s">
        <v>1460</v>
      </c>
      <c r="C1373" s="1" t="s">
        <v>1845</v>
      </c>
      <c r="D1373" s="1" t="s">
        <v>1731</v>
      </c>
      <c r="E1373">
        <v>20251215</v>
      </c>
      <c r="F1373" s="1" t="s">
        <v>1470</v>
      </c>
      <c r="G1373">
        <v>4</v>
      </c>
      <c r="H1373" s="1" t="s">
        <v>1494</v>
      </c>
      <c r="I1373" t="s">
        <v>1874</v>
      </c>
      <c r="J1373" s="1" t="s">
        <v>1456</v>
      </c>
      <c r="K1373" s="1" t="s">
        <v>1599</v>
      </c>
      <c r="L1373" s="1" t="s">
        <v>1729</v>
      </c>
      <c r="M1373" s="1" t="s">
        <v>1737</v>
      </c>
      <c r="N1373" t="s">
        <v>2063</v>
      </c>
      <c r="O1373" t="s">
        <v>2157</v>
      </c>
      <c r="P1373" t="s">
        <v>2157</v>
      </c>
      <c r="Q1373">
        <v>12.84</v>
      </c>
      <c r="R1373" s="1" t="s">
        <v>1839</v>
      </c>
      <c r="S1373">
        <v>1071.96</v>
      </c>
      <c r="T1373">
        <v>13764</v>
      </c>
    </row>
    <row r="1374" spans="1:20" hidden="1" x14ac:dyDescent="0.4">
      <c r="A1374" s="1" t="s">
        <v>509</v>
      </c>
      <c r="B1374" s="1" t="s">
        <v>1461</v>
      </c>
      <c r="C1374" s="1" t="s">
        <v>1845</v>
      </c>
      <c r="D1374" s="1" t="s">
        <v>1731</v>
      </c>
      <c r="E1374">
        <v>20251215</v>
      </c>
      <c r="F1374" s="1" t="s">
        <v>1470</v>
      </c>
      <c r="G1374">
        <v>4</v>
      </c>
      <c r="H1374" s="1" t="s">
        <v>1494</v>
      </c>
      <c r="I1374" t="s">
        <v>1874</v>
      </c>
      <c r="J1374" s="1" t="s">
        <v>1456</v>
      </c>
      <c r="K1374" s="1" t="s">
        <v>1599</v>
      </c>
      <c r="L1374" s="1" t="s">
        <v>1729</v>
      </c>
      <c r="M1374" s="1" t="s">
        <v>1737</v>
      </c>
      <c r="N1374" t="s">
        <v>2063</v>
      </c>
      <c r="O1374" t="s">
        <v>2157</v>
      </c>
      <c r="P1374" t="s">
        <v>2157</v>
      </c>
      <c r="Q1374">
        <v>12.48</v>
      </c>
      <c r="R1374" s="1" t="s">
        <v>1839</v>
      </c>
      <c r="S1374">
        <v>1071.95</v>
      </c>
      <c r="T1374">
        <v>13378</v>
      </c>
    </row>
    <row r="1375" spans="1:20" hidden="1" x14ac:dyDescent="0.4">
      <c r="A1375" s="1" t="s">
        <v>509</v>
      </c>
      <c r="B1375" s="1" t="s">
        <v>1462</v>
      </c>
      <c r="C1375" s="1" t="s">
        <v>1845</v>
      </c>
      <c r="D1375" s="1" t="s">
        <v>1731</v>
      </c>
      <c r="E1375">
        <v>20251215</v>
      </c>
      <c r="F1375" s="1" t="s">
        <v>1470</v>
      </c>
      <c r="G1375">
        <v>4</v>
      </c>
      <c r="H1375" s="1" t="s">
        <v>1494</v>
      </c>
      <c r="I1375" t="s">
        <v>1874</v>
      </c>
      <c r="J1375" s="1" t="s">
        <v>1456</v>
      </c>
      <c r="K1375" s="1" t="s">
        <v>1599</v>
      </c>
      <c r="L1375" s="1" t="s">
        <v>1729</v>
      </c>
      <c r="M1375" s="1" t="s">
        <v>1737</v>
      </c>
      <c r="N1375" t="s">
        <v>2063</v>
      </c>
      <c r="O1375" t="s">
        <v>2157</v>
      </c>
      <c r="P1375" t="s">
        <v>2157</v>
      </c>
      <c r="Q1375">
        <v>13.2</v>
      </c>
      <c r="R1375" s="1" t="s">
        <v>1839</v>
      </c>
      <c r="S1375">
        <v>1071.96</v>
      </c>
      <c r="T1375">
        <v>14150</v>
      </c>
    </row>
    <row r="1376" spans="1:20" hidden="1" x14ac:dyDescent="0.4">
      <c r="A1376" s="1" t="s">
        <v>509</v>
      </c>
      <c r="B1376" s="1" t="s">
        <v>1463</v>
      </c>
      <c r="C1376" s="1" t="s">
        <v>1845</v>
      </c>
      <c r="D1376" s="1" t="s">
        <v>1731</v>
      </c>
      <c r="E1376">
        <v>20251215</v>
      </c>
      <c r="F1376" s="1" t="s">
        <v>1470</v>
      </c>
      <c r="G1376">
        <v>4</v>
      </c>
      <c r="H1376" s="1" t="s">
        <v>1494</v>
      </c>
      <c r="I1376" t="s">
        <v>1874</v>
      </c>
      <c r="J1376" s="1" t="s">
        <v>1456</v>
      </c>
      <c r="K1376" s="1" t="s">
        <v>1599</v>
      </c>
      <c r="L1376" s="1" t="s">
        <v>1729</v>
      </c>
      <c r="M1376" s="1" t="s">
        <v>1737</v>
      </c>
      <c r="N1376" t="s">
        <v>2063</v>
      </c>
      <c r="O1376" t="s">
        <v>2157</v>
      </c>
      <c r="P1376" t="s">
        <v>2157</v>
      </c>
      <c r="Q1376">
        <v>3.96</v>
      </c>
      <c r="R1376" s="1" t="s">
        <v>1839</v>
      </c>
      <c r="S1376">
        <v>1071.96</v>
      </c>
      <c r="T1376">
        <v>4245</v>
      </c>
    </row>
    <row r="1377" spans="1:20" hidden="1" x14ac:dyDescent="0.4">
      <c r="A1377" s="1" t="s">
        <v>510</v>
      </c>
      <c r="B1377" s="1" t="s">
        <v>1453</v>
      </c>
      <c r="C1377" s="1" t="s">
        <v>1845</v>
      </c>
      <c r="D1377" s="1" t="s">
        <v>1462</v>
      </c>
      <c r="E1377">
        <v>20251215</v>
      </c>
      <c r="F1377" s="1" t="s">
        <v>1471</v>
      </c>
      <c r="G1377">
        <v>4</v>
      </c>
      <c r="H1377" s="1" t="s">
        <v>1491</v>
      </c>
      <c r="I1377" t="s">
        <v>1871</v>
      </c>
      <c r="J1377" s="1" t="s">
        <v>1460</v>
      </c>
      <c r="K1377" s="1" t="s">
        <v>1641</v>
      </c>
      <c r="L1377" s="1" t="s">
        <v>1730</v>
      </c>
      <c r="M1377" s="1" t="s">
        <v>1792</v>
      </c>
      <c r="N1377" t="s">
        <v>2022</v>
      </c>
      <c r="O1377" t="s">
        <v>2175</v>
      </c>
      <c r="P1377" t="s">
        <v>3190</v>
      </c>
      <c r="Q1377">
        <v>100</v>
      </c>
      <c r="R1377" s="1" t="s">
        <v>1718</v>
      </c>
      <c r="S1377">
        <v>2084</v>
      </c>
      <c r="T1377">
        <v>208400</v>
      </c>
    </row>
    <row r="1378" spans="1:20" hidden="1" x14ac:dyDescent="0.4">
      <c r="A1378" s="1" t="s">
        <v>510</v>
      </c>
      <c r="B1378" s="1" t="s">
        <v>1454</v>
      </c>
      <c r="C1378" s="1" t="s">
        <v>1845</v>
      </c>
      <c r="D1378" s="1" t="s">
        <v>1462</v>
      </c>
      <c r="E1378">
        <v>20251215</v>
      </c>
      <c r="F1378" s="1" t="s">
        <v>1471</v>
      </c>
      <c r="G1378">
        <v>4</v>
      </c>
      <c r="H1378" s="1" t="s">
        <v>1491</v>
      </c>
      <c r="I1378" t="s">
        <v>1871</v>
      </c>
      <c r="J1378" s="1" t="s">
        <v>1460</v>
      </c>
      <c r="K1378" s="1" t="s">
        <v>1642</v>
      </c>
      <c r="L1378" s="1" t="s">
        <v>1725</v>
      </c>
      <c r="M1378" s="1" t="s">
        <v>1737</v>
      </c>
      <c r="N1378" t="s">
        <v>2023</v>
      </c>
      <c r="O1378" t="s">
        <v>2157</v>
      </c>
      <c r="P1378" t="s">
        <v>2157</v>
      </c>
      <c r="Q1378">
        <v>4</v>
      </c>
      <c r="R1378" s="1" t="s">
        <v>1842</v>
      </c>
      <c r="S1378">
        <v>880</v>
      </c>
      <c r="T1378">
        <v>3520</v>
      </c>
    </row>
    <row r="1379" spans="1:20" hidden="1" x14ac:dyDescent="0.4">
      <c r="A1379" s="1" t="s">
        <v>511</v>
      </c>
      <c r="B1379" s="1" t="s">
        <v>1453</v>
      </c>
      <c r="C1379" s="1" t="s">
        <v>1845</v>
      </c>
      <c r="D1379" s="1" t="s">
        <v>1731</v>
      </c>
      <c r="E1379">
        <v>20251216</v>
      </c>
      <c r="F1379" s="1" t="s">
        <v>1470</v>
      </c>
      <c r="G1379">
        <v>4</v>
      </c>
      <c r="H1379" s="1" t="s">
        <v>1490</v>
      </c>
      <c r="I1379" t="s">
        <v>1870</v>
      </c>
      <c r="J1379" s="1" t="s">
        <v>1456</v>
      </c>
      <c r="K1379" s="1" t="s">
        <v>1552</v>
      </c>
      <c r="L1379" s="1" t="s">
        <v>1729</v>
      </c>
      <c r="M1379" s="1" t="s">
        <v>1735</v>
      </c>
      <c r="N1379" t="s">
        <v>1924</v>
      </c>
      <c r="O1379" t="s">
        <v>2157</v>
      </c>
      <c r="P1379" t="s">
        <v>3037</v>
      </c>
      <c r="Q1379">
        <v>6</v>
      </c>
      <c r="R1379" s="1" t="s">
        <v>1839</v>
      </c>
      <c r="S1379">
        <v>7372</v>
      </c>
      <c r="T1379">
        <v>44232</v>
      </c>
    </row>
    <row r="1380" spans="1:20" hidden="1" x14ac:dyDescent="0.4">
      <c r="A1380" s="1" t="s">
        <v>511</v>
      </c>
      <c r="B1380" s="1" t="s">
        <v>1454</v>
      </c>
      <c r="C1380" s="1" t="s">
        <v>1845</v>
      </c>
      <c r="D1380" s="1" t="s">
        <v>1731</v>
      </c>
      <c r="E1380">
        <v>20251216</v>
      </c>
      <c r="F1380" s="1" t="s">
        <v>1470</v>
      </c>
      <c r="G1380">
        <v>4</v>
      </c>
      <c r="H1380" s="1" t="s">
        <v>1490</v>
      </c>
      <c r="I1380" t="s">
        <v>1870</v>
      </c>
      <c r="J1380" s="1" t="s">
        <v>1456</v>
      </c>
      <c r="K1380" s="1" t="s">
        <v>1553</v>
      </c>
      <c r="L1380" s="1" t="s">
        <v>1729</v>
      </c>
      <c r="M1380" s="1" t="s">
        <v>1745</v>
      </c>
      <c r="N1380" t="s">
        <v>1925</v>
      </c>
      <c r="O1380" t="s">
        <v>2157</v>
      </c>
      <c r="P1380" t="s">
        <v>3046</v>
      </c>
      <c r="Q1380">
        <v>2</v>
      </c>
      <c r="R1380" s="1" t="s">
        <v>1718</v>
      </c>
      <c r="S1380">
        <v>12629</v>
      </c>
      <c r="T1380">
        <v>25258</v>
      </c>
    </row>
    <row r="1381" spans="1:20" hidden="1" x14ac:dyDescent="0.4">
      <c r="A1381" s="1" t="s">
        <v>511</v>
      </c>
      <c r="B1381" s="1" t="s">
        <v>1455</v>
      </c>
      <c r="C1381" s="1" t="s">
        <v>1845</v>
      </c>
      <c r="D1381" s="1" t="s">
        <v>1731</v>
      </c>
      <c r="E1381">
        <v>20251216</v>
      </c>
      <c r="F1381" s="1" t="s">
        <v>1470</v>
      </c>
      <c r="G1381">
        <v>4</v>
      </c>
      <c r="H1381" s="1" t="s">
        <v>1490</v>
      </c>
      <c r="I1381" t="s">
        <v>1870</v>
      </c>
      <c r="J1381" s="1" t="s">
        <v>1456</v>
      </c>
      <c r="K1381" s="1" t="s">
        <v>1553</v>
      </c>
      <c r="L1381" s="1" t="s">
        <v>1729</v>
      </c>
      <c r="M1381" s="1" t="s">
        <v>1736</v>
      </c>
      <c r="N1381" t="s">
        <v>1925</v>
      </c>
      <c r="O1381" t="s">
        <v>2157</v>
      </c>
      <c r="P1381" t="s">
        <v>3038</v>
      </c>
      <c r="Q1381">
        <v>7</v>
      </c>
      <c r="R1381" s="1" t="s">
        <v>1718</v>
      </c>
      <c r="S1381">
        <v>8524.57</v>
      </c>
      <c r="T1381">
        <v>59672</v>
      </c>
    </row>
    <row r="1382" spans="1:20" hidden="1" x14ac:dyDescent="0.4">
      <c r="A1382" s="1" t="s">
        <v>512</v>
      </c>
      <c r="B1382" s="1" t="s">
        <v>1453</v>
      </c>
      <c r="C1382" s="1" t="s">
        <v>1845</v>
      </c>
      <c r="D1382" s="1" t="s">
        <v>1731</v>
      </c>
      <c r="E1382">
        <v>20251216</v>
      </c>
      <c r="F1382" s="1" t="s">
        <v>1470</v>
      </c>
      <c r="G1382">
        <v>4</v>
      </c>
      <c r="H1382" s="1" t="s">
        <v>1490</v>
      </c>
      <c r="I1382" t="s">
        <v>1870</v>
      </c>
      <c r="J1382" s="1" t="s">
        <v>1456</v>
      </c>
      <c r="K1382" s="1" t="s">
        <v>1560</v>
      </c>
      <c r="L1382" s="1" t="s">
        <v>1729</v>
      </c>
      <c r="M1382" s="1" t="s">
        <v>1740</v>
      </c>
      <c r="N1382" t="s">
        <v>1932</v>
      </c>
      <c r="O1382" t="s">
        <v>2157</v>
      </c>
      <c r="P1382" t="s">
        <v>3041</v>
      </c>
      <c r="Q1382">
        <v>2</v>
      </c>
      <c r="R1382" s="1" t="s">
        <v>1718</v>
      </c>
      <c r="S1382">
        <v>6526</v>
      </c>
      <c r="T1382">
        <v>13052</v>
      </c>
    </row>
    <row r="1383" spans="1:20" hidden="1" x14ac:dyDescent="0.4">
      <c r="A1383" s="1" t="s">
        <v>512</v>
      </c>
      <c r="B1383" s="1" t="s">
        <v>1454</v>
      </c>
      <c r="C1383" s="1" t="s">
        <v>1845</v>
      </c>
      <c r="D1383" s="1" t="s">
        <v>1731</v>
      </c>
      <c r="E1383">
        <v>20251216</v>
      </c>
      <c r="F1383" s="1" t="s">
        <v>1470</v>
      </c>
      <c r="G1383">
        <v>4</v>
      </c>
      <c r="H1383" s="1" t="s">
        <v>1490</v>
      </c>
      <c r="I1383" t="s">
        <v>1870</v>
      </c>
      <c r="J1383" s="1" t="s">
        <v>1456</v>
      </c>
      <c r="K1383" s="1" t="s">
        <v>1555</v>
      </c>
      <c r="L1383" s="1" t="s">
        <v>1729</v>
      </c>
      <c r="M1383" s="1" t="s">
        <v>1736</v>
      </c>
      <c r="N1383" t="s">
        <v>1927</v>
      </c>
      <c r="O1383" t="s">
        <v>2157</v>
      </c>
      <c r="P1383" t="s">
        <v>3038</v>
      </c>
      <c r="Q1383">
        <v>8</v>
      </c>
      <c r="R1383" s="1" t="s">
        <v>1718</v>
      </c>
      <c r="S1383">
        <v>3719</v>
      </c>
      <c r="T1383">
        <v>29752</v>
      </c>
    </row>
    <row r="1384" spans="1:20" hidden="1" x14ac:dyDescent="0.4">
      <c r="A1384" s="1" t="s">
        <v>513</v>
      </c>
      <c r="B1384" s="1" t="s">
        <v>1453</v>
      </c>
      <c r="C1384" s="1" t="s">
        <v>1845</v>
      </c>
      <c r="D1384" s="1" t="s">
        <v>1731</v>
      </c>
      <c r="E1384">
        <v>20251216</v>
      </c>
      <c r="F1384" s="1" t="s">
        <v>1470</v>
      </c>
      <c r="G1384">
        <v>4</v>
      </c>
      <c r="H1384" s="1" t="s">
        <v>1490</v>
      </c>
      <c r="I1384" t="s">
        <v>1870</v>
      </c>
      <c r="J1384" s="1" t="s">
        <v>1456</v>
      </c>
      <c r="K1384" s="1" t="s">
        <v>1558</v>
      </c>
      <c r="L1384" s="1" t="s">
        <v>1729</v>
      </c>
      <c r="M1384" s="1" t="s">
        <v>1737</v>
      </c>
      <c r="N1384" t="s">
        <v>1930</v>
      </c>
      <c r="O1384" t="s">
        <v>2157</v>
      </c>
      <c r="P1384" t="s">
        <v>2157</v>
      </c>
      <c r="Q1384">
        <v>87</v>
      </c>
      <c r="R1384" s="1" t="s">
        <v>1718</v>
      </c>
      <c r="S1384">
        <v>9977.4699999999993</v>
      </c>
      <c r="T1384">
        <v>868040</v>
      </c>
    </row>
    <row r="1385" spans="1:20" hidden="1" x14ac:dyDescent="0.4">
      <c r="A1385" s="1" t="s">
        <v>514</v>
      </c>
      <c r="B1385" s="1" t="s">
        <v>1453</v>
      </c>
      <c r="C1385" s="1" t="s">
        <v>1845</v>
      </c>
      <c r="D1385" s="1" t="s">
        <v>1731</v>
      </c>
      <c r="E1385">
        <v>20251215</v>
      </c>
      <c r="F1385" s="1" t="s">
        <v>1473</v>
      </c>
      <c r="G1385">
        <v>4</v>
      </c>
      <c r="H1385" s="1" t="s">
        <v>1494</v>
      </c>
      <c r="I1385" t="s">
        <v>1874</v>
      </c>
      <c r="J1385" s="1" t="s">
        <v>1453</v>
      </c>
      <c r="K1385" s="1" t="s">
        <v>1598</v>
      </c>
      <c r="L1385" s="1" t="s">
        <v>1718</v>
      </c>
      <c r="M1385" s="1" t="s">
        <v>1765</v>
      </c>
      <c r="N1385" t="s">
        <v>1973</v>
      </c>
      <c r="O1385" t="s">
        <v>2164</v>
      </c>
      <c r="P1385" t="s">
        <v>3084</v>
      </c>
      <c r="Q1385">
        <v>89.18</v>
      </c>
      <c r="R1385" s="1" t="s">
        <v>1839</v>
      </c>
      <c r="S1385">
        <v>3020.99</v>
      </c>
      <c r="T1385">
        <v>269412</v>
      </c>
    </row>
    <row r="1386" spans="1:20" hidden="1" x14ac:dyDescent="0.4">
      <c r="A1386" s="1" t="s">
        <v>514</v>
      </c>
      <c r="B1386" s="1" t="s">
        <v>1454</v>
      </c>
      <c r="C1386" s="1" t="s">
        <v>1845</v>
      </c>
      <c r="D1386" s="1" t="s">
        <v>1731</v>
      </c>
      <c r="E1386">
        <v>20251215</v>
      </c>
      <c r="F1386" s="1" t="s">
        <v>1473</v>
      </c>
      <c r="G1386">
        <v>4</v>
      </c>
      <c r="H1386" s="1" t="s">
        <v>1494</v>
      </c>
      <c r="I1386" t="s">
        <v>1874</v>
      </c>
      <c r="J1386" s="1" t="s">
        <v>1453</v>
      </c>
      <c r="K1386" s="1" t="s">
        <v>1598</v>
      </c>
      <c r="L1386" s="1" t="s">
        <v>1718</v>
      </c>
      <c r="M1386" s="1" t="s">
        <v>1765</v>
      </c>
      <c r="N1386" t="s">
        <v>1973</v>
      </c>
      <c r="O1386" t="s">
        <v>2164</v>
      </c>
      <c r="P1386" t="s">
        <v>3084</v>
      </c>
      <c r="Q1386">
        <v>61.88</v>
      </c>
      <c r="R1386" s="1" t="s">
        <v>1839</v>
      </c>
      <c r="S1386">
        <v>3020.99</v>
      </c>
      <c r="T1386">
        <v>186939</v>
      </c>
    </row>
    <row r="1387" spans="1:20" hidden="1" x14ac:dyDescent="0.4">
      <c r="A1387" s="1" t="s">
        <v>514</v>
      </c>
      <c r="B1387" s="1" t="s">
        <v>1455</v>
      </c>
      <c r="C1387" s="1" t="s">
        <v>1845</v>
      </c>
      <c r="D1387" s="1" t="s">
        <v>1731</v>
      </c>
      <c r="E1387">
        <v>20251215</v>
      </c>
      <c r="F1387" s="1" t="s">
        <v>1473</v>
      </c>
      <c r="G1387">
        <v>4</v>
      </c>
      <c r="H1387" s="1" t="s">
        <v>1494</v>
      </c>
      <c r="I1387" t="s">
        <v>1874</v>
      </c>
      <c r="J1387" s="1" t="s">
        <v>1453</v>
      </c>
      <c r="K1387" s="1" t="s">
        <v>1598</v>
      </c>
      <c r="L1387" s="1" t="s">
        <v>1718</v>
      </c>
      <c r="M1387" s="1" t="s">
        <v>1765</v>
      </c>
      <c r="N1387" t="s">
        <v>1973</v>
      </c>
      <c r="O1387" t="s">
        <v>2164</v>
      </c>
      <c r="P1387" t="s">
        <v>3084</v>
      </c>
      <c r="Q1387">
        <v>22.2</v>
      </c>
      <c r="R1387" s="1" t="s">
        <v>1839</v>
      </c>
      <c r="S1387">
        <v>3020.99</v>
      </c>
      <c r="T1387">
        <v>67066</v>
      </c>
    </row>
    <row r="1388" spans="1:20" hidden="1" x14ac:dyDescent="0.4">
      <c r="A1388" s="1" t="s">
        <v>514</v>
      </c>
      <c r="B1388" s="1" t="s">
        <v>1456</v>
      </c>
      <c r="C1388" s="1" t="s">
        <v>1845</v>
      </c>
      <c r="D1388" s="1" t="s">
        <v>1731</v>
      </c>
      <c r="E1388">
        <v>20251215</v>
      </c>
      <c r="F1388" s="1" t="s">
        <v>1473</v>
      </c>
      <c r="G1388">
        <v>4</v>
      </c>
      <c r="H1388" s="1" t="s">
        <v>1494</v>
      </c>
      <c r="I1388" t="s">
        <v>1874</v>
      </c>
      <c r="J1388" s="1" t="s">
        <v>1453</v>
      </c>
      <c r="K1388" s="1" t="s">
        <v>1598</v>
      </c>
      <c r="L1388" s="1" t="s">
        <v>1718</v>
      </c>
      <c r="M1388" s="1" t="s">
        <v>1765</v>
      </c>
      <c r="N1388" t="s">
        <v>1973</v>
      </c>
      <c r="O1388" t="s">
        <v>2164</v>
      </c>
      <c r="P1388" t="s">
        <v>3084</v>
      </c>
      <c r="Q1388">
        <v>105.56</v>
      </c>
      <c r="R1388" s="1" t="s">
        <v>1839</v>
      </c>
      <c r="S1388">
        <v>3020.99</v>
      </c>
      <c r="T1388">
        <v>318896</v>
      </c>
    </row>
    <row r="1389" spans="1:20" hidden="1" x14ac:dyDescent="0.4">
      <c r="A1389" s="1" t="s">
        <v>514</v>
      </c>
      <c r="B1389" s="1" t="s">
        <v>1457</v>
      </c>
      <c r="C1389" s="1" t="s">
        <v>1845</v>
      </c>
      <c r="D1389" s="1" t="s">
        <v>1731</v>
      </c>
      <c r="E1389">
        <v>20251215</v>
      </c>
      <c r="F1389" s="1" t="s">
        <v>1473</v>
      </c>
      <c r="G1389">
        <v>4</v>
      </c>
      <c r="H1389" s="1" t="s">
        <v>1494</v>
      </c>
      <c r="I1389" t="s">
        <v>1874</v>
      </c>
      <c r="J1389" s="1" t="s">
        <v>1453</v>
      </c>
      <c r="K1389" s="1" t="s">
        <v>1598</v>
      </c>
      <c r="L1389" s="1" t="s">
        <v>1718</v>
      </c>
      <c r="M1389" s="1" t="s">
        <v>1765</v>
      </c>
      <c r="N1389" t="s">
        <v>1973</v>
      </c>
      <c r="O1389" t="s">
        <v>2164</v>
      </c>
      <c r="P1389" t="s">
        <v>3084</v>
      </c>
      <c r="Q1389">
        <v>37.119999999999997</v>
      </c>
      <c r="R1389" s="1" t="s">
        <v>1839</v>
      </c>
      <c r="S1389">
        <v>3020.98</v>
      </c>
      <c r="T1389">
        <v>112139</v>
      </c>
    </row>
    <row r="1390" spans="1:20" hidden="1" x14ac:dyDescent="0.4">
      <c r="A1390" s="1" t="s">
        <v>515</v>
      </c>
      <c r="B1390" s="1" t="s">
        <v>1453</v>
      </c>
      <c r="C1390" s="1" t="s">
        <v>1845</v>
      </c>
      <c r="D1390" s="1" t="s">
        <v>1731</v>
      </c>
      <c r="E1390">
        <v>20251203</v>
      </c>
      <c r="F1390" s="1" t="s">
        <v>1470</v>
      </c>
      <c r="G1390">
        <v>4</v>
      </c>
      <c r="H1390" s="1" t="s">
        <v>1490</v>
      </c>
      <c r="I1390" t="s">
        <v>1870</v>
      </c>
      <c r="J1390" s="1" t="s">
        <v>1456</v>
      </c>
      <c r="K1390" s="1" t="s">
        <v>1578</v>
      </c>
      <c r="L1390" s="1" t="s">
        <v>1729</v>
      </c>
      <c r="M1390" s="1" t="s">
        <v>1737</v>
      </c>
      <c r="N1390" t="s">
        <v>1931</v>
      </c>
      <c r="O1390" t="s">
        <v>2158</v>
      </c>
      <c r="P1390" t="s">
        <v>3044</v>
      </c>
      <c r="Q1390">
        <v>10</v>
      </c>
      <c r="R1390" s="1" t="s">
        <v>1725</v>
      </c>
      <c r="S1390">
        <v>1100</v>
      </c>
      <c r="T1390">
        <v>11000</v>
      </c>
    </row>
    <row r="1391" spans="1:20" hidden="1" x14ac:dyDescent="0.4">
      <c r="A1391" s="1" t="s">
        <v>516</v>
      </c>
      <c r="B1391" s="1" t="s">
        <v>1453</v>
      </c>
      <c r="C1391" s="1" t="s">
        <v>1845</v>
      </c>
      <c r="D1391" s="1" t="s">
        <v>1731</v>
      </c>
      <c r="E1391">
        <v>20251216</v>
      </c>
      <c r="F1391" s="1" t="s">
        <v>1470</v>
      </c>
      <c r="G1391">
        <v>4</v>
      </c>
      <c r="H1391" s="1" t="s">
        <v>1494</v>
      </c>
      <c r="I1391" t="s">
        <v>1874</v>
      </c>
      <c r="J1391" s="1" t="s">
        <v>1456</v>
      </c>
      <c r="K1391" s="1" t="s">
        <v>1600</v>
      </c>
      <c r="L1391" s="1" t="s">
        <v>1729</v>
      </c>
      <c r="M1391" s="1" t="s">
        <v>1737</v>
      </c>
      <c r="N1391" t="s">
        <v>1975</v>
      </c>
      <c r="O1391" t="s">
        <v>2157</v>
      </c>
      <c r="P1391" t="s">
        <v>2157</v>
      </c>
      <c r="Q1391">
        <v>45</v>
      </c>
      <c r="R1391" s="1" t="s">
        <v>1839</v>
      </c>
      <c r="S1391">
        <v>2857</v>
      </c>
      <c r="T1391">
        <v>128565</v>
      </c>
    </row>
    <row r="1392" spans="1:20" hidden="1" x14ac:dyDescent="0.4">
      <c r="A1392" s="1" t="s">
        <v>516</v>
      </c>
      <c r="B1392" s="1" t="s">
        <v>1454</v>
      </c>
      <c r="C1392" s="1" t="s">
        <v>1845</v>
      </c>
      <c r="D1392" s="1" t="s">
        <v>1731</v>
      </c>
      <c r="E1392">
        <v>20251216</v>
      </c>
      <c r="F1392" s="1" t="s">
        <v>1470</v>
      </c>
      <c r="G1392">
        <v>4</v>
      </c>
      <c r="H1392" s="1" t="s">
        <v>1494</v>
      </c>
      <c r="I1392" t="s">
        <v>1874</v>
      </c>
      <c r="J1392" s="1" t="s">
        <v>1456</v>
      </c>
      <c r="K1392" s="1" t="s">
        <v>1600</v>
      </c>
      <c r="L1392" s="1" t="s">
        <v>1729</v>
      </c>
      <c r="M1392" s="1" t="s">
        <v>1737</v>
      </c>
      <c r="N1392" t="s">
        <v>1975</v>
      </c>
      <c r="O1392" t="s">
        <v>2157</v>
      </c>
      <c r="P1392" t="s">
        <v>2157</v>
      </c>
      <c r="Q1392">
        <v>45</v>
      </c>
      <c r="R1392" s="1" t="s">
        <v>1839</v>
      </c>
      <c r="S1392">
        <v>2857</v>
      </c>
      <c r="T1392">
        <v>128565</v>
      </c>
    </row>
    <row r="1393" spans="1:20" hidden="1" x14ac:dyDescent="0.4">
      <c r="A1393" s="1" t="s">
        <v>516</v>
      </c>
      <c r="B1393" s="1" t="s">
        <v>1455</v>
      </c>
      <c r="C1393" s="1" t="s">
        <v>1845</v>
      </c>
      <c r="D1393" s="1" t="s">
        <v>1731</v>
      </c>
      <c r="E1393">
        <v>20251216</v>
      </c>
      <c r="F1393" s="1" t="s">
        <v>1470</v>
      </c>
      <c r="G1393">
        <v>4</v>
      </c>
      <c r="H1393" s="1" t="s">
        <v>1494</v>
      </c>
      <c r="I1393" t="s">
        <v>1874</v>
      </c>
      <c r="J1393" s="1" t="s">
        <v>1456</v>
      </c>
      <c r="K1393" s="1" t="s">
        <v>1600</v>
      </c>
      <c r="L1393" s="1" t="s">
        <v>1729</v>
      </c>
      <c r="M1393" s="1" t="s">
        <v>1737</v>
      </c>
      <c r="N1393" t="s">
        <v>1975</v>
      </c>
      <c r="O1393" t="s">
        <v>2157</v>
      </c>
      <c r="P1393" t="s">
        <v>2157</v>
      </c>
      <c r="Q1393">
        <v>45</v>
      </c>
      <c r="R1393" s="1" t="s">
        <v>1839</v>
      </c>
      <c r="S1393">
        <v>2857</v>
      </c>
      <c r="T1393">
        <v>128565</v>
      </c>
    </row>
    <row r="1394" spans="1:20" hidden="1" x14ac:dyDescent="0.4">
      <c r="A1394" s="1" t="s">
        <v>516</v>
      </c>
      <c r="B1394" s="1" t="s">
        <v>1456</v>
      </c>
      <c r="C1394" s="1" t="s">
        <v>1845</v>
      </c>
      <c r="D1394" s="1" t="s">
        <v>1731</v>
      </c>
      <c r="E1394">
        <v>20251216</v>
      </c>
      <c r="F1394" s="1" t="s">
        <v>1470</v>
      </c>
      <c r="G1394">
        <v>4</v>
      </c>
      <c r="H1394" s="1" t="s">
        <v>1494</v>
      </c>
      <c r="I1394" t="s">
        <v>1874</v>
      </c>
      <c r="J1394" s="1" t="s">
        <v>1456</v>
      </c>
      <c r="K1394" s="1" t="s">
        <v>1600</v>
      </c>
      <c r="L1394" s="1" t="s">
        <v>1729</v>
      </c>
      <c r="M1394" s="1" t="s">
        <v>1737</v>
      </c>
      <c r="N1394" t="s">
        <v>1975</v>
      </c>
      <c r="O1394" t="s">
        <v>2157</v>
      </c>
      <c r="P1394" t="s">
        <v>2157</v>
      </c>
      <c r="Q1394">
        <v>45</v>
      </c>
      <c r="R1394" s="1" t="s">
        <v>1839</v>
      </c>
      <c r="S1394">
        <v>2857</v>
      </c>
      <c r="T1394">
        <v>128565</v>
      </c>
    </row>
    <row r="1395" spans="1:20" hidden="1" x14ac:dyDescent="0.4">
      <c r="A1395" s="1" t="s">
        <v>516</v>
      </c>
      <c r="B1395" s="1" t="s">
        <v>1457</v>
      </c>
      <c r="C1395" s="1" t="s">
        <v>1845</v>
      </c>
      <c r="D1395" s="1" t="s">
        <v>1731</v>
      </c>
      <c r="E1395">
        <v>20251216</v>
      </c>
      <c r="F1395" s="1" t="s">
        <v>1470</v>
      </c>
      <c r="G1395">
        <v>4</v>
      </c>
      <c r="H1395" s="1" t="s">
        <v>1494</v>
      </c>
      <c r="I1395" t="s">
        <v>1874</v>
      </c>
      <c r="J1395" s="1" t="s">
        <v>1456</v>
      </c>
      <c r="K1395" s="1" t="s">
        <v>1600</v>
      </c>
      <c r="L1395" s="1" t="s">
        <v>1729</v>
      </c>
      <c r="M1395" s="1" t="s">
        <v>1737</v>
      </c>
      <c r="N1395" t="s">
        <v>1975</v>
      </c>
      <c r="O1395" t="s">
        <v>2157</v>
      </c>
      <c r="P1395" t="s">
        <v>2157</v>
      </c>
      <c r="Q1395">
        <v>45</v>
      </c>
      <c r="R1395" s="1" t="s">
        <v>1839</v>
      </c>
      <c r="S1395">
        <v>2857</v>
      </c>
      <c r="T1395">
        <v>128565</v>
      </c>
    </row>
    <row r="1396" spans="1:20" hidden="1" x14ac:dyDescent="0.4">
      <c r="A1396" s="1" t="s">
        <v>516</v>
      </c>
      <c r="B1396" s="1" t="s">
        <v>1458</v>
      </c>
      <c r="C1396" s="1" t="s">
        <v>1845</v>
      </c>
      <c r="D1396" s="1" t="s">
        <v>1731</v>
      </c>
      <c r="E1396">
        <v>20251216</v>
      </c>
      <c r="F1396" s="1" t="s">
        <v>1470</v>
      </c>
      <c r="G1396">
        <v>4</v>
      </c>
      <c r="H1396" s="1" t="s">
        <v>1494</v>
      </c>
      <c r="I1396" t="s">
        <v>1874</v>
      </c>
      <c r="J1396" s="1" t="s">
        <v>1456</v>
      </c>
      <c r="K1396" s="1" t="s">
        <v>1600</v>
      </c>
      <c r="L1396" s="1" t="s">
        <v>1729</v>
      </c>
      <c r="M1396" s="1" t="s">
        <v>1737</v>
      </c>
      <c r="N1396" t="s">
        <v>1975</v>
      </c>
      <c r="O1396" t="s">
        <v>2157</v>
      </c>
      <c r="P1396" t="s">
        <v>2157</v>
      </c>
      <c r="Q1396">
        <v>45</v>
      </c>
      <c r="R1396" s="1" t="s">
        <v>1839</v>
      </c>
      <c r="S1396">
        <v>2857</v>
      </c>
      <c r="T1396">
        <v>128565</v>
      </c>
    </row>
    <row r="1397" spans="1:20" hidden="1" x14ac:dyDescent="0.4">
      <c r="A1397" s="1" t="s">
        <v>516</v>
      </c>
      <c r="B1397" s="1" t="s">
        <v>1459</v>
      </c>
      <c r="C1397" s="1" t="s">
        <v>1845</v>
      </c>
      <c r="D1397" s="1" t="s">
        <v>1731</v>
      </c>
      <c r="E1397">
        <v>20251216</v>
      </c>
      <c r="F1397" s="1" t="s">
        <v>1470</v>
      </c>
      <c r="G1397">
        <v>4</v>
      </c>
      <c r="H1397" s="1" t="s">
        <v>1494</v>
      </c>
      <c r="I1397" t="s">
        <v>1874</v>
      </c>
      <c r="J1397" s="1" t="s">
        <v>1456</v>
      </c>
      <c r="K1397" s="1" t="s">
        <v>1600</v>
      </c>
      <c r="L1397" s="1" t="s">
        <v>1729</v>
      </c>
      <c r="M1397" s="1" t="s">
        <v>1737</v>
      </c>
      <c r="N1397" t="s">
        <v>1975</v>
      </c>
      <c r="O1397" t="s">
        <v>2157</v>
      </c>
      <c r="P1397" t="s">
        <v>2157</v>
      </c>
      <c r="Q1397">
        <v>45</v>
      </c>
      <c r="R1397" s="1" t="s">
        <v>1839</v>
      </c>
      <c r="S1397">
        <v>2857</v>
      </c>
      <c r="T1397">
        <v>128565</v>
      </c>
    </row>
    <row r="1398" spans="1:20" hidden="1" x14ac:dyDescent="0.4">
      <c r="A1398" s="1" t="s">
        <v>516</v>
      </c>
      <c r="B1398" s="1" t="s">
        <v>1460</v>
      </c>
      <c r="C1398" s="1" t="s">
        <v>1845</v>
      </c>
      <c r="D1398" s="1" t="s">
        <v>1731</v>
      </c>
      <c r="E1398">
        <v>20251216</v>
      </c>
      <c r="F1398" s="1" t="s">
        <v>1470</v>
      </c>
      <c r="G1398">
        <v>4</v>
      </c>
      <c r="H1398" s="1" t="s">
        <v>1494</v>
      </c>
      <c r="I1398" t="s">
        <v>1874</v>
      </c>
      <c r="J1398" s="1" t="s">
        <v>1456</v>
      </c>
      <c r="K1398" s="1" t="s">
        <v>1600</v>
      </c>
      <c r="L1398" s="1" t="s">
        <v>1729</v>
      </c>
      <c r="M1398" s="1" t="s">
        <v>1737</v>
      </c>
      <c r="N1398" t="s">
        <v>1975</v>
      </c>
      <c r="O1398" t="s">
        <v>2157</v>
      </c>
      <c r="P1398" t="s">
        <v>2157</v>
      </c>
      <c r="Q1398">
        <v>45</v>
      </c>
      <c r="R1398" s="1" t="s">
        <v>1839</v>
      </c>
      <c r="S1398">
        <v>2857</v>
      </c>
      <c r="T1398">
        <v>128565</v>
      </c>
    </row>
    <row r="1399" spans="1:20" hidden="1" x14ac:dyDescent="0.4">
      <c r="A1399" s="1" t="s">
        <v>516</v>
      </c>
      <c r="B1399" s="1" t="s">
        <v>1461</v>
      </c>
      <c r="C1399" s="1" t="s">
        <v>1845</v>
      </c>
      <c r="D1399" s="1" t="s">
        <v>1731</v>
      </c>
      <c r="E1399">
        <v>20251216</v>
      </c>
      <c r="F1399" s="1" t="s">
        <v>1470</v>
      </c>
      <c r="G1399">
        <v>4</v>
      </c>
      <c r="H1399" s="1" t="s">
        <v>1494</v>
      </c>
      <c r="I1399" t="s">
        <v>1874</v>
      </c>
      <c r="J1399" s="1" t="s">
        <v>1456</v>
      </c>
      <c r="K1399" s="1" t="s">
        <v>1600</v>
      </c>
      <c r="L1399" s="1" t="s">
        <v>1729</v>
      </c>
      <c r="M1399" s="1" t="s">
        <v>1737</v>
      </c>
      <c r="N1399" t="s">
        <v>1975</v>
      </c>
      <c r="O1399" t="s">
        <v>2157</v>
      </c>
      <c r="P1399" t="s">
        <v>2157</v>
      </c>
      <c r="Q1399">
        <v>45</v>
      </c>
      <c r="R1399" s="1" t="s">
        <v>1839</v>
      </c>
      <c r="S1399">
        <v>2857</v>
      </c>
      <c r="T1399">
        <v>128565</v>
      </c>
    </row>
    <row r="1400" spans="1:20" hidden="1" x14ac:dyDescent="0.4">
      <c r="A1400" s="1" t="s">
        <v>516</v>
      </c>
      <c r="B1400" s="1" t="s">
        <v>1462</v>
      </c>
      <c r="C1400" s="1" t="s">
        <v>1845</v>
      </c>
      <c r="D1400" s="1" t="s">
        <v>1731</v>
      </c>
      <c r="E1400">
        <v>20251216</v>
      </c>
      <c r="F1400" s="1" t="s">
        <v>1470</v>
      </c>
      <c r="G1400">
        <v>4</v>
      </c>
      <c r="H1400" s="1" t="s">
        <v>1494</v>
      </c>
      <c r="I1400" t="s">
        <v>1874</v>
      </c>
      <c r="J1400" s="1" t="s">
        <v>1456</v>
      </c>
      <c r="K1400" s="1" t="s">
        <v>1600</v>
      </c>
      <c r="L1400" s="1" t="s">
        <v>1729</v>
      </c>
      <c r="M1400" s="1" t="s">
        <v>1737</v>
      </c>
      <c r="N1400" t="s">
        <v>1975</v>
      </c>
      <c r="O1400" t="s">
        <v>2157</v>
      </c>
      <c r="P1400" t="s">
        <v>2157</v>
      </c>
      <c r="Q1400">
        <v>45</v>
      </c>
      <c r="R1400" s="1" t="s">
        <v>1839</v>
      </c>
      <c r="S1400">
        <v>2857</v>
      </c>
      <c r="T1400">
        <v>128565</v>
      </c>
    </row>
    <row r="1401" spans="1:20" hidden="1" x14ac:dyDescent="0.4">
      <c r="A1401" s="1" t="s">
        <v>517</v>
      </c>
      <c r="B1401" s="1" t="s">
        <v>1453</v>
      </c>
      <c r="C1401" s="1" t="s">
        <v>1845</v>
      </c>
      <c r="D1401" s="1" t="s">
        <v>1731</v>
      </c>
      <c r="E1401">
        <v>20251216</v>
      </c>
      <c r="F1401" s="1" t="s">
        <v>1470</v>
      </c>
      <c r="G1401">
        <v>4</v>
      </c>
      <c r="H1401" s="1" t="s">
        <v>1494</v>
      </c>
      <c r="I1401" t="s">
        <v>1874</v>
      </c>
      <c r="J1401" s="1" t="s">
        <v>1456</v>
      </c>
      <c r="K1401" s="1" t="s">
        <v>1600</v>
      </c>
      <c r="L1401" s="1" t="s">
        <v>1729</v>
      </c>
      <c r="M1401" s="1" t="s">
        <v>1737</v>
      </c>
      <c r="N1401" t="s">
        <v>1975</v>
      </c>
      <c r="O1401" t="s">
        <v>2157</v>
      </c>
      <c r="P1401" t="s">
        <v>2157</v>
      </c>
      <c r="Q1401">
        <v>45</v>
      </c>
      <c r="R1401" s="1" t="s">
        <v>1839</v>
      </c>
      <c r="S1401">
        <v>2857</v>
      </c>
      <c r="T1401">
        <v>128565</v>
      </c>
    </row>
    <row r="1402" spans="1:20" hidden="1" x14ac:dyDescent="0.4">
      <c r="A1402" s="1" t="s">
        <v>517</v>
      </c>
      <c r="B1402" s="1" t="s">
        <v>1454</v>
      </c>
      <c r="C1402" s="1" t="s">
        <v>1845</v>
      </c>
      <c r="D1402" s="1" t="s">
        <v>1731</v>
      </c>
      <c r="E1402">
        <v>20251216</v>
      </c>
      <c r="F1402" s="1" t="s">
        <v>1470</v>
      </c>
      <c r="G1402">
        <v>4</v>
      </c>
      <c r="H1402" s="1" t="s">
        <v>1494</v>
      </c>
      <c r="I1402" t="s">
        <v>1874</v>
      </c>
      <c r="J1402" s="1" t="s">
        <v>1456</v>
      </c>
      <c r="K1402" s="1" t="s">
        <v>1600</v>
      </c>
      <c r="L1402" s="1" t="s">
        <v>1729</v>
      </c>
      <c r="M1402" s="1" t="s">
        <v>1737</v>
      </c>
      <c r="N1402" t="s">
        <v>1975</v>
      </c>
      <c r="O1402" t="s">
        <v>2157</v>
      </c>
      <c r="P1402" t="s">
        <v>2157</v>
      </c>
      <c r="Q1402">
        <v>45</v>
      </c>
      <c r="R1402" s="1" t="s">
        <v>1839</v>
      </c>
      <c r="S1402">
        <v>2857</v>
      </c>
      <c r="T1402">
        <v>128565</v>
      </c>
    </row>
    <row r="1403" spans="1:20" hidden="1" x14ac:dyDescent="0.4">
      <c r="A1403" s="1" t="s">
        <v>517</v>
      </c>
      <c r="B1403" s="1" t="s">
        <v>1455</v>
      </c>
      <c r="C1403" s="1" t="s">
        <v>1845</v>
      </c>
      <c r="D1403" s="1" t="s">
        <v>1731</v>
      </c>
      <c r="E1403">
        <v>20251216</v>
      </c>
      <c r="F1403" s="1" t="s">
        <v>1470</v>
      </c>
      <c r="G1403">
        <v>4</v>
      </c>
      <c r="H1403" s="1" t="s">
        <v>1494</v>
      </c>
      <c r="I1403" t="s">
        <v>1874</v>
      </c>
      <c r="J1403" s="1" t="s">
        <v>1456</v>
      </c>
      <c r="K1403" s="1" t="s">
        <v>1600</v>
      </c>
      <c r="L1403" s="1" t="s">
        <v>1729</v>
      </c>
      <c r="M1403" s="1" t="s">
        <v>1737</v>
      </c>
      <c r="N1403" t="s">
        <v>1975</v>
      </c>
      <c r="O1403" t="s">
        <v>2157</v>
      </c>
      <c r="P1403" t="s">
        <v>2157</v>
      </c>
      <c r="Q1403">
        <v>45</v>
      </c>
      <c r="R1403" s="1" t="s">
        <v>1839</v>
      </c>
      <c r="S1403">
        <v>2857</v>
      </c>
      <c r="T1403">
        <v>128565</v>
      </c>
    </row>
    <row r="1404" spans="1:20" hidden="1" x14ac:dyDescent="0.4">
      <c r="A1404" s="1" t="s">
        <v>517</v>
      </c>
      <c r="B1404" s="1" t="s">
        <v>1456</v>
      </c>
      <c r="C1404" s="1" t="s">
        <v>1845</v>
      </c>
      <c r="D1404" s="1" t="s">
        <v>1731</v>
      </c>
      <c r="E1404">
        <v>20251216</v>
      </c>
      <c r="F1404" s="1" t="s">
        <v>1470</v>
      </c>
      <c r="G1404">
        <v>4</v>
      </c>
      <c r="H1404" s="1" t="s">
        <v>1494</v>
      </c>
      <c r="I1404" t="s">
        <v>1874</v>
      </c>
      <c r="J1404" s="1" t="s">
        <v>1456</v>
      </c>
      <c r="K1404" s="1" t="s">
        <v>1600</v>
      </c>
      <c r="L1404" s="1" t="s">
        <v>1729</v>
      </c>
      <c r="M1404" s="1" t="s">
        <v>1737</v>
      </c>
      <c r="N1404" t="s">
        <v>1975</v>
      </c>
      <c r="O1404" t="s">
        <v>2157</v>
      </c>
      <c r="P1404" t="s">
        <v>2157</v>
      </c>
      <c r="Q1404">
        <v>45</v>
      </c>
      <c r="R1404" s="1" t="s">
        <v>1839</v>
      </c>
      <c r="S1404">
        <v>2857</v>
      </c>
      <c r="T1404">
        <v>128565</v>
      </c>
    </row>
    <row r="1405" spans="1:20" hidden="1" x14ac:dyDescent="0.4">
      <c r="A1405" s="1" t="s">
        <v>517</v>
      </c>
      <c r="B1405" s="1" t="s">
        <v>1457</v>
      </c>
      <c r="C1405" s="1" t="s">
        <v>1845</v>
      </c>
      <c r="D1405" s="1" t="s">
        <v>1731</v>
      </c>
      <c r="E1405">
        <v>20251216</v>
      </c>
      <c r="F1405" s="1" t="s">
        <v>1470</v>
      </c>
      <c r="G1405">
        <v>4</v>
      </c>
      <c r="H1405" s="1" t="s">
        <v>1494</v>
      </c>
      <c r="I1405" t="s">
        <v>1874</v>
      </c>
      <c r="J1405" s="1" t="s">
        <v>1456</v>
      </c>
      <c r="K1405" s="1" t="s">
        <v>1600</v>
      </c>
      <c r="L1405" s="1" t="s">
        <v>1729</v>
      </c>
      <c r="M1405" s="1" t="s">
        <v>1737</v>
      </c>
      <c r="N1405" t="s">
        <v>1975</v>
      </c>
      <c r="O1405" t="s">
        <v>2157</v>
      </c>
      <c r="P1405" t="s">
        <v>2157</v>
      </c>
      <c r="Q1405">
        <v>45</v>
      </c>
      <c r="R1405" s="1" t="s">
        <v>1839</v>
      </c>
      <c r="S1405">
        <v>2857</v>
      </c>
      <c r="T1405">
        <v>128565</v>
      </c>
    </row>
    <row r="1406" spans="1:20" hidden="1" x14ac:dyDescent="0.4">
      <c r="A1406" s="1" t="s">
        <v>517</v>
      </c>
      <c r="B1406" s="1" t="s">
        <v>1458</v>
      </c>
      <c r="C1406" s="1" t="s">
        <v>1845</v>
      </c>
      <c r="D1406" s="1" t="s">
        <v>1731</v>
      </c>
      <c r="E1406">
        <v>20251216</v>
      </c>
      <c r="F1406" s="1" t="s">
        <v>1470</v>
      </c>
      <c r="G1406">
        <v>4</v>
      </c>
      <c r="H1406" s="1" t="s">
        <v>1494</v>
      </c>
      <c r="I1406" t="s">
        <v>1874</v>
      </c>
      <c r="J1406" s="1" t="s">
        <v>1456</v>
      </c>
      <c r="K1406" s="1" t="s">
        <v>1600</v>
      </c>
      <c r="L1406" s="1" t="s">
        <v>1729</v>
      </c>
      <c r="M1406" s="1" t="s">
        <v>1737</v>
      </c>
      <c r="N1406" t="s">
        <v>1975</v>
      </c>
      <c r="O1406" t="s">
        <v>2157</v>
      </c>
      <c r="P1406" t="s">
        <v>2157</v>
      </c>
      <c r="Q1406">
        <v>45</v>
      </c>
      <c r="R1406" s="1" t="s">
        <v>1839</v>
      </c>
      <c r="S1406">
        <v>2857</v>
      </c>
      <c r="T1406">
        <v>128565</v>
      </c>
    </row>
    <row r="1407" spans="1:20" hidden="1" x14ac:dyDescent="0.4">
      <c r="A1407" s="1" t="s">
        <v>517</v>
      </c>
      <c r="B1407" s="1" t="s">
        <v>1459</v>
      </c>
      <c r="C1407" s="1" t="s">
        <v>1845</v>
      </c>
      <c r="D1407" s="1" t="s">
        <v>1731</v>
      </c>
      <c r="E1407">
        <v>20251216</v>
      </c>
      <c r="F1407" s="1" t="s">
        <v>1470</v>
      </c>
      <c r="G1407">
        <v>4</v>
      </c>
      <c r="H1407" s="1" t="s">
        <v>1494</v>
      </c>
      <c r="I1407" t="s">
        <v>1874</v>
      </c>
      <c r="J1407" s="1" t="s">
        <v>1456</v>
      </c>
      <c r="K1407" s="1" t="s">
        <v>1600</v>
      </c>
      <c r="L1407" s="1" t="s">
        <v>1729</v>
      </c>
      <c r="M1407" s="1" t="s">
        <v>1737</v>
      </c>
      <c r="N1407" t="s">
        <v>1975</v>
      </c>
      <c r="O1407" t="s">
        <v>2157</v>
      </c>
      <c r="P1407" t="s">
        <v>2157</v>
      </c>
      <c r="Q1407">
        <v>27</v>
      </c>
      <c r="R1407" s="1" t="s">
        <v>1839</v>
      </c>
      <c r="S1407">
        <v>2857</v>
      </c>
      <c r="T1407">
        <v>77139</v>
      </c>
    </row>
    <row r="1408" spans="1:20" hidden="1" x14ac:dyDescent="0.4">
      <c r="A1408" s="1" t="s">
        <v>517</v>
      </c>
      <c r="B1408" s="1" t="s">
        <v>1460</v>
      </c>
      <c r="C1408" s="1" t="s">
        <v>1845</v>
      </c>
      <c r="D1408" s="1" t="s">
        <v>1731</v>
      </c>
      <c r="E1408">
        <v>20251216</v>
      </c>
      <c r="F1408" s="1" t="s">
        <v>1470</v>
      </c>
      <c r="G1408">
        <v>4</v>
      </c>
      <c r="H1408" s="1" t="s">
        <v>1494</v>
      </c>
      <c r="I1408" t="s">
        <v>1874</v>
      </c>
      <c r="J1408" s="1" t="s">
        <v>1456</v>
      </c>
      <c r="K1408" s="1" t="s">
        <v>1600</v>
      </c>
      <c r="L1408" s="1" t="s">
        <v>1729</v>
      </c>
      <c r="M1408" s="1" t="s">
        <v>1737</v>
      </c>
      <c r="N1408" t="s">
        <v>1975</v>
      </c>
      <c r="O1408" t="s">
        <v>2157</v>
      </c>
      <c r="P1408" t="s">
        <v>2157</v>
      </c>
      <c r="Q1408">
        <v>45</v>
      </c>
      <c r="R1408" s="1" t="s">
        <v>1839</v>
      </c>
      <c r="S1408">
        <v>2857</v>
      </c>
      <c r="T1408">
        <v>128565</v>
      </c>
    </row>
    <row r="1409" spans="1:20" hidden="1" x14ac:dyDescent="0.4">
      <c r="A1409" s="1" t="s">
        <v>517</v>
      </c>
      <c r="B1409" s="1" t="s">
        <v>1461</v>
      </c>
      <c r="C1409" s="1" t="s">
        <v>1845</v>
      </c>
      <c r="D1409" s="1" t="s">
        <v>1731</v>
      </c>
      <c r="E1409">
        <v>20251216</v>
      </c>
      <c r="F1409" s="1" t="s">
        <v>1470</v>
      </c>
      <c r="G1409">
        <v>4</v>
      </c>
      <c r="H1409" s="1" t="s">
        <v>1494</v>
      </c>
      <c r="I1409" t="s">
        <v>1874</v>
      </c>
      <c r="J1409" s="1" t="s">
        <v>1456</v>
      </c>
      <c r="K1409" s="1" t="s">
        <v>1600</v>
      </c>
      <c r="L1409" s="1" t="s">
        <v>1729</v>
      </c>
      <c r="M1409" s="1" t="s">
        <v>1737</v>
      </c>
      <c r="N1409" t="s">
        <v>1975</v>
      </c>
      <c r="O1409" t="s">
        <v>2157</v>
      </c>
      <c r="P1409" t="s">
        <v>2157</v>
      </c>
      <c r="Q1409">
        <v>45</v>
      </c>
      <c r="R1409" s="1" t="s">
        <v>1839</v>
      </c>
      <c r="S1409">
        <v>2857</v>
      </c>
      <c r="T1409">
        <v>128565</v>
      </c>
    </row>
    <row r="1410" spans="1:20" hidden="1" x14ac:dyDescent="0.4">
      <c r="A1410" s="1" t="s">
        <v>517</v>
      </c>
      <c r="B1410" s="1" t="s">
        <v>1462</v>
      </c>
      <c r="C1410" s="1" t="s">
        <v>1845</v>
      </c>
      <c r="D1410" s="1" t="s">
        <v>1731</v>
      </c>
      <c r="E1410">
        <v>20251216</v>
      </c>
      <c r="F1410" s="1" t="s">
        <v>1470</v>
      </c>
      <c r="G1410">
        <v>4</v>
      </c>
      <c r="H1410" s="1" t="s">
        <v>1494</v>
      </c>
      <c r="I1410" t="s">
        <v>1874</v>
      </c>
      <c r="J1410" s="1" t="s">
        <v>1456</v>
      </c>
      <c r="K1410" s="1" t="s">
        <v>1600</v>
      </c>
      <c r="L1410" s="1" t="s">
        <v>1729</v>
      </c>
      <c r="M1410" s="1" t="s">
        <v>1737</v>
      </c>
      <c r="N1410" t="s">
        <v>1975</v>
      </c>
      <c r="O1410" t="s">
        <v>2157</v>
      </c>
      <c r="P1410" t="s">
        <v>2157</v>
      </c>
      <c r="Q1410">
        <v>45</v>
      </c>
      <c r="R1410" s="1" t="s">
        <v>1839</v>
      </c>
      <c r="S1410">
        <v>2857</v>
      </c>
      <c r="T1410">
        <v>128565</v>
      </c>
    </row>
    <row r="1411" spans="1:20" hidden="1" x14ac:dyDescent="0.4">
      <c r="A1411" s="1" t="s">
        <v>518</v>
      </c>
      <c r="B1411" s="1" t="s">
        <v>1453</v>
      </c>
      <c r="C1411" s="1" t="s">
        <v>1845</v>
      </c>
      <c r="D1411" s="1" t="s">
        <v>1731</v>
      </c>
      <c r="E1411">
        <v>20251216</v>
      </c>
      <c r="F1411" s="1" t="s">
        <v>1470</v>
      </c>
      <c r="G1411">
        <v>4</v>
      </c>
      <c r="H1411" s="1" t="s">
        <v>1494</v>
      </c>
      <c r="I1411" t="s">
        <v>1874</v>
      </c>
      <c r="J1411" s="1" t="s">
        <v>1456</v>
      </c>
      <c r="K1411" s="1" t="s">
        <v>1600</v>
      </c>
      <c r="L1411" s="1" t="s">
        <v>1729</v>
      </c>
      <c r="M1411" s="1" t="s">
        <v>1737</v>
      </c>
      <c r="N1411" t="s">
        <v>1975</v>
      </c>
      <c r="O1411" t="s">
        <v>2157</v>
      </c>
      <c r="P1411" t="s">
        <v>2157</v>
      </c>
      <c r="Q1411">
        <v>45</v>
      </c>
      <c r="R1411" s="1" t="s">
        <v>1839</v>
      </c>
      <c r="S1411">
        <v>2857</v>
      </c>
      <c r="T1411">
        <v>128565</v>
      </c>
    </row>
    <row r="1412" spans="1:20" hidden="1" x14ac:dyDescent="0.4">
      <c r="A1412" s="1" t="s">
        <v>518</v>
      </c>
      <c r="B1412" s="1" t="s">
        <v>1454</v>
      </c>
      <c r="C1412" s="1" t="s">
        <v>1845</v>
      </c>
      <c r="D1412" s="1" t="s">
        <v>1731</v>
      </c>
      <c r="E1412">
        <v>20251216</v>
      </c>
      <c r="F1412" s="1" t="s">
        <v>1470</v>
      </c>
      <c r="G1412">
        <v>4</v>
      </c>
      <c r="H1412" s="1" t="s">
        <v>1494</v>
      </c>
      <c r="I1412" t="s">
        <v>1874</v>
      </c>
      <c r="J1412" s="1" t="s">
        <v>1456</v>
      </c>
      <c r="K1412" s="1" t="s">
        <v>1600</v>
      </c>
      <c r="L1412" s="1" t="s">
        <v>1729</v>
      </c>
      <c r="M1412" s="1" t="s">
        <v>1737</v>
      </c>
      <c r="N1412" t="s">
        <v>1975</v>
      </c>
      <c r="O1412" t="s">
        <v>2157</v>
      </c>
      <c r="P1412" t="s">
        <v>2157</v>
      </c>
      <c r="Q1412">
        <v>45</v>
      </c>
      <c r="R1412" s="1" t="s">
        <v>1839</v>
      </c>
      <c r="S1412">
        <v>2857</v>
      </c>
      <c r="T1412">
        <v>128565</v>
      </c>
    </row>
    <row r="1413" spans="1:20" hidden="1" x14ac:dyDescent="0.4">
      <c r="A1413" s="1" t="s">
        <v>518</v>
      </c>
      <c r="B1413" s="1" t="s">
        <v>1455</v>
      </c>
      <c r="C1413" s="1" t="s">
        <v>1845</v>
      </c>
      <c r="D1413" s="1" t="s">
        <v>1731</v>
      </c>
      <c r="E1413">
        <v>20251216</v>
      </c>
      <c r="F1413" s="1" t="s">
        <v>1470</v>
      </c>
      <c r="G1413">
        <v>4</v>
      </c>
      <c r="H1413" s="1" t="s">
        <v>1494</v>
      </c>
      <c r="I1413" t="s">
        <v>1874</v>
      </c>
      <c r="J1413" s="1" t="s">
        <v>1456</v>
      </c>
      <c r="K1413" s="1" t="s">
        <v>1600</v>
      </c>
      <c r="L1413" s="1" t="s">
        <v>1729</v>
      </c>
      <c r="M1413" s="1" t="s">
        <v>1737</v>
      </c>
      <c r="N1413" t="s">
        <v>1975</v>
      </c>
      <c r="O1413" t="s">
        <v>2157</v>
      </c>
      <c r="P1413" t="s">
        <v>2157</v>
      </c>
      <c r="Q1413">
        <v>45</v>
      </c>
      <c r="R1413" s="1" t="s">
        <v>1839</v>
      </c>
      <c r="S1413">
        <v>2857</v>
      </c>
      <c r="T1413">
        <v>128565</v>
      </c>
    </row>
    <row r="1414" spans="1:20" hidden="1" x14ac:dyDescent="0.4">
      <c r="A1414" s="1" t="s">
        <v>518</v>
      </c>
      <c r="B1414" s="1" t="s">
        <v>1456</v>
      </c>
      <c r="C1414" s="1" t="s">
        <v>1845</v>
      </c>
      <c r="D1414" s="1" t="s">
        <v>1731</v>
      </c>
      <c r="E1414">
        <v>20251216</v>
      </c>
      <c r="F1414" s="1" t="s">
        <v>1470</v>
      </c>
      <c r="G1414">
        <v>4</v>
      </c>
      <c r="H1414" s="1" t="s">
        <v>1494</v>
      </c>
      <c r="I1414" t="s">
        <v>1874</v>
      </c>
      <c r="J1414" s="1" t="s">
        <v>1456</v>
      </c>
      <c r="K1414" s="1" t="s">
        <v>1600</v>
      </c>
      <c r="L1414" s="1" t="s">
        <v>1729</v>
      </c>
      <c r="M1414" s="1" t="s">
        <v>1737</v>
      </c>
      <c r="N1414" t="s">
        <v>1975</v>
      </c>
      <c r="O1414" t="s">
        <v>2157</v>
      </c>
      <c r="P1414" t="s">
        <v>2157</v>
      </c>
      <c r="Q1414">
        <v>45</v>
      </c>
      <c r="R1414" s="1" t="s">
        <v>1839</v>
      </c>
      <c r="S1414">
        <v>2857</v>
      </c>
      <c r="T1414">
        <v>128565</v>
      </c>
    </row>
    <row r="1415" spans="1:20" hidden="1" x14ac:dyDescent="0.4">
      <c r="A1415" s="1" t="s">
        <v>519</v>
      </c>
      <c r="B1415" s="1" t="s">
        <v>1453</v>
      </c>
      <c r="C1415" s="1" t="s">
        <v>1845</v>
      </c>
      <c r="D1415" s="1" t="s">
        <v>1462</v>
      </c>
      <c r="E1415">
        <v>20251216</v>
      </c>
      <c r="F1415" s="1" t="s">
        <v>1473</v>
      </c>
      <c r="G1415">
        <v>1</v>
      </c>
      <c r="H1415" s="1" t="s">
        <v>1493</v>
      </c>
      <c r="I1415" t="s">
        <v>1873</v>
      </c>
      <c r="J1415" s="1" t="s">
        <v>1453</v>
      </c>
      <c r="K1415" s="1" t="s">
        <v>1615</v>
      </c>
      <c r="L1415" s="1" t="s">
        <v>1716</v>
      </c>
      <c r="M1415" s="1" t="s">
        <v>1773</v>
      </c>
      <c r="N1415" t="s">
        <v>1989</v>
      </c>
      <c r="O1415" t="s">
        <v>2162</v>
      </c>
      <c r="P1415" t="s">
        <v>3099</v>
      </c>
      <c r="Q1415">
        <v>1772.6</v>
      </c>
      <c r="R1415" s="1" t="s">
        <v>1463</v>
      </c>
      <c r="S1415">
        <v>1720</v>
      </c>
      <c r="T1415">
        <v>3048872</v>
      </c>
    </row>
    <row r="1416" spans="1:20" hidden="1" x14ac:dyDescent="0.4">
      <c r="A1416" s="1" t="s">
        <v>520</v>
      </c>
      <c r="B1416" s="1" t="s">
        <v>1453</v>
      </c>
      <c r="C1416" s="1" t="s">
        <v>1845</v>
      </c>
      <c r="D1416" s="1" t="s">
        <v>1462</v>
      </c>
      <c r="E1416">
        <v>20251216</v>
      </c>
      <c r="F1416" s="1" t="s">
        <v>1470</v>
      </c>
      <c r="G1416">
        <v>1</v>
      </c>
      <c r="H1416" s="1" t="s">
        <v>1496</v>
      </c>
      <c r="I1416" t="s">
        <v>1876</v>
      </c>
      <c r="J1416" s="1" t="s">
        <v>1459</v>
      </c>
      <c r="K1416" s="1" t="s">
        <v>1581</v>
      </c>
      <c r="L1416" s="1" t="s">
        <v>1717</v>
      </c>
      <c r="M1416" s="1" t="s">
        <v>1737</v>
      </c>
      <c r="N1416" t="s">
        <v>1956</v>
      </c>
      <c r="O1416" t="s">
        <v>2163</v>
      </c>
      <c r="P1416" t="s">
        <v>2157</v>
      </c>
      <c r="Q1416">
        <v>2000</v>
      </c>
      <c r="R1416" s="1" t="s">
        <v>1463</v>
      </c>
      <c r="S1416">
        <v>273.39999999999998</v>
      </c>
      <c r="T1416">
        <v>546800</v>
      </c>
    </row>
    <row r="1417" spans="1:20" hidden="1" x14ac:dyDescent="0.4">
      <c r="A1417" s="1" t="s">
        <v>521</v>
      </c>
      <c r="B1417" s="1" t="s">
        <v>1453</v>
      </c>
      <c r="C1417" s="1" t="s">
        <v>1845</v>
      </c>
      <c r="D1417" s="1" t="s">
        <v>1462</v>
      </c>
      <c r="E1417">
        <v>20251216</v>
      </c>
      <c r="F1417" s="1" t="s">
        <v>1471</v>
      </c>
      <c r="G1417">
        <v>4</v>
      </c>
      <c r="H1417" s="1" t="s">
        <v>1491</v>
      </c>
      <c r="I1417" t="s">
        <v>1871</v>
      </c>
      <c r="J1417" s="1" t="s">
        <v>1460</v>
      </c>
      <c r="K1417" s="1" t="s">
        <v>1641</v>
      </c>
      <c r="L1417" s="1" t="s">
        <v>1730</v>
      </c>
      <c r="M1417" s="1" t="s">
        <v>1762</v>
      </c>
      <c r="N1417" t="s">
        <v>2022</v>
      </c>
      <c r="O1417" t="s">
        <v>2175</v>
      </c>
      <c r="P1417" t="s">
        <v>3191</v>
      </c>
      <c r="Q1417">
        <v>114</v>
      </c>
      <c r="R1417" s="1" t="s">
        <v>1718</v>
      </c>
      <c r="S1417">
        <v>2744</v>
      </c>
      <c r="T1417">
        <v>312816</v>
      </c>
    </row>
    <row r="1418" spans="1:20" hidden="1" x14ac:dyDescent="0.4">
      <c r="A1418" s="1" t="s">
        <v>521</v>
      </c>
      <c r="B1418" s="1" t="s">
        <v>1454</v>
      </c>
      <c r="C1418" s="1" t="s">
        <v>1845</v>
      </c>
      <c r="D1418" s="1" t="s">
        <v>1462</v>
      </c>
      <c r="E1418">
        <v>20251216</v>
      </c>
      <c r="F1418" s="1" t="s">
        <v>1471</v>
      </c>
      <c r="G1418">
        <v>4</v>
      </c>
      <c r="H1418" s="1" t="s">
        <v>1491</v>
      </c>
      <c r="I1418" t="s">
        <v>1871</v>
      </c>
      <c r="J1418" s="1" t="s">
        <v>1460</v>
      </c>
      <c r="K1418" s="1" t="s">
        <v>1642</v>
      </c>
      <c r="L1418" s="1" t="s">
        <v>1725</v>
      </c>
      <c r="M1418" s="1" t="s">
        <v>1737</v>
      </c>
      <c r="N1418" t="s">
        <v>2023</v>
      </c>
      <c r="O1418" t="s">
        <v>2157</v>
      </c>
      <c r="P1418" t="s">
        <v>2157</v>
      </c>
      <c r="Q1418">
        <v>6</v>
      </c>
      <c r="R1418" s="1" t="s">
        <v>1842</v>
      </c>
      <c r="S1418">
        <v>880</v>
      </c>
      <c r="T1418">
        <v>5280</v>
      </c>
    </row>
    <row r="1419" spans="1:20" hidden="1" x14ac:dyDescent="0.4">
      <c r="A1419" s="1" t="s">
        <v>522</v>
      </c>
      <c r="B1419" s="1" t="s">
        <v>1453</v>
      </c>
      <c r="C1419" s="1" t="s">
        <v>1845</v>
      </c>
      <c r="D1419" s="1" t="s">
        <v>1464</v>
      </c>
      <c r="E1419">
        <v>20251210</v>
      </c>
      <c r="F1419" s="1" t="s">
        <v>1471</v>
      </c>
      <c r="G1419">
        <v>4</v>
      </c>
      <c r="H1419" s="1" t="s">
        <v>1506</v>
      </c>
      <c r="I1419" t="s">
        <v>1886</v>
      </c>
      <c r="J1419" s="1" t="s">
        <v>1460</v>
      </c>
      <c r="K1419" s="1" t="s">
        <v>1673</v>
      </c>
      <c r="L1419" s="1" t="s">
        <v>1733</v>
      </c>
      <c r="M1419" s="1" t="s">
        <v>1791</v>
      </c>
      <c r="N1419" t="s">
        <v>2064</v>
      </c>
      <c r="O1419" t="s">
        <v>2162</v>
      </c>
      <c r="P1419" t="s">
        <v>3192</v>
      </c>
      <c r="Q1419">
        <v>1478.9</v>
      </c>
      <c r="R1419" s="1" t="s">
        <v>1463</v>
      </c>
      <c r="S1419">
        <v>370</v>
      </c>
      <c r="T1419">
        <v>547193</v>
      </c>
    </row>
    <row r="1420" spans="1:20" hidden="1" x14ac:dyDescent="0.4">
      <c r="A1420" s="1" t="s">
        <v>523</v>
      </c>
      <c r="B1420" s="1" t="s">
        <v>1453</v>
      </c>
      <c r="C1420" s="1" t="s">
        <v>1845</v>
      </c>
      <c r="D1420" s="1" t="s">
        <v>1731</v>
      </c>
      <c r="E1420">
        <v>20251217</v>
      </c>
      <c r="F1420" s="1" t="s">
        <v>1470</v>
      </c>
      <c r="G1420">
        <v>4</v>
      </c>
      <c r="H1420" s="1" t="s">
        <v>1490</v>
      </c>
      <c r="I1420" t="s">
        <v>1870</v>
      </c>
      <c r="J1420" s="1" t="s">
        <v>1456</v>
      </c>
      <c r="K1420" s="1" t="s">
        <v>1553</v>
      </c>
      <c r="L1420" s="1" t="s">
        <v>1729</v>
      </c>
      <c r="M1420" s="1" t="s">
        <v>1736</v>
      </c>
      <c r="N1420" t="s">
        <v>1925</v>
      </c>
      <c r="O1420" t="s">
        <v>2157</v>
      </c>
      <c r="P1420" t="s">
        <v>3038</v>
      </c>
      <c r="Q1420">
        <v>16</v>
      </c>
      <c r="R1420" s="1" t="s">
        <v>1718</v>
      </c>
      <c r="S1420">
        <v>9271.93</v>
      </c>
      <c r="T1420">
        <v>148351</v>
      </c>
    </row>
    <row r="1421" spans="1:20" hidden="1" x14ac:dyDescent="0.4">
      <c r="A1421" s="1" t="s">
        <v>523</v>
      </c>
      <c r="B1421" s="1" t="s">
        <v>1454</v>
      </c>
      <c r="C1421" s="1" t="s">
        <v>1845</v>
      </c>
      <c r="D1421" s="1" t="s">
        <v>1731</v>
      </c>
      <c r="E1421">
        <v>20251217</v>
      </c>
      <c r="F1421" s="1" t="s">
        <v>1470</v>
      </c>
      <c r="G1421">
        <v>4</v>
      </c>
      <c r="H1421" s="1" t="s">
        <v>1490</v>
      </c>
      <c r="I1421" t="s">
        <v>1870</v>
      </c>
      <c r="J1421" s="1" t="s">
        <v>1456</v>
      </c>
      <c r="K1421" s="1" t="s">
        <v>1553</v>
      </c>
      <c r="L1421" s="1" t="s">
        <v>1729</v>
      </c>
      <c r="M1421" s="1" t="s">
        <v>1740</v>
      </c>
      <c r="N1421" t="s">
        <v>1925</v>
      </c>
      <c r="O1421" t="s">
        <v>2157</v>
      </c>
      <c r="P1421" t="s">
        <v>3041</v>
      </c>
      <c r="Q1421">
        <v>9</v>
      </c>
      <c r="R1421" s="1" t="s">
        <v>1718</v>
      </c>
      <c r="S1421">
        <v>15761.11</v>
      </c>
      <c r="T1421">
        <v>141850</v>
      </c>
    </row>
    <row r="1422" spans="1:20" hidden="1" x14ac:dyDescent="0.4">
      <c r="A1422" s="1" t="s">
        <v>523</v>
      </c>
      <c r="B1422" s="1" t="s">
        <v>1455</v>
      </c>
      <c r="C1422" s="1" t="s">
        <v>1845</v>
      </c>
      <c r="D1422" s="1" t="s">
        <v>1731</v>
      </c>
      <c r="E1422">
        <v>20251217</v>
      </c>
      <c r="F1422" s="1" t="s">
        <v>1470</v>
      </c>
      <c r="G1422">
        <v>4</v>
      </c>
      <c r="H1422" s="1" t="s">
        <v>1490</v>
      </c>
      <c r="I1422" t="s">
        <v>1870</v>
      </c>
      <c r="J1422" s="1" t="s">
        <v>1456</v>
      </c>
      <c r="K1422" s="1" t="s">
        <v>1554</v>
      </c>
      <c r="L1422" s="1" t="s">
        <v>1729</v>
      </c>
      <c r="M1422" s="1" t="s">
        <v>1737</v>
      </c>
      <c r="N1422" t="s">
        <v>1926</v>
      </c>
      <c r="O1422" t="s">
        <v>2157</v>
      </c>
      <c r="P1422" t="s">
        <v>2157</v>
      </c>
      <c r="Q1422">
        <v>30</v>
      </c>
      <c r="R1422" s="1" t="s">
        <v>1718</v>
      </c>
      <c r="S1422">
        <v>22389.200000000001</v>
      </c>
      <c r="T1422">
        <v>671676</v>
      </c>
    </row>
    <row r="1423" spans="1:20" hidden="1" x14ac:dyDescent="0.4">
      <c r="A1423" s="1" t="s">
        <v>524</v>
      </c>
      <c r="B1423" s="1" t="s">
        <v>1453</v>
      </c>
      <c r="C1423" s="1" t="s">
        <v>1845</v>
      </c>
      <c r="D1423" s="1" t="s">
        <v>1731</v>
      </c>
      <c r="E1423">
        <v>20251217</v>
      </c>
      <c r="F1423" s="1" t="s">
        <v>1470</v>
      </c>
      <c r="G1423">
        <v>4</v>
      </c>
      <c r="H1423" s="1" t="s">
        <v>1490</v>
      </c>
      <c r="I1423" t="s">
        <v>1870</v>
      </c>
      <c r="J1423" s="1" t="s">
        <v>1456</v>
      </c>
      <c r="K1423" s="1" t="s">
        <v>1555</v>
      </c>
      <c r="L1423" s="1" t="s">
        <v>1729</v>
      </c>
      <c r="M1423" s="1" t="s">
        <v>1736</v>
      </c>
      <c r="N1423" t="s">
        <v>1927</v>
      </c>
      <c r="O1423" t="s">
        <v>2157</v>
      </c>
      <c r="P1423" t="s">
        <v>3038</v>
      </c>
      <c r="Q1423">
        <v>2</v>
      </c>
      <c r="R1423" s="1" t="s">
        <v>1718</v>
      </c>
      <c r="S1423">
        <v>10855</v>
      </c>
      <c r="T1423">
        <v>21710</v>
      </c>
    </row>
    <row r="1424" spans="1:20" hidden="1" x14ac:dyDescent="0.4">
      <c r="A1424" s="1" t="s">
        <v>525</v>
      </c>
      <c r="B1424" s="1" t="s">
        <v>1453</v>
      </c>
      <c r="C1424" s="1" t="s">
        <v>1845</v>
      </c>
      <c r="D1424" s="1" t="s">
        <v>1731</v>
      </c>
      <c r="E1424">
        <v>20251217</v>
      </c>
      <c r="F1424" s="1" t="s">
        <v>1470</v>
      </c>
      <c r="G1424">
        <v>4</v>
      </c>
      <c r="H1424" s="1" t="s">
        <v>1490</v>
      </c>
      <c r="I1424" t="s">
        <v>1870</v>
      </c>
      <c r="J1424" s="1" t="s">
        <v>1456</v>
      </c>
      <c r="K1424" s="1" t="s">
        <v>1557</v>
      </c>
      <c r="L1424" s="1" t="s">
        <v>1729</v>
      </c>
      <c r="M1424" s="1" t="s">
        <v>1737</v>
      </c>
      <c r="N1424" t="s">
        <v>1929</v>
      </c>
      <c r="O1424" t="s">
        <v>2157</v>
      </c>
      <c r="P1424" t="s">
        <v>2157</v>
      </c>
      <c r="Q1424">
        <v>16</v>
      </c>
      <c r="R1424" s="1" t="s">
        <v>1718</v>
      </c>
      <c r="S1424">
        <v>11086.37</v>
      </c>
      <c r="T1424">
        <v>177382</v>
      </c>
    </row>
    <row r="1425" spans="1:20" hidden="1" x14ac:dyDescent="0.4">
      <c r="A1425" s="1" t="s">
        <v>526</v>
      </c>
      <c r="B1425" s="1" t="s">
        <v>1453</v>
      </c>
      <c r="C1425" s="1" t="s">
        <v>1845</v>
      </c>
      <c r="D1425" s="1" t="s">
        <v>1731</v>
      </c>
      <c r="E1425">
        <v>20251217</v>
      </c>
      <c r="F1425" s="1" t="s">
        <v>1470</v>
      </c>
      <c r="G1425">
        <v>4</v>
      </c>
      <c r="H1425" s="1" t="s">
        <v>1490</v>
      </c>
      <c r="I1425" t="s">
        <v>1870</v>
      </c>
      <c r="J1425" s="1" t="s">
        <v>1456</v>
      </c>
      <c r="K1425" s="1" t="s">
        <v>1558</v>
      </c>
      <c r="L1425" s="1" t="s">
        <v>1729</v>
      </c>
      <c r="M1425" s="1" t="s">
        <v>1737</v>
      </c>
      <c r="N1425" t="s">
        <v>1930</v>
      </c>
      <c r="O1425" t="s">
        <v>2157</v>
      </c>
      <c r="P1425" t="s">
        <v>2157</v>
      </c>
      <c r="Q1425">
        <v>6</v>
      </c>
      <c r="R1425" s="1" t="s">
        <v>1718</v>
      </c>
      <c r="S1425">
        <v>12363.66</v>
      </c>
      <c r="T1425">
        <v>74182</v>
      </c>
    </row>
    <row r="1426" spans="1:20" hidden="1" x14ac:dyDescent="0.4">
      <c r="A1426" s="1" t="s">
        <v>527</v>
      </c>
      <c r="B1426" s="1" t="s">
        <v>1453</v>
      </c>
      <c r="C1426" s="1" t="s">
        <v>1845</v>
      </c>
      <c r="D1426" s="1" t="s">
        <v>1731</v>
      </c>
      <c r="E1426">
        <v>20251217</v>
      </c>
      <c r="F1426" s="1" t="s">
        <v>1470</v>
      </c>
      <c r="G1426">
        <v>4</v>
      </c>
      <c r="H1426" s="1" t="s">
        <v>1490</v>
      </c>
      <c r="I1426" t="s">
        <v>1870</v>
      </c>
      <c r="J1426" s="1" t="s">
        <v>1456</v>
      </c>
      <c r="K1426" s="1" t="s">
        <v>1564</v>
      </c>
      <c r="L1426" s="1" t="s">
        <v>1729</v>
      </c>
      <c r="M1426" s="1" t="s">
        <v>1742</v>
      </c>
      <c r="N1426" t="s">
        <v>1936</v>
      </c>
      <c r="O1426" t="s">
        <v>2157</v>
      </c>
      <c r="P1426" t="s">
        <v>3043</v>
      </c>
      <c r="Q1426">
        <v>150</v>
      </c>
      <c r="R1426" s="1" t="s">
        <v>1718</v>
      </c>
      <c r="S1426">
        <v>5613</v>
      </c>
      <c r="T1426">
        <v>841950</v>
      </c>
    </row>
    <row r="1427" spans="1:20" hidden="1" x14ac:dyDescent="0.4">
      <c r="A1427" s="1" t="s">
        <v>527</v>
      </c>
      <c r="B1427" s="1" t="s">
        <v>1454</v>
      </c>
      <c r="C1427" s="1" t="s">
        <v>1845</v>
      </c>
      <c r="D1427" s="1" t="s">
        <v>1731</v>
      </c>
      <c r="E1427">
        <v>20251217</v>
      </c>
      <c r="F1427" s="1" t="s">
        <v>1470</v>
      </c>
      <c r="G1427">
        <v>4</v>
      </c>
      <c r="H1427" s="1" t="s">
        <v>1490</v>
      </c>
      <c r="I1427" t="s">
        <v>1870</v>
      </c>
      <c r="J1427" s="1" t="s">
        <v>1456</v>
      </c>
      <c r="K1427" s="1" t="s">
        <v>1570</v>
      </c>
      <c r="L1427" s="1" t="s">
        <v>1729</v>
      </c>
      <c r="M1427" s="1" t="s">
        <v>1742</v>
      </c>
      <c r="N1427" t="s">
        <v>1943</v>
      </c>
      <c r="O1427" t="s">
        <v>2157</v>
      </c>
      <c r="P1427" t="s">
        <v>3043</v>
      </c>
      <c r="Q1427">
        <v>2</v>
      </c>
      <c r="R1427" s="1" t="s">
        <v>1718</v>
      </c>
      <c r="S1427">
        <v>11036</v>
      </c>
      <c r="T1427">
        <v>22072</v>
      </c>
    </row>
    <row r="1428" spans="1:20" hidden="1" x14ac:dyDescent="0.4">
      <c r="A1428" s="1" t="s">
        <v>528</v>
      </c>
      <c r="B1428" s="1" t="s">
        <v>1453</v>
      </c>
      <c r="C1428" s="1" t="s">
        <v>1845</v>
      </c>
      <c r="D1428" s="1" t="s">
        <v>1731</v>
      </c>
      <c r="E1428">
        <v>20251215</v>
      </c>
      <c r="F1428" s="1" t="s">
        <v>1473</v>
      </c>
      <c r="G1428">
        <v>4</v>
      </c>
      <c r="H1428" s="1" t="s">
        <v>1494</v>
      </c>
      <c r="I1428" t="s">
        <v>1874</v>
      </c>
      <c r="J1428" s="1" t="s">
        <v>1453</v>
      </c>
      <c r="K1428" s="1" t="s">
        <v>1601</v>
      </c>
      <c r="L1428" s="1" t="s">
        <v>1718</v>
      </c>
      <c r="M1428" s="1" t="s">
        <v>1767</v>
      </c>
      <c r="N1428" t="s">
        <v>1976</v>
      </c>
      <c r="O1428" t="s">
        <v>2164</v>
      </c>
      <c r="P1428" t="s">
        <v>3085</v>
      </c>
      <c r="Q1428">
        <v>131.04</v>
      </c>
      <c r="R1428" s="1" t="s">
        <v>1839</v>
      </c>
      <c r="S1428">
        <v>856.99</v>
      </c>
      <c r="T1428">
        <v>112301</v>
      </c>
    </row>
    <row r="1429" spans="1:20" hidden="1" x14ac:dyDescent="0.4">
      <c r="A1429" s="1" t="s">
        <v>528</v>
      </c>
      <c r="B1429" s="1" t="s">
        <v>1454</v>
      </c>
      <c r="C1429" s="1" t="s">
        <v>1845</v>
      </c>
      <c r="D1429" s="1" t="s">
        <v>1731</v>
      </c>
      <c r="E1429">
        <v>20251215</v>
      </c>
      <c r="F1429" s="1" t="s">
        <v>1473</v>
      </c>
      <c r="G1429">
        <v>4</v>
      </c>
      <c r="H1429" s="1" t="s">
        <v>1494</v>
      </c>
      <c r="I1429" t="s">
        <v>1874</v>
      </c>
      <c r="J1429" s="1" t="s">
        <v>1453</v>
      </c>
      <c r="K1429" s="1" t="s">
        <v>1601</v>
      </c>
      <c r="L1429" s="1" t="s">
        <v>1718</v>
      </c>
      <c r="M1429" s="1" t="s">
        <v>1767</v>
      </c>
      <c r="N1429" t="s">
        <v>1976</v>
      </c>
      <c r="O1429" t="s">
        <v>2164</v>
      </c>
      <c r="P1429" t="s">
        <v>3085</v>
      </c>
      <c r="Q1429">
        <v>36.4</v>
      </c>
      <c r="R1429" s="1" t="s">
        <v>1839</v>
      </c>
      <c r="S1429">
        <v>856.97</v>
      </c>
      <c r="T1429">
        <v>31194</v>
      </c>
    </row>
    <row r="1430" spans="1:20" hidden="1" x14ac:dyDescent="0.4">
      <c r="A1430" s="1" t="s">
        <v>528</v>
      </c>
      <c r="B1430" s="1" t="s">
        <v>1455</v>
      </c>
      <c r="C1430" s="1" t="s">
        <v>1845</v>
      </c>
      <c r="D1430" s="1" t="s">
        <v>1731</v>
      </c>
      <c r="E1430">
        <v>20251215</v>
      </c>
      <c r="F1430" s="1" t="s">
        <v>1473</v>
      </c>
      <c r="G1430">
        <v>4</v>
      </c>
      <c r="H1430" s="1" t="s">
        <v>1494</v>
      </c>
      <c r="I1430" t="s">
        <v>1874</v>
      </c>
      <c r="J1430" s="1" t="s">
        <v>1453</v>
      </c>
      <c r="K1430" s="1" t="s">
        <v>1601</v>
      </c>
      <c r="L1430" s="1" t="s">
        <v>1718</v>
      </c>
      <c r="M1430" s="1" t="s">
        <v>1767</v>
      </c>
      <c r="N1430" t="s">
        <v>1976</v>
      </c>
      <c r="O1430" t="s">
        <v>2164</v>
      </c>
      <c r="P1430" t="s">
        <v>3085</v>
      </c>
      <c r="Q1430">
        <v>36.4</v>
      </c>
      <c r="R1430" s="1" t="s">
        <v>1839</v>
      </c>
      <c r="S1430">
        <v>856.97</v>
      </c>
      <c r="T1430">
        <v>31194</v>
      </c>
    </row>
    <row r="1431" spans="1:20" hidden="1" x14ac:dyDescent="0.4">
      <c r="A1431" s="1" t="s">
        <v>528</v>
      </c>
      <c r="B1431" s="1" t="s">
        <v>1456</v>
      </c>
      <c r="C1431" s="1" t="s">
        <v>1845</v>
      </c>
      <c r="D1431" s="1" t="s">
        <v>1731</v>
      </c>
      <c r="E1431">
        <v>20251215</v>
      </c>
      <c r="F1431" s="1" t="s">
        <v>1473</v>
      </c>
      <c r="G1431">
        <v>4</v>
      </c>
      <c r="H1431" s="1" t="s">
        <v>1494</v>
      </c>
      <c r="I1431" t="s">
        <v>1874</v>
      </c>
      <c r="J1431" s="1" t="s">
        <v>1453</v>
      </c>
      <c r="K1431" s="1" t="s">
        <v>1601</v>
      </c>
      <c r="L1431" s="1" t="s">
        <v>1718</v>
      </c>
      <c r="M1431" s="1" t="s">
        <v>1767</v>
      </c>
      <c r="N1431" t="s">
        <v>1976</v>
      </c>
      <c r="O1431" t="s">
        <v>2164</v>
      </c>
      <c r="P1431" t="s">
        <v>3085</v>
      </c>
      <c r="Q1431">
        <v>21.84</v>
      </c>
      <c r="R1431" s="1" t="s">
        <v>1839</v>
      </c>
      <c r="S1431">
        <v>856.95</v>
      </c>
      <c r="T1431">
        <v>18716</v>
      </c>
    </row>
    <row r="1432" spans="1:20" hidden="1" x14ac:dyDescent="0.4">
      <c r="A1432" s="1" t="s">
        <v>528</v>
      </c>
      <c r="B1432" s="1" t="s">
        <v>1457</v>
      </c>
      <c r="C1432" s="1" t="s">
        <v>1845</v>
      </c>
      <c r="D1432" s="1" t="s">
        <v>1731</v>
      </c>
      <c r="E1432">
        <v>20251215</v>
      </c>
      <c r="F1432" s="1" t="s">
        <v>1473</v>
      </c>
      <c r="G1432">
        <v>4</v>
      </c>
      <c r="H1432" s="1" t="s">
        <v>1494</v>
      </c>
      <c r="I1432" t="s">
        <v>1874</v>
      </c>
      <c r="J1432" s="1" t="s">
        <v>1453</v>
      </c>
      <c r="K1432" s="1" t="s">
        <v>1601</v>
      </c>
      <c r="L1432" s="1" t="s">
        <v>1718</v>
      </c>
      <c r="M1432" s="1" t="s">
        <v>1767</v>
      </c>
      <c r="N1432" t="s">
        <v>1976</v>
      </c>
      <c r="O1432" t="s">
        <v>2164</v>
      </c>
      <c r="P1432" t="s">
        <v>3085</v>
      </c>
      <c r="Q1432">
        <v>21.84</v>
      </c>
      <c r="R1432" s="1" t="s">
        <v>1839</v>
      </c>
      <c r="S1432">
        <v>856.95</v>
      </c>
      <c r="T1432">
        <v>18716</v>
      </c>
    </row>
    <row r="1433" spans="1:20" hidden="1" x14ac:dyDescent="0.4">
      <c r="A1433" s="1" t="s">
        <v>528</v>
      </c>
      <c r="B1433" s="1" t="s">
        <v>1458</v>
      </c>
      <c r="C1433" s="1" t="s">
        <v>1845</v>
      </c>
      <c r="D1433" s="1" t="s">
        <v>1731</v>
      </c>
      <c r="E1433">
        <v>20251215</v>
      </c>
      <c r="F1433" s="1" t="s">
        <v>1473</v>
      </c>
      <c r="G1433">
        <v>4</v>
      </c>
      <c r="H1433" s="1" t="s">
        <v>1494</v>
      </c>
      <c r="I1433" t="s">
        <v>1874</v>
      </c>
      <c r="J1433" s="1" t="s">
        <v>1453</v>
      </c>
      <c r="K1433" s="1" t="s">
        <v>1601</v>
      </c>
      <c r="L1433" s="1" t="s">
        <v>1718</v>
      </c>
      <c r="M1433" s="1" t="s">
        <v>1767</v>
      </c>
      <c r="N1433" t="s">
        <v>1976</v>
      </c>
      <c r="O1433" t="s">
        <v>2164</v>
      </c>
      <c r="P1433" t="s">
        <v>3085</v>
      </c>
      <c r="Q1433">
        <v>131.04</v>
      </c>
      <c r="R1433" s="1" t="s">
        <v>1839</v>
      </c>
      <c r="S1433">
        <v>856.99</v>
      </c>
      <c r="T1433">
        <v>112301</v>
      </c>
    </row>
    <row r="1434" spans="1:20" hidden="1" x14ac:dyDescent="0.4">
      <c r="A1434" s="1" t="s">
        <v>528</v>
      </c>
      <c r="B1434" s="1" t="s">
        <v>1459</v>
      </c>
      <c r="C1434" s="1" t="s">
        <v>1845</v>
      </c>
      <c r="D1434" s="1" t="s">
        <v>1731</v>
      </c>
      <c r="E1434">
        <v>20251215</v>
      </c>
      <c r="F1434" s="1" t="s">
        <v>1473</v>
      </c>
      <c r="G1434">
        <v>4</v>
      </c>
      <c r="H1434" s="1" t="s">
        <v>1494</v>
      </c>
      <c r="I1434" t="s">
        <v>1874</v>
      </c>
      <c r="J1434" s="1" t="s">
        <v>1453</v>
      </c>
      <c r="K1434" s="1" t="s">
        <v>1601</v>
      </c>
      <c r="L1434" s="1" t="s">
        <v>1718</v>
      </c>
      <c r="M1434" s="1" t="s">
        <v>1767</v>
      </c>
      <c r="N1434" t="s">
        <v>1976</v>
      </c>
      <c r="O1434" t="s">
        <v>2164</v>
      </c>
      <c r="P1434" t="s">
        <v>3085</v>
      </c>
      <c r="Q1434">
        <v>115.75</v>
      </c>
      <c r="R1434" s="1" t="s">
        <v>1839</v>
      </c>
      <c r="S1434">
        <v>856.99</v>
      </c>
      <c r="T1434">
        <v>99197</v>
      </c>
    </row>
    <row r="1435" spans="1:20" hidden="1" x14ac:dyDescent="0.4">
      <c r="A1435" s="1" t="s">
        <v>528</v>
      </c>
      <c r="B1435" s="1" t="s">
        <v>1460</v>
      </c>
      <c r="C1435" s="1" t="s">
        <v>1845</v>
      </c>
      <c r="D1435" s="1" t="s">
        <v>1731</v>
      </c>
      <c r="E1435">
        <v>20251215</v>
      </c>
      <c r="F1435" s="1" t="s">
        <v>1473</v>
      </c>
      <c r="G1435">
        <v>4</v>
      </c>
      <c r="H1435" s="1" t="s">
        <v>1494</v>
      </c>
      <c r="I1435" t="s">
        <v>1874</v>
      </c>
      <c r="J1435" s="1" t="s">
        <v>1453</v>
      </c>
      <c r="K1435" s="1" t="s">
        <v>1601</v>
      </c>
      <c r="L1435" s="1" t="s">
        <v>1718</v>
      </c>
      <c r="M1435" s="1" t="s">
        <v>1767</v>
      </c>
      <c r="N1435" t="s">
        <v>1976</v>
      </c>
      <c r="O1435" t="s">
        <v>2164</v>
      </c>
      <c r="P1435" t="s">
        <v>3085</v>
      </c>
      <c r="Q1435">
        <v>141.96</v>
      </c>
      <c r="R1435" s="1" t="s">
        <v>1839</v>
      </c>
      <c r="S1435">
        <v>856.99</v>
      </c>
      <c r="T1435">
        <v>121659</v>
      </c>
    </row>
    <row r="1436" spans="1:20" hidden="1" x14ac:dyDescent="0.4">
      <c r="A1436" s="1" t="s">
        <v>528</v>
      </c>
      <c r="B1436" s="1" t="s">
        <v>1461</v>
      </c>
      <c r="C1436" s="1" t="s">
        <v>1845</v>
      </c>
      <c r="D1436" s="1" t="s">
        <v>1731</v>
      </c>
      <c r="E1436">
        <v>20251215</v>
      </c>
      <c r="F1436" s="1" t="s">
        <v>1473</v>
      </c>
      <c r="G1436">
        <v>4</v>
      </c>
      <c r="H1436" s="1" t="s">
        <v>1494</v>
      </c>
      <c r="I1436" t="s">
        <v>1874</v>
      </c>
      <c r="J1436" s="1" t="s">
        <v>1453</v>
      </c>
      <c r="K1436" s="1" t="s">
        <v>1601</v>
      </c>
      <c r="L1436" s="1" t="s">
        <v>1718</v>
      </c>
      <c r="M1436" s="1" t="s">
        <v>1767</v>
      </c>
      <c r="N1436" t="s">
        <v>1976</v>
      </c>
      <c r="O1436" t="s">
        <v>2164</v>
      </c>
      <c r="P1436" t="s">
        <v>3085</v>
      </c>
      <c r="Q1436">
        <v>121.94</v>
      </c>
      <c r="R1436" s="1" t="s">
        <v>1839</v>
      </c>
      <c r="S1436">
        <v>856.99</v>
      </c>
      <c r="T1436">
        <v>104502</v>
      </c>
    </row>
    <row r="1437" spans="1:20" hidden="1" x14ac:dyDescent="0.4">
      <c r="A1437" s="1" t="s">
        <v>528</v>
      </c>
      <c r="B1437" s="1" t="s">
        <v>1462</v>
      </c>
      <c r="C1437" s="1" t="s">
        <v>1845</v>
      </c>
      <c r="D1437" s="1" t="s">
        <v>1731</v>
      </c>
      <c r="E1437">
        <v>20251215</v>
      </c>
      <c r="F1437" s="1" t="s">
        <v>1473</v>
      </c>
      <c r="G1437">
        <v>4</v>
      </c>
      <c r="H1437" s="1" t="s">
        <v>1494</v>
      </c>
      <c r="I1437" t="s">
        <v>1874</v>
      </c>
      <c r="J1437" s="1" t="s">
        <v>1453</v>
      </c>
      <c r="K1437" s="1" t="s">
        <v>1601</v>
      </c>
      <c r="L1437" s="1" t="s">
        <v>1718</v>
      </c>
      <c r="M1437" s="1" t="s">
        <v>1767</v>
      </c>
      <c r="N1437" t="s">
        <v>1976</v>
      </c>
      <c r="O1437" t="s">
        <v>2164</v>
      </c>
      <c r="P1437" t="s">
        <v>3085</v>
      </c>
      <c r="Q1437">
        <v>134.68</v>
      </c>
      <c r="R1437" s="1" t="s">
        <v>1839</v>
      </c>
      <c r="S1437">
        <v>856.99</v>
      </c>
      <c r="T1437">
        <v>115420</v>
      </c>
    </row>
    <row r="1438" spans="1:20" hidden="1" x14ac:dyDescent="0.4">
      <c r="A1438" s="1" t="s">
        <v>529</v>
      </c>
      <c r="B1438" s="1" t="s">
        <v>1453</v>
      </c>
      <c r="C1438" s="1" t="s">
        <v>1845</v>
      </c>
      <c r="D1438" s="1" t="s">
        <v>1731</v>
      </c>
      <c r="E1438">
        <v>20251215</v>
      </c>
      <c r="F1438" s="1" t="s">
        <v>1473</v>
      </c>
      <c r="G1438">
        <v>4</v>
      </c>
      <c r="H1438" s="1" t="s">
        <v>1494</v>
      </c>
      <c r="I1438" t="s">
        <v>1874</v>
      </c>
      <c r="J1438" s="1" t="s">
        <v>1453</v>
      </c>
      <c r="K1438" s="1" t="s">
        <v>1601</v>
      </c>
      <c r="L1438" s="1" t="s">
        <v>1718</v>
      </c>
      <c r="M1438" s="1" t="s">
        <v>1767</v>
      </c>
      <c r="N1438" t="s">
        <v>1976</v>
      </c>
      <c r="O1438" t="s">
        <v>2164</v>
      </c>
      <c r="P1438" t="s">
        <v>3085</v>
      </c>
      <c r="Q1438">
        <v>134.68</v>
      </c>
      <c r="R1438" s="1" t="s">
        <v>1839</v>
      </c>
      <c r="S1438">
        <v>856.99</v>
      </c>
      <c r="T1438">
        <v>115420</v>
      </c>
    </row>
    <row r="1439" spans="1:20" hidden="1" x14ac:dyDescent="0.4">
      <c r="A1439" s="1" t="s">
        <v>529</v>
      </c>
      <c r="B1439" s="1" t="s">
        <v>1454</v>
      </c>
      <c r="C1439" s="1" t="s">
        <v>1845</v>
      </c>
      <c r="D1439" s="1" t="s">
        <v>1731</v>
      </c>
      <c r="E1439">
        <v>20251215</v>
      </c>
      <c r="F1439" s="1" t="s">
        <v>1473</v>
      </c>
      <c r="G1439">
        <v>4</v>
      </c>
      <c r="H1439" s="1" t="s">
        <v>1494</v>
      </c>
      <c r="I1439" t="s">
        <v>1874</v>
      </c>
      <c r="J1439" s="1" t="s">
        <v>1453</v>
      </c>
      <c r="K1439" s="1" t="s">
        <v>1601</v>
      </c>
      <c r="L1439" s="1" t="s">
        <v>1718</v>
      </c>
      <c r="M1439" s="1" t="s">
        <v>1767</v>
      </c>
      <c r="N1439" t="s">
        <v>1976</v>
      </c>
      <c r="O1439" t="s">
        <v>2164</v>
      </c>
      <c r="P1439" t="s">
        <v>3085</v>
      </c>
      <c r="Q1439">
        <v>147.05000000000001</v>
      </c>
      <c r="R1439" s="1" t="s">
        <v>1839</v>
      </c>
      <c r="S1439">
        <v>856.99</v>
      </c>
      <c r="T1439">
        <v>126021</v>
      </c>
    </row>
    <row r="1440" spans="1:20" hidden="1" x14ac:dyDescent="0.4">
      <c r="A1440" s="1" t="s">
        <v>529</v>
      </c>
      <c r="B1440" s="1" t="s">
        <v>1455</v>
      </c>
      <c r="C1440" s="1" t="s">
        <v>1845</v>
      </c>
      <c r="D1440" s="1" t="s">
        <v>1731</v>
      </c>
      <c r="E1440">
        <v>20251215</v>
      </c>
      <c r="F1440" s="1" t="s">
        <v>1473</v>
      </c>
      <c r="G1440">
        <v>4</v>
      </c>
      <c r="H1440" s="1" t="s">
        <v>1494</v>
      </c>
      <c r="I1440" t="s">
        <v>1874</v>
      </c>
      <c r="J1440" s="1" t="s">
        <v>1453</v>
      </c>
      <c r="K1440" s="1" t="s">
        <v>1601</v>
      </c>
      <c r="L1440" s="1" t="s">
        <v>1718</v>
      </c>
      <c r="M1440" s="1" t="s">
        <v>1767</v>
      </c>
      <c r="N1440" t="s">
        <v>1976</v>
      </c>
      <c r="O1440" t="s">
        <v>2164</v>
      </c>
      <c r="P1440" t="s">
        <v>3085</v>
      </c>
      <c r="Q1440">
        <v>75.709999999999994</v>
      </c>
      <c r="R1440" s="1" t="s">
        <v>1839</v>
      </c>
      <c r="S1440">
        <v>856.99</v>
      </c>
      <c r="T1440">
        <v>64883</v>
      </c>
    </row>
    <row r="1441" spans="1:20" hidden="1" x14ac:dyDescent="0.4">
      <c r="A1441" s="1" t="s">
        <v>529</v>
      </c>
      <c r="B1441" s="1" t="s">
        <v>1456</v>
      </c>
      <c r="C1441" s="1" t="s">
        <v>1845</v>
      </c>
      <c r="D1441" s="1" t="s">
        <v>1731</v>
      </c>
      <c r="E1441">
        <v>20251215</v>
      </c>
      <c r="F1441" s="1" t="s">
        <v>1473</v>
      </c>
      <c r="G1441">
        <v>4</v>
      </c>
      <c r="H1441" s="1" t="s">
        <v>1494</v>
      </c>
      <c r="I1441" t="s">
        <v>1874</v>
      </c>
      <c r="J1441" s="1" t="s">
        <v>1453</v>
      </c>
      <c r="K1441" s="1" t="s">
        <v>1601</v>
      </c>
      <c r="L1441" s="1" t="s">
        <v>1718</v>
      </c>
      <c r="M1441" s="1" t="s">
        <v>1767</v>
      </c>
      <c r="N1441" t="s">
        <v>1976</v>
      </c>
      <c r="O1441" t="s">
        <v>2164</v>
      </c>
      <c r="P1441" t="s">
        <v>3085</v>
      </c>
      <c r="Q1441">
        <v>134.68</v>
      </c>
      <c r="R1441" s="1" t="s">
        <v>1839</v>
      </c>
      <c r="S1441">
        <v>856.99</v>
      </c>
      <c r="T1441">
        <v>115420</v>
      </c>
    </row>
    <row r="1442" spans="1:20" hidden="1" x14ac:dyDescent="0.4">
      <c r="A1442" s="1" t="s">
        <v>529</v>
      </c>
      <c r="B1442" s="1" t="s">
        <v>1457</v>
      </c>
      <c r="C1442" s="1" t="s">
        <v>1845</v>
      </c>
      <c r="D1442" s="1" t="s">
        <v>1731</v>
      </c>
      <c r="E1442">
        <v>20251215</v>
      </c>
      <c r="F1442" s="1" t="s">
        <v>1473</v>
      </c>
      <c r="G1442">
        <v>4</v>
      </c>
      <c r="H1442" s="1" t="s">
        <v>1494</v>
      </c>
      <c r="I1442" t="s">
        <v>1874</v>
      </c>
      <c r="J1442" s="1" t="s">
        <v>1453</v>
      </c>
      <c r="K1442" s="1" t="s">
        <v>1601</v>
      </c>
      <c r="L1442" s="1" t="s">
        <v>1718</v>
      </c>
      <c r="M1442" s="1" t="s">
        <v>1767</v>
      </c>
      <c r="N1442" t="s">
        <v>1976</v>
      </c>
      <c r="O1442" t="s">
        <v>2164</v>
      </c>
      <c r="P1442" t="s">
        <v>3085</v>
      </c>
      <c r="Q1442">
        <v>153.97</v>
      </c>
      <c r="R1442" s="1" t="s">
        <v>1839</v>
      </c>
      <c r="S1442">
        <v>856.99</v>
      </c>
      <c r="T1442">
        <v>131952</v>
      </c>
    </row>
    <row r="1443" spans="1:20" hidden="1" x14ac:dyDescent="0.4">
      <c r="A1443" s="1" t="s">
        <v>529</v>
      </c>
      <c r="B1443" s="1" t="s">
        <v>1458</v>
      </c>
      <c r="C1443" s="1" t="s">
        <v>1845</v>
      </c>
      <c r="D1443" s="1" t="s">
        <v>1731</v>
      </c>
      <c r="E1443">
        <v>20251215</v>
      </c>
      <c r="F1443" s="1" t="s">
        <v>1473</v>
      </c>
      <c r="G1443">
        <v>4</v>
      </c>
      <c r="H1443" s="1" t="s">
        <v>1494</v>
      </c>
      <c r="I1443" t="s">
        <v>1874</v>
      </c>
      <c r="J1443" s="1" t="s">
        <v>1453</v>
      </c>
      <c r="K1443" s="1" t="s">
        <v>1601</v>
      </c>
      <c r="L1443" s="1" t="s">
        <v>1718</v>
      </c>
      <c r="M1443" s="1" t="s">
        <v>1767</v>
      </c>
      <c r="N1443" t="s">
        <v>1976</v>
      </c>
      <c r="O1443" t="s">
        <v>2164</v>
      </c>
      <c r="P1443" t="s">
        <v>3085</v>
      </c>
      <c r="Q1443">
        <v>140.86000000000001</v>
      </c>
      <c r="R1443" s="1" t="s">
        <v>1839</v>
      </c>
      <c r="S1443">
        <v>856.99</v>
      </c>
      <c r="T1443">
        <v>120717</v>
      </c>
    </row>
    <row r="1444" spans="1:20" hidden="1" x14ac:dyDescent="0.4">
      <c r="A1444" s="1" t="s">
        <v>529</v>
      </c>
      <c r="B1444" s="1" t="s">
        <v>1459</v>
      </c>
      <c r="C1444" s="1" t="s">
        <v>1845</v>
      </c>
      <c r="D1444" s="1" t="s">
        <v>1731</v>
      </c>
      <c r="E1444">
        <v>20251215</v>
      </c>
      <c r="F1444" s="1" t="s">
        <v>1473</v>
      </c>
      <c r="G1444">
        <v>4</v>
      </c>
      <c r="H1444" s="1" t="s">
        <v>1494</v>
      </c>
      <c r="I1444" t="s">
        <v>1874</v>
      </c>
      <c r="J1444" s="1" t="s">
        <v>1453</v>
      </c>
      <c r="K1444" s="1" t="s">
        <v>1601</v>
      </c>
      <c r="L1444" s="1" t="s">
        <v>1718</v>
      </c>
      <c r="M1444" s="1" t="s">
        <v>1767</v>
      </c>
      <c r="N1444" t="s">
        <v>1976</v>
      </c>
      <c r="O1444" t="s">
        <v>2164</v>
      </c>
      <c r="P1444" t="s">
        <v>3085</v>
      </c>
      <c r="Q1444">
        <v>76.44</v>
      </c>
      <c r="R1444" s="1" t="s">
        <v>1839</v>
      </c>
      <c r="S1444">
        <v>856.99</v>
      </c>
      <c r="T1444">
        <v>65509</v>
      </c>
    </row>
    <row r="1445" spans="1:20" hidden="1" x14ac:dyDescent="0.4">
      <c r="A1445" s="1" t="s">
        <v>529</v>
      </c>
      <c r="B1445" s="1" t="s">
        <v>1460</v>
      </c>
      <c r="C1445" s="1" t="s">
        <v>1845</v>
      </c>
      <c r="D1445" s="1" t="s">
        <v>1731</v>
      </c>
      <c r="E1445">
        <v>20251215</v>
      </c>
      <c r="F1445" s="1" t="s">
        <v>1473</v>
      </c>
      <c r="G1445">
        <v>4</v>
      </c>
      <c r="H1445" s="1" t="s">
        <v>1494</v>
      </c>
      <c r="I1445" t="s">
        <v>1874</v>
      </c>
      <c r="J1445" s="1" t="s">
        <v>1453</v>
      </c>
      <c r="K1445" s="1" t="s">
        <v>1601</v>
      </c>
      <c r="L1445" s="1" t="s">
        <v>1718</v>
      </c>
      <c r="M1445" s="1" t="s">
        <v>1767</v>
      </c>
      <c r="N1445" t="s">
        <v>1976</v>
      </c>
      <c r="O1445" t="s">
        <v>2164</v>
      </c>
      <c r="P1445" t="s">
        <v>3085</v>
      </c>
      <c r="Q1445">
        <v>127.4</v>
      </c>
      <c r="R1445" s="1" t="s">
        <v>1839</v>
      </c>
      <c r="S1445">
        <v>856.99</v>
      </c>
      <c r="T1445">
        <v>109181</v>
      </c>
    </row>
    <row r="1446" spans="1:20" hidden="1" x14ac:dyDescent="0.4">
      <c r="A1446" s="1" t="s">
        <v>529</v>
      </c>
      <c r="B1446" s="1" t="s">
        <v>1461</v>
      </c>
      <c r="C1446" s="1" t="s">
        <v>1845</v>
      </c>
      <c r="D1446" s="1" t="s">
        <v>1731</v>
      </c>
      <c r="E1446">
        <v>20251215</v>
      </c>
      <c r="F1446" s="1" t="s">
        <v>1473</v>
      </c>
      <c r="G1446">
        <v>4</v>
      </c>
      <c r="H1446" s="1" t="s">
        <v>1494</v>
      </c>
      <c r="I1446" t="s">
        <v>1874</v>
      </c>
      <c r="J1446" s="1" t="s">
        <v>1453</v>
      </c>
      <c r="K1446" s="1" t="s">
        <v>1601</v>
      </c>
      <c r="L1446" s="1" t="s">
        <v>1718</v>
      </c>
      <c r="M1446" s="1" t="s">
        <v>1767</v>
      </c>
      <c r="N1446" t="s">
        <v>1976</v>
      </c>
      <c r="O1446" t="s">
        <v>2164</v>
      </c>
      <c r="P1446" t="s">
        <v>3085</v>
      </c>
      <c r="Q1446">
        <v>127.4</v>
      </c>
      <c r="R1446" s="1" t="s">
        <v>1839</v>
      </c>
      <c r="S1446">
        <v>856.99</v>
      </c>
      <c r="T1446">
        <v>109181</v>
      </c>
    </row>
    <row r="1447" spans="1:20" hidden="1" x14ac:dyDescent="0.4">
      <c r="A1447" s="1" t="s">
        <v>529</v>
      </c>
      <c r="B1447" s="1" t="s">
        <v>1462</v>
      </c>
      <c r="C1447" s="1" t="s">
        <v>1845</v>
      </c>
      <c r="D1447" s="1" t="s">
        <v>1731</v>
      </c>
      <c r="E1447">
        <v>20251215</v>
      </c>
      <c r="F1447" s="1" t="s">
        <v>1473</v>
      </c>
      <c r="G1447">
        <v>4</v>
      </c>
      <c r="H1447" s="1" t="s">
        <v>1494</v>
      </c>
      <c r="I1447" t="s">
        <v>1874</v>
      </c>
      <c r="J1447" s="1" t="s">
        <v>1453</v>
      </c>
      <c r="K1447" s="1" t="s">
        <v>1601</v>
      </c>
      <c r="L1447" s="1" t="s">
        <v>1718</v>
      </c>
      <c r="M1447" s="1" t="s">
        <v>1767</v>
      </c>
      <c r="N1447" t="s">
        <v>1976</v>
      </c>
      <c r="O1447" t="s">
        <v>2164</v>
      </c>
      <c r="P1447" t="s">
        <v>3085</v>
      </c>
      <c r="Q1447">
        <v>127.4</v>
      </c>
      <c r="R1447" s="1" t="s">
        <v>1839</v>
      </c>
      <c r="S1447">
        <v>856.99</v>
      </c>
      <c r="T1447">
        <v>109181</v>
      </c>
    </row>
    <row r="1448" spans="1:20" hidden="1" x14ac:dyDescent="0.4">
      <c r="A1448" s="1" t="s">
        <v>529</v>
      </c>
      <c r="B1448" s="1" t="s">
        <v>1463</v>
      </c>
      <c r="C1448" s="1" t="s">
        <v>1845</v>
      </c>
      <c r="D1448" s="1" t="s">
        <v>1731</v>
      </c>
      <c r="E1448">
        <v>20251215</v>
      </c>
      <c r="F1448" s="1" t="s">
        <v>1473</v>
      </c>
      <c r="G1448">
        <v>4</v>
      </c>
      <c r="H1448" s="1" t="s">
        <v>1494</v>
      </c>
      <c r="I1448" t="s">
        <v>1874</v>
      </c>
      <c r="J1448" s="1" t="s">
        <v>1453</v>
      </c>
      <c r="K1448" s="1" t="s">
        <v>1601</v>
      </c>
      <c r="L1448" s="1" t="s">
        <v>1718</v>
      </c>
      <c r="M1448" s="1" t="s">
        <v>1767</v>
      </c>
      <c r="N1448" t="s">
        <v>1976</v>
      </c>
      <c r="O1448" t="s">
        <v>2164</v>
      </c>
      <c r="P1448" t="s">
        <v>3085</v>
      </c>
      <c r="Q1448">
        <v>126.67</v>
      </c>
      <c r="R1448" s="1" t="s">
        <v>1839</v>
      </c>
      <c r="S1448">
        <v>856.99</v>
      </c>
      <c r="T1448">
        <v>108556</v>
      </c>
    </row>
    <row r="1449" spans="1:20" hidden="1" x14ac:dyDescent="0.4">
      <c r="A1449" s="1" t="s">
        <v>530</v>
      </c>
      <c r="B1449" s="1" t="s">
        <v>1453</v>
      </c>
      <c r="C1449" s="1" t="s">
        <v>1845</v>
      </c>
      <c r="D1449" s="1" t="s">
        <v>1731</v>
      </c>
      <c r="E1449">
        <v>20251215</v>
      </c>
      <c r="F1449" s="1" t="s">
        <v>1473</v>
      </c>
      <c r="G1449">
        <v>4</v>
      </c>
      <c r="H1449" s="1" t="s">
        <v>1494</v>
      </c>
      <c r="I1449" t="s">
        <v>1874</v>
      </c>
      <c r="J1449" s="1" t="s">
        <v>1453</v>
      </c>
      <c r="K1449" s="1" t="s">
        <v>1601</v>
      </c>
      <c r="L1449" s="1" t="s">
        <v>1718</v>
      </c>
      <c r="M1449" s="1" t="s">
        <v>1767</v>
      </c>
      <c r="N1449" t="s">
        <v>1976</v>
      </c>
      <c r="O1449" t="s">
        <v>2164</v>
      </c>
      <c r="P1449" t="s">
        <v>3085</v>
      </c>
      <c r="Q1449">
        <v>134.68</v>
      </c>
      <c r="R1449" s="1" t="s">
        <v>1839</v>
      </c>
      <c r="S1449">
        <v>856.99</v>
      </c>
      <c r="T1449">
        <v>115420</v>
      </c>
    </row>
    <row r="1450" spans="1:20" hidden="1" x14ac:dyDescent="0.4">
      <c r="A1450" s="1" t="s">
        <v>530</v>
      </c>
      <c r="B1450" s="1" t="s">
        <v>1454</v>
      </c>
      <c r="C1450" s="1" t="s">
        <v>1845</v>
      </c>
      <c r="D1450" s="1" t="s">
        <v>1731</v>
      </c>
      <c r="E1450">
        <v>20251215</v>
      </c>
      <c r="F1450" s="1" t="s">
        <v>1473</v>
      </c>
      <c r="G1450">
        <v>4</v>
      </c>
      <c r="H1450" s="1" t="s">
        <v>1494</v>
      </c>
      <c r="I1450" t="s">
        <v>1874</v>
      </c>
      <c r="J1450" s="1" t="s">
        <v>1453</v>
      </c>
      <c r="K1450" s="1" t="s">
        <v>1601</v>
      </c>
      <c r="L1450" s="1" t="s">
        <v>1718</v>
      </c>
      <c r="M1450" s="1" t="s">
        <v>1767</v>
      </c>
      <c r="N1450" t="s">
        <v>1976</v>
      </c>
      <c r="O1450" t="s">
        <v>2164</v>
      </c>
      <c r="P1450" t="s">
        <v>3085</v>
      </c>
      <c r="Q1450">
        <v>134.68</v>
      </c>
      <c r="R1450" s="1" t="s">
        <v>1839</v>
      </c>
      <c r="S1450">
        <v>856.99</v>
      </c>
      <c r="T1450">
        <v>115420</v>
      </c>
    </row>
    <row r="1451" spans="1:20" hidden="1" x14ac:dyDescent="0.4">
      <c r="A1451" s="1" t="s">
        <v>530</v>
      </c>
      <c r="B1451" s="1" t="s">
        <v>1455</v>
      </c>
      <c r="C1451" s="1" t="s">
        <v>1845</v>
      </c>
      <c r="D1451" s="1" t="s">
        <v>1731</v>
      </c>
      <c r="E1451">
        <v>20251215</v>
      </c>
      <c r="F1451" s="1" t="s">
        <v>1473</v>
      </c>
      <c r="G1451">
        <v>4</v>
      </c>
      <c r="H1451" s="1" t="s">
        <v>1494</v>
      </c>
      <c r="I1451" t="s">
        <v>1874</v>
      </c>
      <c r="J1451" s="1" t="s">
        <v>1453</v>
      </c>
      <c r="K1451" s="1" t="s">
        <v>1601</v>
      </c>
      <c r="L1451" s="1" t="s">
        <v>1718</v>
      </c>
      <c r="M1451" s="1" t="s">
        <v>1767</v>
      </c>
      <c r="N1451" t="s">
        <v>1976</v>
      </c>
      <c r="O1451" t="s">
        <v>2164</v>
      </c>
      <c r="P1451" t="s">
        <v>3085</v>
      </c>
      <c r="Q1451">
        <v>91</v>
      </c>
      <c r="R1451" s="1" t="s">
        <v>1839</v>
      </c>
      <c r="S1451">
        <v>857</v>
      </c>
      <c r="T1451">
        <v>77987</v>
      </c>
    </row>
    <row r="1452" spans="1:20" hidden="1" x14ac:dyDescent="0.4">
      <c r="A1452" s="1" t="s">
        <v>530</v>
      </c>
      <c r="B1452" s="1" t="s">
        <v>1456</v>
      </c>
      <c r="C1452" s="1" t="s">
        <v>1845</v>
      </c>
      <c r="D1452" s="1" t="s">
        <v>1731</v>
      </c>
      <c r="E1452">
        <v>20251215</v>
      </c>
      <c r="F1452" s="1" t="s">
        <v>1473</v>
      </c>
      <c r="G1452">
        <v>4</v>
      </c>
      <c r="H1452" s="1" t="s">
        <v>1494</v>
      </c>
      <c r="I1452" t="s">
        <v>1874</v>
      </c>
      <c r="J1452" s="1" t="s">
        <v>1453</v>
      </c>
      <c r="K1452" s="1" t="s">
        <v>1601</v>
      </c>
      <c r="L1452" s="1" t="s">
        <v>1718</v>
      </c>
      <c r="M1452" s="1" t="s">
        <v>1767</v>
      </c>
      <c r="N1452" t="s">
        <v>1976</v>
      </c>
      <c r="O1452" t="s">
        <v>2164</v>
      </c>
      <c r="P1452" t="s">
        <v>3085</v>
      </c>
      <c r="Q1452">
        <v>53.14</v>
      </c>
      <c r="R1452" s="1" t="s">
        <v>1839</v>
      </c>
      <c r="S1452">
        <v>856.98</v>
      </c>
      <c r="T1452">
        <v>45540</v>
      </c>
    </row>
    <row r="1453" spans="1:20" hidden="1" x14ac:dyDescent="0.4">
      <c r="A1453" s="1" t="s">
        <v>530</v>
      </c>
      <c r="B1453" s="1" t="s">
        <v>1457</v>
      </c>
      <c r="C1453" s="1" t="s">
        <v>1845</v>
      </c>
      <c r="D1453" s="1" t="s">
        <v>1731</v>
      </c>
      <c r="E1453">
        <v>20251215</v>
      </c>
      <c r="F1453" s="1" t="s">
        <v>1473</v>
      </c>
      <c r="G1453">
        <v>4</v>
      </c>
      <c r="H1453" s="1" t="s">
        <v>1494</v>
      </c>
      <c r="I1453" t="s">
        <v>1874</v>
      </c>
      <c r="J1453" s="1" t="s">
        <v>1453</v>
      </c>
      <c r="K1453" s="1" t="s">
        <v>1601</v>
      </c>
      <c r="L1453" s="1" t="s">
        <v>1718</v>
      </c>
      <c r="M1453" s="1" t="s">
        <v>1767</v>
      </c>
      <c r="N1453" t="s">
        <v>1976</v>
      </c>
      <c r="O1453" t="s">
        <v>2164</v>
      </c>
      <c r="P1453" t="s">
        <v>3085</v>
      </c>
      <c r="Q1453">
        <v>116.48</v>
      </c>
      <c r="R1453" s="1" t="s">
        <v>1839</v>
      </c>
      <c r="S1453">
        <v>856.99</v>
      </c>
      <c r="T1453">
        <v>99823</v>
      </c>
    </row>
    <row r="1454" spans="1:20" hidden="1" x14ac:dyDescent="0.4">
      <c r="A1454" s="1" t="s">
        <v>530</v>
      </c>
      <c r="B1454" s="1" t="s">
        <v>1458</v>
      </c>
      <c r="C1454" s="1" t="s">
        <v>1845</v>
      </c>
      <c r="D1454" s="1" t="s">
        <v>1731</v>
      </c>
      <c r="E1454">
        <v>20251215</v>
      </c>
      <c r="F1454" s="1" t="s">
        <v>1473</v>
      </c>
      <c r="G1454">
        <v>4</v>
      </c>
      <c r="H1454" s="1" t="s">
        <v>1494</v>
      </c>
      <c r="I1454" t="s">
        <v>1874</v>
      </c>
      <c r="J1454" s="1" t="s">
        <v>1453</v>
      </c>
      <c r="K1454" s="1" t="s">
        <v>1601</v>
      </c>
      <c r="L1454" s="1" t="s">
        <v>1718</v>
      </c>
      <c r="M1454" s="1" t="s">
        <v>1767</v>
      </c>
      <c r="N1454" t="s">
        <v>1976</v>
      </c>
      <c r="O1454" t="s">
        <v>2164</v>
      </c>
      <c r="P1454" t="s">
        <v>3085</v>
      </c>
      <c r="Q1454">
        <v>116.48</v>
      </c>
      <c r="R1454" s="1" t="s">
        <v>1839</v>
      </c>
      <c r="S1454">
        <v>856.99</v>
      </c>
      <c r="T1454">
        <v>99823</v>
      </c>
    </row>
    <row r="1455" spans="1:20" hidden="1" x14ac:dyDescent="0.4">
      <c r="A1455" s="1" t="s">
        <v>530</v>
      </c>
      <c r="B1455" s="1" t="s">
        <v>1459</v>
      </c>
      <c r="C1455" s="1" t="s">
        <v>1845</v>
      </c>
      <c r="D1455" s="1" t="s">
        <v>1731</v>
      </c>
      <c r="E1455">
        <v>20251215</v>
      </c>
      <c r="F1455" s="1" t="s">
        <v>1473</v>
      </c>
      <c r="G1455">
        <v>4</v>
      </c>
      <c r="H1455" s="1" t="s">
        <v>1494</v>
      </c>
      <c r="I1455" t="s">
        <v>1874</v>
      </c>
      <c r="J1455" s="1" t="s">
        <v>1453</v>
      </c>
      <c r="K1455" s="1" t="s">
        <v>1601</v>
      </c>
      <c r="L1455" s="1" t="s">
        <v>1718</v>
      </c>
      <c r="M1455" s="1" t="s">
        <v>1767</v>
      </c>
      <c r="N1455" t="s">
        <v>1976</v>
      </c>
      <c r="O1455" t="s">
        <v>2164</v>
      </c>
      <c r="P1455" t="s">
        <v>3085</v>
      </c>
      <c r="Q1455">
        <v>97.55</v>
      </c>
      <c r="R1455" s="1" t="s">
        <v>1839</v>
      </c>
      <c r="S1455">
        <v>856.99</v>
      </c>
      <c r="T1455">
        <v>83600</v>
      </c>
    </row>
    <row r="1456" spans="1:20" hidden="1" x14ac:dyDescent="0.4">
      <c r="A1456" s="1" t="s">
        <v>531</v>
      </c>
      <c r="B1456" s="1" t="s">
        <v>1453</v>
      </c>
      <c r="C1456" s="1" t="s">
        <v>1845</v>
      </c>
      <c r="D1456" s="1" t="s">
        <v>1731</v>
      </c>
      <c r="E1456">
        <v>20251216</v>
      </c>
      <c r="F1456" s="1" t="s">
        <v>1473</v>
      </c>
      <c r="G1456">
        <v>4</v>
      </c>
      <c r="H1456" s="1" t="s">
        <v>1494</v>
      </c>
      <c r="I1456" t="s">
        <v>1874</v>
      </c>
      <c r="J1456" s="1" t="s">
        <v>1453</v>
      </c>
      <c r="K1456" s="1" t="s">
        <v>1601</v>
      </c>
      <c r="L1456" s="1" t="s">
        <v>1718</v>
      </c>
      <c r="M1456" s="1" t="s">
        <v>1767</v>
      </c>
      <c r="N1456" t="s">
        <v>1976</v>
      </c>
      <c r="O1456" t="s">
        <v>2164</v>
      </c>
      <c r="P1456" t="s">
        <v>3085</v>
      </c>
      <c r="Q1456">
        <v>141.96</v>
      </c>
      <c r="R1456" s="1" t="s">
        <v>1839</v>
      </c>
      <c r="S1456">
        <v>856.99</v>
      </c>
      <c r="T1456">
        <v>121659</v>
      </c>
    </row>
    <row r="1457" spans="1:20" hidden="1" x14ac:dyDescent="0.4">
      <c r="A1457" s="1" t="s">
        <v>531</v>
      </c>
      <c r="B1457" s="1" t="s">
        <v>1454</v>
      </c>
      <c r="C1457" s="1" t="s">
        <v>1845</v>
      </c>
      <c r="D1457" s="1" t="s">
        <v>1731</v>
      </c>
      <c r="E1457">
        <v>20251216</v>
      </c>
      <c r="F1457" s="1" t="s">
        <v>1473</v>
      </c>
      <c r="G1457">
        <v>4</v>
      </c>
      <c r="H1457" s="1" t="s">
        <v>1494</v>
      </c>
      <c r="I1457" t="s">
        <v>1874</v>
      </c>
      <c r="J1457" s="1" t="s">
        <v>1453</v>
      </c>
      <c r="K1457" s="1" t="s">
        <v>1601</v>
      </c>
      <c r="L1457" s="1" t="s">
        <v>1718</v>
      </c>
      <c r="M1457" s="1" t="s">
        <v>1767</v>
      </c>
      <c r="N1457" t="s">
        <v>1976</v>
      </c>
      <c r="O1457" t="s">
        <v>2164</v>
      </c>
      <c r="P1457" t="s">
        <v>3085</v>
      </c>
      <c r="Q1457">
        <v>141.96</v>
      </c>
      <c r="R1457" s="1" t="s">
        <v>1839</v>
      </c>
      <c r="S1457">
        <v>856.99</v>
      </c>
      <c r="T1457">
        <v>121659</v>
      </c>
    </row>
    <row r="1458" spans="1:20" hidden="1" x14ac:dyDescent="0.4">
      <c r="A1458" s="1" t="s">
        <v>531</v>
      </c>
      <c r="B1458" s="1" t="s">
        <v>1455</v>
      </c>
      <c r="C1458" s="1" t="s">
        <v>1845</v>
      </c>
      <c r="D1458" s="1" t="s">
        <v>1731</v>
      </c>
      <c r="E1458">
        <v>20251216</v>
      </c>
      <c r="F1458" s="1" t="s">
        <v>1473</v>
      </c>
      <c r="G1458">
        <v>4</v>
      </c>
      <c r="H1458" s="1" t="s">
        <v>1494</v>
      </c>
      <c r="I1458" t="s">
        <v>1874</v>
      </c>
      <c r="J1458" s="1" t="s">
        <v>1453</v>
      </c>
      <c r="K1458" s="1" t="s">
        <v>1601</v>
      </c>
      <c r="L1458" s="1" t="s">
        <v>1718</v>
      </c>
      <c r="M1458" s="1" t="s">
        <v>1767</v>
      </c>
      <c r="N1458" t="s">
        <v>1976</v>
      </c>
      <c r="O1458" t="s">
        <v>2164</v>
      </c>
      <c r="P1458" t="s">
        <v>3085</v>
      </c>
      <c r="Q1458">
        <v>141.96</v>
      </c>
      <c r="R1458" s="1" t="s">
        <v>1839</v>
      </c>
      <c r="S1458">
        <v>856.99</v>
      </c>
      <c r="T1458">
        <v>121659</v>
      </c>
    </row>
    <row r="1459" spans="1:20" hidden="1" x14ac:dyDescent="0.4">
      <c r="A1459" s="1" t="s">
        <v>531</v>
      </c>
      <c r="B1459" s="1" t="s">
        <v>1456</v>
      </c>
      <c r="C1459" s="1" t="s">
        <v>1845</v>
      </c>
      <c r="D1459" s="1" t="s">
        <v>1731</v>
      </c>
      <c r="E1459">
        <v>20251216</v>
      </c>
      <c r="F1459" s="1" t="s">
        <v>1473</v>
      </c>
      <c r="G1459">
        <v>4</v>
      </c>
      <c r="H1459" s="1" t="s">
        <v>1494</v>
      </c>
      <c r="I1459" t="s">
        <v>1874</v>
      </c>
      <c r="J1459" s="1" t="s">
        <v>1453</v>
      </c>
      <c r="K1459" s="1" t="s">
        <v>1601</v>
      </c>
      <c r="L1459" s="1" t="s">
        <v>1718</v>
      </c>
      <c r="M1459" s="1" t="s">
        <v>1767</v>
      </c>
      <c r="N1459" t="s">
        <v>1976</v>
      </c>
      <c r="O1459" t="s">
        <v>2164</v>
      </c>
      <c r="P1459" t="s">
        <v>3085</v>
      </c>
      <c r="Q1459">
        <v>141.96</v>
      </c>
      <c r="R1459" s="1" t="s">
        <v>1839</v>
      </c>
      <c r="S1459">
        <v>856.99</v>
      </c>
      <c r="T1459">
        <v>121659</v>
      </c>
    </row>
    <row r="1460" spans="1:20" hidden="1" x14ac:dyDescent="0.4">
      <c r="A1460" s="1" t="s">
        <v>531</v>
      </c>
      <c r="B1460" s="1" t="s">
        <v>1457</v>
      </c>
      <c r="C1460" s="1" t="s">
        <v>1845</v>
      </c>
      <c r="D1460" s="1" t="s">
        <v>1731</v>
      </c>
      <c r="E1460">
        <v>20251216</v>
      </c>
      <c r="F1460" s="1" t="s">
        <v>1473</v>
      </c>
      <c r="G1460">
        <v>4</v>
      </c>
      <c r="H1460" s="1" t="s">
        <v>1494</v>
      </c>
      <c r="I1460" t="s">
        <v>1874</v>
      </c>
      <c r="J1460" s="1" t="s">
        <v>1453</v>
      </c>
      <c r="K1460" s="1" t="s">
        <v>1601</v>
      </c>
      <c r="L1460" s="1" t="s">
        <v>1718</v>
      </c>
      <c r="M1460" s="1" t="s">
        <v>1767</v>
      </c>
      <c r="N1460" t="s">
        <v>1976</v>
      </c>
      <c r="O1460" t="s">
        <v>2164</v>
      </c>
      <c r="P1460" t="s">
        <v>3085</v>
      </c>
      <c r="Q1460">
        <v>143.05000000000001</v>
      </c>
      <c r="R1460" s="1" t="s">
        <v>1839</v>
      </c>
      <c r="S1460">
        <v>856.99</v>
      </c>
      <c r="T1460">
        <v>122593</v>
      </c>
    </row>
    <row r="1461" spans="1:20" hidden="1" x14ac:dyDescent="0.4">
      <c r="A1461" s="1" t="s">
        <v>532</v>
      </c>
      <c r="B1461" s="1" t="s">
        <v>1453</v>
      </c>
      <c r="C1461" s="1" t="s">
        <v>1845</v>
      </c>
      <c r="D1461" s="1" t="s">
        <v>1462</v>
      </c>
      <c r="E1461">
        <v>20251201</v>
      </c>
      <c r="F1461" s="1" t="s">
        <v>1471</v>
      </c>
      <c r="G1461">
        <v>4</v>
      </c>
      <c r="H1461" s="1" t="s">
        <v>1504</v>
      </c>
      <c r="I1461" t="s">
        <v>1884</v>
      </c>
      <c r="J1461" s="1" t="s">
        <v>1460</v>
      </c>
      <c r="K1461" s="1" t="s">
        <v>1674</v>
      </c>
      <c r="L1461" s="1" t="s">
        <v>1734</v>
      </c>
      <c r="M1461" s="1" t="s">
        <v>1737</v>
      </c>
      <c r="N1461" t="s">
        <v>2065</v>
      </c>
      <c r="O1461" t="s">
        <v>2180</v>
      </c>
      <c r="P1461" t="s">
        <v>2157</v>
      </c>
      <c r="Q1461">
        <v>591</v>
      </c>
      <c r="R1461" s="1" t="s">
        <v>1840</v>
      </c>
      <c r="S1461">
        <v>499</v>
      </c>
      <c r="T1461">
        <v>294909</v>
      </c>
    </row>
    <row r="1462" spans="1:20" hidden="1" x14ac:dyDescent="0.4">
      <c r="A1462" s="1" t="s">
        <v>533</v>
      </c>
      <c r="B1462" s="1" t="s">
        <v>1453</v>
      </c>
      <c r="C1462" s="1" t="s">
        <v>1845</v>
      </c>
      <c r="D1462" s="1" t="s">
        <v>1731</v>
      </c>
      <c r="E1462">
        <v>20251216</v>
      </c>
      <c r="F1462" s="1" t="s">
        <v>1472</v>
      </c>
      <c r="G1462">
        <v>4</v>
      </c>
      <c r="H1462" s="1" t="s">
        <v>1494</v>
      </c>
      <c r="I1462" t="s">
        <v>1874</v>
      </c>
      <c r="J1462" s="1" t="s">
        <v>1457</v>
      </c>
      <c r="K1462" s="1" t="s">
        <v>1592</v>
      </c>
      <c r="L1462" s="1" t="s">
        <v>1719</v>
      </c>
      <c r="M1462" s="1" t="s">
        <v>1761</v>
      </c>
      <c r="N1462" t="s">
        <v>1967</v>
      </c>
      <c r="O1462" t="s">
        <v>2165</v>
      </c>
      <c r="P1462" t="s">
        <v>3175</v>
      </c>
      <c r="Q1462">
        <v>32.76</v>
      </c>
      <c r="R1462" s="1" t="s">
        <v>1839</v>
      </c>
      <c r="S1462">
        <v>2808.97</v>
      </c>
      <c r="T1462">
        <v>92022</v>
      </c>
    </row>
    <row r="1463" spans="1:20" hidden="1" x14ac:dyDescent="0.4">
      <c r="A1463" s="1" t="s">
        <v>534</v>
      </c>
      <c r="B1463" s="1" t="s">
        <v>1453</v>
      </c>
      <c r="C1463" s="1" t="s">
        <v>1845</v>
      </c>
      <c r="D1463" s="1" t="s">
        <v>1731</v>
      </c>
      <c r="E1463">
        <v>20251216</v>
      </c>
      <c r="F1463" s="1" t="s">
        <v>1473</v>
      </c>
      <c r="G1463">
        <v>4</v>
      </c>
      <c r="H1463" s="1" t="s">
        <v>1494</v>
      </c>
      <c r="I1463" t="s">
        <v>1874</v>
      </c>
      <c r="J1463" s="1" t="s">
        <v>1453</v>
      </c>
      <c r="K1463" s="1" t="s">
        <v>1596</v>
      </c>
      <c r="L1463" s="1" t="s">
        <v>1718</v>
      </c>
      <c r="M1463" s="1" t="s">
        <v>1764</v>
      </c>
      <c r="N1463" t="s">
        <v>1971</v>
      </c>
      <c r="O1463" t="s">
        <v>2164</v>
      </c>
      <c r="P1463" t="s">
        <v>3082</v>
      </c>
      <c r="Q1463">
        <v>138.32</v>
      </c>
      <c r="R1463" s="1" t="s">
        <v>1839</v>
      </c>
      <c r="S1463">
        <v>1194.99</v>
      </c>
      <c r="T1463">
        <v>165292</v>
      </c>
    </row>
    <row r="1464" spans="1:20" hidden="1" x14ac:dyDescent="0.4">
      <c r="A1464" s="1" t="s">
        <v>534</v>
      </c>
      <c r="B1464" s="1" t="s">
        <v>1454</v>
      </c>
      <c r="C1464" s="1" t="s">
        <v>1845</v>
      </c>
      <c r="D1464" s="1" t="s">
        <v>1731</v>
      </c>
      <c r="E1464">
        <v>20251216</v>
      </c>
      <c r="F1464" s="1" t="s">
        <v>1473</v>
      </c>
      <c r="G1464">
        <v>4</v>
      </c>
      <c r="H1464" s="1" t="s">
        <v>1494</v>
      </c>
      <c r="I1464" t="s">
        <v>1874</v>
      </c>
      <c r="J1464" s="1" t="s">
        <v>1453</v>
      </c>
      <c r="K1464" s="1" t="s">
        <v>1596</v>
      </c>
      <c r="L1464" s="1" t="s">
        <v>1718</v>
      </c>
      <c r="M1464" s="1" t="s">
        <v>1764</v>
      </c>
      <c r="N1464" t="s">
        <v>1971</v>
      </c>
      <c r="O1464" t="s">
        <v>2164</v>
      </c>
      <c r="P1464" t="s">
        <v>3082</v>
      </c>
      <c r="Q1464">
        <v>138.32</v>
      </c>
      <c r="R1464" s="1" t="s">
        <v>1839</v>
      </c>
      <c r="S1464">
        <v>1194.99</v>
      </c>
      <c r="T1464">
        <v>165292</v>
      </c>
    </row>
    <row r="1465" spans="1:20" hidden="1" x14ac:dyDescent="0.4">
      <c r="A1465" s="1" t="s">
        <v>534</v>
      </c>
      <c r="B1465" s="1" t="s">
        <v>1455</v>
      </c>
      <c r="C1465" s="1" t="s">
        <v>1845</v>
      </c>
      <c r="D1465" s="1" t="s">
        <v>1731</v>
      </c>
      <c r="E1465">
        <v>20251216</v>
      </c>
      <c r="F1465" s="1" t="s">
        <v>1473</v>
      </c>
      <c r="G1465">
        <v>4</v>
      </c>
      <c r="H1465" s="1" t="s">
        <v>1494</v>
      </c>
      <c r="I1465" t="s">
        <v>1874</v>
      </c>
      <c r="J1465" s="1" t="s">
        <v>1453</v>
      </c>
      <c r="K1465" s="1" t="s">
        <v>1596</v>
      </c>
      <c r="L1465" s="1" t="s">
        <v>1718</v>
      </c>
      <c r="M1465" s="1" t="s">
        <v>1764</v>
      </c>
      <c r="N1465" t="s">
        <v>1971</v>
      </c>
      <c r="O1465" t="s">
        <v>2164</v>
      </c>
      <c r="P1465" t="s">
        <v>3082</v>
      </c>
      <c r="Q1465">
        <v>138.32</v>
      </c>
      <c r="R1465" s="1" t="s">
        <v>1839</v>
      </c>
      <c r="S1465">
        <v>1194.99</v>
      </c>
      <c r="T1465">
        <v>165292</v>
      </c>
    </row>
    <row r="1466" spans="1:20" hidden="1" x14ac:dyDescent="0.4">
      <c r="A1466" s="1" t="s">
        <v>534</v>
      </c>
      <c r="B1466" s="1" t="s">
        <v>1456</v>
      </c>
      <c r="C1466" s="1" t="s">
        <v>1845</v>
      </c>
      <c r="D1466" s="1" t="s">
        <v>1731</v>
      </c>
      <c r="E1466">
        <v>20251216</v>
      </c>
      <c r="F1466" s="1" t="s">
        <v>1473</v>
      </c>
      <c r="G1466">
        <v>4</v>
      </c>
      <c r="H1466" s="1" t="s">
        <v>1494</v>
      </c>
      <c r="I1466" t="s">
        <v>1874</v>
      </c>
      <c r="J1466" s="1" t="s">
        <v>1453</v>
      </c>
      <c r="K1466" s="1" t="s">
        <v>1596</v>
      </c>
      <c r="L1466" s="1" t="s">
        <v>1718</v>
      </c>
      <c r="M1466" s="1" t="s">
        <v>1764</v>
      </c>
      <c r="N1466" t="s">
        <v>1971</v>
      </c>
      <c r="O1466" t="s">
        <v>2164</v>
      </c>
      <c r="P1466" t="s">
        <v>3082</v>
      </c>
      <c r="Q1466">
        <v>120.84</v>
      </c>
      <c r="R1466" s="1" t="s">
        <v>1839</v>
      </c>
      <c r="S1466">
        <v>1194.99</v>
      </c>
      <c r="T1466">
        <v>144403</v>
      </c>
    </row>
    <row r="1467" spans="1:20" hidden="1" x14ac:dyDescent="0.4">
      <c r="A1467" s="1" t="s">
        <v>534</v>
      </c>
      <c r="B1467" s="1" t="s">
        <v>1457</v>
      </c>
      <c r="C1467" s="1" t="s">
        <v>1845</v>
      </c>
      <c r="D1467" s="1" t="s">
        <v>1731</v>
      </c>
      <c r="E1467">
        <v>20251216</v>
      </c>
      <c r="F1467" s="1" t="s">
        <v>1473</v>
      </c>
      <c r="G1467">
        <v>4</v>
      </c>
      <c r="H1467" s="1" t="s">
        <v>1494</v>
      </c>
      <c r="I1467" t="s">
        <v>1874</v>
      </c>
      <c r="J1467" s="1" t="s">
        <v>1453</v>
      </c>
      <c r="K1467" s="1" t="s">
        <v>1596</v>
      </c>
      <c r="L1467" s="1" t="s">
        <v>1718</v>
      </c>
      <c r="M1467" s="1" t="s">
        <v>1764</v>
      </c>
      <c r="N1467" t="s">
        <v>1971</v>
      </c>
      <c r="O1467" t="s">
        <v>2164</v>
      </c>
      <c r="P1467" t="s">
        <v>3082</v>
      </c>
      <c r="Q1467">
        <v>145.6</v>
      </c>
      <c r="R1467" s="1" t="s">
        <v>1839</v>
      </c>
      <c r="S1467">
        <v>1195</v>
      </c>
      <c r="T1467">
        <v>173992</v>
      </c>
    </row>
    <row r="1468" spans="1:20" hidden="1" x14ac:dyDescent="0.4">
      <c r="A1468" s="1" t="s">
        <v>534</v>
      </c>
      <c r="B1468" s="1" t="s">
        <v>1458</v>
      </c>
      <c r="C1468" s="1" t="s">
        <v>1845</v>
      </c>
      <c r="D1468" s="1" t="s">
        <v>1731</v>
      </c>
      <c r="E1468">
        <v>20251216</v>
      </c>
      <c r="F1468" s="1" t="s">
        <v>1473</v>
      </c>
      <c r="G1468">
        <v>4</v>
      </c>
      <c r="H1468" s="1" t="s">
        <v>1494</v>
      </c>
      <c r="I1468" t="s">
        <v>1874</v>
      </c>
      <c r="J1468" s="1" t="s">
        <v>1453</v>
      </c>
      <c r="K1468" s="1" t="s">
        <v>1596</v>
      </c>
      <c r="L1468" s="1" t="s">
        <v>1718</v>
      </c>
      <c r="M1468" s="1" t="s">
        <v>1764</v>
      </c>
      <c r="N1468" t="s">
        <v>1971</v>
      </c>
      <c r="O1468" t="s">
        <v>2164</v>
      </c>
      <c r="P1468" t="s">
        <v>3082</v>
      </c>
      <c r="Q1468">
        <v>145.6</v>
      </c>
      <c r="R1468" s="1" t="s">
        <v>1839</v>
      </c>
      <c r="S1468">
        <v>1195</v>
      </c>
      <c r="T1468">
        <v>173992</v>
      </c>
    </row>
    <row r="1469" spans="1:20" hidden="1" x14ac:dyDescent="0.4">
      <c r="A1469" s="1" t="s">
        <v>534</v>
      </c>
      <c r="B1469" s="1" t="s">
        <v>1459</v>
      </c>
      <c r="C1469" s="1" t="s">
        <v>1845</v>
      </c>
      <c r="D1469" s="1" t="s">
        <v>1731</v>
      </c>
      <c r="E1469">
        <v>20251216</v>
      </c>
      <c r="F1469" s="1" t="s">
        <v>1473</v>
      </c>
      <c r="G1469">
        <v>4</v>
      </c>
      <c r="H1469" s="1" t="s">
        <v>1494</v>
      </c>
      <c r="I1469" t="s">
        <v>1874</v>
      </c>
      <c r="J1469" s="1" t="s">
        <v>1453</v>
      </c>
      <c r="K1469" s="1" t="s">
        <v>1596</v>
      </c>
      <c r="L1469" s="1" t="s">
        <v>1718</v>
      </c>
      <c r="M1469" s="1" t="s">
        <v>1764</v>
      </c>
      <c r="N1469" t="s">
        <v>1971</v>
      </c>
      <c r="O1469" t="s">
        <v>2164</v>
      </c>
      <c r="P1469" t="s">
        <v>3082</v>
      </c>
      <c r="Q1469">
        <v>143.78</v>
      </c>
      <c r="R1469" s="1" t="s">
        <v>1839</v>
      </c>
      <c r="S1469">
        <v>1194.99</v>
      </c>
      <c r="T1469">
        <v>171817</v>
      </c>
    </row>
    <row r="1470" spans="1:20" hidden="1" x14ac:dyDescent="0.4">
      <c r="A1470" s="1" t="s">
        <v>535</v>
      </c>
      <c r="B1470" s="1" t="s">
        <v>1453</v>
      </c>
      <c r="C1470" s="1" t="s">
        <v>1845</v>
      </c>
      <c r="D1470" s="1" t="s">
        <v>1731</v>
      </c>
      <c r="E1470">
        <v>20251216</v>
      </c>
      <c r="F1470" s="1" t="s">
        <v>1473</v>
      </c>
      <c r="G1470">
        <v>4</v>
      </c>
      <c r="H1470" s="1" t="s">
        <v>1494</v>
      </c>
      <c r="I1470" t="s">
        <v>1874</v>
      </c>
      <c r="J1470" s="1" t="s">
        <v>1453</v>
      </c>
      <c r="K1470" s="1" t="s">
        <v>1596</v>
      </c>
      <c r="L1470" s="1" t="s">
        <v>1718</v>
      </c>
      <c r="M1470" s="1" t="s">
        <v>1764</v>
      </c>
      <c r="N1470" t="s">
        <v>1971</v>
      </c>
      <c r="O1470" t="s">
        <v>2164</v>
      </c>
      <c r="P1470" t="s">
        <v>3082</v>
      </c>
      <c r="Q1470">
        <v>109.2</v>
      </c>
      <c r="R1470" s="1" t="s">
        <v>1839</v>
      </c>
      <c r="S1470">
        <v>1195</v>
      </c>
      <c r="T1470">
        <v>130494</v>
      </c>
    </row>
    <row r="1471" spans="1:20" hidden="1" x14ac:dyDescent="0.4">
      <c r="A1471" s="1" t="s">
        <v>535</v>
      </c>
      <c r="B1471" s="1" t="s">
        <v>1454</v>
      </c>
      <c r="C1471" s="1" t="s">
        <v>1845</v>
      </c>
      <c r="D1471" s="1" t="s">
        <v>1731</v>
      </c>
      <c r="E1471">
        <v>20251216</v>
      </c>
      <c r="F1471" s="1" t="s">
        <v>1473</v>
      </c>
      <c r="G1471">
        <v>4</v>
      </c>
      <c r="H1471" s="1" t="s">
        <v>1494</v>
      </c>
      <c r="I1471" t="s">
        <v>1874</v>
      </c>
      <c r="J1471" s="1" t="s">
        <v>1453</v>
      </c>
      <c r="K1471" s="1" t="s">
        <v>1596</v>
      </c>
      <c r="L1471" s="1" t="s">
        <v>1718</v>
      </c>
      <c r="M1471" s="1" t="s">
        <v>1764</v>
      </c>
      <c r="N1471" t="s">
        <v>1971</v>
      </c>
      <c r="O1471" t="s">
        <v>2164</v>
      </c>
      <c r="P1471" t="s">
        <v>3082</v>
      </c>
      <c r="Q1471">
        <v>112.84</v>
      </c>
      <c r="R1471" s="1" t="s">
        <v>1839</v>
      </c>
      <c r="S1471">
        <v>1194.99</v>
      </c>
      <c r="T1471">
        <v>134843</v>
      </c>
    </row>
    <row r="1472" spans="1:20" hidden="1" x14ac:dyDescent="0.4">
      <c r="A1472" s="1" t="s">
        <v>535</v>
      </c>
      <c r="B1472" s="1" t="s">
        <v>1455</v>
      </c>
      <c r="C1472" s="1" t="s">
        <v>1845</v>
      </c>
      <c r="D1472" s="1" t="s">
        <v>1731</v>
      </c>
      <c r="E1472">
        <v>20251216</v>
      </c>
      <c r="F1472" s="1" t="s">
        <v>1473</v>
      </c>
      <c r="G1472">
        <v>4</v>
      </c>
      <c r="H1472" s="1" t="s">
        <v>1494</v>
      </c>
      <c r="I1472" t="s">
        <v>1874</v>
      </c>
      <c r="J1472" s="1" t="s">
        <v>1453</v>
      </c>
      <c r="K1472" s="1" t="s">
        <v>1596</v>
      </c>
      <c r="L1472" s="1" t="s">
        <v>1718</v>
      </c>
      <c r="M1472" s="1" t="s">
        <v>1764</v>
      </c>
      <c r="N1472" t="s">
        <v>1971</v>
      </c>
      <c r="O1472" t="s">
        <v>2164</v>
      </c>
      <c r="P1472" t="s">
        <v>3082</v>
      </c>
      <c r="Q1472">
        <v>145.6</v>
      </c>
      <c r="R1472" s="1" t="s">
        <v>1839</v>
      </c>
      <c r="S1472">
        <v>1195</v>
      </c>
      <c r="T1472">
        <v>173992</v>
      </c>
    </row>
    <row r="1473" spans="1:20" hidden="1" x14ac:dyDescent="0.4">
      <c r="A1473" s="1" t="s">
        <v>535</v>
      </c>
      <c r="B1473" s="1" t="s">
        <v>1456</v>
      </c>
      <c r="C1473" s="1" t="s">
        <v>1845</v>
      </c>
      <c r="D1473" s="1" t="s">
        <v>1731</v>
      </c>
      <c r="E1473">
        <v>20251216</v>
      </c>
      <c r="F1473" s="1" t="s">
        <v>1473</v>
      </c>
      <c r="G1473">
        <v>4</v>
      </c>
      <c r="H1473" s="1" t="s">
        <v>1494</v>
      </c>
      <c r="I1473" t="s">
        <v>1874</v>
      </c>
      <c r="J1473" s="1" t="s">
        <v>1453</v>
      </c>
      <c r="K1473" s="1" t="s">
        <v>1596</v>
      </c>
      <c r="L1473" s="1" t="s">
        <v>1718</v>
      </c>
      <c r="M1473" s="1" t="s">
        <v>1764</v>
      </c>
      <c r="N1473" t="s">
        <v>1971</v>
      </c>
      <c r="O1473" t="s">
        <v>2164</v>
      </c>
      <c r="P1473" t="s">
        <v>3082</v>
      </c>
      <c r="Q1473">
        <v>139.41</v>
      </c>
      <c r="R1473" s="1" t="s">
        <v>1839</v>
      </c>
      <c r="S1473">
        <v>1194.99</v>
      </c>
      <c r="T1473">
        <v>166594</v>
      </c>
    </row>
    <row r="1474" spans="1:20" hidden="1" x14ac:dyDescent="0.4">
      <c r="A1474" s="1" t="s">
        <v>535</v>
      </c>
      <c r="B1474" s="1" t="s">
        <v>1457</v>
      </c>
      <c r="C1474" s="1" t="s">
        <v>1845</v>
      </c>
      <c r="D1474" s="1" t="s">
        <v>1731</v>
      </c>
      <c r="E1474">
        <v>20251216</v>
      </c>
      <c r="F1474" s="1" t="s">
        <v>1473</v>
      </c>
      <c r="G1474">
        <v>4</v>
      </c>
      <c r="H1474" s="1" t="s">
        <v>1494</v>
      </c>
      <c r="I1474" t="s">
        <v>1874</v>
      </c>
      <c r="J1474" s="1" t="s">
        <v>1453</v>
      </c>
      <c r="K1474" s="1" t="s">
        <v>1596</v>
      </c>
      <c r="L1474" s="1" t="s">
        <v>1718</v>
      </c>
      <c r="M1474" s="1" t="s">
        <v>1764</v>
      </c>
      <c r="N1474" t="s">
        <v>1971</v>
      </c>
      <c r="O1474" t="s">
        <v>2164</v>
      </c>
      <c r="P1474" t="s">
        <v>3082</v>
      </c>
      <c r="Q1474">
        <v>140.5</v>
      </c>
      <c r="R1474" s="1" t="s">
        <v>1839</v>
      </c>
      <c r="S1474">
        <v>1194.99</v>
      </c>
      <c r="T1474">
        <v>167897</v>
      </c>
    </row>
    <row r="1475" spans="1:20" hidden="1" x14ac:dyDescent="0.4">
      <c r="A1475" s="1" t="s">
        <v>536</v>
      </c>
      <c r="B1475" s="1" t="s">
        <v>1453</v>
      </c>
      <c r="C1475" s="1" t="s">
        <v>1845</v>
      </c>
      <c r="D1475" s="1" t="s">
        <v>1462</v>
      </c>
      <c r="E1475">
        <v>20251216</v>
      </c>
      <c r="F1475" s="1" t="s">
        <v>1470</v>
      </c>
      <c r="G1475">
        <v>1</v>
      </c>
      <c r="H1475" s="1" t="s">
        <v>1496</v>
      </c>
      <c r="I1475" t="s">
        <v>1876</v>
      </c>
      <c r="J1475" s="1" t="s">
        <v>1459</v>
      </c>
      <c r="K1475" s="1" t="s">
        <v>1581</v>
      </c>
      <c r="L1475" s="1" t="s">
        <v>1717</v>
      </c>
      <c r="M1475" s="1" t="s">
        <v>1737</v>
      </c>
      <c r="N1475" t="s">
        <v>1956</v>
      </c>
      <c r="O1475" t="s">
        <v>2163</v>
      </c>
      <c r="P1475" t="s">
        <v>2157</v>
      </c>
      <c r="Q1475">
        <v>4000</v>
      </c>
      <c r="R1475" s="1" t="s">
        <v>1463</v>
      </c>
      <c r="S1475">
        <v>273.39999999999998</v>
      </c>
      <c r="T1475">
        <v>1093600</v>
      </c>
    </row>
    <row r="1476" spans="1:20" hidden="1" x14ac:dyDescent="0.4">
      <c r="A1476" s="1" t="s">
        <v>537</v>
      </c>
      <c r="B1476" s="1" t="s">
        <v>1453</v>
      </c>
      <c r="C1476" s="1" t="s">
        <v>1845</v>
      </c>
      <c r="D1476" s="1" t="s">
        <v>1462</v>
      </c>
      <c r="E1476">
        <v>20251216</v>
      </c>
      <c r="F1476" s="1" t="s">
        <v>1471</v>
      </c>
      <c r="G1476">
        <v>1</v>
      </c>
      <c r="H1476" s="1" t="s">
        <v>1492</v>
      </c>
      <c r="I1476" t="s">
        <v>1872</v>
      </c>
      <c r="J1476" s="1" t="s">
        <v>1454</v>
      </c>
      <c r="K1476" s="1" t="s">
        <v>1675</v>
      </c>
      <c r="L1476" s="1" t="s">
        <v>1716</v>
      </c>
      <c r="M1476" s="1" t="s">
        <v>1759</v>
      </c>
      <c r="N1476" t="s">
        <v>2066</v>
      </c>
      <c r="O1476" t="s">
        <v>2162</v>
      </c>
      <c r="P1476" t="s">
        <v>3074</v>
      </c>
      <c r="Q1476">
        <v>1001</v>
      </c>
      <c r="R1476" s="1" t="s">
        <v>1463</v>
      </c>
      <c r="S1476">
        <v>1000</v>
      </c>
      <c r="T1476">
        <v>1001000</v>
      </c>
    </row>
    <row r="1477" spans="1:20" hidden="1" x14ac:dyDescent="0.4">
      <c r="A1477" s="1" t="s">
        <v>538</v>
      </c>
      <c r="B1477" s="1" t="s">
        <v>1453</v>
      </c>
      <c r="C1477" s="1" t="s">
        <v>1845</v>
      </c>
      <c r="D1477" s="1" t="s">
        <v>1462</v>
      </c>
      <c r="E1477">
        <v>20251215</v>
      </c>
      <c r="F1477" s="1" t="s">
        <v>1471</v>
      </c>
      <c r="G1477">
        <v>4</v>
      </c>
      <c r="H1477" s="1" t="s">
        <v>1498</v>
      </c>
      <c r="I1477" t="s">
        <v>1878</v>
      </c>
      <c r="J1477" s="1" t="s">
        <v>1460</v>
      </c>
      <c r="K1477" s="1" t="s">
        <v>1676</v>
      </c>
      <c r="L1477" s="1" t="s">
        <v>1731</v>
      </c>
      <c r="M1477" s="1" t="s">
        <v>1812</v>
      </c>
      <c r="N1477" t="s">
        <v>2067</v>
      </c>
      <c r="O1477" t="s">
        <v>2178</v>
      </c>
      <c r="P1477" t="s">
        <v>3193</v>
      </c>
      <c r="Q1477">
        <v>7000</v>
      </c>
      <c r="R1477" s="1" t="s">
        <v>1463</v>
      </c>
      <c r="S1477">
        <v>2256</v>
      </c>
      <c r="T1477">
        <v>15792000</v>
      </c>
    </row>
    <row r="1478" spans="1:20" hidden="1" x14ac:dyDescent="0.4">
      <c r="A1478" s="1" t="s">
        <v>539</v>
      </c>
      <c r="B1478" s="1" t="s">
        <v>1453</v>
      </c>
      <c r="C1478" s="1" t="s">
        <v>1845</v>
      </c>
      <c r="D1478" s="1" t="s">
        <v>1462</v>
      </c>
      <c r="E1478">
        <v>20251212</v>
      </c>
      <c r="F1478" s="1" t="s">
        <v>1471</v>
      </c>
      <c r="G1478">
        <v>4</v>
      </c>
      <c r="H1478" s="1" t="s">
        <v>1498</v>
      </c>
      <c r="I1478" t="s">
        <v>1878</v>
      </c>
      <c r="J1478" s="1" t="s">
        <v>1460</v>
      </c>
      <c r="K1478" s="1" t="s">
        <v>1651</v>
      </c>
      <c r="L1478" s="1" t="s">
        <v>1731</v>
      </c>
      <c r="M1478" s="1" t="s">
        <v>1737</v>
      </c>
      <c r="N1478" t="s">
        <v>2035</v>
      </c>
      <c r="O1478" t="s">
        <v>2178</v>
      </c>
      <c r="P1478" t="s">
        <v>2157</v>
      </c>
      <c r="Q1478">
        <v>50</v>
      </c>
      <c r="R1478" s="1" t="s">
        <v>1463</v>
      </c>
      <c r="S1478">
        <v>2597</v>
      </c>
      <c r="T1478">
        <v>129850</v>
      </c>
    </row>
    <row r="1479" spans="1:20" hidden="1" x14ac:dyDescent="0.4">
      <c r="A1479" s="1" t="s">
        <v>540</v>
      </c>
      <c r="B1479" s="1" t="s">
        <v>1453</v>
      </c>
      <c r="C1479" s="1" t="s">
        <v>1845</v>
      </c>
      <c r="D1479" s="1" t="s">
        <v>1462</v>
      </c>
      <c r="E1479">
        <v>20251215</v>
      </c>
      <c r="F1479" s="1" t="s">
        <v>1471</v>
      </c>
      <c r="G1479">
        <v>4</v>
      </c>
      <c r="H1479" s="1" t="s">
        <v>1498</v>
      </c>
      <c r="I1479" t="s">
        <v>1878</v>
      </c>
      <c r="J1479" s="1" t="s">
        <v>1460</v>
      </c>
      <c r="K1479" s="1" t="s">
        <v>1649</v>
      </c>
      <c r="L1479" s="1" t="s">
        <v>1731</v>
      </c>
      <c r="M1479" s="1" t="s">
        <v>1761</v>
      </c>
      <c r="N1479" t="s">
        <v>2031</v>
      </c>
      <c r="O1479" t="s">
        <v>2178</v>
      </c>
      <c r="P1479" t="s">
        <v>3156</v>
      </c>
      <c r="Q1479">
        <v>1000</v>
      </c>
      <c r="R1479" s="1" t="s">
        <v>1463</v>
      </c>
      <c r="S1479">
        <v>1450</v>
      </c>
      <c r="T1479">
        <v>1450000</v>
      </c>
    </row>
    <row r="1480" spans="1:20" hidden="1" x14ac:dyDescent="0.4">
      <c r="A1480" s="1" t="s">
        <v>541</v>
      </c>
      <c r="B1480" s="1" t="s">
        <v>1453</v>
      </c>
      <c r="C1480" s="1" t="s">
        <v>1845</v>
      </c>
      <c r="D1480" s="1" t="s">
        <v>1462</v>
      </c>
      <c r="E1480">
        <v>20251215</v>
      </c>
      <c r="F1480" s="1" t="s">
        <v>1471</v>
      </c>
      <c r="G1480">
        <v>4</v>
      </c>
      <c r="H1480" s="1" t="s">
        <v>1498</v>
      </c>
      <c r="I1480" t="s">
        <v>1878</v>
      </c>
      <c r="J1480" s="1" t="s">
        <v>1460</v>
      </c>
      <c r="K1480" s="1" t="s">
        <v>1628</v>
      </c>
      <c r="L1480" s="1" t="s">
        <v>1731</v>
      </c>
      <c r="M1480" s="1" t="s">
        <v>1735</v>
      </c>
      <c r="N1480" t="s">
        <v>2062</v>
      </c>
      <c r="O1480" t="s">
        <v>2178</v>
      </c>
      <c r="P1480" t="s">
        <v>3189</v>
      </c>
      <c r="Q1480">
        <v>6250</v>
      </c>
      <c r="R1480" s="1" t="s">
        <v>1463</v>
      </c>
      <c r="S1480">
        <v>442</v>
      </c>
      <c r="T1480">
        <v>2762500</v>
      </c>
    </row>
    <row r="1481" spans="1:20" hidden="1" x14ac:dyDescent="0.4">
      <c r="A1481" s="1" t="s">
        <v>542</v>
      </c>
      <c r="B1481" s="1" t="s">
        <v>1453</v>
      </c>
      <c r="C1481" s="1" t="s">
        <v>1845</v>
      </c>
      <c r="D1481" s="1" t="s">
        <v>1462</v>
      </c>
      <c r="E1481">
        <v>20251215</v>
      </c>
      <c r="F1481" s="1" t="s">
        <v>1471</v>
      </c>
      <c r="G1481">
        <v>4</v>
      </c>
      <c r="H1481" s="1" t="s">
        <v>1498</v>
      </c>
      <c r="I1481" t="s">
        <v>1878</v>
      </c>
      <c r="J1481" s="1" t="s">
        <v>1460</v>
      </c>
      <c r="K1481" s="1" t="s">
        <v>1628</v>
      </c>
      <c r="L1481" s="1" t="s">
        <v>1731</v>
      </c>
      <c r="M1481" s="1" t="s">
        <v>1735</v>
      </c>
      <c r="N1481" t="s">
        <v>2062</v>
      </c>
      <c r="O1481" t="s">
        <v>2178</v>
      </c>
      <c r="P1481" t="s">
        <v>3189</v>
      </c>
      <c r="Q1481">
        <v>1500</v>
      </c>
      <c r="R1481" s="1" t="s">
        <v>1463</v>
      </c>
      <c r="S1481">
        <v>475</v>
      </c>
      <c r="T1481">
        <v>712500</v>
      </c>
    </row>
    <row r="1482" spans="1:20" hidden="1" x14ac:dyDescent="0.4">
      <c r="A1482" s="1" t="s">
        <v>542</v>
      </c>
      <c r="B1482" s="1" t="s">
        <v>1454</v>
      </c>
      <c r="C1482" s="1" t="s">
        <v>1845</v>
      </c>
      <c r="D1482" s="1" t="s">
        <v>1462</v>
      </c>
      <c r="E1482">
        <v>20251215</v>
      </c>
      <c r="F1482" s="1" t="s">
        <v>1471</v>
      </c>
      <c r="G1482">
        <v>4</v>
      </c>
      <c r="H1482" s="1" t="s">
        <v>1498</v>
      </c>
      <c r="I1482" t="s">
        <v>1878</v>
      </c>
      <c r="J1482" s="1" t="s">
        <v>1460</v>
      </c>
      <c r="K1482" s="1" t="s">
        <v>1647</v>
      </c>
      <c r="L1482" s="1" t="s">
        <v>1731</v>
      </c>
      <c r="M1482" s="1" t="s">
        <v>1813</v>
      </c>
      <c r="N1482" t="s">
        <v>2029</v>
      </c>
      <c r="O1482" t="s">
        <v>2178</v>
      </c>
      <c r="P1482" t="s">
        <v>3194</v>
      </c>
      <c r="Q1482">
        <v>1000</v>
      </c>
      <c r="R1482" s="1" t="s">
        <v>1463</v>
      </c>
      <c r="S1482">
        <v>460</v>
      </c>
      <c r="T1482">
        <v>460000</v>
      </c>
    </row>
    <row r="1483" spans="1:20" hidden="1" x14ac:dyDescent="0.4">
      <c r="A1483" s="1" t="s">
        <v>543</v>
      </c>
      <c r="B1483" s="1" t="s">
        <v>1453</v>
      </c>
      <c r="C1483" s="1" t="s">
        <v>1845</v>
      </c>
      <c r="D1483" s="1" t="s">
        <v>1462</v>
      </c>
      <c r="E1483">
        <v>20251215</v>
      </c>
      <c r="F1483" s="1" t="s">
        <v>1471</v>
      </c>
      <c r="G1483">
        <v>4</v>
      </c>
      <c r="H1483" s="1" t="s">
        <v>1498</v>
      </c>
      <c r="I1483" t="s">
        <v>1878</v>
      </c>
      <c r="J1483" s="1" t="s">
        <v>1460</v>
      </c>
      <c r="K1483" s="1" t="s">
        <v>1659</v>
      </c>
      <c r="L1483" s="1" t="s">
        <v>1731</v>
      </c>
      <c r="M1483" s="1" t="s">
        <v>1807</v>
      </c>
      <c r="N1483" t="s">
        <v>2047</v>
      </c>
      <c r="O1483" t="s">
        <v>2178</v>
      </c>
      <c r="P1483" t="s">
        <v>3176</v>
      </c>
      <c r="Q1483">
        <v>250</v>
      </c>
      <c r="R1483" s="1" t="s">
        <v>1463</v>
      </c>
      <c r="S1483">
        <v>930</v>
      </c>
      <c r="T1483">
        <v>232500</v>
      </c>
    </row>
    <row r="1484" spans="1:20" hidden="1" x14ac:dyDescent="0.4">
      <c r="A1484" s="1" t="s">
        <v>544</v>
      </c>
      <c r="B1484" s="1" t="s">
        <v>1453</v>
      </c>
      <c r="C1484" s="1" t="s">
        <v>1845</v>
      </c>
      <c r="D1484" s="1" t="s">
        <v>1731</v>
      </c>
      <c r="E1484">
        <v>20251216</v>
      </c>
      <c r="F1484" s="1" t="s">
        <v>1473</v>
      </c>
      <c r="G1484">
        <v>4</v>
      </c>
      <c r="H1484" s="1" t="s">
        <v>1494</v>
      </c>
      <c r="I1484" t="s">
        <v>1874</v>
      </c>
      <c r="J1484" s="1" t="s">
        <v>1454</v>
      </c>
      <c r="K1484" s="1" t="s">
        <v>1602</v>
      </c>
      <c r="L1484" s="1" t="s">
        <v>1723</v>
      </c>
      <c r="M1484" s="1" t="s">
        <v>1737</v>
      </c>
      <c r="N1484" t="s">
        <v>1977</v>
      </c>
      <c r="O1484" t="s">
        <v>2169</v>
      </c>
      <c r="P1484" t="s">
        <v>3086</v>
      </c>
      <c r="Q1484">
        <v>50.7</v>
      </c>
      <c r="R1484" s="1" t="s">
        <v>1840</v>
      </c>
      <c r="S1484">
        <v>991.99</v>
      </c>
      <c r="T1484">
        <v>50294</v>
      </c>
    </row>
    <row r="1485" spans="1:20" hidden="1" x14ac:dyDescent="0.4">
      <c r="A1485" s="1" t="s">
        <v>544</v>
      </c>
      <c r="B1485" s="1" t="s">
        <v>1454</v>
      </c>
      <c r="C1485" s="1" t="s">
        <v>1845</v>
      </c>
      <c r="D1485" s="1" t="s">
        <v>1731</v>
      </c>
      <c r="E1485">
        <v>20251216</v>
      </c>
      <c r="F1485" s="1" t="s">
        <v>1473</v>
      </c>
      <c r="G1485">
        <v>4</v>
      </c>
      <c r="H1485" s="1" t="s">
        <v>1494</v>
      </c>
      <c r="I1485" t="s">
        <v>1874</v>
      </c>
      <c r="J1485" s="1" t="s">
        <v>1454</v>
      </c>
      <c r="K1485" s="1" t="s">
        <v>1602</v>
      </c>
      <c r="L1485" s="1" t="s">
        <v>1723</v>
      </c>
      <c r="M1485" s="1" t="s">
        <v>1737</v>
      </c>
      <c r="N1485" t="s">
        <v>1977</v>
      </c>
      <c r="O1485" t="s">
        <v>2169</v>
      </c>
      <c r="P1485" t="s">
        <v>3087</v>
      </c>
      <c r="Q1485">
        <v>52.9</v>
      </c>
      <c r="R1485" s="1" t="s">
        <v>1840</v>
      </c>
      <c r="S1485">
        <v>991.98</v>
      </c>
      <c r="T1485">
        <v>52476</v>
      </c>
    </row>
    <row r="1486" spans="1:20" hidden="1" x14ac:dyDescent="0.4">
      <c r="A1486" s="1" t="s">
        <v>544</v>
      </c>
      <c r="B1486" s="1" t="s">
        <v>1455</v>
      </c>
      <c r="C1486" s="1" t="s">
        <v>1845</v>
      </c>
      <c r="D1486" s="1" t="s">
        <v>1731</v>
      </c>
      <c r="E1486">
        <v>20251216</v>
      </c>
      <c r="F1486" s="1" t="s">
        <v>1473</v>
      </c>
      <c r="G1486">
        <v>4</v>
      </c>
      <c r="H1486" s="1" t="s">
        <v>1494</v>
      </c>
      <c r="I1486" t="s">
        <v>1874</v>
      </c>
      <c r="J1486" s="1" t="s">
        <v>1454</v>
      </c>
      <c r="K1486" s="1" t="s">
        <v>1602</v>
      </c>
      <c r="L1486" s="1" t="s">
        <v>1723</v>
      </c>
      <c r="M1486" s="1" t="s">
        <v>1737</v>
      </c>
      <c r="N1486" t="s">
        <v>1977</v>
      </c>
      <c r="O1486" t="s">
        <v>2169</v>
      </c>
      <c r="P1486" t="s">
        <v>3088</v>
      </c>
      <c r="Q1486">
        <v>50.2</v>
      </c>
      <c r="R1486" s="1" t="s">
        <v>1840</v>
      </c>
      <c r="S1486">
        <v>991.99</v>
      </c>
      <c r="T1486">
        <v>49798</v>
      </c>
    </row>
    <row r="1487" spans="1:20" hidden="1" x14ac:dyDescent="0.4">
      <c r="A1487" s="1" t="s">
        <v>544</v>
      </c>
      <c r="B1487" s="1" t="s">
        <v>1456</v>
      </c>
      <c r="C1487" s="1" t="s">
        <v>1845</v>
      </c>
      <c r="D1487" s="1" t="s">
        <v>1731</v>
      </c>
      <c r="E1487">
        <v>20251216</v>
      </c>
      <c r="F1487" s="1" t="s">
        <v>1473</v>
      </c>
      <c r="G1487">
        <v>4</v>
      </c>
      <c r="H1487" s="1" t="s">
        <v>1494</v>
      </c>
      <c r="I1487" t="s">
        <v>1874</v>
      </c>
      <c r="J1487" s="1" t="s">
        <v>1454</v>
      </c>
      <c r="K1487" s="1" t="s">
        <v>1602</v>
      </c>
      <c r="L1487" s="1" t="s">
        <v>1723</v>
      </c>
      <c r="M1487" s="1" t="s">
        <v>1737</v>
      </c>
      <c r="N1487" t="s">
        <v>1977</v>
      </c>
      <c r="O1487" t="s">
        <v>2169</v>
      </c>
      <c r="P1487" t="s">
        <v>3089</v>
      </c>
      <c r="Q1487">
        <v>52.8</v>
      </c>
      <c r="R1487" s="1" t="s">
        <v>1840</v>
      </c>
      <c r="S1487">
        <v>991.98</v>
      </c>
      <c r="T1487">
        <v>52377</v>
      </c>
    </row>
    <row r="1488" spans="1:20" hidden="1" x14ac:dyDescent="0.4">
      <c r="A1488" s="1" t="s">
        <v>545</v>
      </c>
      <c r="B1488" s="1" t="s">
        <v>1453</v>
      </c>
      <c r="C1488" s="1" t="s">
        <v>1845</v>
      </c>
      <c r="D1488" s="1" t="s">
        <v>1462</v>
      </c>
      <c r="E1488">
        <v>20251217</v>
      </c>
      <c r="F1488" s="1" t="s">
        <v>1473</v>
      </c>
      <c r="G1488">
        <v>1</v>
      </c>
      <c r="H1488" s="1" t="s">
        <v>1493</v>
      </c>
      <c r="I1488" t="s">
        <v>1873</v>
      </c>
      <c r="J1488" s="1" t="s">
        <v>1453</v>
      </c>
      <c r="K1488" s="1" t="s">
        <v>1608</v>
      </c>
      <c r="L1488" s="1" t="s">
        <v>1727</v>
      </c>
      <c r="M1488" s="1" t="s">
        <v>1769</v>
      </c>
      <c r="N1488" t="s">
        <v>1982</v>
      </c>
      <c r="O1488" t="s">
        <v>2179</v>
      </c>
      <c r="P1488" t="s">
        <v>3093</v>
      </c>
      <c r="Q1488">
        <v>684.32</v>
      </c>
      <c r="R1488" s="1" t="s">
        <v>1839</v>
      </c>
      <c r="S1488">
        <v>1841</v>
      </c>
      <c r="T1488">
        <v>1259833</v>
      </c>
    </row>
    <row r="1489" spans="1:20" hidden="1" x14ac:dyDescent="0.4">
      <c r="A1489" s="1" t="s">
        <v>546</v>
      </c>
      <c r="B1489" s="1" t="s">
        <v>1453</v>
      </c>
      <c r="C1489" s="1" t="s">
        <v>1845</v>
      </c>
      <c r="D1489" s="1" t="s">
        <v>1462</v>
      </c>
      <c r="E1489">
        <v>20251216</v>
      </c>
      <c r="F1489" s="1" t="s">
        <v>1473</v>
      </c>
      <c r="G1489">
        <v>1</v>
      </c>
      <c r="H1489" s="1" t="s">
        <v>1493</v>
      </c>
      <c r="I1489" t="s">
        <v>1873</v>
      </c>
      <c r="J1489" s="1" t="s">
        <v>1453</v>
      </c>
      <c r="K1489" s="1" t="s">
        <v>1611</v>
      </c>
      <c r="L1489" s="1" t="s">
        <v>1716</v>
      </c>
      <c r="M1489" s="1" t="s">
        <v>1788</v>
      </c>
      <c r="N1489" t="s">
        <v>1985</v>
      </c>
      <c r="O1489" t="s">
        <v>2162</v>
      </c>
      <c r="P1489" t="s">
        <v>3138</v>
      </c>
      <c r="Q1489">
        <v>1009.4</v>
      </c>
      <c r="R1489" s="1" t="s">
        <v>1463</v>
      </c>
      <c r="S1489">
        <v>1350</v>
      </c>
      <c r="T1489">
        <v>1362690</v>
      </c>
    </row>
    <row r="1490" spans="1:20" hidden="1" x14ac:dyDescent="0.4">
      <c r="A1490" s="1" t="s">
        <v>547</v>
      </c>
      <c r="B1490" s="1" t="s">
        <v>1453</v>
      </c>
      <c r="C1490" s="1" t="s">
        <v>1845</v>
      </c>
      <c r="D1490" s="1" t="s">
        <v>1462</v>
      </c>
      <c r="E1490">
        <v>20251217</v>
      </c>
      <c r="F1490" s="1" t="s">
        <v>1470</v>
      </c>
      <c r="G1490">
        <v>1</v>
      </c>
      <c r="H1490" s="1" t="s">
        <v>1497</v>
      </c>
      <c r="I1490" t="s">
        <v>1877</v>
      </c>
      <c r="J1490" s="1" t="s">
        <v>1459</v>
      </c>
      <c r="K1490" s="1" t="s">
        <v>1645</v>
      </c>
      <c r="L1490" s="1" t="s">
        <v>1721</v>
      </c>
      <c r="M1490" s="1" t="s">
        <v>1737</v>
      </c>
      <c r="N1490" t="s">
        <v>2003</v>
      </c>
      <c r="O1490" t="s">
        <v>2167</v>
      </c>
      <c r="P1490" t="s">
        <v>3139</v>
      </c>
      <c r="Q1490">
        <v>1810</v>
      </c>
      <c r="R1490" s="1" t="s">
        <v>1840</v>
      </c>
      <c r="S1490">
        <v>312</v>
      </c>
      <c r="T1490">
        <v>564720</v>
      </c>
    </row>
    <row r="1491" spans="1:20" hidden="1" x14ac:dyDescent="0.4">
      <c r="A1491" s="1" t="s">
        <v>548</v>
      </c>
      <c r="B1491" s="1" t="s">
        <v>1453</v>
      </c>
      <c r="C1491" s="1" t="s">
        <v>1845</v>
      </c>
      <c r="D1491" s="1" t="s">
        <v>1462</v>
      </c>
      <c r="E1491">
        <v>20251217</v>
      </c>
      <c r="F1491" s="1" t="s">
        <v>1471</v>
      </c>
      <c r="G1491">
        <v>4</v>
      </c>
      <c r="H1491" s="1" t="s">
        <v>1491</v>
      </c>
      <c r="I1491" t="s">
        <v>1871</v>
      </c>
      <c r="J1491" s="1" t="s">
        <v>1460</v>
      </c>
      <c r="K1491" s="1" t="s">
        <v>1641</v>
      </c>
      <c r="L1491" s="1" t="s">
        <v>1730</v>
      </c>
      <c r="M1491" s="1" t="s">
        <v>1792</v>
      </c>
      <c r="N1491" t="s">
        <v>2022</v>
      </c>
      <c r="O1491" t="s">
        <v>2175</v>
      </c>
      <c r="P1491" t="s">
        <v>3190</v>
      </c>
      <c r="Q1491">
        <v>213</v>
      </c>
      <c r="R1491" s="1" t="s">
        <v>1718</v>
      </c>
      <c r="S1491">
        <v>2084</v>
      </c>
      <c r="T1491">
        <v>443892</v>
      </c>
    </row>
    <row r="1492" spans="1:20" hidden="1" x14ac:dyDescent="0.4">
      <c r="A1492" s="1" t="s">
        <v>548</v>
      </c>
      <c r="B1492" s="1" t="s">
        <v>1454</v>
      </c>
      <c r="C1492" s="1" t="s">
        <v>1845</v>
      </c>
      <c r="D1492" s="1" t="s">
        <v>1462</v>
      </c>
      <c r="E1492">
        <v>20251217</v>
      </c>
      <c r="F1492" s="1" t="s">
        <v>1471</v>
      </c>
      <c r="G1492">
        <v>4</v>
      </c>
      <c r="H1492" s="1" t="s">
        <v>1491</v>
      </c>
      <c r="I1492" t="s">
        <v>1871</v>
      </c>
      <c r="J1492" s="1" t="s">
        <v>1460</v>
      </c>
      <c r="K1492" s="1" t="s">
        <v>1642</v>
      </c>
      <c r="L1492" s="1" t="s">
        <v>1725</v>
      </c>
      <c r="M1492" s="1" t="s">
        <v>1737</v>
      </c>
      <c r="N1492" t="s">
        <v>2023</v>
      </c>
      <c r="O1492" t="s">
        <v>2157</v>
      </c>
      <c r="P1492" t="s">
        <v>2157</v>
      </c>
      <c r="Q1492">
        <v>9</v>
      </c>
      <c r="R1492" s="1" t="s">
        <v>1842</v>
      </c>
      <c r="S1492">
        <v>880</v>
      </c>
      <c r="T1492">
        <v>7920</v>
      </c>
    </row>
    <row r="1493" spans="1:20" hidden="1" x14ac:dyDescent="0.4">
      <c r="A1493" s="1" t="s">
        <v>549</v>
      </c>
      <c r="B1493" s="1" t="s">
        <v>1453</v>
      </c>
      <c r="C1493" s="1" t="s">
        <v>1845</v>
      </c>
      <c r="D1493" s="1" t="s">
        <v>1731</v>
      </c>
      <c r="E1493">
        <v>20251218</v>
      </c>
      <c r="F1493" s="1" t="s">
        <v>1470</v>
      </c>
      <c r="G1493">
        <v>4</v>
      </c>
      <c r="H1493" s="1" t="s">
        <v>1490</v>
      </c>
      <c r="I1493" t="s">
        <v>1870</v>
      </c>
      <c r="J1493" s="1" t="s">
        <v>1456</v>
      </c>
      <c r="K1493" s="1" t="s">
        <v>1553</v>
      </c>
      <c r="L1493" s="1" t="s">
        <v>1729</v>
      </c>
      <c r="M1493" s="1" t="s">
        <v>1736</v>
      </c>
      <c r="N1493" t="s">
        <v>1925</v>
      </c>
      <c r="O1493" t="s">
        <v>2157</v>
      </c>
      <c r="P1493" t="s">
        <v>3038</v>
      </c>
      <c r="Q1493">
        <v>11</v>
      </c>
      <c r="R1493" s="1" t="s">
        <v>1718</v>
      </c>
      <c r="S1493">
        <v>11495.54</v>
      </c>
      <c r="T1493">
        <v>126451</v>
      </c>
    </row>
    <row r="1494" spans="1:20" hidden="1" x14ac:dyDescent="0.4">
      <c r="A1494" s="1" t="s">
        <v>549</v>
      </c>
      <c r="B1494" s="1" t="s">
        <v>1454</v>
      </c>
      <c r="C1494" s="1" t="s">
        <v>1845</v>
      </c>
      <c r="D1494" s="1" t="s">
        <v>1731</v>
      </c>
      <c r="E1494">
        <v>20251218</v>
      </c>
      <c r="F1494" s="1" t="s">
        <v>1470</v>
      </c>
      <c r="G1494">
        <v>4</v>
      </c>
      <c r="H1494" s="1" t="s">
        <v>1490</v>
      </c>
      <c r="I1494" t="s">
        <v>1870</v>
      </c>
      <c r="J1494" s="1" t="s">
        <v>1456</v>
      </c>
      <c r="K1494" s="1" t="s">
        <v>1553</v>
      </c>
      <c r="L1494" s="1" t="s">
        <v>1729</v>
      </c>
      <c r="M1494" s="1" t="s">
        <v>1740</v>
      </c>
      <c r="N1494" t="s">
        <v>1925</v>
      </c>
      <c r="O1494" t="s">
        <v>2157</v>
      </c>
      <c r="P1494" t="s">
        <v>3041</v>
      </c>
      <c r="Q1494">
        <v>6</v>
      </c>
      <c r="R1494" s="1" t="s">
        <v>1718</v>
      </c>
      <c r="S1494">
        <v>6520</v>
      </c>
      <c r="T1494">
        <v>39120</v>
      </c>
    </row>
    <row r="1495" spans="1:20" hidden="1" x14ac:dyDescent="0.4">
      <c r="A1495" s="1" t="s">
        <v>549</v>
      </c>
      <c r="B1495" s="1" t="s">
        <v>1455</v>
      </c>
      <c r="C1495" s="1" t="s">
        <v>1845</v>
      </c>
      <c r="D1495" s="1" t="s">
        <v>1731</v>
      </c>
      <c r="E1495">
        <v>20251218</v>
      </c>
      <c r="F1495" s="1" t="s">
        <v>1470</v>
      </c>
      <c r="G1495">
        <v>4</v>
      </c>
      <c r="H1495" s="1" t="s">
        <v>1490</v>
      </c>
      <c r="I1495" t="s">
        <v>1870</v>
      </c>
      <c r="J1495" s="1" t="s">
        <v>1456</v>
      </c>
      <c r="K1495" s="1" t="s">
        <v>1553</v>
      </c>
      <c r="L1495" s="1" t="s">
        <v>1729</v>
      </c>
      <c r="M1495" s="1" t="s">
        <v>1740</v>
      </c>
      <c r="N1495" t="s">
        <v>1925</v>
      </c>
      <c r="O1495" t="s">
        <v>2157</v>
      </c>
      <c r="P1495" t="s">
        <v>3041</v>
      </c>
      <c r="Q1495">
        <v>2</v>
      </c>
      <c r="R1495" s="1" t="s">
        <v>1718</v>
      </c>
      <c r="S1495">
        <v>10426</v>
      </c>
      <c r="T1495">
        <v>20852</v>
      </c>
    </row>
    <row r="1496" spans="1:20" hidden="1" x14ac:dyDescent="0.4">
      <c r="A1496" s="1" t="s">
        <v>549</v>
      </c>
      <c r="B1496" s="1" t="s">
        <v>1456</v>
      </c>
      <c r="C1496" s="1" t="s">
        <v>1845</v>
      </c>
      <c r="D1496" s="1" t="s">
        <v>1731</v>
      </c>
      <c r="E1496">
        <v>20251218</v>
      </c>
      <c r="F1496" s="1" t="s">
        <v>1470</v>
      </c>
      <c r="G1496">
        <v>4</v>
      </c>
      <c r="H1496" s="1" t="s">
        <v>1490</v>
      </c>
      <c r="I1496" t="s">
        <v>1870</v>
      </c>
      <c r="J1496" s="1" t="s">
        <v>1456</v>
      </c>
      <c r="K1496" s="1" t="s">
        <v>1554</v>
      </c>
      <c r="L1496" s="1" t="s">
        <v>1729</v>
      </c>
      <c r="M1496" s="1" t="s">
        <v>1737</v>
      </c>
      <c r="N1496" t="s">
        <v>1926</v>
      </c>
      <c r="O1496" t="s">
        <v>2157</v>
      </c>
      <c r="P1496" t="s">
        <v>2157</v>
      </c>
      <c r="Q1496">
        <v>33</v>
      </c>
      <c r="R1496" s="1" t="s">
        <v>1718</v>
      </c>
      <c r="S1496">
        <v>19525.84</v>
      </c>
      <c r="T1496">
        <v>644353</v>
      </c>
    </row>
    <row r="1497" spans="1:20" hidden="1" x14ac:dyDescent="0.4">
      <c r="A1497" s="1" t="s">
        <v>550</v>
      </c>
      <c r="B1497" s="1" t="s">
        <v>1453</v>
      </c>
      <c r="C1497" s="1" t="s">
        <v>1845</v>
      </c>
      <c r="D1497" s="1" t="s">
        <v>1731</v>
      </c>
      <c r="E1497">
        <v>20251218</v>
      </c>
      <c r="F1497" s="1" t="s">
        <v>1470</v>
      </c>
      <c r="G1497">
        <v>4</v>
      </c>
      <c r="H1497" s="1" t="s">
        <v>1490</v>
      </c>
      <c r="I1497" t="s">
        <v>1870</v>
      </c>
      <c r="J1497" s="1" t="s">
        <v>1456</v>
      </c>
      <c r="K1497" s="1" t="s">
        <v>1555</v>
      </c>
      <c r="L1497" s="1" t="s">
        <v>1729</v>
      </c>
      <c r="M1497" s="1" t="s">
        <v>1736</v>
      </c>
      <c r="N1497" t="s">
        <v>1927</v>
      </c>
      <c r="O1497" t="s">
        <v>2157</v>
      </c>
      <c r="P1497" t="s">
        <v>3038</v>
      </c>
      <c r="Q1497">
        <v>1</v>
      </c>
      <c r="R1497" s="1" t="s">
        <v>1718</v>
      </c>
      <c r="S1497">
        <v>10855</v>
      </c>
      <c r="T1497">
        <v>10855</v>
      </c>
    </row>
    <row r="1498" spans="1:20" hidden="1" x14ac:dyDescent="0.4">
      <c r="A1498" s="1" t="s">
        <v>550</v>
      </c>
      <c r="B1498" s="1" t="s">
        <v>1454</v>
      </c>
      <c r="C1498" s="1" t="s">
        <v>1845</v>
      </c>
      <c r="D1498" s="1" t="s">
        <v>1731</v>
      </c>
      <c r="E1498">
        <v>20251218</v>
      </c>
      <c r="F1498" s="1" t="s">
        <v>1470</v>
      </c>
      <c r="G1498">
        <v>4</v>
      </c>
      <c r="H1498" s="1" t="s">
        <v>1490</v>
      </c>
      <c r="I1498" t="s">
        <v>1870</v>
      </c>
      <c r="J1498" s="1" t="s">
        <v>1456</v>
      </c>
      <c r="K1498" s="1" t="s">
        <v>1561</v>
      </c>
      <c r="L1498" s="1" t="s">
        <v>1729</v>
      </c>
      <c r="M1498" s="1" t="s">
        <v>1737</v>
      </c>
      <c r="N1498" t="s">
        <v>1954</v>
      </c>
      <c r="O1498" t="s">
        <v>2157</v>
      </c>
      <c r="P1498" t="s">
        <v>2157</v>
      </c>
      <c r="Q1498">
        <v>3</v>
      </c>
      <c r="R1498" s="1" t="s">
        <v>1718</v>
      </c>
      <c r="S1498">
        <v>8984.33</v>
      </c>
      <c r="T1498">
        <v>26953</v>
      </c>
    </row>
    <row r="1499" spans="1:20" hidden="1" x14ac:dyDescent="0.4">
      <c r="A1499" s="1" t="s">
        <v>551</v>
      </c>
      <c r="B1499" s="1" t="s">
        <v>1453</v>
      </c>
      <c r="C1499" s="1" t="s">
        <v>1845</v>
      </c>
      <c r="D1499" s="1" t="s">
        <v>1731</v>
      </c>
      <c r="E1499">
        <v>20251218</v>
      </c>
      <c r="F1499" s="1" t="s">
        <v>1470</v>
      </c>
      <c r="G1499">
        <v>4</v>
      </c>
      <c r="H1499" s="1" t="s">
        <v>1490</v>
      </c>
      <c r="I1499" t="s">
        <v>1870</v>
      </c>
      <c r="J1499" s="1" t="s">
        <v>1456</v>
      </c>
      <c r="K1499" s="1" t="s">
        <v>1557</v>
      </c>
      <c r="L1499" s="1" t="s">
        <v>1729</v>
      </c>
      <c r="M1499" s="1" t="s">
        <v>1737</v>
      </c>
      <c r="N1499" t="s">
        <v>1929</v>
      </c>
      <c r="O1499" t="s">
        <v>2157</v>
      </c>
      <c r="P1499" t="s">
        <v>2157</v>
      </c>
      <c r="Q1499">
        <v>10</v>
      </c>
      <c r="R1499" s="1" t="s">
        <v>1718</v>
      </c>
      <c r="S1499">
        <v>14034.8</v>
      </c>
      <c r="T1499">
        <v>140348</v>
      </c>
    </row>
    <row r="1500" spans="1:20" hidden="1" x14ac:dyDescent="0.4">
      <c r="A1500" s="1" t="s">
        <v>552</v>
      </c>
      <c r="B1500" s="1" t="s">
        <v>1453</v>
      </c>
      <c r="C1500" s="1" t="s">
        <v>1845</v>
      </c>
      <c r="D1500" s="1" t="s">
        <v>1731</v>
      </c>
      <c r="E1500">
        <v>20251218</v>
      </c>
      <c r="F1500" s="1" t="s">
        <v>1470</v>
      </c>
      <c r="G1500">
        <v>4</v>
      </c>
      <c r="H1500" s="1" t="s">
        <v>1490</v>
      </c>
      <c r="I1500" t="s">
        <v>1870</v>
      </c>
      <c r="J1500" s="1" t="s">
        <v>1456</v>
      </c>
      <c r="K1500" s="1" t="s">
        <v>1558</v>
      </c>
      <c r="L1500" s="1" t="s">
        <v>1729</v>
      </c>
      <c r="M1500" s="1" t="s">
        <v>1737</v>
      </c>
      <c r="N1500" t="s">
        <v>1930</v>
      </c>
      <c r="O1500" t="s">
        <v>2157</v>
      </c>
      <c r="P1500" t="s">
        <v>2157</v>
      </c>
      <c r="Q1500">
        <v>6</v>
      </c>
      <c r="R1500" s="1" t="s">
        <v>1718</v>
      </c>
      <c r="S1500">
        <v>17576</v>
      </c>
      <c r="T1500">
        <v>105456</v>
      </c>
    </row>
    <row r="1501" spans="1:20" hidden="1" x14ac:dyDescent="0.4">
      <c r="A1501" s="1" t="s">
        <v>553</v>
      </c>
      <c r="B1501" s="1" t="s">
        <v>1453</v>
      </c>
      <c r="C1501" s="1" t="s">
        <v>1845</v>
      </c>
      <c r="D1501" s="1" t="s">
        <v>1731</v>
      </c>
      <c r="E1501">
        <v>20251218</v>
      </c>
      <c r="F1501" s="1" t="s">
        <v>1470</v>
      </c>
      <c r="G1501">
        <v>4</v>
      </c>
      <c r="H1501" s="1" t="s">
        <v>1490</v>
      </c>
      <c r="I1501" t="s">
        <v>1870</v>
      </c>
      <c r="J1501" s="1" t="s">
        <v>1456</v>
      </c>
      <c r="K1501" s="1" t="s">
        <v>1571</v>
      </c>
      <c r="L1501" s="1" t="s">
        <v>1729</v>
      </c>
      <c r="M1501" s="1" t="s">
        <v>1741</v>
      </c>
      <c r="N1501" t="s">
        <v>1944</v>
      </c>
      <c r="O1501" t="s">
        <v>2157</v>
      </c>
      <c r="P1501" t="s">
        <v>3042</v>
      </c>
      <c r="Q1501">
        <v>200</v>
      </c>
      <c r="R1501" s="1" t="s">
        <v>1718</v>
      </c>
      <c r="S1501">
        <v>2700</v>
      </c>
      <c r="T1501">
        <v>540000</v>
      </c>
    </row>
    <row r="1502" spans="1:20" hidden="1" x14ac:dyDescent="0.4">
      <c r="A1502" s="1" t="s">
        <v>553</v>
      </c>
      <c r="B1502" s="1" t="s">
        <v>1454</v>
      </c>
      <c r="C1502" s="1" t="s">
        <v>1845</v>
      </c>
      <c r="D1502" s="1" t="s">
        <v>1731</v>
      </c>
      <c r="E1502">
        <v>20251218</v>
      </c>
      <c r="F1502" s="1" t="s">
        <v>1470</v>
      </c>
      <c r="G1502">
        <v>4</v>
      </c>
      <c r="H1502" s="1" t="s">
        <v>1490</v>
      </c>
      <c r="I1502" t="s">
        <v>1870</v>
      </c>
      <c r="J1502" s="1" t="s">
        <v>1456</v>
      </c>
      <c r="K1502" s="1" t="s">
        <v>1570</v>
      </c>
      <c r="L1502" s="1" t="s">
        <v>1729</v>
      </c>
      <c r="M1502" s="1" t="s">
        <v>1744</v>
      </c>
      <c r="N1502" t="s">
        <v>1943</v>
      </c>
      <c r="O1502" t="s">
        <v>2157</v>
      </c>
      <c r="P1502" t="s">
        <v>3045</v>
      </c>
      <c r="Q1502">
        <v>2</v>
      </c>
      <c r="R1502" s="1" t="s">
        <v>1718</v>
      </c>
      <c r="S1502">
        <v>19822</v>
      </c>
      <c r="T1502">
        <v>39644</v>
      </c>
    </row>
    <row r="1503" spans="1:20" hidden="1" x14ac:dyDescent="0.4">
      <c r="A1503" s="1" t="s">
        <v>554</v>
      </c>
      <c r="B1503" s="1" t="s">
        <v>1453</v>
      </c>
      <c r="C1503" s="1" t="s">
        <v>1845</v>
      </c>
      <c r="D1503" s="1" t="s">
        <v>1731</v>
      </c>
      <c r="E1503">
        <v>20251217</v>
      </c>
      <c r="F1503" s="1" t="s">
        <v>1472</v>
      </c>
      <c r="G1503">
        <v>4</v>
      </c>
      <c r="H1503" s="1" t="s">
        <v>1494</v>
      </c>
      <c r="I1503" t="s">
        <v>1874</v>
      </c>
      <c r="J1503" s="1" t="s">
        <v>1457</v>
      </c>
      <c r="K1503" s="1" t="s">
        <v>1603</v>
      </c>
      <c r="L1503" s="1" t="s">
        <v>1719</v>
      </c>
      <c r="M1503" s="1" t="s">
        <v>1762</v>
      </c>
      <c r="N1503" t="s">
        <v>1978</v>
      </c>
      <c r="O1503" t="s">
        <v>2165</v>
      </c>
      <c r="P1503" t="s">
        <v>3108</v>
      </c>
      <c r="Q1503">
        <v>231.5</v>
      </c>
      <c r="R1503" s="1" t="s">
        <v>1839</v>
      </c>
      <c r="S1503">
        <v>5950</v>
      </c>
      <c r="T1503">
        <v>1377425</v>
      </c>
    </row>
    <row r="1504" spans="1:20" hidden="1" x14ac:dyDescent="0.4">
      <c r="A1504" s="1" t="s">
        <v>555</v>
      </c>
      <c r="B1504" s="1" t="s">
        <v>1453</v>
      </c>
      <c r="C1504" s="1" t="s">
        <v>1845</v>
      </c>
      <c r="D1504" s="1" t="s">
        <v>1731</v>
      </c>
      <c r="E1504">
        <v>20251217</v>
      </c>
      <c r="F1504" s="1" t="s">
        <v>1470</v>
      </c>
      <c r="G1504">
        <v>4</v>
      </c>
      <c r="H1504" s="1" t="s">
        <v>1494</v>
      </c>
      <c r="I1504" t="s">
        <v>1874</v>
      </c>
      <c r="J1504" s="1" t="s">
        <v>1456</v>
      </c>
      <c r="K1504" s="1" t="s">
        <v>1604</v>
      </c>
      <c r="L1504" s="1" t="s">
        <v>1729</v>
      </c>
      <c r="M1504" s="1" t="s">
        <v>1737</v>
      </c>
      <c r="N1504" t="s">
        <v>1979</v>
      </c>
      <c r="O1504" t="s">
        <v>2157</v>
      </c>
      <c r="P1504" t="s">
        <v>2157</v>
      </c>
      <c r="Q1504">
        <v>57</v>
      </c>
      <c r="R1504" s="1" t="s">
        <v>1839</v>
      </c>
      <c r="S1504">
        <v>366</v>
      </c>
      <c r="T1504">
        <v>20862</v>
      </c>
    </row>
    <row r="1505" spans="1:20" hidden="1" x14ac:dyDescent="0.4">
      <c r="A1505" s="1" t="s">
        <v>555</v>
      </c>
      <c r="B1505" s="1" t="s">
        <v>1454</v>
      </c>
      <c r="C1505" s="1" t="s">
        <v>1845</v>
      </c>
      <c r="D1505" s="1" t="s">
        <v>1731</v>
      </c>
      <c r="E1505">
        <v>20251217</v>
      </c>
      <c r="F1505" s="1" t="s">
        <v>1470</v>
      </c>
      <c r="G1505">
        <v>4</v>
      </c>
      <c r="H1505" s="1" t="s">
        <v>1494</v>
      </c>
      <c r="I1505" t="s">
        <v>1874</v>
      </c>
      <c r="J1505" s="1" t="s">
        <v>1456</v>
      </c>
      <c r="K1505" s="1" t="s">
        <v>1604</v>
      </c>
      <c r="L1505" s="1" t="s">
        <v>1729</v>
      </c>
      <c r="M1505" s="1" t="s">
        <v>1737</v>
      </c>
      <c r="N1505" t="s">
        <v>1979</v>
      </c>
      <c r="O1505" t="s">
        <v>2157</v>
      </c>
      <c r="P1505" t="s">
        <v>2157</v>
      </c>
      <c r="Q1505">
        <v>57</v>
      </c>
      <c r="R1505" s="1" t="s">
        <v>1839</v>
      </c>
      <c r="S1505">
        <v>366</v>
      </c>
      <c r="T1505">
        <v>20862</v>
      </c>
    </row>
    <row r="1506" spans="1:20" hidden="1" x14ac:dyDescent="0.4">
      <c r="A1506" s="1" t="s">
        <v>555</v>
      </c>
      <c r="B1506" s="1" t="s">
        <v>1455</v>
      </c>
      <c r="C1506" s="1" t="s">
        <v>1845</v>
      </c>
      <c r="D1506" s="1" t="s">
        <v>1731</v>
      </c>
      <c r="E1506">
        <v>20251217</v>
      </c>
      <c r="F1506" s="1" t="s">
        <v>1470</v>
      </c>
      <c r="G1506">
        <v>4</v>
      </c>
      <c r="H1506" s="1" t="s">
        <v>1494</v>
      </c>
      <c r="I1506" t="s">
        <v>1874</v>
      </c>
      <c r="J1506" s="1" t="s">
        <v>1456</v>
      </c>
      <c r="K1506" s="1" t="s">
        <v>1604</v>
      </c>
      <c r="L1506" s="1" t="s">
        <v>1729</v>
      </c>
      <c r="M1506" s="1" t="s">
        <v>1737</v>
      </c>
      <c r="N1506" t="s">
        <v>1979</v>
      </c>
      <c r="O1506" t="s">
        <v>2157</v>
      </c>
      <c r="P1506" t="s">
        <v>2157</v>
      </c>
      <c r="Q1506">
        <v>57</v>
      </c>
      <c r="R1506" s="1" t="s">
        <v>1839</v>
      </c>
      <c r="S1506">
        <v>366</v>
      </c>
      <c r="T1506">
        <v>20862</v>
      </c>
    </row>
    <row r="1507" spans="1:20" hidden="1" x14ac:dyDescent="0.4">
      <c r="A1507" s="1" t="s">
        <v>555</v>
      </c>
      <c r="B1507" s="1" t="s">
        <v>1456</v>
      </c>
      <c r="C1507" s="1" t="s">
        <v>1845</v>
      </c>
      <c r="D1507" s="1" t="s">
        <v>1731</v>
      </c>
      <c r="E1507">
        <v>20251217</v>
      </c>
      <c r="F1507" s="1" t="s">
        <v>1470</v>
      </c>
      <c r="G1507">
        <v>4</v>
      </c>
      <c r="H1507" s="1" t="s">
        <v>1494</v>
      </c>
      <c r="I1507" t="s">
        <v>1874</v>
      </c>
      <c r="J1507" s="1" t="s">
        <v>1456</v>
      </c>
      <c r="K1507" s="1" t="s">
        <v>1604</v>
      </c>
      <c r="L1507" s="1" t="s">
        <v>1729</v>
      </c>
      <c r="M1507" s="1" t="s">
        <v>1737</v>
      </c>
      <c r="N1507" t="s">
        <v>1979</v>
      </c>
      <c r="O1507" t="s">
        <v>2157</v>
      </c>
      <c r="P1507" t="s">
        <v>2157</v>
      </c>
      <c r="Q1507">
        <v>57</v>
      </c>
      <c r="R1507" s="1" t="s">
        <v>1839</v>
      </c>
      <c r="S1507">
        <v>366</v>
      </c>
      <c r="T1507">
        <v>20862</v>
      </c>
    </row>
    <row r="1508" spans="1:20" hidden="1" x14ac:dyDescent="0.4">
      <c r="A1508" s="1" t="s">
        <v>555</v>
      </c>
      <c r="B1508" s="1" t="s">
        <v>1457</v>
      </c>
      <c r="C1508" s="1" t="s">
        <v>1845</v>
      </c>
      <c r="D1508" s="1" t="s">
        <v>1731</v>
      </c>
      <c r="E1508">
        <v>20251217</v>
      </c>
      <c r="F1508" s="1" t="s">
        <v>1470</v>
      </c>
      <c r="G1508">
        <v>4</v>
      </c>
      <c r="H1508" s="1" t="s">
        <v>1494</v>
      </c>
      <c r="I1508" t="s">
        <v>1874</v>
      </c>
      <c r="J1508" s="1" t="s">
        <v>1456</v>
      </c>
      <c r="K1508" s="1" t="s">
        <v>1604</v>
      </c>
      <c r="L1508" s="1" t="s">
        <v>1729</v>
      </c>
      <c r="M1508" s="1" t="s">
        <v>1737</v>
      </c>
      <c r="N1508" t="s">
        <v>1979</v>
      </c>
      <c r="O1508" t="s">
        <v>2157</v>
      </c>
      <c r="P1508" t="s">
        <v>2157</v>
      </c>
      <c r="Q1508">
        <v>57</v>
      </c>
      <c r="R1508" s="1" t="s">
        <v>1839</v>
      </c>
      <c r="S1508">
        <v>366</v>
      </c>
      <c r="T1508">
        <v>20862</v>
      </c>
    </row>
    <row r="1509" spans="1:20" hidden="1" x14ac:dyDescent="0.4">
      <c r="A1509" s="1" t="s">
        <v>555</v>
      </c>
      <c r="B1509" s="1" t="s">
        <v>1458</v>
      </c>
      <c r="C1509" s="1" t="s">
        <v>1845</v>
      </c>
      <c r="D1509" s="1" t="s">
        <v>1731</v>
      </c>
      <c r="E1509">
        <v>20251217</v>
      </c>
      <c r="F1509" s="1" t="s">
        <v>1470</v>
      </c>
      <c r="G1509">
        <v>4</v>
      </c>
      <c r="H1509" s="1" t="s">
        <v>1494</v>
      </c>
      <c r="I1509" t="s">
        <v>1874</v>
      </c>
      <c r="J1509" s="1" t="s">
        <v>1456</v>
      </c>
      <c r="K1509" s="1" t="s">
        <v>1604</v>
      </c>
      <c r="L1509" s="1" t="s">
        <v>1729</v>
      </c>
      <c r="M1509" s="1" t="s">
        <v>1737</v>
      </c>
      <c r="N1509" t="s">
        <v>1979</v>
      </c>
      <c r="O1509" t="s">
        <v>2157</v>
      </c>
      <c r="P1509" t="s">
        <v>2157</v>
      </c>
      <c r="Q1509">
        <v>63.84</v>
      </c>
      <c r="R1509" s="1" t="s">
        <v>1839</v>
      </c>
      <c r="S1509">
        <v>365.99</v>
      </c>
      <c r="T1509">
        <v>23365</v>
      </c>
    </row>
    <row r="1510" spans="1:20" hidden="1" x14ac:dyDescent="0.4">
      <c r="A1510" s="1" t="s">
        <v>555</v>
      </c>
      <c r="B1510" s="1" t="s">
        <v>1459</v>
      </c>
      <c r="C1510" s="1" t="s">
        <v>1845</v>
      </c>
      <c r="D1510" s="1" t="s">
        <v>1731</v>
      </c>
      <c r="E1510">
        <v>20251217</v>
      </c>
      <c r="F1510" s="1" t="s">
        <v>1470</v>
      </c>
      <c r="G1510">
        <v>4</v>
      </c>
      <c r="H1510" s="1" t="s">
        <v>1494</v>
      </c>
      <c r="I1510" t="s">
        <v>1874</v>
      </c>
      <c r="J1510" s="1" t="s">
        <v>1456</v>
      </c>
      <c r="K1510" s="1" t="s">
        <v>1604</v>
      </c>
      <c r="L1510" s="1" t="s">
        <v>1729</v>
      </c>
      <c r="M1510" s="1" t="s">
        <v>1737</v>
      </c>
      <c r="N1510" t="s">
        <v>1979</v>
      </c>
      <c r="O1510" t="s">
        <v>2157</v>
      </c>
      <c r="P1510" t="s">
        <v>2157</v>
      </c>
      <c r="Q1510">
        <v>57</v>
      </c>
      <c r="R1510" s="1" t="s">
        <v>1839</v>
      </c>
      <c r="S1510">
        <v>366</v>
      </c>
      <c r="T1510">
        <v>20862</v>
      </c>
    </row>
    <row r="1511" spans="1:20" hidden="1" x14ac:dyDescent="0.4">
      <c r="A1511" s="1" t="s">
        <v>555</v>
      </c>
      <c r="B1511" s="1" t="s">
        <v>1460</v>
      </c>
      <c r="C1511" s="1" t="s">
        <v>1845</v>
      </c>
      <c r="D1511" s="1" t="s">
        <v>1731</v>
      </c>
      <c r="E1511">
        <v>20251217</v>
      </c>
      <c r="F1511" s="1" t="s">
        <v>1470</v>
      </c>
      <c r="G1511">
        <v>4</v>
      </c>
      <c r="H1511" s="1" t="s">
        <v>1494</v>
      </c>
      <c r="I1511" t="s">
        <v>1874</v>
      </c>
      <c r="J1511" s="1" t="s">
        <v>1456</v>
      </c>
      <c r="K1511" s="1" t="s">
        <v>1604</v>
      </c>
      <c r="L1511" s="1" t="s">
        <v>1729</v>
      </c>
      <c r="M1511" s="1" t="s">
        <v>1737</v>
      </c>
      <c r="N1511" t="s">
        <v>1979</v>
      </c>
      <c r="O1511" t="s">
        <v>2157</v>
      </c>
      <c r="P1511" t="s">
        <v>2157</v>
      </c>
      <c r="Q1511">
        <v>57</v>
      </c>
      <c r="R1511" s="1" t="s">
        <v>1839</v>
      </c>
      <c r="S1511">
        <v>366</v>
      </c>
      <c r="T1511">
        <v>20862</v>
      </c>
    </row>
    <row r="1512" spans="1:20" hidden="1" x14ac:dyDescent="0.4">
      <c r="A1512" s="1" t="s">
        <v>555</v>
      </c>
      <c r="B1512" s="1" t="s">
        <v>1461</v>
      </c>
      <c r="C1512" s="1" t="s">
        <v>1845</v>
      </c>
      <c r="D1512" s="1" t="s">
        <v>1731</v>
      </c>
      <c r="E1512">
        <v>20251217</v>
      </c>
      <c r="F1512" s="1" t="s">
        <v>1470</v>
      </c>
      <c r="G1512">
        <v>4</v>
      </c>
      <c r="H1512" s="1" t="s">
        <v>1494</v>
      </c>
      <c r="I1512" t="s">
        <v>1874</v>
      </c>
      <c r="J1512" s="1" t="s">
        <v>1456</v>
      </c>
      <c r="K1512" s="1" t="s">
        <v>1604</v>
      </c>
      <c r="L1512" s="1" t="s">
        <v>1729</v>
      </c>
      <c r="M1512" s="1" t="s">
        <v>1737</v>
      </c>
      <c r="N1512" t="s">
        <v>1979</v>
      </c>
      <c r="O1512" t="s">
        <v>2157</v>
      </c>
      <c r="P1512" t="s">
        <v>2157</v>
      </c>
      <c r="Q1512">
        <v>57</v>
      </c>
      <c r="R1512" s="1" t="s">
        <v>1839</v>
      </c>
      <c r="S1512">
        <v>366</v>
      </c>
      <c r="T1512">
        <v>20862</v>
      </c>
    </row>
    <row r="1513" spans="1:20" hidden="1" x14ac:dyDescent="0.4">
      <c r="A1513" s="1" t="s">
        <v>555</v>
      </c>
      <c r="B1513" s="1" t="s">
        <v>1462</v>
      </c>
      <c r="C1513" s="1" t="s">
        <v>1845</v>
      </c>
      <c r="D1513" s="1" t="s">
        <v>1731</v>
      </c>
      <c r="E1513">
        <v>20251217</v>
      </c>
      <c r="F1513" s="1" t="s">
        <v>1470</v>
      </c>
      <c r="G1513">
        <v>4</v>
      </c>
      <c r="H1513" s="1" t="s">
        <v>1494</v>
      </c>
      <c r="I1513" t="s">
        <v>1874</v>
      </c>
      <c r="J1513" s="1" t="s">
        <v>1456</v>
      </c>
      <c r="K1513" s="1" t="s">
        <v>1604</v>
      </c>
      <c r="L1513" s="1" t="s">
        <v>1729</v>
      </c>
      <c r="M1513" s="1" t="s">
        <v>1737</v>
      </c>
      <c r="N1513" t="s">
        <v>1979</v>
      </c>
      <c r="O1513" t="s">
        <v>2157</v>
      </c>
      <c r="P1513" t="s">
        <v>2157</v>
      </c>
      <c r="Q1513">
        <v>57</v>
      </c>
      <c r="R1513" s="1" t="s">
        <v>1839</v>
      </c>
      <c r="S1513">
        <v>366</v>
      </c>
      <c r="T1513">
        <v>20862</v>
      </c>
    </row>
    <row r="1514" spans="1:20" hidden="1" x14ac:dyDescent="0.4">
      <c r="A1514" s="1" t="s">
        <v>555</v>
      </c>
      <c r="B1514" s="1" t="s">
        <v>1463</v>
      </c>
      <c r="C1514" s="1" t="s">
        <v>1845</v>
      </c>
      <c r="D1514" s="1" t="s">
        <v>1731</v>
      </c>
      <c r="E1514">
        <v>20251217</v>
      </c>
      <c r="F1514" s="1" t="s">
        <v>1470</v>
      </c>
      <c r="G1514">
        <v>4</v>
      </c>
      <c r="H1514" s="1" t="s">
        <v>1494</v>
      </c>
      <c r="I1514" t="s">
        <v>1874</v>
      </c>
      <c r="J1514" s="1" t="s">
        <v>1456</v>
      </c>
      <c r="K1514" s="1" t="s">
        <v>1604</v>
      </c>
      <c r="L1514" s="1" t="s">
        <v>1729</v>
      </c>
      <c r="M1514" s="1" t="s">
        <v>1737</v>
      </c>
      <c r="N1514" t="s">
        <v>1979</v>
      </c>
      <c r="O1514" t="s">
        <v>2157</v>
      </c>
      <c r="P1514" t="s">
        <v>2157</v>
      </c>
      <c r="Q1514">
        <v>57</v>
      </c>
      <c r="R1514" s="1" t="s">
        <v>1839</v>
      </c>
      <c r="S1514">
        <v>366</v>
      </c>
      <c r="T1514">
        <v>20862</v>
      </c>
    </row>
    <row r="1515" spans="1:20" hidden="1" x14ac:dyDescent="0.4">
      <c r="A1515" s="1" t="s">
        <v>556</v>
      </c>
      <c r="B1515" s="1" t="s">
        <v>1453</v>
      </c>
      <c r="C1515" s="1" t="s">
        <v>1845</v>
      </c>
      <c r="D1515" s="1" t="s">
        <v>1731</v>
      </c>
      <c r="E1515">
        <v>20251217</v>
      </c>
      <c r="F1515" s="1" t="s">
        <v>1470</v>
      </c>
      <c r="G1515">
        <v>4</v>
      </c>
      <c r="H1515" s="1" t="s">
        <v>1494</v>
      </c>
      <c r="I1515" t="s">
        <v>1874</v>
      </c>
      <c r="J1515" s="1" t="s">
        <v>1456</v>
      </c>
      <c r="K1515" s="1" t="s">
        <v>1604</v>
      </c>
      <c r="L1515" s="1" t="s">
        <v>1729</v>
      </c>
      <c r="M1515" s="1" t="s">
        <v>1737</v>
      </c>
      <c r="N1515" t="s">
        <v>1979</v>
      </c>
      <c r="O1515" t="s">
        <v>2157</v>
      </c>
      <c r="P1515" t="s">
        <v>2157</v>
      </c>
      <c r="Q1515">
        <v>71.25</v>
      </c>
      <c r="R1515" s="1" t="s">
        <v>1839</v>
      </c>
      <c r="S1515">
        <v>365.99</v>
      </c>
      <c r="T1515">
        <v>26077</v>
      </c>
    </row>
    <row r="1516" spans="1:20" hidden="1" x14ac:dyDescent="0.4">
      <c r="A1516" s="1" t="s">
        <v>556</v>
      </c>
      <c r="B1516" s="1" t="s">
        <v>1454</v>
      </c>
      <c r="C1516" s="1" t="s">
        <v>1845</v>
      </c>
      <c r="D1516" s="1" t="s">
        <v>1731</v>
      </c>
      <c r="E1516">
        <v>20251217</v>
      </c>
      <c r="F1516" s="1" t="s">
        <v>1470</v>
      </c>
      <c r="G1516">
        <v>4</v>
      </c>
      <c r="H1516" s="1" t="s">
        <v>1494</v>
      </c>
      <c r="I1516" t="s">
        <v>1874</v>
      </c>
      <c r="J1516" s="1" t="s">
        <v>1456</v>
      </c>
      <c r="K1516" s="1" t="s">
        <v>1604</v>
      </c>
      <c r="L1516" s="1" t="s">
        <v>1729</v>
      </c>
      <c r="M1516" s="1" t="s">
        <v>1737</v>
      </c>
      <c r="N1516" t="s">
        <v>1979</v>
      </c>
      <c r="O1516" t="s">
        <v>2157</v>
      </c>
      <c r="P1516" t="s">
        <v>2157</v>
      </c>
      <c r="Q1516">
        <v>57</v>
      </c>
      <c r="R1516" s="1" t="s">
        <v>1839</v>
      </c>
      <c r="S1516">
        <v>366</v>
      </c>
      <c r="T1516">
        <v>20862</v>
      </c>
    </row>
    <row r="1517" spans="1:20" hidden="1" x14ac:dyDescent="0.4">
      <c r="A1517" s="1" t="s">
        <v>556</v>
      </c>
      <c r="B1517" s="1" t="s">
        <v>1455</v>
      </c>
      <c r="C1517" s="1" t="s">
        <v>1845</v>
      </c>
      <c r="D1517" s="1" t="s">
        <v>1731</v>
      </c>
      <c r="E1517">
        <v>20251217</v>
      </c>
      <c r="F1517" s="1" t="s">
        <v>1470</v>
      </c>
      <c r="G1517">
        <v>4</v>
      </c>
      <c r="H1517" s="1" t="s">
        <v>1494</v>
      </c>
      <c r="I1517" t="s">
        <v>1874</v>
      </c>
      <c r="J1517" s="1" t="s">
        <v>1456</v>
      </c>
      <c r="K1517" s="1" t="s">
        <v>1604</v>
      </c>
      <c r="L1517" s="1" t="s">
        <v>1729</v>
      </c>
      <c r="M1517" s="1" t="s">
        <v>1737</v>
      </c>
      <c r="N1517" t="s">
        <v>1979</v>
      </c>
      <c r="O1517" t="s">
        <v>2157</v>
      </c>
      <c r="P1517" t="s">
        <v>2157</v>
      </c>
      <c r="Q1517">
        <v>57</v>
      </c>
      <c r="R1517" s="1" t="s">
        <v>1839</v>
      </c>
      <c r="S1517">
        <v>366</v>
      </c>
      <c r="T1517">
        <v>20862</v>
      </c>
    </row>
    <row r="1518" spans="1:20" hidden="1" x14ac:dyDescent="0.4">
      <c r="A1518" s="1" t="s">
        <v>556</v>
      </c>
      <c r="B1518" s="1" t="s">
        <v>1456</v>
      </c>
      <c r="C1518" s="1" t="s">
        <v>1845</v>
      </c>
      <c r="D1518" s="1" t="s">
        <v>1731</v>
      </c>
      <c r="E1518">
        <v>20251217</v>
      </c>
      <c r="F1518" s="1" t="s">
        <v>1470</v>
      </c>
      <c r="G1518">
        <v>4</v>
      </c>
      <c r="H1518" s="1" t="s">
        <v>1494</v>
      </c>
      <c r="I1518" t="s">
        <v>1874</v>
      </c>
      <c r="J1518" s="1" t="s">
        <v>1456</v>
      </c>
      <c r="K1518" s="1" t="s">
        <v>1604</v>
      </c>
      <c r="L1518" s="1" t="s">
        <v>1729</v>
      </c>
      <c r="M1518" s="1" t="s">
        <v>1737</v>
      </c>
      <c r="N1518" t="s">
        <v>1979</v>
      </c>
      <c r="O1518" t="s">
        <v>2157</v>
      </c>
      <c r="P1518" t="s">
        <v>2157</v>
      </c>
      <c r="Q1518">
        <v>57</v>
      </c>
      <c r="R1518" s="1" t="s">
        <v>1839</v>
      </c>
      <c r="S1518">
        <v>366</v>
      </c>
      <c r="T1518">
        <v>20862</v>
      </c>
    </row>
    <row r="1519" spans="1:20" hidden="1" x14ac:dyDescent="0.4">
      <c r="A1519" s="1" t="s">
        <v>556</v>
      </c>
      <c r="B1519" s="1" t="s">
        <v>1457</v>
      </c>
      <c r="C1519" s="1" t="s">
        <v>1845</v>
      </c>
      <c r="D1519" s="1" t="s">
        <v>1731</v>
      </c>
      <c r="E1519">
        <v>20251217</v>
      </c>
      <c r="F1519" s="1" t="s">
        <v>1470</v>
      </c>
      <c r="G1519">
        <v>4</v>
      </c>
      <c r="H1519" s="1" t="s">
        <v>1494</v>
      </c>
      <c r="I1519" t="s">
        <v>1874</v>
      </c>
      <c r="J1519" s="1" t="s">
        <v>1456</v>
      </c>
      <c r="K1519" s="1" t="s">
        <v>1604</v>
      </c>
      <c r="L1519" s="1" t="s">
        <v>1729</v>
      </c>
      <c r="M1519" s="1" t="s">
        <v>1737</v>
      </c>
      <c r="N1519" t="s">
        <v>1979</v>
      </c>
      <c r="O1519" t="s">
        <v>2157</v>
      </c>
      <c r="P1519" t="s">
        <v>2157</v>
      </c>
      <c r="Q1519">
        <v>57</v>
      </c>
      <c r="R1519" s="1" t="s">
        <v>1839</v>
      </c>
      <c r="S1519">
        <v>366</v>
      </c>
      <c r="T1519">
        <v>20862</v>
      </c>
    </row>
    <row r="1520" spans="1:20" hidden="1" x14ac:dyDescent="0.4">
      <c r="A1520" s="1" t="s">
        <v>556</v>
      </c>
      <c r="B1520" s="1" t="s">
        <v>1458</v>
      </c>
      <c r="C1520" s="1" t="s">
        <v>1845</v>
      </c>
      <c r="D1520" s="1" t="s">
        <v>1731</v>
      </c>
      <c r="E1520">
        <v>20251217</v>
      </c>
      <c r="F1520" s="1" t="s">
        <v>1470</v>
      </c>
      <c r="G1520">
        <v>4</v>
      </c>
      <c r="H1520" s="1" t="s">
        <v>1494</v>
      </c>
      <c r="I1520" t="s">
        <v>1874</v>
      </c>
      <c r="J1520" s="1" t="s">
        <v>1456</v>
      </c>
      <c r="K1520" s="1" t="s">
        <v>1604</v>
      </c>
      <c r="L1520" s="1" t="s">
        <v>1729</v>
      </c>
      <c r="M1520" s="1" t="s">
        <v>1737</v>
      </c>
      <c r="N1520" t="s">
        <v>1979</v>
      </c>
      <c r="O1520" t="s">
        <v>2157</v>
      </c>
      <c r="P1520" t="s">
        <v>2157</v>
      </c>
      <c r="Q1520">
        <v>71.25</v>
      </c>
      <c r="R1520" s="1" t="s">
        <v>1839</v>
      </c>
      <c r="S1520">
        <v>365.99</v>
      </c>
      <c r="T1520">
        <v>26077</v>
      </c>
    </row>
    <row r="1521" spans="1:20" hidden="1" x14ac:dyDescent="0.4">
      <c r="A1521" s="1" t="s">
        <v>556</v>
      </c>
      <c r="B1521" s="1" t="s">
        <v>1459</v>
      </c>
      <c r="C1521" s="1" t="s">
        <v>1845</v>
      </c>
      <c r="D1521" s="1" t="s">
        <v>1731</v>
      </c>
      <c r="E1521">
        <v>20251217</v>
      </c>
      <c r="F1521" s="1" t="s">
        <v>1470</v>
      </c>
      <c r="G1521">
        <v>4</v>
      </c>
      <c r="H1521" s="1" t="s">
        <v>1494</v>
      </c>
      <c r="I1521" t="s">
        <v>1874</v>
      </c>
      <c r="J1521" s="1" t="s">
        <v>1456</v>
      </c>
      <c r="K1521" s="1" t="s">
        <v>1604</v>
      </c>
      <c r="L1521" s="1" t="s">
        <v>1729</v>
      </c>
      <c r="M1521" s="1" t="s">
        <v>1737</v>
      </c>
      <c r="N1521" t="s">
        <v>1979</v>
      </c>
      <c r="O1521" t="s">
        <v>2157</v>
      </c>
      <c r="P1521" t="s">
        <v>2157</v>
      </c>
      <c r="Q1521">
        <v>56.24</v>
      </c>
      <c r="R1521" s="1" t="s">
        <v>1839</v>
      </c>
      <c r="S1521">
        <v>365.98</v>
      </c>
      <c r="T1521">
        <v>20583</v>
      </c>
    </row>
    <row r="1522" spans="1:20" hidden="1" x14ac:dyDescent="0.4">
      <c r="A1522" s="1" t="s">
        <v>556</v>
      </c>
      <c r="B1522" s="1" t="s">
        <v>1460</v>
      </c>
      <c r="C1522" s="1" t="s">
        <v>1845</v>
      </c>
      <c r="D1522" s="1" t="s">
        <v>1731</v>
      </c>
      <c r="E1522">
        <v>20251217</v>
      </c>
      <c r="F1522" s="1" t="s">
        <v>1470</v>
      </c>
      <c r="G1522">
        <v>4</v>
      </c>
      <c r="H1522" s="1" t="s">
        <v>1494</v>
      </c>
      <c r="I1522" t="s">
        <v>1874</v>
      </c>
      <c r="J1522" s="1" t="s">
        <v>1456</v>
      </c>
      <c r="K1522" s="1" t="s">
        <v>1604</v>
      </c>
      <c r="L1522" s="1" t="s">
        <v>1729</v>
      </c>
      <c r="M1522" s="1" t="s">
        <v>1737</v>
      </c>
      <c r="N1522" t="s">
        <v>1979</v>
      </c>
      <c r="O1522" t="s">
        <v>2157</v>
      </c>
      <c r="P1522" t="s">
        <v>2157</v>
      </c>
      <c r="Q1522">
        <v>57</v>
      </c>
      <c r="R1522" s="1" t="s">
        <v>1839</v>
      </c>
      <c r="S1522">
        <v>366</v>
      </c>
      <c r="T1522">
        <v>20862</v>
      </c>
    </row>
    <row r="1523" spans="1:20" hidden="1" x14ac:dyDescent="0.4">
      <c r="A1523" s="1" t="s">
        <v>556</v>
      </c>
      <c r="B1523" s="1" t="s">
        <v>1461</v>
      </c>
      <c r="C1523" s="1" t="s">
        <v>1845</v>
      </c>
      <c r="D1523" s="1" t="s">
        <v>1731</v>
      </c>
      <c r="E1523">
        <v>20251217</v>
      </c>
      <c r="F1523" s="1" t="s">
        <v>1470</v>
      </c>
      <c r="G1523">
        <v>4</v>
      </c>
      <c r="H1523" s="1" t="s">
        <v>1494</v>
      </c>
      <c r="I1523" t="s">
        <v>1874</v>
      </c>
      <c r="J1523" s="1" t="s">
        <v>1456</v>
      </c>
      <c r="K1523" s="1" t="s">
        <v>1604</v>
      </c>
      <c r="L1523" s="1" t="s">
        <v>1729</v>
      </c>
      <c r="M1523" s="1" t="s">
        <v>1737</v>
      </c>
      <c r="N1523" t="s">
        <v>1979</v>
      </c>
      <c r="O1523" t="s">
        <v>2157</v>
      </c>
      <c r="P1523" t="s">
        <v>2157</v>
      </c>
      <c r="Q1523">
        <v>57</v>
      </c>
      <c r="R1523" s="1" t="s">
        <v>1839</v>
      </c>
      <c r="S1523">
        <v>366</v>
      </c>
      <c r="T1523">
        <v>20862</v>
      </c>
    </row>
    <row r="1524" spans="1:20" hidden="1" x14ac:dyDescent="0.4">
      <c r="A1524" s="1" t="s">
        <v>556</v>
      </c>
      <c r="B1524" s="1" t="s">
        <v>1462</v>
      </c>
      <c r="C1524" s="1" t="s">
        <v>1845</v>
      </c>
      <c r="D1524" s="1" t="s">
        <v>1731</v>
      </c>
      <c r="E1524">
        <v>20251217</v>
      </c>
      <c r="F1524" s="1" t="s">
        <v>1470</v>
      </c>
      <c r="G1524">
        <v>4</v>
      </c>
      <c r="H1524" s="1" t="s">
        <v>1494</v>
      </c>
      <c r="I1524" t="s">
        <v>1874</v>
      </c>
      <c r="J1524" s="1" t="s">
        <v>1456</v>
      </c>
      <c r="K1524" s="1" t="s">
        <v>1604</v>
      </c>
      <c r="L1524" s="1" t="s">
        <v>1729</v>
      </c>
      <c r="M1524" s="1" t="s">
        <v>1737</v>
      </c>
      <c r="N1524" t="s">
        <v>1979</v>
      </c>
      <c r="O1524" t="s">
        <v>2157</v>
      </c>
      <c r="P1524" t="s">
        <v>2157</v>
      </c>
      <c r="Q1524">
        <v>57</v>
      </c>
      <c r="R1524" s="1" t="s">
        <v>1839</v>
      </c>
      <c r="S1524">
        <v>366</v>
      </c>
      <c r="T1524">
        <v>20862</v>
      </c>
    </row>
    <row r="1525" spans="1:20" hidden="1" x14ac:dyDescent="0.4">
      <c r="A1525" s="1" t="s">
        <v>556</v>
      </c>
      <c r="B1525" s="1" t="s">
        <v>1463</v>
      </c>
      <c r="C1525" s="1" t="s">
        <v>1845</v>
      </c>
      <c r="D1525" s="1" t="s">
        <v>1731</v>
      </c>
      <c r="E1525">
        <v>20251217</v>
      </c>
      <c r="F1525" s="1" t="s">
        <v>1470</v>
      </c>
      <c r="G1525">
        <v>4</v>
      </c>
      <c r="H1525" s="1" t="s">
        <v>1494</v>
      </c>
      <c r="I1525" t="s">
        <v>1874</v>
      </c>
      <c r="J1525" s="1" t="s">
        <v>1456</v>
      </c>
      <c r="K1525" s="1" t="s">
        <v>1604</v>
      </c>
      <c r="L1525" s="1" t="s">
        <v>1729</v>
      </c>
      <c r="M1525" s="1" t="s">
        <v>1737</v>
      </c>
      <c r="N1525" t="s">
        <v>1979</v>
      </c>
      <c r="O1525" t="s">
        <v>2157</v>
      </c>
      <c r="P1525" t="s">
        <v>2157</v>
      </c>
      <c r="Q1525">
        <v>57</v>
      </c>
      <c r="R1525" s="1" t="s">
        <v>1839</v>
      </c>
      <c r="S1525">
        <v>366</v>
      </c>
      <c r="T1525">
        <v>20862</v>
      </c>
    </row>
    <row r="1526" spans="1:20" hidden="1" x14ac:dyDescent="0.4">
      <c r="A1526" s="1" t="s">
        <v>557</v>
      </c>
      <c r="B1526" s="1" t="s">
        <v>1453</v>
      </c>
      <c r="C1526" s="1" t="s">
        <v>1845</v>
      </c>
      <c r="D1526" s="1" t="s">
        <v>1731</v>
      </c>
      <c r="E1526">
        <v>20251217</v>
      </c>
      <c r="F1526" s="1" t="s">
        <v>1470</v>
      </c>
      <c r="G1526">
        <v>4</v>
      </c>
      <c r="H1526" s="1" t="s">
        <v>1494</v>
      </c>
      <c r="I1526" t="s">
        <v>1874</v>
      </c>
      <c r="J1526" s="1" t="s">
        <v>1456</v>
      </c>
      <c r="K1526" s="1" t="s">
        <v>1604</v>
      </c>
      <c r="L1526" s="1" t="s">
        <v>1729</v>
      </c>
      <c r="M1526" s="1" t="s">
        <v>1737</v>
      </c>
      <c r="N1526" t="s">
        <v>1979</v>
      </c>
      <c r="O1526" t="s">
        <v>2157</v>
      </c>
      <c r="P1526" t="s">
        <v>2157</v>
      </c>
      <c r="Q1526">
        <v>70.680000000000007</v>
      </c>
      <c r="R1526" s="1" t="s">
        <v>1839</v>
      </c>
      <c r="S1526">
        <v>365.98</v>
      </c>
      <c r="T1526">
        <v>25868</v>
      </c>
    </row>
    <row r="1527" spans="1:20" hidden="1" x14ac:dyDescent="0.4">
      <c r="A1527" s="1" t="s">
        <v>557</v>
      </c>
      <c r="B1527" s="1" t="s">
        <v>1454</v>
      </c>
      <c r="C1527" s="1" t="s">
        <v>1845</v>
      </c>
      <c r="D1527" s="1" t="s">
        <v>1731</v>
      </c>
      <c r="E1527">
        <v>20251217</v>
      </c>
      <c r="F1527" s="1" t="s">
        <v>1470</v>
      </c>
      <c r="G1527">
        <v>4</v>
      </c>
      <c r="H1527" s="1" t="s">
        <v>1494</v>
      </c>
      <c r="I1527" t="s">
        <v>1874</v>
      </c>
      <c r="J1527" s="1" t="s">
        <v>1456</v>
      </c>
      <c r="K1527" s="1" t="s">
        <v>1604</v>
      </c>
      <c r="L1527" s="1" t="s">
        <v>1729</v>
      </c>
      <c r="M1527" s="1" t="s">
        <v>1737</v>
      </c>
      <c r="N1527" t="s">
        <v>1979</v>
      </c>
      <c r="O1527" t="s">
        <v>2157</v>
      </c>
      <c r="P1527" t="s">
        <v>2157</v>
      </c>
      <c r="Q1527">
        <v>57.95</v>
      </c>
      <c r="R1527" s="1" t="s">
        <v>1839</v>
      </c>
      <c r="S1527">
        <v>365.98</v>
      </c>
      <c r="T1527">
        <v>21209</v>
      </c>
    </row>
    <row r="1528" spans="1:20" hidden="1" x14ac:dyDescent="0.4">
      <c r="A1528" s="1" t="s">
        <v>557</v>
      </c>
      <c r="B1528" s="1" t="s">
        <v>1455</v>
      </c>
      <c r="C1528" s="1" t="s">
        <v>1845</v>
      </c>
      <c r="D1528" s="1" t="s">
        <v>1731</v>
      </c>
      <c r="E1528">
        <v>20251217</v>
      </c>
      <c r="F1528" s="1" t="s">
        <v>1470</v>
      </c>
      <c r="G1528">
        <v>4</v>
      </c>
      <c r="H1528" s="1" t="s">
        <v>1494</v>
      </c>
      <c r="I1528" t="s">
        <v>1874</v>
      </c>
      <c r="J1528" s="1" t="s">
        <v>1456</v>
      </c>
      <c r="K1528" s="1" t="s">
        <v>1604</v>
      </c>
      <c r="L1528" s="1" t="s">
        <v>1729</v>
      </c>
      <c r="M1528" s="1" t="s">
        <v>1737</v>
      </c>
      <c r="N1528" t="s">
        <v>1979</v>
      </c>
      <c r="O1528" t="s">
        <v>2157</v>
      </c>
      <c r="P1528" t="s">
        <v>2157</v>
      </c>
      <c r="Q1528">
        <v>57</v>
      </c>
      <c r="R1528" s="1" t="s">
        <v>1839</v>
      </c>
      <c r="S1528">
        <v>366</v>
      </c>
      <c r="T1528">
        <v>20862</v>
      </c>
    </row>
    <row r="1529" spans="1:20" hidden="1" x14ac:dyDescent="0.4">
      <c r="A1529" s="1" t="s">
        <v>557</v>
      </c>
      <c r="B1529" s="1" t="s">
        <v>1456</v>
      </c>
      <c r="C1529" s="1" t="s">
        <v>1845</v>
      </c>
      <c r="D1529" s="1" t="s">
        <v>1731</v>
      </c>
      <c r="E1529">
        <v>20251217</v>
      </c>
      <c r="F1529" s="1" t="s">
        <v>1470</v>
      </c>
      <c r="G1529">
        <v>4</v>
      </c>
      <c r="H1529" s="1" t="s">
        <v>1494</v>
      </c>
      <c r="I1529" t="s">
        <v>1874</v>
      </c>
      <c r="J1529" s="1" t="s">
        <v>1456</v>
      </c>
      <c r="K1529" s="1" t="s">
        <v>1604</v>
      </c>
      <c r="L1529" s="1" t="s">
        <v>1729</v>
      </c>
      <c r="M1529" s="1" t="s">
        <v>1737</v>
      </c>
      <c r="N1529" t="s">
        <v>1979</v>
      </c>
      <c r="O1529" t="s">
        <v>2157</v>
      </c>
      <c r="P1529" t="s">
        <v>2157</v>
      </c>
      <c r="Q1529">
        <v>57</v>
      </c>
      <c r="R1529" s="1" t="s">
        <v>1839</v>
      </c>
      <c r="S1529">
        <v>366</v>
      </c>
      <c r="T1529">
        <v>20862</v>
      </c>
    </row>
    <row r="1530" spans="1:20" hidden="1" x14ac:dyDescent="0.4">
      <c r="A1530" s="1" t="s">
        <v>557</v>
      </c>
      <c r="B1530" s="1" t="s">
        <v>1457</v>
      </c>
      <c r="C1530" s="1" t="s">
        <v>1845</v>
      </c>
      <c r="D1530" s="1" t="s">
        <v>1731</v>
      </c>
      <c r="E1530">
        <v>20251217</v>
      </c>
      <c r="F1530" s="1" t="s">
        <v>1470</v>
      </c>
      <c r="G1530">
        <v>4</v>
      </c>
      <c r="H1530" s="1" t="s">
        <v>1494</v>
      </c>
      <c r="I1530" t="s">
        <v>1874</v>
      </c>
      <c r="J1530" s="1" t="s">
        <v>1456</v>
      </c>
      <c r="K1530" s="1" t="s">
        <v>1604</v>
      </c>
      <c r="L1530" s="1" t="s">
        <v>1729</v>
      </c>
      <c r="M1530" s="1" t="s">
        <v>1737</v>
      </c>
      <c r="N1530" t="s">
        <v>1979</v>
      </c>
      <c r="O1530" t="s">
        <v>2157</v>
      </c>
      <c r="P1530" t="s">
        <v>2157</v>
      </c>
      <c r="Q1530">
        <v>57</v>
      </c>
      <c r="R1530" s="1" t="s">
        <v>1839</v>
      </c>
      <c r="S1530">
        <v>366</v>
      </c>
      <c r="T1530">
        <v>20862</v>
      </c>
    </row>
    <row r="1531" spans="1:20" hidden="1" x14ac:dyDescent="0.4">
      <c r="A1531" s="1" t="s">
        <v>557</v>
      </c>
      <c r="B1531" s="1" t="s">
        <v>1458</v>
      </c>
      <c r="C1531" s="1" t="s">
        <v>1845</v>
      </c>
      <c r="D1531" s="1" t="s">
        <v>1731</v>
      </c>
      <c r="E1531">
        <v>20251217</v>
      </c>
      <c r="F1531" s="1" t="s">
        <v>1470</v>
      </c>
      <c r="G1531">
        <v>4</v>
      </c>
      <c r="H1531" s="1" t="s">
        <v>1494</v>
      </c>
      <c r="I1531" t="s">
        <v>1874</v>
      </c>
      <c r="J1531" s="1" t="s">
        <v>1456</v>
      </c>
      <c r="K1531" s="1" t="s">
        <v>1604</v>
      </c>
      <c r="L1531" s="1" t="s">
        <v>1729</v>
      </c>
      <c r="M1531" s="1" t="s">
        <v>1737</v>
      </c>
      <c r="N1531" t="s">
        <v>1979</v>
      </c>
      <c r="O1531" t="s">
        <v>2157</v>
      </c>
      <c r="P1531" t="s">
        <v>2157</v>
      </c>
      <c r="Q1531">
        <v>57</v>
      </c>
      <c r="R1531" s="1" t="s">
        <v>1839</v>
      </c>
      <c r="S1531">
        <v>366</v>
      </c>
      <c r="T1531">
        <v>20862</v>
      </c>
    </row>
    <row r="1532" spans="1:20" hidden="1" x14ac:dyDescent="0.4">
      <c r="A1532" s="1" t="s">
        <v>557</v>
      </c>
      <c r="B1532" s="1" t="s">
        <v>1459</v>
      </c>
      <c r="C1532" s="1" t="s">
        <v>1845</v>
      </c>
      <c r="D1532" s="1" t="s">
        <v>1731</v>
      </c>
      <c r="E1532">
        <v>20251217</v>
      </c>
      <c r="F1532" s="1" t="s">
        <v>1470</v>
      </c>
      <c r="G1532">
        <v>4</v>
      </c>
      <c r="H1532" s="1" t="s">
        <v>1494</v>
      </c>
      <c r="I1532" t="s">
        <v>1874</v>
      </c>
      <c r="J1532" s="1" t="s">
        <v>1456</v>
      </c>
      <c r="K1532" s="1" t="s">
        <v>1604</v>
      </c>
      <c r="L1532" s="1" t="s">
        <v>1729</v>
      </c>
      <c r="M1532" s="1" t="s">
        <v>1737</v>
      </c>
      <c r="N1532" t="s">
        <v>1979</v>
      </c>
      <c r="O1532" t="s">
        <v>2157</v>
      </c>
      <c r="P1532" t="s">
        <v>2157</v>
      </c>
      <c r="Q1532">
        <v>57</v>
      </c>
      <c r="R1532" s="1" t="s">
        <v>1839</v>
      </c>
      <c r="S1532">
        <v>366</v>
      </c>
      <c r="T1532">
        <v>20862</v>
      </c>
    </row>
    <row r="1533" spans="1:20" hidden="1" x14ac:dyDescent="0.4">
      <c r="A1533" s="1" t="s">
        <v>557</v>
      </c>
      <c r="B1533" s="1" t="s">
        <v>1460</v>
      </c>
      <c r="C1533" s="1" t="s">
        <v>1845</v>
      </c>
      <c r="D1533" s="1" t="s">
        <v>1731</v>
      </c>
      <c r="E1533">
        <v>20251217</v>
      </c>
      <c r="F1533" s="1" t="s">
        <v>1470</v>
      </c>
      <c r="G1533">
        <v>4</v>
      </c>
      <c r="H1533" s="1" t="s">
        <v>1494</v>
      </c>
      <c r="I1533" t="s">
        <v>1874</v>
      </c>
      <c r="J1533" s="1" t="s">
        <v>1456</v>
      </c>
      <c r="K1533" s="1" t="s">
        <v>1604</v>
      </c>
      <c r="L1533" s="1" t="s">
        <v>1729</v>
      </c>
      <c r="M1533" s="1" t="s">
        <v>1737</v>
      </c>
      <c r="N1533" t="s">
        <v>1979</v>
      </c>
      <c r="O1533" t="s">
        <v>2157</v>
      </c>
      <c r="P1533" t="s">
        <v>2157</v>
      </c>
      <c r="Q1533">
        <v>72.2</v>
      </c>
      <c r="R1533" s="1" t="s">
        <v>1839</v>
      </c>
      <c r="S1533">
        <v>365.99</v>
      </c>
      <c r="T1533">
        <v>26425</v>
      </c>
    </row>
    <row r="1534" spans="1:20" hidden="1" x14ac:dyDescent="0.4">
      <c r="A1534" s="1" t="s">
        <v>557</v>
      </c>
      <c r="B1534" s="1" t="s">
        <v>1461</v>
      </c>
      <c r="C1534" s="1" t="s">
        <v>1845</v>
      </c>
      <c r="D1534" s="1" t="s">
        <v>1731</v>
      </c>
      <c r="E1534">
        <v>20251217</v>
      </c>
      <c r="F1534" s="1" t="s">
        <v>1470</v>
      </c>
      <c r="G1534">
        <v>4</v>
      </c>
      <c r="H1534" s="1" t="s">
        <v>1494</v>
      </c>
      <c r="I1534" t="s">
        <v>1874</v>
      </c>
      <c r="J1534" s="1" t="s">
        <v>1456</v>
      </c>
      <c r="K1534" s="1" t="s">
        <v>1604</v>
      </c>
      <c r="L1534" s="1" t="s">
        <v>1729</v>
      </c>
      <c r="M1534" s="1" t="s">
        <v>1737</v>
      </c>
      <c r="N1534" t="s">
        <v>1979</v>
      </c>
      <c r="O1534" t="s">
        <v>2157</v>
      </c>
      <c r="P1534" t="s">
        <v>2157</v>
      </c>
      <c r="Q1534">
        <v>57</v>
      </c>
      <c r="R1534" s="1" t="s">
        <v>1839</v>
      </c>
      <c r="S1534">
        <v>366</v>
      </c>
      <c r="T1534">
        <v>20862</v>
      </c>
    </row>
    <row r="1535" spans="1:20" hidden="1" x14ac:dyDescent="0.4">
      <c r="A1535" s="1" t="s">
        <v>557</v>
      </c>
      <c r="B1535" s="1" t="s">
        <v>1462</v>
      </c>
      <c r="C1535" s="1" t="s">
        <v>1845</v>
      </c>
      <c r="D1535" s="1" t="s">
        <v>1731</v>
      </c>
      <c r="E1535">
        <v>20251217</v>
      </c>
      <c r="F1535" s="1" t="s">
        <v>1470</v>
      </c>
      <c r="G1535">
        <v>4</v>
      </c>
      <c r="H1535" s="1" t="s">
        <v>1494</v>
      </c>
      <c r="I1535" t="s">
        <v>1874</v>
      </c>
      <c r="J1535" s="1" t="s">
        <v>1456</v>
      </c>
      <c r="K1535" s="1" t="s">
        <v>1604</v>
      </c>
      <c r="L1535" s="1" t="s">
        <v>1729</v>
      </c>
      <c r="M1535" s="1" t="s">
        <v>1737</v>
      </c>
      <c r="N1535" t="s">
        <v>1979</v>
      </c>
      <c r="O1535" t="s">
        <v>2157</v>
      </c>
      <c r="P1535" t="s">
        <v>2157</v>
      </c>
      <c r="Q1535">
        <v>57</v>
      </c>
      <c r="R1535" s="1" t="s">
        <v>1839</v>
      </c>
      <c r="S1535">
        <v>366</v>
      </c>
      <c r="T1535">
        <v>20862</v>
      </c>
    </row>
    <row r="1536" spans="1:20" hidden="1" x14ac:dyDescent="0.4">
      <c r="A1536" s="1" t="s">
        <v>558</v>
      </c>
      <c r="B1536" s="1" t="s">
        <v>1453</v>
      </c>
      <c r="C1536" s="1" t="s">
        <v>1845</v>
      </c>
      <c r="D1536" s="1" t="s">
        <v>1731</v>
      </c>
      <c r="E1536">
        <v>20251217</v>
      </c>
      <c r="F1536" s="1" t="s">
        <v>1470</v>
      </c>
      <c r="G1536">
        <v>4</v>
      </c>
      <c r="H1536" s="1" t="s">
        <v>1494</v>
      </c>
      <c r="I1536" t="s">
        <v>1874</v>
      </c>
      <c r="J1536" s="1" t="s">
        <v>1456</v>
      </c>
      <c r="K1536" s="1" t="s">
        <v>1604</v>
      </c>
      <c r="L1536" s="1" t="s">
        <v>1729</v>
      </c>
      <c r="M1536" s="1" t="s">
        <v>1737</v>
      </c>
      <c r="N1536" t="s">
        <v>1979</v>
      </c>
      <c r="O1536" t="s">
        <v>2157</v>
      </c>
      <c r="P1536" t="s">
        <v>2157</v>
      </c>
      <c r="Q1536">
        <v>57</v>
      </c>
      <c r="R1536" s="1" t="s">
        <v>1839</v>
      </c>
      <c r="S1536">
        <v>366</v>
      </c>
      <c r="T1536">
        <v>20862</v>
      </c>
    </row>
    <row r="1537" spans="1:20" hidden="1" x14ac:dyDescent="0.4">
      <c r="A1537" s="1" t="s">
        <v>558</v>
      </c>
      <c r="B1537" s="1" t="s">
        <v>1454</v>
      </c>
      <c r="C1537" s="1" t="s">
        <v>1845</v>
      </c>
      <c r="D1537" s="1" t="s">
        <v>1731</v>
      </c>
      <c r="E1537">
        <v>20251217</v>
      </c>
      <c r="F1537" s="1" t="s">
        <v>1470</v>
      </c>
      <c r="G1537">
        <v>4</v>
      </c>
      <c r="H1537" s="1" t="s">
        <v>1494</v>
      </c>
      <c r="I1537" t="s">
        <v>1874</v>
      </c>
      <c r="J1537" s="1" t="s">
        <v>1456</v>
      </c>
      <c r="K1537" s="1" t="s">
        <v>1604</v>
      </c>
      <c r="L1537" s="1" t="s">
        <v>1729</v>
      </c>
      <c r="M1537" s="1" t="s">
        <v>1737</v>
      </c>
      <c r="N1537" t="s">
        <v>1979</v>
      </c>
      <c r="O1537" t="s">
        <v>2157</v>
      </c>
      <c r="P1537" t="s">
        <v>2157</v>
      </c>
      <c r="Q1537">
        <v>57</v>
      </c>
      <c r="R1537" s="1" t="s">
        <v>1839</v>
      </c>
      <c r="S1537">
        <v>366</v>
      </c>
      <c r="T1537">
        <v>20862</v>
      </c>
    </row>
    <row r="1538" spans="1:20" hidden="1" x14ac:dyDescent="0.4">
      <c r="A1538" s="1" t="s">
        <v>558</v>
      </c>
      <c r="B1538" s="1" t="s">
        <v>1455</v>
      </c>
      <c r="C1538" s="1" t="s">
        <v>1845</v>
      </c>
      <c r="D1538" s="1" t="s">
        <v>1731</v>
      </c>
      <c r="E1538">
        <v>20251217</v>
      </c>
      <c r="F1538" s="1" t="s">
        <v>1470</v>
      </c>
      <c r="G1538">
        <v>4</v>
      </c>
      <c r="H1538" s="1" t="s">
        <v>1494</v>
      </c>
      <c r="I1538" t="s">
        <v>1874</v>
      </c>
      <c r="J1538" s="1" t="s">
        <v>1456</v>
      </c>
      <c r="K1538" s="1" t="s">
        <v>1604</v>
      </c>
      <c r="L1538" s="1" t="s">
        <v>1729</v>
      </c>
      <c r="M1538" s="1" t="s">
        <v>1737</v>
      </c>
      <c r="N1538" t="s">
        <v>1979</v>
      </c>
      <c r="O1538" t="s">
        <v>2157</v>
      </c>
      <c r="P1538" t="s">
        <v>2157</v>
      </c>
      <c r="Q1538">
        <v>57</v>
      </c>
      <c r="R1538" s="1" t="s">
        <v>1839</v>
      </c>
      <c r="S1538">
        <v>366</v>
      </c>
      <c r="T1538">
        <v>20862</v>
      </c>
    </row>
    <row r="1539" spans="1:20" hidden="1" x14ac:dyDescent="0.4">
      <c r="A1539" s="1" t="s">
        <v>558</v>
      </c>
      <c r="B1539" s="1" t="s">
        <v>1456</v>
      </c>
      <c r="C1539" s="1" t="s">
        <v>1845</v>
      </c>
      <c r="D1539" s="1" t="s">
        <v>1731</v>
      </c>
      <c r="E1539">
        <v>20251217</v>
      </c>
      <c r="F1539" s="1" t="s">
        <v>1470</v>
      </c>
      <c r="G1539">
        <v>4</v>
      </c>
      <c r="H1539" s="1" t="s">
        <v>1494</v>
      </c>
      <c r="I1539" t="s">
        <v>1874</v>
      </c>
      <c r="J1539" s="1" t="s">
        <v>1456</v>
      </c>
      <c r="K1539" s="1" t="s">
        <v>1604</v>
      </c>
      <c r="L1539" s="1" t="s">
        <v>1729</v>
      </c>
      <c r="M1539" s="1" t="s">
        <v>1737</v>
      </c>
      <c r="N1539" t="s">
        <v>1979</v>
      </c>
      <c r="O1539" t="s">
        <v>2157</v>
      </c>
      <c r="P1539" t="s">
        <v>2157</v>
      </c>
      <c r="Q1539">
        <v>71.44</v>
      </c>
      <c r="R1539" s="1" t="s">
        <v>1839</v>
      </c>
      <c r="S1539">
        <v>365.99</v>
      </c>
      <c r="T1539">
        <v>26147</v>
      </c>
    </row>
    <row r="1540" spans="1:20" hidden="1" x14ac:dyDescent="0.4">
      <c r="A1540" s="1" t="s">
        <v>558</v>
      </c>
      <c r="B1540" s="1" t="s">
        <v>1457</v>
      </c>
      <c r="C1540" s="1" t="s">
        <v>1845</v>
      </c>
      <c r="D1540" s="1" t="s">
        <v>1731</v>
      </c>
      <c r="E1540">
        <v>20251217</v>
      </c>
      <c r="F1540" s="1" t="s">
        <v>1470</v>
      </c>
      <c r="G1540">
        <v>4</v>
      </c>
      <c r="H1540" s="1" t="s">
        <v>1494</v>
      </c>
      <c r="I1540" t="s">
        <v>1874</v>
      </c>
      <c r="J1540" s="1" t="s">
        <v>1456</v>
      </c>
      <c r="K1540" s="1" t="s">
        <v>1604</v>
      </c>
      <c r="L1540" s="1" t="s">
        <v>1729</v>
      </c>
      <c r="M1540" s="1" t="s">
        <v>1737</v>
      </c>
      <c r="N1540" t="s">
        <v>1979</v>
      </c>
      <c r="O1540" t="s">
        <v>2157</v>
      </c>
      <c r="P1540" t="s">
        <v>2157</v>
      </c>
      <c r="Q1540">
        <v>57</v>
      </c>
      <c r="R1540" s="1" t="s">
        <v>1839</v>
      </c>
      <c r="S1540">
        <v>366</v>
      </c>
      <c r="T1540">
        <v>20862</v>
      </c>
    </row>
    <row r="1541" spans="1:20" hidden="1" x14ac:dyDescent="0.4">
      <c r="A1541" s="1" t="s">
        <v>558</v>
      </c>
      <c r="B1541" s="1" t="s">
        <v>1458</v>
      </c>
      <c r="C1541" s="1" t="s">
        <v>1845</v>
      </c>
      <c r="D1541" s="1" t="s">
        <v>1731</v>
      </c>
      <c r="E1541">
        <v>20251217</v>
      </c>
      <c r="F1541" s="1" t="s">
        <v>1470</v>
      </c>
      <c r="G1541">
        <v>4</v>
      </c>
      <c r="H1541" s="1" t="s">
        <v>1494</v>
      </c>
      <c r="I1541" t="s">
        <v>1874</v>
      </c>
      <c r="J1541" s="1" t="s">
        <v>1456</v>
      </c>
      <c r="K1541" s="1" t="s">
        <v>1604</v>
      </c>
      <c r="L1541" s="1" t="s">
        <v>1729</v>
      </c>
      <c r="M1541" s="1" t="s">
        <v>1737</v>
      </c>
      <c r="N1541" t="s">
        <v>1979</v>
      </c>
      <c r="O1541" t="s">
        <v>2157</v>
      </c>
      <c r="P1541" t="s">
        <v>2157</v>
      </c>
      <c r="Q1541">
        <v>57</v>
      </c>
      <c r="R1541" s="1" t="s">
        <v>1839</v>
      </c>
      <c r="S1541">
        <v>366</v>
      </c>
      <c r="T1541">
        <v>20862</v>
      </c>
    </row>
    <row r="1542" spans="1:20" hidden="1" x14ac:dyDescent="0.4">
      <c r="A1542" s="1" t="s">
        <v>558</v>
      </c>
      <c r="B1542" s="1" t="s">
        <v>1459</v>
      </c>
      <c r="C1542" s="1" t="s">
        <v>1845</v>
      </c>
      <c r="D1542" s="1" t="s">
        <v>1731</v>
      </c>
      <c r="E1542">
        <v>20251217</v>
      </c>
      <c r="F1542" s="1" t="s">
        <v>1470</v>
      </c>
      <c r="G1542">
        <v>4</v>
      </c>
      <c r="H1542" s="1" t="s">
        <v>1494</v>
      </c>
      <c r="I1542" t="s">
        <v>1874</v>
      </c>
      <c r="J1542" s="1" t="s">
        <v>1456</v>
      </c>
      <c r="K1542" s="1" t="s">
        <v>1604</v>
      </c>
      <c r="L1542" s="1" t="s">
        <v>1729</v>
      </c>
      <c r="M1542" s="1" t="s">
        <v>1737</v>
      </c>
      <c r="N1542" t="s">
        <v>1979</v>
      </c>
      <c r="O1542" t="s">
        <v>2157</v>
      </c>
      <c r="P1542" t="s">
        <v>2157</v>
      </c>
      <c r="Q1542">
        <v>57</v>
      </c>
      <c r="R1542" s="1" t="s">
        <v>1839</v>
      </c>
      <c r="S1542">
        <v>366</v>
      </c>
      <c r="T1542">
        <v>20862</v>
      </c>
    </row>
    <row r="1543" spans="1:20" hidden="1" x14ac:dyDescent="0.4">
      <c r="A1543" s="1" t="s">
        <v>558</v>
      </c>
      <c r="B1543" s="1" t="s">
        <v>1460</v>
      </c>
      <c r="C1543" s="1" t="s">
        <v>1845</v>
      </c>
      <c r="D1543" s="1" t="s">
        <v>1731</v>
      </c>
      <c r="E1543">
        <v>20251217</v>
      </c>
      <c r="F1543" s="1" t="s">
        <v>1470</v>
      </c>
      <c r="G1543">
        <v>4</v>
      </c>
      <c r="H1543" s="1" t="s">
        <v>1494</v>
      </c>
      <c r="I1543" t="s">
        <v>1874</v>
      </c>
      <c r="J1543" s="1" t="s">
        <v>1456</v>
      </c>
      <c r="K1543" s="1" t="s">
        <v>1604</v>
      </c>
      <c r="L1543" s="1" t="s">
        <v>1729</v>
      </c>
      <c r="M1543" s="1" t="s">
        <v>1737</v>
      </c>
      <c r="N1543" t="s">
        <v>1979</v>
      </c>
      <c r="O1543" t="s">
        <v>2157</v>
      </c>
      <c r="P1543" t="s">
        <v>2157</v>
      </c>
      <c r="Q1543">
        <v>57</v>
      </c>
      <c r="R1543" s="1" t="s">
        <v>1839</v>
      </c>
      <c r="S1543">
        <v>366</v>
      </c>
      <c r="T1543">
        <v>20862</v>
      </c>
    </row>
    <row r="1544" spans="1:20" hidden="1" x14ac:dyDescent="0.4">
      <c r="A1544" s="1" t="s">
        <v>559</v>
      </c>
      <c r="B1544" s="1" t="s">
        <v>1453</v>
      </c>
      <c r="C1544" s="1" t="s">
        <v>1845</v>
      </c>
      <c r="D1544" s="1" t="s">
        <v>1731</v>
      </c>
      <c r="E1544">
        <v>20251217</v>
      </c>
      <c r="F1544" s="1" t="s">
        <v>1470</v>
      </c>
      <c r="G1544">
        <v>4</v>
      </c>
      <c r="H1544" s="1" t="s">
        <v>1494</v>
      </c>
      <c r="I1544" t="s">
        <v>1874</v>
      </c>
      <c r="J1544" s="1" t="s">
        <v>1456</v>
      </c>
      <c r="K1544" s="1" t="s">
        <v>1604</v>
      </c>
      <c r="L1544" s="1" t="s">
        <v>1729</v>
      </c>
      <c r="M1544" s="1" t="s">
        <v>1737</v>
      </c>
      <c r="N1544" t="s">
        <v>1979</v>
      </c>
      <c r="O1544" t="s">
        <v>2157</v>
      </c>
      <c r="P1544" t="s">
        <v>2157</v>
      </c>
      <c r="Q1544">
        <v>57</v>
      </c>
      <c r="R1544" s="1" t="s">
        <v>1839</v>
      </c>
      <c r="S1544">
        <v>366</v>
      </c>
      <c r="T1544">
        <v>20862</v>
      </c>
    </row>
    <row r="1545" spans="1:20" hidden="1" x14ac:dyDescent="0.4">
      <c r="A1545" s="1" t="s">
        <v>559</v>
      </c>
      <c r="B1545" s="1" t="s">
        <v>1454</v>
      </c>
      <c r="C1545" s="1" t="s">
        <v>1845</v>
      </c>
      <c r="D1545" s="1" t="s">
        <v>1731</v>
      </c>
      <c r="E1545">
        <v>20251217</v>
      </c>
      <c r="F1545" s="1" t="s">
        <v>1470</v>
      </c>
      <c r="G1545">
        <v>4</v>
      </c>
      <c r="H1545" s="1" t="s">
        <v>1494</v>
      </c>
      <c r="I1545" t="s">
        <v>1874</v>
      </c>
      <c r="J1545" s="1" t="s">
        <v>1456</v>
      </c>
      <c r="K1545" s="1" t="s">
        <v>1604</v>
      </c>
      <c r="L1545" s="1" t="s">
        <v>1729</v>
      </c>
      <c r="M1545" s="1" t="s">
        <v>1737</v>
      </c>
      <c r="N1545" t="s">
        <v>1979</v>
      </c>
      <c r="O1545" t="s">
        <v>2157</v>
      </c>
      <c r="P1545" t="s">
        <v>2157</v>
      </c>
      <c r="Q1545">
        <v>68.400000000000006</v>
      </c>
      <c r="R1545" s="1" t="s">
        <v>1839</v>
      </c>
      <c r="S1545">
        <v>365.99</v>
      </c>
      <c r="T1545">
        <v>25034</v>
      </c>
    </row>
    <row r="1546" spans="1:20" hidden="1" x14ac:dyDescent="0.4">
      <c r="A1546" s="1" t="s">
        <v>559</v>
      </c>
      <c r="B1546" s="1" t="s">
        <v>1455</v>
      </c>
      <c r="C1546" s="1" t="s">
        <v>1845</v>
      </c>
      <c r="D1546" s="1" t="s">
        <v>1731</v>
      </c>
      <c r="E1546">
        <v>20251217</v>
      </c>
      <c r="F1546" s="1" t="s">
        <v>1470</v>
      </c>
      <c r="G1546">
        <v>4</v>
      </c>
      <c r="H1546" s="1" t="s">
        <v>1494</v>
      </c>
      <c r="I1546" t="s">
        <v>1874</v>
      </c>
      <c r="J1546" s="1" t="s">
        <v>1456</v>
      </c>
      <c r="K1546" s="1" t="s">
        <v>1604</v>
      </c>
      <c r="L1546" s="1" t="s">
        <v>1729</v>
      </c>
      <c r="M1546" s="1" t="s">
        <v>1737</v>
      </c>
      <c r="N1546" t="s">
        <v>1979</v>
      </c>
      <c r="O1546" t="s">
        <v>2157</v>
      </c>
      <c r="P1546" t="s">
        <v>2157</v>
      </c>
      <c r="Q1546">
        <v>57</v>
      </c>
      <c r="R1546" s="1" t="s">
        <v>1839</v>
      </c>
      <c r="S1546">
        <v>366</v>
      </c>
      <c r="T1546">
        <v>20862</v>
      </c>
    </row>
    <row r="1547" spans="1:20" hidden="1" x14ac:dyDescent="0.4">
      <c r="A1547" s="1" t="s">
        <v>559</v>
      </c>
      <c r="B1547" s="1" t="s">
        <v>1456</v>
      </c>
      <c r="C1547" s="1" t="s">
        <v>1845</v>
      </c>
      <c r="D1547" s="1" t="s">
        <v>1731</v>
      </c>
      <c r="E1547">
        <v>20251217</v>
      </c>
      <c r="F1547" s="1" t="s">
        <v>1470</v>
      </c>
      <c r="G1547">
        <v>4</v>
      </c>
      <c r="H1547" s="1" t="s">
        <v>1494</v>
      </c>
      <c r="I1547" t="s">
        <v>1874</v>
      </c>
      <c r="J1547" s="1" t="s">
        <v>1456</v>
      </c>
      <c r="K1547" s="1" t="s">
        <v>1604</v>
      </c>
      <c r="L1547" s="1" t="s">
        <v>1729</v>
      </c>
      <c r="M1547" s="1" t="s">
        <v>1737</v>
      </c>
      <c r="N1547" t="s">
        <v>1979</v>
      </c>
      <c r="O1547" t="s">
        <v>2157</v>
      </c>
      <c r="P1547" t="s">
        <v>2157</v>
      </c>
      <c r="Q1547">
        <v>57</v>
      </c>
      <c r="R1547" s="1" t="s">
        <v>1839</v>
      </c>
      <c r="S1547">
        <v>366</v>
      </c>
      <c r="T1547">
        <v>20862</v>
      </c>
    </row>
    <row r="1548" spans="1:20" hidden="1" x14ac:dyDescent="0.4">
      <c r="A1548" s="1" t="s">
        <v>559</v>
      </c>
      <c r="B1548" s="1" t="s">
        <v>1457</v>
      </c>
      <c r="C1548" s="1" t="s">
        <v>1845</v>
      </c>
      <c r="D1548" s="1" t="s">
        <v>1731</v>
      </c>
      <c r="E1548">
        <v>20251217</v>
      </c>
      <c r="F1548" s="1" t="s">
        <v>1470</v>
      </c>
      <c r="G1548">
        <v>4</v>
      </c>
      <c r="H1548" s="1" t="s">
        <v>1494</v>
      </c>
      <c r="I1548" t="s">
        <v>1874</v>
      </c>
      <c r="J1548" s="1" t="s">
        <v>1456</v>
      </c>
      <c r="K1548" s="1" t="s">
        <v>1604</v>
      </c>
      <c r="L1548" s="1" t="s">
        <v>1729</v>
      </c>
      <c r="M1548" s="1" t="s">
        <v>1737</v>
      </c>
      <c r="N1548" t="s">
        <v>1979</v>
      </c>
      <c r="O1548" t="s">
        <v>2157</v>
      </c>
      <c r="P1548" t="s">
        <v>2157</v>
      </c>
      <c r="Q1548">
        <v>57</v>
      </c>
      <c r="R1548" s="1" t="s">
        <v>1839</v>
      </c>
      <c r="S1548">
        <v>366</v>
      </c>
      <c r="T1548">
        <v>20862</v>
      </c>
    </row>
    <row r="1549" spans="1:20" hidden="1" x14ac:dyDescent="0.4">
      <c r="A1549" s="1" t="s">
        <v>559</v>
      </c>
      <c r="B1549" s="1" t="s">
        <v>1458</v>
      </c>
      <c r="C1549" s="1" t="s">
        <v>1845</v>
      </c>
      <c r="D1549" s="1" t="s">
        <v>1731</v>
      </c>
      <c r="E1549">
        <v>20251217</v>
      </c>
      <c r="F1549" s="1" t="s">
        <v>1470</v>
      </c>
      <c r="G1549">
        <v>4</v>
      </c>
      <c r="H1549" s="1" t="s">
        <v>1494</v>
      </c>
      <c r="I1549" t="s">
        <v>1874</v>
      </c>
      <c r="J1549" s="1" t="s">
        <v>1456</v>
      </c>
      <c r="K1549" s="1" t="s">
        <v>1604</v>
      </c>
      <c r="L1549" s="1" t="s">
        <v>1729</v>
      </c>
      <c r="M1549" s="1" t="s">
        <v>1737</v>
      </c>
      <c r="N1549" t="s">
        <v>1979</v>
      </c>
      <c r="O1549" t="s">
        <v>2157</v>
      </c>
      <c r="P1549" t="s">
        <v>2157</v>
      </c>
      <c r="Q1549">
        <v>57</v>
      </c>
      <c r="R1549" s="1" t="s">
        <v>1839</v>
      </c>
      <c r="S1549">
        <v>366</v>
      </c>
      <c r="T1549">
        <v>20862</v>
      </c>
    </row>
    <row r="1550" spans="1:20" hidden="1" x14ac:dyDescent="0.4">
      <c r="A1550" s="1" t="s">
        <v>559</v>
      </c>
      <c r="B1550" s="1" t="s">
        <v>1459</v>
      </c>
      <c r="C1550" s="1" t="s">
        <v>1845</v>
      </c>
      <c r="D1550" s="1" t="s">
        <v>1731</v>
      </c>
      <c r="E1550">
        <v>20251217</v>
      </c>
      <c r="F1550" s="1" t="s">
        <v>1470</v>
      </c>
      <c r="G1550">
        <v>4</v>
      </c>
      <c r="H1550" s="1" t="s">
        <v>1494</v>
      </c>
      <c r="I1550" t="s">
        <v>1874</v>
      </c>
      <c r="J1550" s="1" t="s">
        <v>1456</v>
      </c>
      <c r="K1550" s="1" t="s">
        <v>1604</v>
      </c>
      <c r="L1550" s="1" t="s">
        <v>1729</v>
      </c>
      <c r="M1550" s="1" t="s">
        <v>1737</v>
      </c>
      <c r="N1550" t="s">
        <v>1979</v>
      </c>
      <c r="O1550" t="s">
        <v>2157</v>
      </c>
      <c r="P1550" t="s">
        <v>2157</v>
      </c>
      <c r="Q1550">
        <v>57</v>
      </c>
      <c r="R1550" s="1" t="s">
        <v>1839</v>
      </c>
      <c r="S1550">
        <v>366</v>
      </c>
      <c r="T1550">
        <v>20862</v>
      </c>
    </row>
    <row r="1551" spans="1:20" hidden="1" x14ac:dyDescent="0.4">
      <c r="A1551" s="1" t="s">
        <v>559</v>
      </c>
      <c r="B1551" s="1" t="s">
        <v>1460</v>
      </c>
      <c r="C1551" s="1" t="s">
        <v>1845</v>
      </c>
      <c r="D1551" s="1" t="s">
        <v>1731</v>
      </c>
      <c r="E1551">
        <v>20251217</v>
      </c>
      <c r="F1551" s="1" t="s">
        <v>1470</v>
      </c>
      <c r="G1551">
        <v>4</v>
      </c>
      <c r="H1551" s="1" t="s">
        <v>1494</v>
      </c>
      <c r="I1551" t="s">
        <v>1874</v>
      </c>
      <c r="J1551" s="1" t="s">
        <v>1456</v>
      </c>
      <c r="K1551" s="1" t="s">
        <v>1604</v>
      </c>
      <c r="L1551" s="1" t="s">
        <v>1729</v>
      </c>
      <c r="M1551" s="1" t="s">
        <v>1737</v>
      </c>
      <c r="N1551" t="s">
        <v>1979</v>
      </c>
      <c r="O1551" t="s">
        <v>2157</v>
      </c>
      <c r="P1551" t="s">
        <v>2157</v>
      </c>
      <c r="Q1551">
        <v>68.400000000000006</v>
      </c>
      <c r="R1551" s="1" t="s">
        <v>1839</v>
      </c>
      <c r="S1551">
        <v>365.99</v>
      </c>
      <c r="T1551">
        <v>25034</v>
      </c>
    </row>
    <row r="1552" spans="1:20" hidden="1" x14ac:dyDescent="0.4">
      <c r="A1552" s="1" t="s">
        <v>560</v>
      </c>
      <c r="B1552" s="1" t="s">
        <v>1453</v>
      </c>
      <c r="C1552" s="1" t="s">
        <v>1845</v>
      </c>
      <c r="D1552" s="1" t="s">
        <v>1731</v>
      </c>
      <c r="E1552">
        <v>20251217</v>
      </c>
      <c r="F1552" s="1" t="s">
        <v>1470</v>
      </c>
      <c r="G1552">
        <v>4</v>
      </c>
      <c r="H1552" s="1" t="s">
        <v>1494</v>
      </c>
      <c r="I1552" t="s">
        <v>1874</v>
      </c>
      <c r="J1552" s="1" t="s">
        <v>1456</v>
      </c>
      <c r="K1552" s="1" t="s">
        <v>1604</v>
      </c>
      <c r="L1552" s="1" t="s">
        <v>1729</v>
      </c>
      <c r="M1552" s="1" t="s">
        <v>1737</v>
      </c>
      <c r="N1552" t="s">
        <v>1979</v>
      </c>
      <c r="O1552" t="s">
        <v>2157</v>
      </c>
      <c r="P1552" t="s">
        <v>2157</v>
      </c>
      <c r="Q1552">
        <v>57</v>
      </c>
      <c r="R1552" s="1" t="s">
        <v>1839</v>
      </c>
      <c r="S1552">
        <v>366</v>
      </c>
      <c r="T1552">
        <v>20862</v>
      </c>
    </row>
    <row r="1553" spans="1:20" hidden="1" x14ac:dyDescent="0.4">
      <c r="A1553" s="1" t="s">
        <v>560</v>
      </c>
      <c r="B1553" s="1" t="s">
        <v>1454</v>
      </c>
      <c r="C1553" s="1" t="s">
        <v>1845</v>
      </c>
      <c r="D1553" s="1" t="s">
        <v>1731</v>
      </c>
      <c r="E1553">
        <v>20251217</v>
      </c>
      <c r="F1553" s="1" t="s">
        <v>1470</v>
      </c>
      <c r="G1553">
        <v>4</v>
      </c>
      <c r="H1553" s="1" t="s">
        <v>1494</v>
      </c>
      <c r="I1553" t="s">
        <v>1874</v>
      </c>
      <c r="J1553" s="1" t="s">
        <v>1456</v>
      </c>
      <c r="K1553" s="1" t="s">
        <v>1604</v>
      </c>
      <c r="L1553" s="1" t="s">
        <v>1729</v>
      </c>
      <c r="M1553" s="1" t="s">
        <v>1737</v>
      </c>
      <c r="N1553" t="s">
        <v>1979</v>
      </c>
      <c r="O1553" t="s">
        <v>2157</v>
      </c>
      <c r="P1553" t="s">
        <v>2157</v>
      </c>
      <c r="Q1553">
        <v>57</v>
      </c>
      <c r="R1553" s="1" t="s">
        <v>1839</v>
      </c>
      <c r="S1553">
        <v>366</v>
      </c>
      <c r="T1553">
        <v>20862</v>
      </c>
    </row>
    <row r="1554" spans="1:20" hidden="1" x14ac:dyDescent="0.4">
      <c r="A1554" s="1" t="s">
        <v>560</v>
      </c>
      <c r="B1554" s="1" t="s">
        <v>1455</v>
      </c>
      <c r="C1554" s="1" t="s">
        <v>1845</v>
      </c>
      <c r="D1554" s="1" t="s">
        <v>1731</v>
      </c>
      <c r="E1554">
        <v>20251217</v>
      </c>
      <c r="F1554" s="1" t="s">
        <v>1470</v>
      </c>
      <c r="G1554">
        <v>4</v>
      </c>
      <c r="H1554" s="1" t="s">
        <v>1494</v>
      </c>
      <c r="I1554" t="s">
        <v>1874</v>
      </c>
      <c r="J1554" s="1" t="s">
        <v>1456</v>
      </c>
      <c r="K1554" s="1" t="s">
        <v>1604</v>
      </c>
      <c r="L1554" s="1" t="s">
        <v>1729</v>
      </c>
      <c r="M1554" s="1" t="s">
        <v>1737</v>
      </c>
      <c r="N1554" t="s">
        <v>1979</v>
      </c>
      <c r="O1554" t="s">
        <v>2157</v>
      </c>
      <c r="P1554" t="s">
        <v>2157</v>
      </c>
      <c r="Q1554">
        <v>57</v>
      </c>
      <c r="R1554" s="1" t="s">
        <v>1839</v>
      </c>
      <c r="S1554">
        <v>366</v>
      </c>
      <c r="T1554">
        <v>20862</v>
      </c>
    </row>
    <row r="1555" spans="1:20" hidden="1" x14ac:dyDescent="0.4">
      <c r="A1555" s="1" t="s">
        <v>560</v>
      </c>
      <c r="B1555" s="1" t="s">
        <v>1456</v>
      </c>
      <c r="C1555" s="1" t="s">
        <v>1845</v>
      </c>
      <c r="D1555" s="1" t="s">
        <v>1731</v>
      </c>
      <c r="E1555">
        <v>20251217</v>
      </c>
      <c r="F1555" s="1" t="s">
        <v>1470</v>
      </c>
      <c r="G1555">
        <v>4</v>
      </c>
      <c r="H1555" s="1" t="s">
        <v>1494</v>
      </c>
      <c r="I1555" t="s">
        <v>1874</v>
      </c>
      <c r="J1555" s="1" t="s">
        <v>1456</v>
      </c>
      <c r="K1555" s="1" t="s">
        <v>1604</v>
      </c>
      <c r="L1555" s="1" t="s">
        <v>1729</v>
      </c>
      <c r="M1555" s="1" t="s">
        <v>1737</v>
      </c>
      <c r="N1555" t="s">
        <v>1979</v>
      </c>
      <c r="O1555" t="s">
        <v>2157</v>
      </c>
      <c r="P1555" t="s">
        <v>2157</v>
      </c>
      <c r="Q1555">
        <v>49.4</v>
      </c>
      <c r="R1555" s="1" t="s">
        <v>1839</v>
      </c>
      <c r="S1555">
        <v>365.99</v>
      </c>
      <c r="T1555">
        <v>18080</v>
      </c>
    </row>
    <row r="1556" spans="1:20" hidden="1" x14ac:dyDescent="0.4">
      <c r="A1556" s="1" t="s">
        <v>560</v>
      </c>
      <c r="B1556" s="1" t="s">
        <v>1457</v>
      </c>
      <c r="C1556" s="1" t="s">
        <v>1845</v>
      </c>
      <c r="D1556" s="1" t="s">
        <v>1731</v>
      </c>
      <c r="E1556">
        <v>20251217</v>
      </c>
      <c r="F1556" s="1" t="s">
        <v>1470</v>
      </c>
      <c r="G1556">
        <v>4</v>
      </c>
      <c r="H1556" s="1" t="s">
        <v>1494</v>
      </c>
      <c r="I1556" t="s">
        <v>1874</v>
      </c>
      <c r="J1556" s="1" t="s">
        <v>1456</v>
      </c>
      <c r="K1556" s="1" t="s">
        <v>1604</v>
      </c>
      <c r="L1556" s="1" t="s">
        <v>1729</v>
      </c>
      <c r="M1556" s="1" t="s">
        <v>1737</v>
      </c>
      <c r="N1556" t="s">
        <v>1979</v>
      </c>
      <c r="O1556" t="s">
        <v>2157</v>
      </c>
      <c r="P1556" t="s">
        <v>2157</v>
      </c>
      <c r="Q1556">
        <v>57</v>
      </c>
      <c r="R1556" s="1" t="s">
        <v>1839</v>
      </c>
      <c r="S1556">
        <v>366</v>
      </c>
      <c r="T1556">
        <v>20862</v>
      </c>
    </row>
    <row r="1557" spans="1:20" hidden="1" x14ac:dyDescent="0.4">
      <c r="A1557" s="1" t="s">
        <v>560</v>
      </c>
      <c r="B1557" s="1" t="s">
        <v>1458</v>
      </c>
      <c r="C1557" s="1" t="s">
        <v>1845</v>
      </c>
      <c r="D1557" s="1" t="s">
        <v>1731</v>
      </c>
      <c r="E1557">
        <v>20251217</v>
      </c>
      <c r="F1557" s="1" t="s">
        <v>1470</v>
      </c>
      <c r="G1557">
        <v>4</v>
      </c>
      <c r="H1557" s="1" t="s">
        <v>1494</v>
      </c>
      <c r="I1557" t="s">
        <v>1874</v>
      </c>
      <c r="J1557" s="1" t="s">
        <v>1456</v>
      </c>
      <c r="K1557" s="1" t="s">
        <v>1604</v>
      </c>
      <c r="L1557" s="1" t="s">
        <v>1729</v>
      </c>
      <c r="M1557" s="1" t="s">
        <v>1737</v>
      </c>
      <c r="N1557" t="s">
        <v>1979</v>
      </c>
      <c r="O1557" t="s">
        <v>2157</v>
      </c>
      <c r="P1557" t="s">
        <v>2157</v>
      </c>
      <c r="Q1557">
        <v>57</v>
      </c>
      <c r="R1557" s="1" t="s">
        <v>1839</v>
      </c>
      <c r="S1557">
        <v>366</v>
      </c>
      <c r="T1557">
        <v>20862</v>
      </c>
    </row>
    <row r="1558" spans="1:20" hidden="1" x14ac:dyDescent="0.4">
      <c r="A1558" s="1" t="s">
        <v>560</v>
      </c>
      <c r="B1558" s="1" t="s">
        <v>1459</v>
      </c>
      <c r="C1558" s="1" t="s">
        <v>1845</v>
      </c>
      <c r="D1558" s="1" t="s">
        <v>1731</v>
      </c>
      <c r="E1558">
        <v>20251217</v>
      </c>
      <c r="F1558" s="1" t="s">
        <v>1470</v>
      </c>
      <c r="G1558">
        <v>4</v>
      </c>
      <c r="H1558" s="1" t="s">
        <v>1494</v>
      </c>
      <c r="I1558" t="s">
        <v>1874</v>
      </c>
      <c r="J1558" s="1" t="s">
        <v>1456</v>
      </c>
      <c r="K1558" s="1" t="s">
        <v>1604</v>
      </c>
      <c r="L1558" s="1" t="s">
        <v>1729</v>
      </c>
      <c r="M1558" s="1" t="s">
        <v>1737</v>
      </c>
      <c r="N1558" t="s">
        <v>1979</v>
      </c>
      <c r="O1558" t="s">
        <v>2157</v>
      </c>
      <c r="P1558" t="s">
        <v>2157</v>
      </c>
      <c r="Q1558">
        <v>57</v>
      </c>
      <c r="R1558" s="1" t="s">
        <v>1839</v>
      </c>
      <c r="S1558">
        <v>366</v>
      </c>
      <c r="T1558">
        <v>20862</v>
      </c>
    </row>
    <row r="1559" spans="1:20" hidden="1" x14ac:dyDescent="0.4">
      <c r="A1559" s="1" t="s">
        <v>560</v>
      </c>
      <c r="B1559" s="1" t="s">
        <v>1460</v>
      </c>
      <c r="C1559" s="1" t="s">
        <v>1845</v>
      </c>
      <c r="D1559" s="1" t="s">
        <v>1731</v>
      </c>
      <c r="E1559">
        <v>20251217</v>
      </c>
      <c r="F1559" s="1" t="s">
        <v>1470</v>
      </c>
      <c r="G1559">
        <v>4</v>
      </c>
      <c r="H1559" s="1" t="s">
        <v>1494</v>
      </c>
      <c r="I1559" t="s">
        <v>1874</v>
      </c>
      <c r="J1559" s="1" t="s">
        <v>1456</v>
      </c>
      <c r="K1559" s="1" t="s">
        <v>1604</v>
      </c>
      <c r="L1559" s="1" t="s">
        <v>1729</v>
      </c>
      <c r="M1559" s="1" t="s">
        <v>1737</v>
      </c>
      <c r="N1559" t="s">
        <v>1979</v>
      </c>
      <c r="O1559" t="s">
        <v>2157</v>
      </c>
      <c r="P1559" t="s">
        <v>2157</v>
      </c>
      <c r="Q1559">
        <v>49.02</v>
      </c>
      <c r="R1559" s="1" t="s">
        <v>1839</v>
      </c>
      <c r="S1559">
        <v>365.99</v>
      </c>
      <c r="T1559">
        <v>17941</v>
      </c>
    </row>
    <row r="1560" spans="1:20" hidden="1" x14ac:dyDescent="0.4">
      <c r="A1560" s="1" t="s">
        <v>561</v>
      </c>
      <c r="B1560" s="1" t="s">
        <v>1453</v>
      </c>
      <c r="C1560" s="1" t="s">
        <v>1845</v>
      </c>
      <c r="D1560" s="1" t="s">
        <v>1731</v>
      </c>
      <c r="E1560">
        <v>20251218</v>
      </c>
      <c r="F1560" s="1" t="s">
        <v>1470</v>
      </c>
      <c r="G1560">
        <v>4</v>
      </c>
      <c r="H1560" s="1" t="s">
        <v>1490</v>
      </c>
      <c r="I1560" t="s">
        <v>1870</v>
      </c>
      <c r="J1560" s="1" t="s">
        <v>1456</v>
      </c>
      <c r="K1560" s="1" t="s">
        <v>1570</v>
      </c>
      <c r="L1560" s="1" t="s">
        <v>1729</v>
      </c>
      <c r="M1560" s="1" t="s">
        <v>1742</v>
      </c>
      <c r="N1560" t="s">
        <v>1943</v>
      </c>
      <c r="O1560" t="s">
        <v>2157</v>
      </c>
      <c r="P1560" t="s">
        <v>3043</v>
      </c>
      <c r="Q1560">
        <v>10</v>
      </c>
      <c r="R1560" s="1" t="s">
        <v>1718</v>
      </c>
      <c r="S1560">
        <v>16304</v>
      </c>
      <c r="T1560">
        <v>163040</v>
      </c>
    </row>
    <row r="1561" spans="1:20" hidden="1" x14ac:dyDescent="0.4">
      <c r="A1561" s="1" t="s">
        <v>562</v>
      </c>
      <c r="B1561" s="1" t="s">
        <v>1453</v>
      </c>
      <c r="C1561" s="1" t="s">
        <v>1845</v>
      </c>
      <c r="D1561" s="1" t="s">
        <v>1462</v>
      </c>
      <c r="E1561">
        <v>20251210</v>
      </c>
      <c r="F1561" s="1" t="s">
        <v>1471</v>
      </c>
      <c r="G1561">
        <v>4</v>
      </c>
      <c r="H1561" s="1" t="s">
        <v>1498</v>
      </c>
      <c r="I1561" t="s">
        <v>1878</v>
      </c>
      <c r="J1561" s="1" t="s">
        <v>1460</v>
      </c>
      <c r="K1561" s="1" t="s">
        <v>1629</v>
      </c>
      <c r="L1561" s="1" t="s">
        <v>1731</v>
      </c>
      <c r="M1561" s="1" t="s">
        <v>1809</v>
      </c>
      <c r="N1561" t="s">
        <v>2038</v>
      </c>
      <c r="O1561" t="s">
        <v>2178</v>
      </c>
      <c r="P1561" t="s">
        <v>3184</v>
      </c>
      <c r="Q1561">
        <v>250</v>
      </c>
      <c r="R1561" s="1" t="s">
        <v>1463</v>
      </c>
      <c r="S1561">
        <v>527</v>
      </c>
      <c r="T1561">
        <v>131750</v>
      </c>
    </row>
    <row r="1562" spans="1:20" hidden="1" x14ac:dyDescent="0.4">
      <c r="A1562" s="1" t="s">
        <v>563</v>
      </c>
      <c r="B1562" s="1" t="s">
        <v>1453</v>
      </c>
      <c r="C1562" s="1" t="s">
        <v>1845</v>
      </c>
      <c r="D1562" s="1" t="s">
        <v>1462</v>
      </c>
      <c r="E1562">
        <v>20251217</v>
      </c>
      <c r="F1562" s="1" t="s">
        <v>1471</v>
      </c>
      <c r="G1562">
        <v>4</v>
      </c>
      <c r="H1562" s="1" t="s">
        <v>1498</v>
      </c>
      <c r="I1562" t="s">
        <v>1878</v>
      </c>
      <c r="J1562" s="1" t="s">
        <v>1460</v>
      </c>
      <c r="K1562" s="1" t="s">
        <v>1651</v>
      </c>
      <c r="L1562" s="1" t="s">
        <v>1731</v>
      </c>
      <c r="M1562" s="1" t="s">
        <v>1737</v>
      </c>
      <c r="N1562" t="s">
        <v>2035</v>
      </c>
      <c r="O1562" t="s">
        <v>2178</v>
      </c>
      <c r="P1562" t="s">
        <v>2157</v>
      </c>
      <c r="Q1562">
        <v>50</v>
      </c>
      <c r="R1562" s="1" t="s">
        <v>1463</v>
      </c>
      <c r="S1562">
        <v>2597</v>
      </c>
      <c r="T1562">
        <v>129850</v>
      </c>
    </row>
    <row r="1563" spans="1:20" hidden="1" x14ac:dyDescent="0.4">
      <c r="A1563" s="1" t="s">
        <v>564</v>
      </c>
      <c r="B1563" s="1" t="s">
        <v>1453</v>
      </c>
      <c r="C1563" s="1" t="s">
        <v>1845</v>
      </c>
      <c r="D1563" s="1" t="s">
        <v>1464</v>
      </c>
      <c r="E1563">
        <v>20251218</v>
      </c>
      <c r="F1563" s="1" t="s">
        <v>1471</v>
      </c>
      <c r="G1563">
        <v>4</v>
      </c>
      <c r="H1563" s="1" t="s">
        <v>1506</v>
      </c>
      <c r="I1563" t="s">
        <v>1886</v>
      </c>
      <c r="J1563" s="1" t="s">
        <v>1460</v>
      </c>
      <c r="K1563" s="1" t="s">
        <v>1673</v>
      </c>
      <c r="L1563" s="1" t="s">
        <v>1733</v>
      </c>
      <c r="M1563" s="1" t="s">
        <v>1814</v>
      </c>
      <c r="N1563" t="s">
        <v>2064</v>
      </c>
      <c r="O1563" t="s">
        <v>2162</v>
      </c>
      <c r="P1563" t="s">
        <v>3195</v>
      </c>
      <c r="Q1563">
        <v>1483.6</v>
      </c>
      <c r="R1563" s="1" t="s">
        <v>1463</v>
      </c>
      <c r="S1563">
        <v>370</v>
      </c>
      <c r="T1563">
        <v>548932</v>
      </c>
    </row>
    <row r="1564" spans="1:20" hidden="1" x14ac:dyDescent="0.4">
      <c r="A1564" s="1" t="s">
        <v>565</v>
      </c>
      <c r="B1564" s="1" t="s">
        <v>1453</v>
      </c>
      <c r="C1564" s="1" t="s">
        <v>1845</v>
      </c>
      <c r="D1564" s="1" t="s">
        <v>1731</v>
      </c>
      <c r="E1564">
        <v>20251219</v>
      </c>
      <c r="F1564" s="1" t="s">
        <v>1470</v>
      </c>
      <c r="G1564">
        <v>4</v>
      </c>
      <c r="H1564" s="1" t="s">
        <v>1490</v>
      </c>
      <c r="I1564" t="s">
        <v>1870</v>
      </c>
      <c r="J1564" s="1" t="s">
        <v>1456</v>
      </c>
      <c r="K1564" s="1" t="s">
        <v>1552</v>
      </c>
      <c r="L1564" s="1" t="s">
        <v>1729</v>
      </c>
      <c r="M1564" s="1" t="s">
        <v>1735</v>
      </c>
      <c r="N1564" t="s">
        <v>1924</v>
      </c>
      <c r="O1564" t="s">
        <v>2157</v>
      </c>
      <c r="P1564" t="s">
        <v>3037</v>
      </c>
      <c r="Q1564">
        <v>6</v>
      </c>
      <c r="R1564" s="1" t="s">
        <v>1839</v>
      </c>
      <c r="S1564">
        <v>9223</v>
      </c>
      <c r="T1564">
        <v>55338</v>
      </c>
    </row>
    <row r="1565" spans="1:20" hidden="1" x14ac:dyDescent="0.4">
      <c r="A1565" s="1" t="s">
        <v>565</v>
      </c>
      <c r="B1565" s="1" t="s">
        <v>1454</v>
      </c>
      <c r="C1565" s="1" t="s">
        <v>1845</v>
      </c>
      <c r="D1565" s="1" t="s">
        <v>1731</v>
      </c>
      <c r="E1565">
        <v>20251219</v>
      </c>
      <c r="F1565" s="1" t="s">
        <v>1470</v>
      </c>
      <c r="G1565">
        <v>4</v>
      </c>
      <c r="H1565" s="1" t="s">
        <v>1490</v>
      </c>
      <c r="I1565" t="s">
        <v>1870</v>
      </c>
      <c r="J1565" s="1" t="s">
        <v>1456</v>
      </c>
      <c r="K1565" s="1" t="s">
        <v>1553</v>
      </c>
      <c r="L1565" s="1" t="s">
        <v>1729</v>
      </c>
      <c r="M1565" s="1" t="s">
        <v>1745</v>
      </c>
      <c r="N1565" t="s">
        <v>1925</v>
      </c>
      <c r="O1565" t="s">
        <v>2157</v>
      </c>
      <c r="P1565" t="s">
        <v>3046</v>
      </c>
      <c r="Q1565">
        <v>2</v>
      </c>
      <c r="R1565" s="1" t="s">
        <v>1718</v>
      </c>
      <c r="S1565">
        <v>6166</v>
      </c>
      <c r="T1565">
        <v>12332</v>
      </c>
    </row>
    <row r="1566" spans="1:20" hidden="1" x14ac:dyDescent="0.4">
      <c r="A1566" s="1" t="s">
        <v>565</v>
      </c>
      <c r="B1566" s="1" t="s">
        <v>1455</v>
      </c>
      <c r="C1566" s="1" t="s">
        <v>1845</v>
      </c>
      <c r="D1566" s="1" t="s">
        <v>1731</v>
      </c>
      <c r="E1566">
        <v>20251219</v>
      </c>
      <c r="F1566" s="1" t="s">
        <v>1470</v>
      </c>
      <c r="G1566">
        <v>4</v>
      </c>
      <c r="H1566" s="1" t="s">
        <v>1490</v>
      </c>
      <c r="I1566" t="s">
        <v>1870</v>
      </c>
      <c r="J1566" s="1" t="s">
        <v>1456</v>
      </c>
      <c r="K1566" s="1" t="s">
        <v>1553</v>
      </c>
      <c r="L1566" s="1" t="s">
        <v>1729</v>
      </c>
      <c r="M1566" s="1" t="s">
        <v>1736</v>
      </c>
      <c r="N1566" t="s">
        <v>1925</v>
      </c>
      <c r="O1566" t="s">
        <v>2157</v>
      </c>
      <c r="P1566" t="s">
        <v>3038</v>
      </c>
      <c r="Q1566">
        <v>6</v>
      </c>
      <c r="R1566" s="1" t="s">
        <v>1718</v>
      </c>
      <c r="S1566">
        <v>9044.33</v>
      </c>
      <c r="T1566">
        <v>54266</v>
      </c>
    </row>
    <row r="1567" spans="1:20" hidden="1" x14ac:dyDescent="0.4">
      <c r="A1567" s="1" t="s">
        <v>565</v>
      </c>
      <c r="B1567" s="1" t="s">
        <v>1456</v>
      </c>
      <c r="C1567" s="1" t="s">
        <v>1845</v>
      </c>
      <c r="D1567" s="1" t="s">
        <v>1731</v>
      </c>
      <c r="E1567">
        <v>20251219</v>
      </c>
      <c r="F1567" s="1" t="s">
        <v>1470</v>
      </c>
      <c r="G1567">
        <v>4</v>
      </c>
      <c r="H1567" s="1" t="s">
        <v>1490</v>
      </c>
      <c r="I1567" t="s">
        <v>1870</v>
      </c>
      <c r="J1567" s="1" t="s">
        <v>1456</v>
      </c>
      <c r="K1567" s="1" t="s">
        <v>1553</v>
      </c>
      <c r="L1567" s="1" t="s">
        <v>1729</v>
      </c>
      <c r="M1567" s="1" t="s">
        <v>1740</v>
      </c>
      <c r="N1567" t="s">
        <v>1925</v>
      </c>
      <c r="O1567" t="s">
        <v>2157</v>
      </c>
      <c r="P1567" t="s">
        <v>3041</v>
      </c>
      <c r="Q1567">
        <v>4</v>
      </c>
      <c r="R1567" s="1" t="s">
        <v>1718</v>
      </c>
      <c r="S1567">
        <v>31590</v>
      </c>
      <c r="T1567">
        <v>126360</v>
      </c>
    </row>
    <row r="1568" spans="1:20" hidden="1" x14ac:dyDescent="0.4">
      <c r="A1568" s="1" t="s">
        <v>565</v>
      </c>
      <c r="B1568" s="1" t="s">
        <v>1457</v>
      </c>
      <c r="C1568" s="1" t="s">
        <v>1845</v>
      </c>
      <c r="D1568" s="1" t="s">
        <v>1731</v>
      </c>
      <c r="E1568">
        <v>20251219</v>
      </c>
      <c r="F1568" s="1" t="s">
        <v>1470</v>
      </c>
      <c r="G1568">
        <v>4</v>
      </c>
      <c r="H1568" s="1" t="s">
        <v>1490</v>
      </c>
      <c r="I1568" t="s">
        <v>1870</v>
      </c>
      <c r="J1568" s="1" t="s">
        <v>1456</v>
      </c>
      <c r="K1568" s="1" t="s">
        <v>1553</v>
      </c>
      <c r="L1568" s="1" t="s">
        <v>1729</v>
      </c>
      <c r="M1568" s="1" t="s">
        <v>1746</v>
      </c>
      <c r="N1568" t="s">
        <v>1925</v>
      </c>
      <c r="O1568" t="s">
        <v>2157</v>
      </c>
      <c r="P1568" t="s">
        <v>3047</v>
      </c>
      <c r="Q1568">
        <v>4</v>
      </c>
      <c r="R1568" s="1" t="s">
        <v>1718</v>
      </c>
      <c r="S1568">
        <v>11488</v>
      </c>
      <c r="T1568">
        <v>45952</v>
      </c>
    </row>
    <row r="1569" spans="1:20" hidden="1" x14ac:dyDescent="0.4">
      <c r="A1569" s="1" t="s">
        <v>565</v>
      </c>
      <c r="B1569" s="1" t="s">
        <v>1458</v>
      </c>
      <c r="C1569" s="1" t="s">
        <v>1845</v>
      </c>
      <c r="D1569" s="1" t="s">
        <v>1731</v>
      </c>
      <c r="E1569">
        <v>20251219</v>
      </c>
      <c r="F1569" s="1" t="s">
        <v>1470</v>
      </c>
      <c r="G1569">
        <v>4</v>
      </c>
      <c r="H1569" s="1" t="s">
        <v>1490</v>
      </c>
      <c r="I1569" t="s">
        <v>1870</v>
      </c>
      <c r="J1569" s="1" t="s">
        <v>1456</v>
      </c>
      <c r="K1569" s="1" t="s">
        <v>1554</v>
      </c>
      <c r="L1569" s="1" t="s">
        <v>1729</v>
      </c>
      <c r="M1569" s="1" t="s">
        <v>1737</v>
      </c>
      <c r="N1569" t="s">
        <v>1926</v>
      </c>
      <c r="O1569" t="s">
        <v>2157</v>
      </c>
      <c r="P1569" t="s">
        <v>2157</v>
      </c>
      <c r="Q1569">
        <v>34</v>
      </c>
      <c r="R1569" s="1" t="s">
        <v>1718</v>
      </c>
      <c r="S1569">
        <v>16030.61</v>
      </c>
      <c r="T1569">
        <v>545041</v>
      </c>
    </row>
    <row r="1570" spans="1:20" hidden="1" x14ac:dyDescent="0.4">
      <c r="A1570" s="1" t="s">
        <v>566</v>
      </c>
      <c r="B1570" s="1" t="s">
        <v>1453</v>
      </c>
      <c r="C1570" s="1" t="s">
        <v>1845</v>
      </c>
      <c r="D1570" s="1" t="s">
        <v>1731</v>
      </c>
      <c r="E1570">
        <v>20251219</v>
      </c>
      <c r="F1570" s="1" t="s">
        <v>1470</v>
      </c>
      <c r="G1570">
        <v>4</v>
      </c>
      <c r="H1570" s="1" t="s">
        <v>1490</v>
      </c>
      <c r="I1570" t="s">
        <v>1870</v>
      </c>
      <c r="J1570" s="1" t="s">
        <v>1456</v>
      </c>
      <c r="K1570" s="1" t="s">
        <v>1555</v>
      </c>
      <c r="L1570" s="1" t="s">
        <v>1729</v>
      </c>
      <c r="M1570" s="1" t="s">
        <v>1736</v>
      </c>
      <c r="N1570" t="s">
        <v>1927</v>
      </c>
      <c r="O1570" t="s">
        <v>2157</v>
      </c>
      <c r="P1570" t="s">
        <v>3038</v>
      </c>
      <c r="Q1570">
        <v>2</v>
      </c>
      <c r="R1570" s="1" t="s">
        <v>1718</v>
      </c>
      <c r="S1570">
        <v>12631</v>
      </c>
      <c r="T1570">
        <v>25262</v>
      </c>
    </row>
    <row r="1571" spans="1:20" hidden="1" x14ac:dyDescent="0.4">
      <c r="A1571" s="1" t="s">
        <v>567</v>
      </c>
      <c r="B1571" s="1" t="s">
        <v>1453</v>
      </c>
      <c r="C1571" s="1" t="s">
        <v>1845</v>
      </c>
      <c r="D1571" s="1" t="s">
        <v>1731</v>
      </c>
      <c r="E1571">
        <v>20251219</v>
      </c>
      <c r="F1571" s="1" t="s">
        <v>1470</v>
      </c>
      <c r="G1571">
        <v>4</v>
      </c>
      <c r="H1571" s="1" t="s">
        <v>1490</v>
      </c>
      <c r="I1571" t="s">
        <v>1870</v>
      </c>
      <c r="J1571" s="1" t="s">
        <v>1456</v>
      </c>
      <c r="K1571" s="1" t="s">
        <v>1557</v>
      </c>
      <c r="L1571" s="1" t="s">
        <v>1729</v>
      </c>
      <c r="M1571" s="1" t="s">
        <v>1737</v>
      </c>
      <c r="N1571" t="s">
        <v>1929</v>
      </c>
      <c r="O1571" t="s">
        <v>2157</v>
      </c>
      <c r="P1571" t="s">
        <v>2157</v>
      </c>
      <c r="Q1571">
        <v>14</v>
      </c>
      <c r="R1571" s="1" t="s">
        <v>1718</v>
      </c>
      <c r="S1571">
        <v>12894.71</v>
      </c>
      <c r="T1571">
        <v>180526</v>
      </c>
    </row>
    <row r="1572" spans="1:20" hidden="1" x14ac:dyDescent="0.4">
      <c r="A1572" s="1" t="s">
        <v>568</v>
      </c>
      <c r="B1572" s="1" t="s">
        <v>1453</v>
      </c>
      <c r="C1572" s="1" t="s">
        <v>1845</v>
      </c>
      <c r="D1572" s="1" t="s">
        <v>1731</v>
      </c>
      <c r="E1572">
        <v>20251219</v>
      </c>
      <c r="F1572" s="1" t="s">
        <v>1470</v>
      </c>
      <c r="G1572">
        <v>4</v>
      </c>
      <c r="H1572" s="1" t="s">
        <v>1490</v>
      </c>
      <c r="I1572" t="s">
        <v>1870</v>
      </c>
      <c r="J1572" s="1" t="s">
        <v>1456</v>
      </c>
      <c r="K1572" s="1" t="s">
        <v>1572</v>
      </c>
      <c r="L1572" s="1" t="s">
        <v>1729</v>
      </c>
      <c r="M1572" s="1" t="s">
        <v>1736</v>
      </c>
      <c r="N1572" t="s">
        <v>1945</v>
      </c>
      <c r="O1572" t="s">
        <v>2157</v>
      </c>
      <c r="P1572" t="s">
        <v>3038</v>
      </c>
      <c r="Q1572">
        <v>2</v>
      </c>
      <c r="R1572" s="1" t="s">
        <v>1718</v>
      </c>
      <c r="S1572">
        <v>13913</v>
      </c>
      <c r="T1572">
        <v>27826</v>
      </c>
    </row>
    <row r="1573" spans="1:20" hidden="1" x14ac:dyDescent="0.4">
      <c r="A1573" s="1" t="s">
        <v>568</v>
      </c>
      <c r="B1573" s="1" t="s">
        <v>1454</v>
      </c>
      <c r="C1573" s="1" t="s">
        <v>1845</v>
      </c>
      <c r="D1573" s="1" t="s">
        <v>1731</v>
      </c>
      <c r="E1573">
        <v>20251219</v>
      </c>
      <c r="F1573" s="1" t="s">
        <v>1470</v>
      </c>
      <c r="G1573">
        <v>4</v>
      </c>
      <c r="H1573" s="1" t="s">
        <v>1490</v>
      </c>
      <c r="I1573" t="s">
        <v>1870</v>
      </c>
      <c r="J1573" s="1" t="s">
        <v>1456</v>
      </c>
      <c r="K1573" s="1" t="s">
        <v>1568</v>
      </c>
      <c r="L1573" s="1" t="s">
        <v>1729</v>
      </c>
      <c r="M1573" s="1" t="s">
        <v>1737</v>
      </c>
      <c r="N1573" t="s">
        <v>1941</v>
      </c>
      <c r="O1573" t="s">
        <v>2157</v>
      </c>
      <c r="P1573" t="s">
        <v>2157</v>
      </c>
      <c r="Q1573">
        <v>2</v>
      </c>
      <c r="R1573" s="1" t="s">
        <v>1718</v>
      </c>
      <c r="S1573">
        <v>8184</v>
      </c>
      <c r="T1573">
        <v>16368</v>
      </c>
    </row>
    <row r="1574" spans="1:20" hidden="1" x14ac:dyDescent="0.4">
      <c r="A1574" s="1" t="s">
        <v>568</v>
      </c>
      <c r="B1574" s="1" t="s">
        <v>1455</v>
      </c>
      <c r="C1574" s="1" t="s">
        <v>1845</v>
      </c>
      <c r="D1574" s="1" t="s">
        <v>1731</v>
      </c>
      <c r="E1574">
        <v>20251219</v>
      </c>
      <c r="F1574" s="1" t="s">
        <v>1470</v>
      </c>
      <c r="G1574">
        <v>4</v>
      </c>
      <c r="H1574" s="1" t="s">
        <v>1490</v>
      </c>
      <c r="I1574" t="s">
        <v>1870</v>
      </c>
      <c r="J1574" s="1" t="s">
        <v>1456</v>
      </c>
      <c r="K1574" s="1" t="s">
        <v>1576</v>
      </c>
      <c r="L1574" s="1" t="s">
        <v>1729</v>
      </c>
      <c r="M1574" s="1" t="s">
        <v>1747</v>
      </c>
      <c r="N1574" t="s">
        <v>1949</v>
      </c>
      <c r="O1574" t="s">
        <v>2157</v>
      </c>
      <c r="P1574" t="s">
        <v>3048</v>
      </c>
      <c r="Q1574">
        <v>20</v>
      </c>
      <c r="R1574" s="1" t="s">
        <v>1718</v>
      </c>
      <c r="S1574">
        <v>5613</v>
      </c>
      <c r="T1574">
        <v>112260</v>
      </c>
    </row>
    <row r="1575" spans="1:20" hidden="1" x14ac:dyDescent="0.4">
      <c r="A1575" s="1" t="s">
        <v>568</v>
      </c>
      <c r="B1575" s="1" t="s">
        <v>1456</v>
      </c>
      <c r="C1575" s="1" t="s">
        <v>1845</v>
      </c>
      <c r="D1575" s="1" t="s">
        <v>1731</v>
      </c>
      <c r="E1575">
        <v>20251219</v>
      </c>
      <c r="F1575" s="1" t="s">
        <v>1470</v>
      </c>
      <c r="G1575">
        <v>4</v>
      </c>
      <c r="H1575" s="1" t="s">
        <v>1490</v>
      </c>
      <c r="I1575" t="s">
        <v>1870</v>
      </c>
      <c r="J1575" s="1" t="s">
        <v>1456</v>
      </c>
      <c r="K1575" s="1" t="s">
        <v>1576</v>
      </c>
      <c r="L1575" s="1" t="s">
        <v>1729</v>
      </c>
      <c r="M1575" s="1" t="s">
        <v>1747</v>
      </c>
      <c r="N1575" t="s">
        <v>1949</v>
      </c>
      <c r="O1575" t="s">
        <v>2157</v>
      </c>
      <c r="P1575" t="s">
        <v>3048</v>
      </c>
      <c r="Q1575">
        <v>20</v>
      </c>
      <c r="R1575" s="1" t="s">
        <v>1718</v>
      </c>
      <c r="S1575">
        <v>11005</v>
      </c>
      <c r="T1575">
        <v>220100</v>
      </c>
    </row>
    <row r="1576" spans="1:20" hidden="1" x14ac:dyDescent="0.4">
      <c r="A1576" s="1" t="s">
        <v>569</v>
      </c>
      <c r="B1576" s="1" t="s">
        <v>1453</v>
      </c>
      <c r="C1576" s="1" t="s">
        <v>1845</v>
      </c>
      <c r="D1576" s="1" t="s">
        <v>1731</v>
      </c>
      <c r="E1576">
        <v>20251219</v>
      </c>
      <c r="F1576" s="1" t="s">
        <v>1470</v>
      </c>
      <c r="G1576">
        <v>4</v>
      </c>
      <c r="H1576" s="1" t="s">
        <v>1490</v>
      </c>
      <c r="I1576" t="s">
        <v>1870</v>
      </c>
      <c r="J1576" s="1" t="s">
        <v>1456</v>
      </c>
      <c r="K1576" s="1" t="s">
        <v>1558</v>
      </c>
      <c r="L1576" s="1" t="s">
        <v>1729</v>
      </c>
      <c r="M1576" s="1" t="s">
        <v>1737</v>
      </c>
      <c r="N1576" t="s">
        <v>1930</v>
      </c>
      <c r="O1576" t="s">
        <v>2157</v>
      </c>
      <c r="P1576" t="s">
        <v>2157</v>
      </c>
      <c r="Q1576">
        <v>14</v>
      </c>
      <c r="R1576" s="1" t="s">
        <v>1718</v>
      </c>
      <c r="S1576">
        <v>11074.78</v>
      </c>
      <c r="T1576">
        <v>155047</v>
      </c>
    </row>
    <row r="1577" spans="1:20" hidden="1" x14ac:dyDescent="0.4">
      <c r="A1577" s="1" t="s">
        <v>570</v>
      </c>
      <c r="B1577" s="1" t="s">
        <v>1453</v>
      </c>
      <c r="C1577" s="1" t="s">
        <v>1845</v>
      </c>
      <c r="D1577" s="1" t="s">
        <v>1731</v>
      </c>
      <c r="E1577">
        <v>20251219</v>
      </c>
      <c r="F1577" s="1" t="s">
        <v>1470</v>
      </c>
      <c r="G1577">
        <v>4</v>
      </c>
      <c r="H1577" s="1" t="s">
        <v>1490</v>
      </c>
      <c r="I1577" t="s">
        <v>1870</v>
      </c>
      <c r="J1577" s="1" t="s">
        <v>1456</v>
      </c>
      <c r="K1577" s="1" t="s">
        <v>1559</v>
      </c>
      <c r="L1577" s="1" t="s">
        <v>1729</v>
      </c>
      <c r="M1577" s="1" t="s">
        <v>1739</v>
      </c>
      <c r="N1577" t="s">
        <v>1931</v>
      </c>
      <c r="O1577" t="s">
        <v>2157</v>
      </c>
      <c r="P1577" t="s">
        <v>3150</v>
      </c>
      <c r="Q1577">
        <v>2</v>
      </c>
      <c r="R1577" s="1" t="s">
        <v>1718</v>
      </c>
      <c r="S1577">
        <v>4836</v>
      </c>
      <c r="T1577">
        <v>9672</v>
      </c>
    </row>
    <row r="1578" spans="1:20" hidden="1" x14ac:dyDescent="0.4">
      <c r="A1578" s="1" t="s">
        <v>570</v>
      </c>
      <c r="B1578" s="1" t="s">
        <v>1454</v>
      </c>
      <c r="C1578" s="1" t="s">
        <v>1845</v>
      </c>
      <c r="D1578" s="1" t="s">
        <v>1731</v>
      </c>
      <c r="E1578">
        <v>20251219</v>
      </c>
      <c r="F1578" s="1" t="s">
        <v>1470</v>
      </c>
      <c r="G1578">
        <v>4</v>
      </c>
      <c r="H1578" s="1" t="s">
        <v>1490</v>
      </c>
      <c r="I1578" t="s">
        <v>1870</v>
      </c>
      <c r="J1578" s="1" t="s">
        <v>1456</v>
      </c>
      <c r="K1578" s="1" t="s">
        <v>1570</v>
      </c>
      <c r="L1578" s="1" t="s">
        <v>1729</v>
      </c>
      <c r="M1578" s="1" t="s">
        <v>1744</v>
      </c>
      <c r="N1578" t="s">
        <v>1943</v>
      </c>
      <c r="O1578" t="s">
        <v>2157</v>
      </c>
      <c r="P1578" t="s">
        <v>3045</v>
      </c>
      <c r="Q1578">
        <v>10</v>
      </c>
      <c r="R1578" s="1" t="s">
        <v>1718</v>
      </c>
      <c r="S1578">
        <v>1146</v>
      </c>
      <c r="T1578">
        <v>11460</v>
      </c>
    </row>
    <row r="1579" spans="1:20" hidden="1" x14ac:dyDescent="0.4">
      <c r="A1579" s="1" t="s">
        <v>571</v>
      </c>
      <c r="B1579" s="1" t="s">
        <v>1453</v>
      </c>
      <c r="C1579" s="1" t="s">
        <v>1845</v>
      </c>
      <c r="D1579" s="1" t="s">
        <v>1462</v>
      </c>
      <c r="E1579">
        <v>20251217</v>
      </c>
      <c r="F1579" s="1" t="s">
        <v>1470</v>
      </c>
      <c r="G1579">
        <v>1</v>
      </c>
      <c r="H1579" s="1" t="s">
        <v>1496</v>
      </c>
      <c r="I1579" t="s">
        <v>1876</v>
      </c>
      <c r="J1579" s="1" t="s">
        <v>1459</v>
      </c>
      <c r="K1579" s="1" t="s">
        <v>1579</v>
      </c>
      <c r="L1579" s="1" t="s">
        <v>1715</v>
      </c>
      <c r="M1579" s="1" t="s">
        <v>1795</v>
      </c>
      <c r="N1579" t="s">
        <v>1953</v>
      </c>
      <c r="O1579" t="s">
        <v>2161</v>
      </c>
      <c r="P1579" t="s">
        <v>3051</v>
      </c>
      <c r="Q1579">
        <v>1890</v>
      </c>
      <c r="R1579" s="1" t="s">
        <v>1463</v>
      </c>
      <c r="S1579">
        <v>793</v>
      </c>
      <c r="T1579">
        <v>1498770</v>
      </c>
    </row>
    <row r="1580" spans="1:20" hidden="1" x14ac:dyDescent="0.4">
      <c r="A1580" s="1" t="s">
        <v>571</v>
      </c>
      <c r="B1580" s="1" t="s">
        <v>1454</v>
      </c>
      <c r="C1580" s="1" t="s">
        <v>1845</v>
      </c>
      <c r="D1580" s="1" t="s">
        <v>1462</v>
      </c>
      <c r="E1580">
        <v>20251217</v>
      </c>
      <c r="F1580" s="1" t="s">
        <v>1470</v>
      </c>
      <c r="G1580">
        <v>1</v>
      </c>
      <c r="H1580" s="1" t="s">
        <v>1496</v>
      </c>
      <c r="I1580" t="s">
        <v>1876</v>
      </c>
      <c r="J1580" s="1" t="s">
        <v>1459</v>
      </c>
      <c r="K1580" s="1" t="s">
        <v>1579</v>
      </c>
      <c r="L1580" s="1" t="s">
        <v>1715</v>
      </c>
      <c r="M1580" s="1" t="s">
        <v>1796</v>
      </c>
      <c r="N1580" t="s">
        <v>1953</v>
      </c>
      <c r="O1580" t="s">
        <v>2161</v>
      </c>
      <c r="P1580" t="s">
        <v>3052</v>
      </c>
      <c r="Q1580">
        <v>372</v>
      </c>
      <c r="R1580" s="1" t="s">
        <v>1463</v>
      </c>
      <c r="S1580">
        <v>793</v>
      </c>
      <c r="T1580">
        <v>294996</v>
      </c>
    </row>
    <row r="1581" spans="1:20" hidden="1" x14ac:dyDescent="0.4">
      <c r="A1581" s="1" t="s">
        <v>571</v>
      </c>
      <c r="B1581" s="1" t="s">
        <v>1455</v>
      </c>
      <c r="C1581" s="1" t="s">
        <v>1845</v>
      </c>
      <c r="D1581" s="1" t="s">
        <v>1462</v>
      </c>
      <c r="E1581">
        <v>20251217</v>
      </c>
      <c r="F1581" s="1" t="s">
        <v>1470</v>
      </c>
      <c r="G1581">
        <v>1</v>
      </c>
      <c r="H1581" s="1" t="s">
        <v>1496</v>
      </c>
      <c r="I1581" t="s">
        <v>1876</v>
      </c>
      <c r="J1581" s="1" t="s">
        <v>1459</v>
      </c>
      <c r="K1581" s="1" t="s">
        <v>1579</v>
      </c>
      <c r="L1581" s="1" t="s">
        <v>1715</v>
      </c>
      <c r="M1581" s="1" t="s">
        <v>1797</v>
      </c>
      <c r="N1581" t="s">
        <v>1953</v>
      </c>
      <c r="O1581" t="s">
        <v>2161</v>
      </c>
      <c r="P1581" t="s">
        <v>3053</v>
      </c>
      <c r="Q1581">
        <v>2094</v>
      </c>
      <c r="R1581" s="1" t="s">
        <v>1463</v>
      </c>
      <c r="S1581">
        <v>793</v>
      </c>
      <c r="T1581">
        <v>1660542</v>
      </c>
    </row>
    <row r="1582" spans="1:20" hidden="1" x14ac:dyDescent="0.4">
      <c r="A1582" s="1" t="s">
        <v>572</v>
      </c>
      <c r="B1582" s="1" t="s">
        <v>1453</v>
      </c>
      <c r="C1582" s="1" t="s">
        <v>1845</v>
      </c>
      <c r="D1582" s="1" t="s">
        <v>1462</v>
      </c>
      <c r="E1582">
        <v>20251210</v>
      </c>
      <c r="F1582" s="1" t="s">
        <v>1472</v>
      </c>
      <c r="G1582">
        <v>4</v>
      </c>
      <c r="H1582" s="1" t="s">
        <v>1505</v>
      </c>
      <c r="I1582" t="s">
        <v>1885</v>
      </c>
      <c r="J1582" s="1" t="s">
        <v>1457</v>
      </c>
      <c r="K1582" s="1" t="s">
        <v>1677</v>
      </c>
      <c r="L1582" s="1" t="s">
        <v>1719</v>
      </c>
      <c r="M1582" s="1" t="s">
        <v>1737</v>
      </c>
      <c r="N1582" t="s">
        <v>2068</v>
      </c>
      <c r="O1582" t="s">
        <v>2165</v>
      </c>
      <c r="P1582" t="s">
        <v>2157</v>
      </c>
      <c r="Q1582">
        <v>608</v>
      </c>
      <c r="R1582" s="1" t="s">
        <v>1839</v>
      </c>
      <c r="S1582">
        <v>3610.85</v>
      </c>
      <c r="T1582">
        <v>2195396</v>
      </c>
    </row>
    <row r="1583" spans="1:20" hidden="1" x14ac:dyDescent="0.4">
      <c r="A1583" s="1" t="s">
        <v>573</v>
      </c>
      <c r="B1583" s="1" t="s">
        <v>1453</v>
      </c>
      <c r="C1583" s="1" t="s">
        <v>1845</v>
      </c>
      <c r="D1583" s="1" t="s">
        <v>1851</v>
      </c>
      <c r="E1583">
        <v>20251210</v>
      </c>
      <c r="F1583" s="1" t="s">
        <v>1472</v>
      </c>
      <c r="G1583">
        <v>4</v>
      </c>
      <c r="H1583" s="1" t="s">
        <v>1505</v>
      </c>
      <c r="I1583" t="s">
        <v>1885</v>
      </c>
      <c r="J1583" s="1" t="s">
        <v>1457</v>
      </c>
      <c r="K1583" s="1" t="s">
        <v>1677</v>
      </c>
      <c r="L1583" s="1" t="s">
        <v>1719</v>
      </c>
      <c r="M1583" s="1" t="s">
        <v>1737</v>
      </c>
      <c r="N1583" t="s">
        <v>2068</v>
      </c>
      <c r="O1583" t="s">
        <v>2165</v>
      </c>
      <c r="P1583" t="s">
        <v>3196</v>
      </c>
      <c r="Q1583">
        <v>1</v>
      </c>
      <c r="R1583" s="1" t="s">
        <v>1839</v>
      </c>
      <c r="S1583">
        <v>2</v>
      </c>
      <c r="T1583">
        <v>2</v>
      </c>
    </row>
    <row r="1584" spans="1:20" hidden="1" x14ac:dyDescent="0.4">
      <c r="A1584" s="1" t="s">
        <v>574</v>
      </c>
      <c r="B1584" s="1" t="s">
        <v>1453</v>
      </c>
      <c r="C1584" s="1" t="s">
        <v>1845</v>
      </c>
      <c r="D1584" s="1" t="s">
        <v>1731</v>
      </c>
      <c r="E1584">
        <v>20251219</v>
      </c>
      <c r="F1584" s="1" t="s">
        <v>1473</v>
      </c>
      <c r="G1584">
        <v>4</v>
      </c>
      <c r="H1584" s="1" t="s">
        <v>1494</v>
      </c>
      <c r="I1584" t="s">
        <v>1874</v>
      </c>
      <c r="J1584" s="1" t="s">
        <v>1453</v>
      </c>
      <c r="K1584" s="1" t="s">
        <v>1605</v>
      </c>
      <c r="L1584" s="1" t="s">
        <v>1718</v>
      </c>
      <c r="M1584" s="1" t="s">
        <v>1761</v>
      </c>
      <c r="N1584" t="s">
        <v>2026</v>
      </c>
      <c r="O1584" t="s">
        <v>2164</v>
      </c>
      <c r="P1584" t="s">
        <v>3091</v>
      </c>
      <c r="Q1584">
        <v>108.83</v>
      </c>
      <c r="R1584" s="1" t="s">
        <v>1839</v>
      </c>
      <c r="S1584">
        <v>2823.99</v>
      </c>
      <c r="T1584">
        <v>307335</v>
      </c>
    </row>
    <row r="1585" spans="1:20" hidden="1" x14ac:dyDescent="0.4">
      <c r="A1585" s="1" t="s">
        <v>574</v>
      </c>
      <c r="B1585" s="1" t="s">
        <v>1454</v>
      </c>
      <c r="C1585" s="1" t="s">
        <v>1845</v>
      </c>
      <c r="D1585" s="1" t="s">
        <v>1731</v>
      </c>
      <c r="E1585">
        <v>20251219</v>
      </c>
      <c r="F1585" s="1" t="s">
        <v>1473</v>
      </c>
      <c r="G1585">
        <v>4</v>
      </c>
      <c r="H1585" s="1" t="s">
        <v>1494</v>
      </c>
      <c r="I1585" t="s">
        <v>1874</v>
      </c>
      <c r="J1585" s="1" t="s">
        <v>1453</v>
      </c>
      <c r="K1585" s="1" t="s">
        <v>1605</v>
      </c>
      <c r="L1585" s="1" t="s">
        <v>1718</v>
      </c>
      <c r="M1585" s="1" t="s">
        <v>1761</v>
      </c>
      <c r="N1585" t="s">
        <v>2026</v>
      </c>
      <c r="O1585" t="s">
        <v>2164</v>
      </c>
      <c r="P1585" t="s">
        <v>3091</v>
      </c>
      <c r="Q1585">
        <v>120.12</v>
      </c>
      <c r="R1585" s="1" t="s">
        <v>1839</v>
      </c>
      <c r="S1585">
        <v>2823.99</v>
      </c>
      <c r="T1585">
        <v>339218</v>
      </c>
    </row>
    <row r="1586" spans="1:20" hidden="1" x14ac:dyDescent="0.4">
      <c r="A1586" s="1" t="s">
        <v>574</v>
      </c>
      <c r="B1586" s="1" t="s">
        <v>1455</v>
      </c>
      <c r="C1586" s="1" t="s">
        <v>1845</v>
      </c>
      <c r="D1586" s="1" t="s">
        <v>1731</v>
      </c>
      <c r="E1586">
        <v>20251219</v>
      </c>
      <c r="F1586" s="1" t="s">
        <v>1473</v>
      </c>
      <c r="G1586">
        <v>4</v>
      </c>
      <c r="H1586" s="1" t="s">
        <v>1494</v>
      </c>
      <c r="I1586" t="s">
        <v>1874</v>
      </c>
      <c r="J1586" s="1" t="s">
        <v>1453</v>
      </c>
      <c r="K1586" s="1" t="s">
        <v>1605</v>
      </c>
      <c r="L1586" s="1" t="s">
        <v>1718</v>
      </c>
      <c r="M1586" s="1" t="s">
        <v>1761</v>
      </c>
      <c r="N1586" t="s">
        <v>2026</v>
      </c>
      <c r="O1586" t="s">
        <v>2164</v>
      </c>
      <c r="P1586" t="s">
        <v>3091</v>
      </c>
      <c r="Q1586">
        <v>120.12</v>
      </c>
      <c r="R1586" s="1" t="s">
        <v>1839</v>
      </c>
      <c r="S1586">
        <v>2823.99</v>
      </c>
      <c r="T1586">
        <v>339218</v>
      </c>
    </row>
    <row r="1587" spans="1:20" hidden="1" x14ac:dyDescent="0.4">
      <c r="A1587" s="1" t="s">
        <v>574</v>
      </c>
      <c r="B1587" s="1" t="s">
        <v>1456</v>
      </c>
      <c r="C1587" s="1" t="s">
        <v>1845</v>
      </c>
      <c r="D1587" s="1" t="s">
        <v>1731</v>
      </c>
      <c r="E1587">
        <v>20251219</v>
      </c>
      <c r="F1587" s="1" t="s">
        <v>1473</v>
      </c>
      <c r="G1587">
        <v>4</v>
      </c>
      <c r="H1587" s="1" t="s">
        <v>1494</v>
      </c>
      <c r="I1587" t="s">
        <v>1874</v>
      </c>
      <c r="J1587" s="1" t="s">
        <v>1453</v>
      </c>
      <c r="K1587" s="1" t="s">
        <v>1605</v>
      </c>
      <c r="L1587" s="1" t="s">
        <v>1718</v>
      </c>
      <c r="M1587" s="1" t="s">
        <v>1761</v>
      </c>
      <c r="N1587" t="s">
        <v>2026</v>
      </c>
      <c r="O1587" t="s">
        <v>2164</v>
      </c>
      <c r="P1587" t="s">
        <v>3091</v>
      </c>
      <c r="Q1587">
        <v>115.38</v>
      </c>
      <c r="R1587" s="1" t="s">
        <v>1839</v>
      </c>
      <c r="S1587">
        <v>2823.99</v>
      </c>
      <c r="T1587">
        <v>325833</v>
      </c>
    </row>
    <row r="1588" spans="1:20" hidden="1" x14ac:dyDescent="0.4">
      <c r="A1588" s="1" t="s">
        <v>574</v>
      </c>
      <c r="B1588" s="1" t="s">
        <v>1457</v>
      </c>
      <c r="C1588" s="1" t="s">
        <v>1845</v>
      </c>
      <c r="D1588" s="1" t="s">
        <v>1731</v>
      </c>
      <c r="E1588">
        <v>20251219</v>
      </c>
      <c r="F1588" s="1" t="s">
        <v>1473</v>
      </c>
      <c r="G1588">
        <v>4</v>
      </c>
      <c r="H1588" s="1" t="s">
        <v>1494</v>
      </c>
      <c r="I1588" t="s">
        <v>1874</v>
      </c>
      <c r="J1588" s="1" t="s">
        <v>1453</v>
      </c>
      <c r="K1588" s="1" t="s">
        <v>1605</v>
      </c>
      <c r="L1588" s="1" t="s">
        <v>1718</v>
      </c>
      <c r="M1588" s="1" t="s">
        <v>1761</v>
      </c>
      <c r="N1588" t="s">
        <v>2026</v>
      </c>
      <c r="O1588" t="s">
        <v>2164</v>
      </c>
      <c r="P1588" t="s">
        <v>3091</v>
      </c>
      <c r="Q1588">
        <v>76.8</v>
      </c>
      <c r="R1588" s="1" t="s">
        <v>1839</v>
      </c>
      <c r="S1588">
        <v>2823.99</v>
      </c>
      <c r="T1588">
        <v>216883</v>
      </c>
    </row>
    <row r="1589" spans="1:20" hidden="1" x14ac:dyDescent="0.4">
      <c r="A1589" s="1" t="s">
        <v>574</v>
      </c>
      <c r="B1589" s="1" t="s">
        <v>1458</v>
      </c>
      <c r="C1589" s="1" t="s">
        <v>1845</v>
      </c>
      <c r="D1589" s="1" t="s">
        <v>1731</v>
      </c>
      <c r="E1589">
        <v>20251219</v>
      </c>
      <c r="F1589" s="1" t="s">
        <v>1473</v>
      </c>
      <c r="G1589">
        <v>4</v>
      </c>
      <c r="H1589" s="1" t="s">
        <v>1494</v>
      </c>
      <c r="I1589" t="s">
        <v>1874</v>
      </c>
      <c r="J1589" s="1" t="s">
        <v>1453</v>
      </c>
      <c r="K1589" s="1" t="s">
        <v>1605</v>
      </c>
      <c r="L1589" s="1" t="s">
        <v>1718</v>
      </c>
      <c r="M1589" s="1" t="s">
        <v>1761</v>
      </c>
      <c r="N1589" t="s">
        <v>2026</v>
      </c>
      <c r="O1589" t="s">
        <v>2164</v>
      </c>
      <c r="P1589" t="s">
        <v>3091</v>
      </c>
      <c r="Q1589">
        <v>57.51</v>
      </c>
      <c r="R1589" s="1" t="s">
        <v>1839</v>
      </c>
      <c r="S1589">
        <v>2823.99</v>
      </c>
      <c r="T1589">
        <v>162408</v>
      </c>
    </row>
    <row r="1590" spans="1:20" hidden="1" x14ac:dyDescent="0.4">
      <c r="A1590" s="1" t="s">
        <v>574</v>
      </c>
      <c r="B1590" s="1" t="s">
        <v>1459</v>
      </c>
      <c r="C1590" s="1" t="s">
        <v>1845</v>
      </c>
      <c r="D1590" s="1" t="s">
        <v>1731</v>
      </c>
      <c r="E1590">
        <v>20251219</v>
      </c>
      <c r="F1590" s="1" t="s">
        <v>1473</v>
      </c>
      <c r="G1590">
        <v>4</v>
      </c>
      <c r="H1590" s="1" t="s">
        <v>1494</v>
      </c>
      <c r="I1590" t="s">
        <v>1874</v>
      </c>
      <c r="J1590" s="1" t="s">
        <v>1453</v>
      </c>
      <c r="K1590" s="1" t="s">
        <v>1605</v>
      </c>
      <c r="L1590" s="1" t="s">
        <v>1718</v>
      </c>
      <c r="M1590" s="1" t="s">
        <v>1761</v>
      </c>
      <c r="N1590" t="s">
        <v>2026</v>
      </c>
      <c r="O1590" t="s">
        <v>2164</v>
      </c>
      <c r="P1590" t="s">
        <v>3091</v>
      </c>
      <c r="Q1590">
        <v>101.92</v>
      </c>
      <c r="R1590" s="1" t="s">
        <v>1839</v>
      </c>
      <c r="S1590">
        <v>2823.99</v>
      </c>
      <c r="T1590">
        <v>287822</v>
      </c>
    </row>
    <row r="1591" spans="1:20" hidden="1" x14ac:dyDescent="0.4">
      <c r="A1591" s="1" t="s">
        <v>574</v>
      </c>
      <c r="B1591" s="1" t="s">
        <v>1460</v>
      </c>
      <c r="C1591" s="1" t="s">
        <v>1845</v>
      </c>
      <c r="D1591" s="1" t="s">
        <v>1731</v>
      </c>
      <c r="E1591">
        <v>20251219</v>
      </c>
      <c r="F1591" s="1" t="s">
        <v>1473</v>
      </c>
      <c r="G1591">
        <v>4</v>
      </c>
      <c r="H1591" s="1" t="s">
        <v>1494</v>
      </c>
      <c r="I1591" t="s">
        <v>1874</v>
      </c>
      <c r="J1591" s="1" t="s">
        <v>1453</v>
      </c>
      <c r="K1591" s="1" t="s">
        <v>1605</v>
      </c>
      <c r="L1591" s="1" t="s">
        <v>1718</v>
      </c>
      <c r="M1591" s="1" t="s">
        <v>1761</v>
      </c>
      <c r="N1591" t="s">
        <v>2026</v>
      </c>
      <c r="O1591" t="s">
        <v>2164</v>
      </c>
      <c r="P1591" t="s">
        <v>3091</v>
      </c>
      <c r="Q1591">
        <v>101.92</v>
      </c>
      <c r="R1591" s="1" t="s">
        <v>1839</v>
      </c>
      <c r="S1591">
        <v>2823.99</v>
      </c>
      <c r="T1591">
        <v>287822</v>
      </c>
    </row>
    <row r="1592" spans="1:20" hidden="1" x14ac:dyDescent="0.4">
      <c r="A1592" s="1" t="s">
        <v>574</v>
      </c>
      <c r="B1592" s="1" t="s">
        <v>1461</v>
      </c>
      <c r="C1592" s="1" t="s">
        <v>1845</v>
      </c>
      <c r="D1592" s="1" t="s">
        <v>1731</v>
      </c>
      <c r="E1592">
        <v>20251219</v>
      </c>
      <c r="F1592" s="1" t="s">
        <v>1473</v>
      </c>
      <c r="G1592">
        <v>4</v>
      </c>
      <c r="H1592" s="1" t="s">
        <v>1494</v>
      </c>
      <c r="I1592" t="s">
        <v>1874</v>
      </c>
      <c r="J1592" s="1" t="s">
        <v>1453</v>
      </c>
      <c r="K1592" s="1" t="s">
        <v>1605</v>
      </c>
      <c r="L1592" s="1" t="s">
        <v>1718</v>
      </c>
      <c r="M1592" s="1" t="s">
        <v>1761</v>
      </c>
      <c r="N1592" t="s">
        <v>2026</v>
      </c>
      <c r="O1592" t="s">
        <v>2164</v>
      </c>
      <c r="P1592" t="s">
        <v>3091</v>
      </c>
      <c r="Q1592">
        <v>101.92</v>
      </c>
      <c r="R1592" s="1" t="s">
        <v>1839</v>
      </c>
      <c r="S1592">
        <v>2823.99</v>
      </c>
      <c r="T1592">
        <v>287822</v>
      </c>
    </row>
    <row r="1593" spans="1:20" hidden="1" x14ac:dyDescent="0.4">
      <c r="A1593" s="1" t="s">
        <v>574</v>
      </c>
      <c r="B1593" s="1" t="s">
        <v>1462</v>
      </c>
      <c r="C1593" s="1" t="s">
        <v>1845</v>
      </c>
      <c r="D1593" s="1" t="s">
        <v>1731</v>
      </c>
      <c r="E1593">
        <v>20251219</v>
      </c>
      <c r="F1593" s="1" t="s">
        <v>1473</v>
      </c>
      <c r="G1593">
        <v>4</v>
      </c>
      <c r="H1593" s="1" t="s">
        <v>1494</v>
      </c>
      <c r="I1593" t="s">
        <v>1874</v>
      </c>
      <c r="J1593" s="1" t="s">
        <v>1453</v>
      </c>
      <c r="K1593" s="1" t="s">
        <v>1605</v>
      </c>
      <c r="L1593" s="1" t="s">
        <v>1718</v>
      </c>
      <c r="M1593" s="1" t="s">
        <v>1761</v>
      </c>
      <c r="N1593" t="s">
        <v>2026</v>
      </c>
      <c r="O1593" t="s">
        <v>2164</v>
      </c>
      <c r="P1593" t="s">
        <v>3091</v>
      </c>
      <c r="Q1593">
        <v>97.55</v>
      </c>
      <c r="R1593" s="1" t="s">
        <v>1839</v>
      </c>
      <c r="S1593">
        <v>2823.99</v>
      </c>
      <c r="T1593">
        <v>275481</v>
      </c>
    </row>
    <row r="1594" spans="1:20" hidden="1" x14ac:dyDescent="0.4">
      <c r="A1594" s="1" t="s">
        <v>575</v>
      </c>
      <c r="B1594" s="1" t="s">
        <v>1453</v>
      </c>
      <c r="C1594" s="1" t="s">
        <v>1845</v>
      </c>
      <c r="D1594" s="1" t="s">
        <v>1462</v>
      </c>
      <c r="E1594">
        <v>20251219</v>
      </c>
      <c r="F1594" s="1" t="s">
        <v>1471</v>
      </c>
      <c r="G1594">
        <v>4</v>
      </c>
      <c r="H1594" s="1" t="s">
        <v>1491</v>
      </c>
      <c r="I1594" t="s">
        <v>1871</v>
      </c>
      <c r="J1594" s="1" t="s">
        <v>1460</v>
      </c>
      <c r="K1594" s="1" t="s">
        <v>1641</v>
      </c>
      <c r="L1594" s="1" t="s">
        <v>1730</v>
      </c>
      <c r="M1594" s="1" t="s">
        <v>1735</v>
      </c>
      <c r="N1594" t="s">
        <v>2022</v>
      </c>
      <c r="O1594" t="s">
        <v>2175</v>
      </c>
      <c r="P1594" t="s">
        <v>3151</v>
      </c>
      <c r="Q1594">
        <v>50</v>
      </c>
      <c r="R1594" s="1" t="s">
        <v>1718</v>
      </c>
      <c r="S1594">
        <v>1836</v>
      </c>
      <c r="T1594">
        <v>91800</v>
      </c>
    </row>
    <row r="1595" spans="1:20" hidden="1" x14ac:dyDescent="0.4">
      <c r="A1595" s="1" t="s">
        <v>575</v>
      </c>
      <c r="B1595" s="1" t="s">
        <v>1454</v>
      </c>
      <c r="C1595" s="1" t="s">
        <v>1845</v>
      </c>
      <c r="D1595" s="1" t="s">
        <v>1462</v>
      </c>
      <c r="E1595">
        <v>20251219</v>
      </c>
      <c r="F1595" s="1" t="s">
        <v>1471</v>
      </c>
      <c r="G1595">
        <v>4</v>
      </c>
      <c r="H1595" s="1" t="s">
        <v>1491</v>
      </c>
      <c r="I1595" t="s">
        <v>1871</v>
      </c>
      <c r="J1595" s="1" t="s">
        <v>1460</v>
      </c>
      <c r="K1595" s="1" t="s">
        <v>1642</v>
      </c>
      <c r="L1595" s="1" t="s">
        <v>1725</v>
      </c>
      <c r="M1595" s="1" t="s">
        <v>1737</v>
      </c>
      <c r="N1595" t="s">
        <v>2023</v>
      </c>
      <c r="O1595" t="s">
        <v>2157</v>
      </c>
      <c r="P1595" t="s">
        <v>2157</v>
      </c>
      <c r="Q1595">
        <v>3</v>
      </c>
      <c r="R1595" s="1" t="s">
        <v>1842</v>
      </c>
      <c r="S1595">
        <v>580</v>
      </c>
      <c r="T1595">
        <v>1740</v>
      </c>
    </row>
    <row r="1596" spans="1:20" hidden="1" x14ac:dyDescent="0.4">
      <c r="A1596" s="1" t="s">
        <v>576</v>
      </c>
      <c r="B1596" s="1" t="s">
        <v>1453</v>
      </c>
      <c r="C1596" s="1" t="s">
        <v>1845</v>
      </c>
      <c r="D1596" s="1" t="s">
        <v>1462</v>
      </c>
      <c r="E1596">
        <v>20251219</v>
      </c>
      <c r="F1596" s="1" t="s">
        <v>1471</v>
      </c>
      <c r="G1596">
        <v>4</v>
      </c>
      <c r="H1596" s="1" t="s">
        <v>1504</v>
      </c>
      <c r="I1596" t="s">
        <v>1884</v>
      </c>
      <c r="J1596" s="1" t="s">
        <v>1460</v>
      </c>
      <c r="K1596" s="1" t="s">
        <v>1674</v>
      </c>
      <c r="L1596" s="1" t="s">
        <v>1734</v>
      </c>
      <c r="M1596" s="1" t="s">
        <v>1737</v>
      </c>
      <c r="N1596" t="s">
        <v>2065</v>
      </c>
      <c r="O1596" t="s">
        <v>2180</v>
      </c>
      <c r="P1596" t="s">
        <v>2157</v>
      </c>
      <c r="Q1596">
        <v>1007.5</v>
      </c>
      <c r="R1596" s="1" t="s">
        <v>1840</v>
      </c>
      <c r="S1596">
        <v>499</v>
      </c>
      <c r="T1596">
        <v>502742</v>
      </c>
    </row>
    <row r="1597" spans="1:20" hidden="1" x14ac:dyDescent="0.4">
      <c r="A1597" s="1" t="s">
        <v>577</v>
      </c>
      <c r="B1597" s="1" t="s">
        <v>1453</v>
      </c>
      <c r="C1597" s="1" t="s">
        <v>1845</v>
      </c>
      <c r="D1597" s="1" t="s">
        <v>1731</v>
      </c>
      <c r="E1597">
        <v>20251219</v>
      </c>
      <c r="F1597" s="1" t="s">
        <v>1470</v>
      </c>
      <c r="G1597">
        <v>4</v>
      </c>
      <c r="H1597" s="1" t="s">
        <v>1494</v>
      </c>
      <c r="I1597" t="s">
        <v>1874</v>
      </c>
      <c r="J1597" s="1" t="s">
        <v>1456</v>
      </c>
      <c r="K1597" s="1" t="s">
        <v>1606</v>
      </c>
      <c r="L1597" s="1" t="s">
        <v>1729</v>
      </c>
      <c r="M1597" s="1" t="s">
        <v>1735</v>
      </c>
      <c r="N1597" t="s">
        <v>1981</v>
      </c>
      <c r="O1597" t="s">
        <v>2157</v>
      </c>
      <c r="P1597" t="s">
        <v>3037</v>
      </c>
      <c r="Q1597">
        <v>45.5</v>
      </c>
      <c r="R1597" s="1" t="s">
        <v>1839</v>
      </c>
      <c r="S1597">
        <v>2538.98</v>
      </c>
      <c r="T1597">
        <v>115524</v>
      </c>
    </row>
    <row r="1598" spans="1:20" hidden="1" x14ac:dyDescent="0.4">
      <c r="A1598" s="1" t="s">
        <v>577</v>
      </c>
      <c r="B1598" s="1" t="s">
        <v>1454</v>
      </c>
      <c r="C1598" s="1" t="s">
        <v>1845</v>
      </c>
      <c r="D1598" s="1" t="s">
        <v>1731</v>
      </c>
      <c r="E1598">
        <v>20251219</v>
      </c>
      <c r="F1598" s="1" t="s">
        <v>1470</v>
      </c>
      <c r="G1598">
        <v>4</v>
      </c>
      <c r="H1598" s="1" t="s">
        <v>1494</v>
      </c>
      <c r="I1598" t="s">
        <v>1874</v>
      </c>
      <c r="J1598" s="1" t="s">
        <v>1456</v>
      </c>
      <c r="K1598" s="1" t="s">
        <v>1606</v>
      </c>
      <c r="L1598" s="1" t="s">
        <v>1729</v>
      </c>
      <c r="M1598" s="1" t="s">
        <v>1735</v>
      </c>
      <c r="N1598" t="s">
        <v>1981</v>
      </c>
      <c r="O1598" t="s">
        <v>2157</v>
      </c>
      <c r="P1598" t="s">
        <v>3037</v>
      </c>
      <c r="Q1598">
        <v>45.5</v>
      </c>
      <c r="R1598" s="1" t="s">
        <v>1839</v>
      </c>
      <c r="S1598">
        <v>2538.98</v>
      </c>
      <c r="T1598">
        <v>115524</v>
      </c>
    </row>
    <row r="1599" spans="1:20" hidden="1" x14ac:dyDescent="0.4">
      <c r="A1599" s="1" t="s">
        <v>577</v>
      </c>
      <c r="B1599" s="1" t="s">
        <v>1455</v>
      </c>
      <c r="C1599" s="1" t="s">
        <v>1845</v>
      </c>
      <c r="D1599" s="1" t="s">
        <v>1731</v>
      </c>
      <c r="E1599">
        <v>20251219</v>
      </c>
      <c r="F1599" s="1" t="s">
        <v>1470</v>
      </c>
      <c r="G1599">
        <v>4</v>
      </c>
      <c r="H1599" s="1" t="s">
        <v>1494</v>
      </c>
      <c r="I1599" t="s">
        <v>1874</v>
      </c>
      <c r="J1599" s="1" t="s">
        <v>1456</v>
      </c>
      <c r="K1599" s="1" t="s">
        <v>1606</v>
      </c>
      <c r="L1599" s="1" t="s">
        <v>1729</v>
      </c>
      <c r="M1599" s="1" t="s">
        <v>1735</v>
      </c>
      <c r="N1599" t="s">
        <v>1981</v>
      </c>
      <c r="O1599" t="s">
        <v>2157</v>
      </c>
      <c r="P1599" t="s">
        <v>3037</v>
      </c>
      <c r="Q1599">
        <v>45.5</v>
      </c>
      <c r="R1599" s="1" t="s">
        <v>1839</v>
      </c>
      <c r="S1599">
        <v>2538.98</v>
      </c>
      <c r="T1599">
        <v>115524</v>
      </c>
    </row>
    <row r="1600" spans="1:20" hidden="1" x14ac:dyDescent="0.4">
      <c r="A1600" s="1" t="s">
        <v>577</v>
      </c>
      <c r="B1600" s="1" t="s">
        <v>1456</v>
      </c>
      <c r="C1600" s="1" t="s">
        <v>1845</v>
      </c>
      <c r="D1600" s="1" t="s">
        <v>1731</v>
      </c>
      <c r="E1600">
        <v>20251219</v>
      </c>
      <c r="F1600" s="1" t="s">
        <v>1470</v>
      </c>
      <c r="G1600">
        <v>4</v>
      </c>
      <c r="H1600" s="1" t="s">
        <v>1494</v>
      </c>
      <c r="I1600" t="s">
        <v>1874</v>
      </c>
      <c r="J1600" s="1" t="s">
        <v>1456</v>
      </c>
      <c r="K1600" s="1" t="s">
        <v>1606</v>
      </c>
      <c r="L1600" s="1" t="s">
        <v>1729</v>
      </c>
      <c r="M1600" s="1" t="s">
        <v>1735</v>
      </c>
      <c r="N1600" t="s">
        <v>1981</v>
      </c>
      <c r="O1600" t="s">
        <v>2157</v>
      </c>
      <c r="P1600" t="s">
        <v>3037</v>
      </c>
      <c r="Q1600">
        <v>45.5</v>
      </c>
      <c r="R1600" s="1" t="s">
        <v>1839</v>
      </c>
      <c r="S1600">
        <v>2538.98</v>
      </c>
      <c r="T1600">
        <v>115524</v>
      </c>
    </row>
    <row r="1601" spans="1:20" hidden="1" x14ac:dyDescent="0.4">
      <c r="A1601" s="1" t="s">
        <v>577</v>
      </c>
      <c r="B1601" s="1" t="s">
        <v>1457</v>
      </c>
      <c r="C1601" s="1" t="s">
        <v>1845</v>
      </c>
      <c r="D1601" s="1" t="s">
        <v>1731</v>
      </c>
      <c r="E1601">
        <v>20251219</v>
      </c>
      <c r="F1601" s="1" t="s">
        <v>1470</v>
      </c>
      <c r="G1601">
        <v>4</v>
      </c>
      <c r="H1601" s="1" t="s">
        <v>1494</v>
      </c>
      <c r="I1601" t="s">
        <v>1874</v>
      </c>
      <c r="J1601" s="1" t="s">
        <v>1456</v>
      </c>
      <c r="K1601" s="1" t="s">
        <v>1606</v>
      </c>
      <c r="L1601" s="1" t="s">
        <v>1729</v>
      </c>
      <c r="M1601" s="1" t="s">
        <v>1735</v>
      </c>
      <c r="N1601" t="s">
        <v>1981</v>
      </c>
      <c r="O1601" t="s">
        <v>2157</v>
      </c>
      <c r="P1601" t="s">
        <v>3037</v>
      </c>
      <c r="Q1601">
        <v>45.5</v>
      </c>
      <c r="R1601" s="1" t="s">
        <v>1839</v>
      </c>
      <c r="S1601">
        <v>2538.98</v>
      </c>
      <c r="T1601">
        <v>115524</v>
      </c>
    </row>
    <row r="1602" spans="1:20" hidden="1" x14ac:dyDescent="0.4">
      <c r="A1602" s="1" t="s">
        <v>577</v>
      </c>
      <c r="B1602" s="1" t="s">
        <v>1458</v>
      </c>
      <c r="C1602" s="1" t="s">
        <v>1845</v>
      </c>
      <c r="D1602" s="1" t="s">
        <v>1731</v>
      </c>
      <c r="E1602">
        <v>20251219</v>
      </c>
      <c r="F1602" s="1" t="s">
        <v>1470</v>
      </c>
      <c r="G1602">
        <v>4</v>
      </c>
      <c r="H1602" s="1" t="s">
        <v>1494</v>
      </c>
      <c r="I1602" t="s">
        <v>1874</v>
      </c>
      <c r="J1602" s="1" t="s">
        <v>1456</v>
      </c>
      <c r="K1602" s="1" t="s">
        <v>1606</v>
      </c>
      <c r="L1602" s="1" t="s">
        <v>1729</v>
      </c>
      <c r="M1602" s="1" t="s">
        <v>1735</v>
      </c>
      <c r="N1602" t="s">
        <v>1981</v>
      </c>
      <c r="O1602" t="s">
        <v>2157</v>
      </c>
      <c r="P1602" t="s">
        <v>3037</v>
      </c>
      <c r="Q1602">
        <v>45.5</v>
      </c>
      <c r="R1602" s="1" t="s">
        <v>1839</v>
      </c>
      <c r="S1602">
        <v>2538.98</v>
      </c>
      <c r="T1602">
        <v>115524</v>
      </c>
    </row>
    <row r="1603" spans="1:20" hidden="1" x14ac:dyDescent="0.4">
      <c r="A1603" s="1" t="s">
        <v>577</v>
      </c>
      <c r="B1603" s="1" t="s">
        <v>1459</v>
      </c>
      <c r="C1603" s="1" t="s">
        <v>1845</v>
      </c>
      <c r="D1603" s="1" t="s">
        <v>1731</v>
      </c>
      <c r="E1603">
        <v>20251219</v>
      </c>
      <c r="F1603" s="1" t="s">
        <v>1470</v>
      </c>
      <c r="G1603">
        <v>4</v>
      </c>
      <c r="H1603" s="1" t="s">
        <v>1494</v>
      </c>
      <c r="I1603" t="s">
        <v>1874</v>
      </c>
      <c r="J1603" s="1" t="s">
        <v>1456</v>
      </c>
      <c r="K1603" s="1" t="s">
        <v>1606</v>
      </c>
      <c r="L1603" s="1" t="s">
        <v>1729</v>
      </c>
      <c r="M1603" s="1" t="s">
        <v>1735</v>
      </c>
      <c r="N1603" t="s">
        <v>1981</v>
      </c>
      <c r="O1603" t="s">
        <v>2157</v>
      </c>
      <c r="P1603" t="s">
        <v>3037</v>
      </c>
      <c r="Q1603">
        <v>48.04</v>
      </c>
      <c r="R1603" s="1" t="s">
        <v>1839</v>
      </c>
      <c r="S1603">
        <v>2538.98</v>
      </c>
      <c r="T1603">
        <v>121973</v>
      </c>
    </row>
    <row r="1604" spans="1:20" hidden="1" x14ac:dyDescent="0.4">
      <c r="A1604" s="1" t="s">
        <v>577</v>
      </c>
      <c r="B1604" s="1" t="s">
        <v>1460</v>
      </c>
      <c r="C1604" s="1" t="s">
        <v>1845</v>
      </c>
      <c r="D1604" s="1" t="s">
        <v>1731</v>
      </c>
      <c r="E1604">
        <v>20251219</v>
      </c>
      <c r="F1604" s="1" t="s">
        <v>1470</v>
      </c>
      <c r="G1604">
        <v>4</v>
      </c>
      <c r="H1604" s="1" t="s">
        <v>1494</v>
      </c>
      <c r="I1604" t="s">
        <v>1874</v>
      </c>
      <c r="J1604" s="1" t="s">
        <v>1456</v>
      </c>
      <c r="K1604" s="1" t="s">
        <v>1606</v>
      </c>
      <c r="L1604" s="1" t="s">
        <v>1729</v>
      </c>
      <c r="M1604" s="1" t="s">
        <v>1735</v>
      </c>
      <c r="N1604" t="s">
        <v>1981</v>
      </c>
      <c r="O1604" t="s">
        <v>2157</v>
      </c>
      <c r="P1604" t="s">
        <v>3037</v>
      </c>
      <c r="Q1604">
        <v>43.86</v>
      </c>
      <c r="R1604" s="1" t="s">
        <v>1839</v>
      </c>
      <c r="S1604">
        <v>2538.98</v>
      </c>
      <c r="T1604">
        <v>111360</v>
      </c>
    </row>
    <row r="1605" spans="1:20" hidden="1" x14ac:dyDescent="0.4">
      <c r="A1605" s="1" t="s">
        <v>577</v>
      </c>
      <c r="B1605" s="1" t="s">
        <v>1461</v>
      </c>
      <c r="C1605" s="1" t="s">
        <v>1845</v>
      </c>
      <c r="D1605" s="1" t="s">
        <v>1731</v>
      </c>
      <c r="E1605">
        <v>20251219</v>
      </c>
      <c r="F1605" s="1" t="s">
        <v>1470</v>
      </c>
      <c r="G1605">
        <v>4</v>
      </c>
      <c r="H1605" s="1" t="s">
        <v>1494</v>
      </c>
      <c r="I1605" t="s">
        <v>1874</v>
      </c>
      <c r="J1605" s="1" t="s">
        <v>1456</v>
      </c>
      <c r="K1605" s="1" t="s">
        <v>1606</v>
      </c>
      <c r="L1605" s="1" t="s">
        <v>1729</v>
      </c>
      <c r="M1605" s="1" t="s">
        <v>1735</v>
      </c>
      <c r="N1605" t="s">
        <v>1981</v>
      </c>
      <c r="O1605" t="s">
        <v>2157</v>
      </c>
      <c r="P1605" t="s">
        <v>3037</v>
      </c>
      <c r="Q1605">
        <v>45.5</v>
      </c>
      <c r="R1605" s="1" t="s">
        <v>1839</v>
      </c>
      <c r="S1605">
        <v>2538.98</v>
      </c>
      <c r="T1605">
        <v>115524</v>
      </c>
    </row>
    <row r="1606" spans="1:20" hidden="1" x14ac:dyDescent="0.4">
      <c r="A1606" s="1" t="s">
        <v>577</v>
      </c>
      <c r="B1606" s="1" t="s">
        <v>1462</v>
      </c>
      <c r="C1606" s="1" t="s">
        <v>1845</v>
      </c>
      <c r="D1606" s="1" t="s">
        <v>1731</v>
      </c>
      <c r="E1606">
        <v>20251219</v>
      </c>
      <c r="F1606" s="1" t="s">
        <v>1470</v>
      </c>
      <c r="G1606">
        <v>4</v>
      </c>
      <c r="H1606" s="1" t="s">
        <v>1494</v>
      </c>
      <c r="I1606" t="s">
        <v>1874</v>
      </c>
      <c r="J1606" s="1" t="s">
        <v>1456</v>
      </c>
      <c r="K1606" s="1" t="s">
        <v>1606</v>
      </c>
      <c r="L1606" s="1" t="s">
        <v>1729</v>
      </c>
      <c r="M1606" s="1" t="s">
        <v>1735</v>
      </c>
      <c r="N1606" t="s">
        <v>1981</v>
      </c>
      <c r="O1606" t="s">
        <v>2157</v>
      </c>
      <c r="P1606" t="s">
        <v>3037</v>
      </c>
      <c r="Q1606">
        <v>45.5</v>
      </c>
      <c r="R1606" s="1" t="s">
        <v>1839</v>
      </c>
      <c r="S1606">
        <v>2538.98</v>
      </c>
      <c r="T1606">
        <v>115524</v>
      </c>
    </row>
    <row r="1607" spans="1:20" hidden="1" x14ac:dyDescent="0.4">
      <c r="A1607" s="1" t="s">
        <v>577</v>
      </c>
      <c r="B1607" s="1" t="s">
        <v>1463</v>
      </c>
      <c r="C1607" s="1" t="s">
        <v>1845</v>
      </c>
      <c r="D1607" s="1" t="s">
        <v>1731</v>
      </c>
      <c r="E1607">
        <v>20251219</v>
      </c>
      <c r="F1607" s="1" t="s">
        <v>1470</v>
      </c>
      <c r="G1607">
        <v>4</v>
      </c>
      <c r="H1607" s="1" t="s">
        <v>1494</v>
      </c>
      <c r="I1607" t="s">
        <v>1874</v>
      </c>
      <c r="J1607" s="1" t="s">
        <v>1456</v>
      </c>
      <c r="K1607" s="1" t="s">
        <v>1606</v>
      </c>
      <c r="L1607" s="1" t="s">
        <v>1729</v>
      </c>
      <c r="M1607" s="1" t="s">
        <v>1735</v>
      </c>
      <c r="N1607" t="s">
        <v>1981</v>
      </c>
      <c r="O1607" t="s">
        <v>2157</v>
      </c>
      <c r="P1607" t="s">
        <v>3037</v>
      </c>
      <c r="Q1607">
        <v>45.5</v>
      </c>
      <c r="R1607" s="1" t="s">
        <v>1839</v>
      </c>
      <c r="S1607">
        <v>2538.98</v>
      </c>
      <c r="T1607">
        <v>115524</v>
      </c>
    </row>
    <row r="1608" spans="1:20" hidden="1" x14ac:dyDescent="0.4">
      <c r="A1608" s="1" t="s">
        <v>578</v>
      </c>
      <c r="B1608" s="1" t="s">
        <v>1453</v>
      </c>
      <c r="C1608" s="1" t="s">
        <v>1845</v>
      </c>
      <c r="D1608" s="1" t="s">
        <v>1731</v>
      </c>
      <c r="E1608">
        <v>20251219</v>
      </c>
      <c r="F1608" s="1" t="s">
        <v>1470</v>
      </c>
      <c r="G1608">
        <v>4</v>
      </c>
      <c r="H1608" s="1" t="s">
        <v>1494</v>
      </c>
      <c r="I1608" t="s">
        <v>1874</v>
      </c>
      <c r="J1608" s="1" t="s">
        <v>1456</v>
      </c>
      <c r="K1608" s="1" t="s">
        <v>1606</v>
      </c>
      <c r="L1608" s="1" t="s">
        <v>1729</v>
      </c>
      <c r="M1608" s="1" t="s">
        <v>1735</v>
      </c>
      <c r="N1608" t="s">
        <v>1981</v>
      </c>
      <c r="O1608" t="s">
        <v>2157</v>
      </c>
      <c r="P1608" t="s">
        <v>3037</v>
      </c>
      <c r="Q1608">
        <v>37.5</v>
      </c>
      <c r="R1608" s="1" t="s">
        <v>1839</v>
      </c>
      <c r="S1608">
        <v>2538.98</v>
      </c>
      <c r="T1608">
        <v>95212</v>
      </c>
    </row>
    <row r="1609" spans="1:20" hidden="1" x14ac:dyDescent="0.4">
      <c r="A1609" s="1" t="s">
        <v>578</v>
      </c>
      <c r="B1609" s="1" t="s">
        <v>1454</v>
      </c>
      <c r="C1609" s="1" t="s">
        <v>1845</v>
      </c>
      <c r="D1609" s="1" t="s">
        <v>1731</v>
      </c>
      <c r="E1609">
        <v>20251219</v>
      </c>
      <c r="F1609" s="1" t="s">
        <v>1470</v>
      </c>
      <c r="G1609">
        <v>4</v>
      </c>
      <c r="H1609" s="1" t="s">
        <v>1494</v>
      </c>
      <c r="I1609" t="s">
        <v>1874</v>
      </c>
      <c r="J1609" s="1" t="s">
        <v>1456</v>
      </c>
      <c r="K1609" s="1" t="s">
        <v>1606</v>
      </c>
      <c r="L1609" s="1" t="s">
        <v>1729</v>
      </c>
      <c r="M1609" s="1" t="s">
        <v>1735</v>
      </c>
      <c r="N1609" t="s">
        <v>1981</v>
      </c>
      <c r="O1609" t="s">
        <v>2157</v>
      </c>
      <c r="P1609" t="s">
        <v>3037</v>
      </c>
      <c r="Q1609">
        <v>37.5</v>
      </c>
      <c r="R1609" s="1" t="s">
        <v>1839</v>
      </c>
      <c r="S1609">
        <v>2538.98</v>
      </c>
      <c r="T1609">
        <v>95212</v>
      </c>
    </row>
    <row r="1610" spans="1:20" hidden="1" x14ac:dyDescent="0.4">
      <c r="A1610" s="1" t="s">
        <v>578</v>
      </c>
      <c r="B1610" s="1" t="s">
        <v>1455</v>
      </c>
      <c r="C1610" s="1" t="s">
        <v>1845</v>
      </c>
      <c r="D1610" s="1" t="s">
        <v>1731</v>
      </c>
      <c r="E1610">
        <v>20251219</v>
      </c>
      <c r="F1610" s="1" t="s">
        <v>1470</v>
      </c>
      <c r="G1610">
        <v>4</v>
      </c>
      <c r="H1610" s="1" t="s">
        <v>1494</v>
      </c>
      <c r="I1610" t="s">
        <v>1874</v>
      </c>
      <c r="J1610" s="1" t="s">
        <v>1456</v>
      </c>
      <c r="K1610" s="1" t="s">
        <v>1606</v>
      </c>
      <c r="L1610" s="1" t="s">
        <v>1729</v>
      </c>
      <c r="M1610" s="1" t="s">
        <v>1735</v>
      </c>
      <c r="N1610" t="s">
        <v>1981</v>
      </c>
      <c r="O1610" t="s">
        <v>2157</v>
      </c>
      <c r="P1610" t="s">
        <v>3037</v>
      </c>
      <c r="Q1610">
        <v>37.5</v>
      </c>
      <c r="R1610" s="1" t="s">
        <v>1839</v>
      </c>
      <c r="S1610">
        <v>2538.98</v>
      </c>
      <c r="T1610">
        <v>95212</v>
      </c>
    </row>
    <row r="1611" spans="1:20" hidden="1" x14ac:dyDescent="0.4">
      <c r="A1611" s="1" t="s">
        <v>578</v>
      </c>
      <c r="B1611" s="1" t="s">
        <v>1456</v>
      </c>
      <c r="C1611" s="1" t="s">
        <v>1845</v>
      </c>
      <c r="D1611" s="1" t="s">
        <v>1731</v>
      </c>
      <c r="E1611">
        <v>20251219</v>
      </c>
      <c r="F1611" s="1" t="s">
        <v>1470</v>
      </c>
      <c r="G1611">
        <v>4</v>
      </c>
      <c r="H1611" s="1" t="s">
        <v>1494</v>
      </c>
      <c r="I1611" t="s">
        <v>1874</v>
      </c>
      <c r="J1611" s="1" t="s">
        <v>1456</v>
      </c>
      <c r="K1611" s="1" t="s">
        <v>1606</v>
      </c>
      <c r="L1611" s="1" t="s">
        <v>1729</v>
      </c>
      <c r="M1611" s="1" t="s">
        <v>1735</v>
      </c>
      <c r="N1611" t="s">
        <v>1981</v>
      </c>
      <c r="O1611" t="s">
        <v>2157</v>
      </c>
      <c r="P1611" t="s">
        <v>3037</v>
      </c>
      <c r="Q1611">
        <v>37.5</v>
      </c>
      <c r="R1611" s="1" t="s">
        <v>1839</v>
      </c>
      <c r="S1611">
        <v>2538.98</v>
      </c>
      <c r="T1611">
        <v>95212</v>
      </c>
    </row>
    <row r="1612" spans="1:20" hidden="1" x14ac:dyDescent="0.4">
      <c r="A1612" s="1" t="s">
        <v>578</v>
      </c>
      <c r="B1612" s="1" t="s">
        <v>1457</v>
      </c>
      <c r="C1612" s="1" t="s">
        <v>1845</v>
      </c>
      <c r="D1612" s="1" t="s">
        <v>1731</v>
      </c>
      <c r="E1612">
        <v>20251219</v>
      </c>
      <c r="F1612" s="1" t="s">
        <v>1470</v>
      </c>
      <c r="G1612">
        <v>4</v>
      </c>
      <c r="H1612" s="1" t="s">
        <v>1494</v>
      </c>
      <c r="I1612" t="s">
        <v>1874</v>
      </c>
      <c r="J1612" s="1" t="s">
        <v>1456</v>
      </c>
      <c r="K1612" s="1" t="s">
        <v>1606</v>
      </c>
      <c r="L1612" s="1" t="s">
        <v>1729</v>
      </c>
      <c r="M1612" s="1" t="s">
        <v>1735</v>
      </c>
      <c r="N1612" t="s">
        <v>1981</v>
      </c>
      <c r="O1612" t="s">
        <v>2157</v>
      </c>
      <c r="P1612" t="s">
        <v>3037</v>
      </c>
      <c r="Q1612">
        <v>37.5</v>
      </c>
      <c r="R1612" s="1" t="s">
        <v>1839</v>
      </c>
      <c r="S1612">
        <v>2538.98</v>
      </c>
      <c r="T1612">
        <v>95212</v>
      </c>
    </row>
    <row r="1613" spans="1:20" hidden="1" x14ac:dyDescent="0.4">
      <c r="A1613" s="1" t="s">
        <v>578</v>
      </c>
      <c r="B1613" s="1" t="s">
        <v>1458</v>
      </c>
      <c r="C1613" s="1" t="s">
        <v>1845</v>
      </c>
      <c r="D1613" s="1" t="s">
        <v>1731</v>
      </c>
      <c r="E1613">
        <v>20251219</v>
      </c>
      <c r="F1613" s="1" t="s">
        <v>1470</v>
      </c>
      <c r="G1613">
        <v>4</v>
      </c>
      <c r="H1613" s="1" t="s">
        <v>1494</v>
      </c>
      <c r="I1613" t="s">
        <v>1874</v>
      </c>
      <c r="J1613" s="1" t="s">
        <v>1456</v>
      </c>
      <c r="K1613" s="1" t="s">
        <v>1606</v>
      </c>
      <c r="L1613" s="1" t="s">
        <v>1729</v>
      </c>
      <c r="M1613" s="1" t="s">
        <v>1735</v>
      </c>
      <c r="N1613" t="s">
        <v>1981</v>
      </c>
      <c r="O1613" t="s">
        <v>2157</v>
      </c>
      <c r="P1613" t="s">
        <v>3037</v>
      </c>
      <c r="Q1613">
        <v>37.5</v>
      </c>
      <c r="R1613" s="1" t="s">
        <v>1839</v>
      </c>
      <c r="S1613">
        <v>2538.98</v>
      </c>
      <c r="T1613">
        <v>95212</v>
      </c>
    </row>
    <row r="1614" spans="1:20" hidden="1" x14ac:dyDescent="0.4">
      <c r="A1614" s="1" t="s">
        <v>578</v>
      </c>
      <c r="B1614" s="1" t="s">
        <v>1459</v>
      </c>
      <c r="C1614" s="1" t="s">
        <v>1845</v>
      </c>
      <c r="D1614" s="1" t="s">
        <v>1731</v>
      </c>
      <c r="E1614">
        <v>20251219</v>
      </c>
      <c r="F1614" s="1" t="s">
        <v>1470</v>
      </c>
      <c r="G1614">
        <v>4</v>
      </c>
      <c r="H1614" s="1" t="s">
        <v>1494</v>
      </c>
      <c r="I1614" t="s">
        <v>1874</v>
      </c>
      <c r="J1614" s="1" t="s">
        <v>1456</v>
      </c>
      <c r="K1614" s="1" t="s">
        <v>1606</v>
      </c>
      <c r="L1614" s="1" t="s">
        <v>1729</v>
      </c>
      <c r="M1614" s="1" t="s">
        <v>1735</v>
      </c>
      <c r="N1614" t="s">
        <v>1981</v>
      </c>
      <c r="O1614" t="s">
        <v>2157</v>
      </c>
      <c r="P1614" t="s">
        <v>3037</v>
      </c>
      <c r="Q1614">
        <v>39.6</v>
      </c>
      <c r="R1614" s="1" t="s">
        <v>1839</v>
      </c>
      <c r="S1614">
        <v>2538.98</v>
      </c>
      <c r="T1614">
        <v>100544</v>
      </c>
    </row>
    <row r="1615" spans="1:20" hidden="1" x14ac:dyDescent="0.4">
      <c r="A1615" s="1" t="s">
        <v>578</v>
      </c>
      <c r="B1615" s="1" t="s">
        <v>1460</v>
      </c>
      <c r="C1615" s="1" t="s">
        <v>1845</v>
      </c>
      <c r="D1615" s="1" t="s">
        <v>1731</v>
      </c>
      <c r="E1615">
        <v>20251219</v>
      </c>
      <c r="F1615" s="1" t="s">
        <v>1470</v>
      </c>
      <c r="G1615">
        <v>4</v>
      </c>
      <c r="H1615" s="1" t="s">
        <v>1494</v>
      </c>
      <c r="I1615" t="s">
        <v>1874</v>
      </c>
      <c r="J1615" s="1" t="s">
        <v>1456</v>
      </c>
      <c r="K1615" s="1" t="s">
        <v>1606</v>
      </c>
      <c r="L1615" s="1" t="s">
        <v>1729</v>
      </c>
      <c r="M1615" s="1" t="s">
        <v>1735</v>
      </c>
      <c r="N1615" t="s">
        <v>1981</v>
      </c>
      <c r="O1615" t="s">
        <v>2157</v>
      </c>
      <c r="P1615" t="s">
        <v>3037</v>
      </c>
      <c r="Q1615">
        <v>37.5</v>
      </c>
      <c r="R1615" s="1" t="s">
        <v>1839</v>
      </c>
      <c r="S1615">
        <v>2538.98</v>
      </c>
      <c r="T1615">
        <v>95212</v>
      </c>
    </row>
    <row r="1616" spans="1:20" hidden="1" x14ac:dyDescent="0.4">
      <c r="A1616" s="1" t="s">
        <v>578</v>
      </c>
      <c r="B1616" s="1" t="s">
        <v>1461</v>
      </c>
      <c r="C1616" s="1" t="s">
        <v>1845</v>
      </c>
      <c r="D1616" s="1" t="s">
        <v>1731</v>
      </c>
      <c r="E1616">
        <v>20251219</v>
      </c>
      <c r="F1616" s="1" t="s">
        <v>1470</v>
      </c>
      <c r="G1616">
        <v>4</v>
      </c>
      <c r="H1616" s="1" t="s">
        <v>1494</v>
      </c>
      <c r="I1616" t="s">
        <v>1874</v>
      </c>
      <c r="J1616" s="1" t="s">
        <v>1456</v>
      </c>
      <c r="K1616" s="1" t="s">
        <v>1606</v>
      </c>
      <c r="L1616" s="1" t="s">
        <v>1729</v>
      </c>
      <c r="M1616" s="1" t="s">
        <v>1735</v>
      </c>
      <c r="N1616" t="s">
        <v>1981</v>
      </c>
      <c r="O1616" t="s">
        <v>2157</v>
      </c>
      <c r="P1616" t="s">
        <v>3037</v>
      </c>
      <c r="Q1616">
        <v>37.5</v>
      </c>
      <c r="R1616" s="1" t="s">
        <v>1839</v>
      </c>
      <c r="S1616">
        <v>2538.98</v>
      </c>
      <c r="T1616">
        <v>95212</v>
      </c>
    </row>
    <row r="1617" spans="1:20" hidden="1" x14ac:dyDescent="0.4">
      <c r="A1617" s="1" t="s">
        <v>578</v>
      </c>
      <c r="B1617" s="1" t="s">
        <v>1462</v>
      </c>
      <c r="C1617" s="1" t="s">
        <v>1845</v>
      </c>
      <c r="D1617" s="1" t="s">
        <v>1731</v>
      </c>
      <c r="E1617">
        <v>20251219</v>
      </c>
      <c r="F1617" s="1" t="s">
        <v>1470</v>
      </c>
      <c r="G1617">
        <v>4</v>
      </c>
      <c r="H1617" s="1" t="s">
        <v>1494</v>
      </c>
      <c r="I1617" t="s">
        <v>1874</v>
      </c>
      <c r="J1617" s="1" t="s">
        <v>1456</v>
      </c>
      <c r="K1617" s="1" t="s">
        <v>1606</v>
      </c>
      <c r="L1617" s="1" t="s">
        <v>1729</v>
      </c>
      <c r="M1617" s="1" t="s">
        <v>1735</v>
      </c>
      <c r="N1617" t="s">
        <v>1981</v>
      </c>
      <c r="O1617" t="s">
        <v>2157</v>
      </c>
      <c r="P1617" t="s">
        <v>3037</v>
      </c>
      <c r="Q1617">
        <v>37.5</v>
      </c>
      <c r="R1617" s="1" t="s">
        <v>1839</v>
      </c>
      <c r="S1617">
        <v>2538.98</v>
      </c>
      <c r="T1617">
        <v>95212</v>
      </c>
    </row>
    <row r="1618" spans="1:20" hidden="1" x14ac:dyDescent="0.4">
      <c r="A1618" s="1" t="s">
        <v>578</v>
      </c>
      <c r="B1618" s="1" t="s">
        <v>1463</v>
      </c>
      <c r="C1618" s="1" t="s">
        <v>1845</v>
      </c>
      <c r="D1618" s="1" t="s">
        <v>1731</v>
      </c>
      <c r="E1618">
        <v>20251219</v>
      </c>
      <c r="F1618" s="1" t="s">
        <v>1470</v>
      </c>
      <c r="G1618">
        <v>4</v>
      </c>
      <c r="H1618" s="1" t="s">
        <v>1494</v>
      </c>
      <c r="I1618" t="s">
        <v>1874</v>
      </c>
      <c r="J1618" s="1" t="s">
        <v>1456</v>
      </c>
      <c r="K1618" s="1" t="s">
        <v>1606</v>
      </c>
      <c r="L1618" s="1" t="s">
        <v>1729</v>
      </c>
      <c r="M1618" s="1" t="s">
        <v>1735</v>
      </c>
      <c r="N1618" t="s">
        <v>1981</v>
      </c>
      <c r="O1618" t="s">
        <v>2157</v>
      </c>
      <c r="P1618" t="s">
        <v>3037</v>
      </c>
      <c r="Q1618">
        <v>37.5</v>
      </c>
      <c r="R1618" s="1" t="s">
        <v>1839</v>
      </c>
      <c r="S1618">
        <v>2538.98</v>
      </c>
      <c r="T1618">
        <v>95212</v>
      </c>
    </row>
    <row r="1619" spans="1:20" hidden="1" x14ac:dyDescent="0.4">
      <c r="A1619" s="1" t="s">
        <v>579</v>
      </c>
      <c r="B1619" s="1" t="s">
        <v>1453</v>
      </c>
      <c r="C1619" s="1" t="s">
        <v>1845</v>
      </c>
      <c r="D1619" s="1" t="s">
        <v>1462</v>
      </c>
      <c r="E1619">
        <v>20251218</v>
      </c>
      <c r="F1619" s="1" t="s">
        <v>1471</v>
      </c>
      <c r="G1619">
        <v>4</v>
      </c>
      <c r="H1619" s="1" t="s">
        <v>1498</v>
      </c>
      <c r="I1619" t="s">
        <v>1878</v>
      </c>
      <c r="J1619" s="1" t="s">
        <v>1460</v>
      </c>
      <c r="K1619" s="1" t="s">
        <v>1649</v>
      </c>
      <c r="L1619" s="1" t="s">
        <v>1731</v>
      </c>
      <c r="M1619" s="1" t="s">
        <v>1761</v>
      </c>
      <c r="N1619" t="s">
        <v>2031</v>
      </c>
      <c r="O1619" t="s">
        <v>2178</v>
      </c>
      <c r="P1619" t="s">
        <v>3156</v>
      </c>
      <c r="Q1619">
        <v>250</v>
      </c>
      <c r="R1619" s="1" t="s">
        <v>1463</v>
      </c>
      <c r="S1619">
        <v>1450</v>
      </c>
      <c r="T1619">
        <v>362500</v>
      </c>
    </row>
    <row r="1620" spans="1:20" hidden="1" x14ac:dyDescent="0.4">
      <c r="A1620" s="1" t="s">
        <v>580</v>
      </c>
      <c r="B1620" s="1" t="s">
        <v>1453</v>
      </c>
      <c r="C1620" s="1" t="s">
        <v>1845</v>
      </c>
      <c r="D1620" s="1" t="s">
        <v>1462</v>
      </c>
      <c r="E1620">
        <v>20251218</v>
      </c>
      <c r="F1620" s="1" t="s">
        <v>1471</v>
      </c>
      <c r="G1620">
        <v>4</v>
      </c>
      <c r="H1620" s="1" t="s">
        <v>1498</v>
      </c>
      <c r="I1620" t="s">
        <v>1878</v>
      </c>
      <c r="J1620" s="1" t="s">
        <v>1460</v>
      </c>
      <c r="K1620" s="1" t="s">
        <v>1649</v>
      </c>
      <c r="L1620" s="1" t="s">
        <v>1731</v>
      </c>
      <c r="M1620" s="1" t="s">
        <v>1761</v>
      </c>
      <c r="N1620" t="s">
        <v>2031</v>
      </c>
      <c r="O1620" t="s">
        <v>2178</v>
      </c>
      <c r="P1620" t="s">
        <v>3156</v>
      </c>
      <c r="Q1620">
        <v>1250</v>
      </c>
      <c r="R1620" s="1" t="s">
        <v>1463</v>
      </c>
      <c r="S1620">
        <v>1450</v>
      </c>
      <c r="T1620">
        <v>1812500</v>
      </c>
    </row>
    <row r="1621" spans="1:20" hidden="1" x14ac:dyDescent="0.4">
      <c r="A1621" s="1" t="s">
        <v>581</v>
      </c>
      <c r="B1621" s="1" t="s">
        <v>1453</v>
      </c>
      <c r="C1621" s="1" t="s">
        <v>1845</v>
      </c>
      <c r="D1621" s="1" t="s">
        <v>1733</v>
      </c>
      <c r="E1621">
        <v>20251219</v>
      </c>
      <c r="F1621" s="1" t="s">
        <v>1470</v>
      </c>
      <c r="G1621">
        <v>4</v>
      </c>
      <c r="H1621" s="1" t="s">
        <v>1494</v>
      </c>
      <c r="I1621" t="s">
        <v>1874</v>
      </c>
      <c r="J1621" s="1" t="s">
        <v>1456</v>
      </c>
      <c r="K1621" s="1" t="s">
        <v>1606</v>
      </c>
      <c r="L1621" s="1" t="s">
        <v>1729</v>
      </c>
      <c r="M1621" s="1" t="s">
        <v>1735</v>
      </c>
      <c r="N1621" t="s">
        <v>1981</v>
      </c>
      <c r="O1621" t="s">
        <v>2157</v>
      </c>
      <c r="P1621" t="s">
        <v>3037</v>
      </c>
      <c r="Q1621">
        <v>-37.5</v>
      </c>
      <c r="R1621" s="1" t="s">
        <v>1839</v>
      </c>
      <c r="S1621">
        <v>2538.98</v>
      </c>
      <c r="T1621">
        <v>-95212</v>
      </c>
    </row>
    <row r="1622" spans="1:20" hidden="1" x14ac:dyDescent="0.4">
      <c r="A1622" s="1" t="s">
        <v>581</v>
      </c>
      <c r="B1622" s="1" t="s">
        <v>1454</v>
      </c>
      <c r="C1622" s="1" t="s">
        <v>1845</v>
      </c>
      <c r="D1622" s="1" t="s">
        <v>1733</v>
      </c>
      <c r="E1622">
        <v>20251219</v>
      </c>
      <c r="F1622" s="1" t="s">
        <v>1470</v>
      </c>
      <c r="G1622">
        <v>4</v>
      </c>
      <c r="H1622" s="1" t="s">
        <v>1494</v>
      </c>
      <c r="I1622" t="s">
        <v>1874</v>
      </c>
      <c r="J1622" s="1" t="s">
        <v>1456</v>
      </c>
      <c r="K1622" s="1" t="s">
        <v>1606</v>
      </c>
      <c r="L1622" s="1" t="s">
        <v>1729</v>
      </c>
      <c r="M1622" s="1" t="s">
        <v>1735</v>
      </c>
      <c r="N1622" t="s">
        <v>1981</v>
      </c>
      <c r="O1622" t="s">
        <v>2157</v>
      </c>
      <c r="P1622" t="s">
        <v>3037</v>
      </c>
      <c r="Q1622">
        <v>-37.5</v>
      </c>
      <c r="R1622" s="1" t="s">
        <v>1839</v>
      </c>
      <c r="S1622">
        <v>2538.98</v>
      </c>
      <c r="T1622">
        <v>-95212</v>
      </c>
    </row>
    <row r="1623" spans="1:20" hidden="1" x14ac:dyDescent="0.4">
      <c r="A1623" s="1" t="s">
        <v>581</v>
      </c>
      <c r="B1623" s="1" t="s">
        <v>1455</v>
      </c>
      <c r="C1623" s="1" t="s">
        <v>1845</v>
      </c>
      <c r="D1623" s="1" t="s">
        <v>1733</v>
      </c>
      <c r="E1623">
        <v>20251219</v>
      </c>
      <c r="F1623" s="1" t="s">
        <v>1470</v>
      </c>
      <c r="G1623">
        <v>4</v>
      </c>
      <c r="H1623" s="1" t="s">
        <v>1494</v>
      </c>
      <c r="I1623" t="s">
        <v>1874</v>
      </c>
      <c r="J1623" s="1" t="s">
        <v>1456</v>
      </c>
      <c r="K1623" s="1" t="s">
        <v>1606</v>
      </c>
      <c r="L1623" s="1" t="s">
        <v>1729</v>
      </c>
      <c r="M1623" s="1" t="s">
        <v>1735</v>
      </c>
      <c r="N1623" t="s">
        <v>1981</v>
      </c>
      <c r="O1623" t="s">
        <v>2157</v>
      </c>
      <c r="P1623" t="s">
        <v>3037</v>
      </c>
      <c r="Q1623">
        <v>-37.5</v>
      </c>
      <c r="R1623" s="1" t="s">
        <v>1839</v>
      </c>
      <c r="S1623">
        <v>2538.98</v>
      </c>
      <c r="T1623">
        <v>-95212</v>
      </c>
    </row>
    <row r="1624" spans="1:20" hidden="1" x14ac:dyDescent="0.4">
      <c r="A1624" s="1" t="s">
        <v>581</v>
      </c>
      <c r="B1624" s="1" t="s">
        <v>1456</v>
      </c>
      <c r="C1624" s="1" t="s">
        <v>1845</v>
      </c>
      <c r="D1624" s="1" t="s">
        <v>1733</v>
      </c>
      <c r="E1624">
        <v>20251219</v>
      </c>
      <c r="F1624" s="1" t="s">
        <v>1470</v>
      </c>
      <c r="G1624">
        <v>4</v>
      </c>
      <c r="H1624" s="1" t="s">
        <v>1494</v>
      </c>
      <c r="I1624" t="s">
        <v>1874</v>
      </c>
      <c r="J1624" s="1" t="s">
        <v>1456</v>
      </c>
      <c r="K1624" s="1" t="s">
        <v>1606</v>
      </c>
      <c r="L1624" s="1" t="s">
        <v>1729</v>
      </c>
      <c r="M1624" s="1" t="s">
        <v>1735</v>
      </c>
      <c r="N1624" t="s">
        <v>1981</v>
      </c>
      <c r="O1624" t="s">
        <v>2157</v>
      </c>
      <c r="P1624" t="s">
        <v>3037</v>
      </c>
      <c r="Q1624">
        <v>-37.5</v>
      </c>
      <c r="R1624" s="1" t="s">
        <v>1839</v>
      </c>
      <c r="S1624">
        <v>2538.98</v>
      </c>
      <c r="T1624">
        <v>-95212</v>
      </c>
    </row>
    <row r="1625" spans="1:20" hidden="1" x14ac:dyDescent="0.4">
      <c r="A1625" s="1" t="s">
        <v>581</v>
      </c>
      <c r="B1625" s="1" t="s">
        <v>1457</v>
      </c>
      <c r="C1625" s="1" t="s">
        <v>1845</v>
      </c>
      <c r="D1625" s="1" t="s">
        <v>1733</v>
      </c>
      <c r="E1625">
        <v>20251219</v>
      </c>
      <c r="F1625" s="1" t="s">
        <v>1470</v>
      </c>
      <c r="G1625">
        <v>4</v>
      </c>
      <c r="H1625" s="1" t="s">
        <v>1494</v>
      </c>
      <c r="I1625" t="s">
        <v>1874</v>
      </c>
      <c r="J1625" s="1" t="s">
        <v>1456</v>
      </c>
      <c r="K1625" s="1" t="s">
        <v>1606</v>
      </c>
      <c r="L1625" s="1" t="s">
        <v>1729</v>
      </c>
      <c r="M1625" s="1" t="s">
        <v>1735</v>
      </c>
      <c r="N1625" t="s">
        <v>1981</v>
      </c>
      <c r="O1625" t="s">
        <v>2157</v>
      </c>
      <c r="P1625" t="s">
        <v>3037</v>
      </c>
      <c r="Q1625">
        <v>-37.5</v>
      </c>
      <c r="R1625" s="1" t="s">
        <v>1839</v>
      </c>
      <c r="S1625">
        <v>2538.98</v>
      </c>
      <c r="T1625">
        <v>-95212</v>
      </c>
    </row>
    <row r="1626" spans="1:20" hidden="1" x14ac:dyDescent="0.4">
      <c r="A1626" s="1" t="s">
        <v>581</v>
      </c>
      <c r="B1626" s="1" t="s">
        <v>1458</v>
      </c>
      <c r="C1626" s="1" t="s">
        <v>1845</v>
      </c>
      <c r="D1626" s="1" t="s">
        <v>1733</v>
      </c>
      <c r="E1626">
        <v>20251219</v>
      </c>
      <c r="F1626" s="1" t="s">
        <v>1470</v>
      </c>
      <c r="G1626">
        <v>4</v>
      </c>
      <c r="H1626" s="1" t="s">
        <v>1494</v>
      </c>
      <c r="I1626" t="s">
        <v>1874</v>
      </c>
      <c r="J1626" s="1" t="s">
        <v>1456</v>
      </c>
      <c r="K1626" s="1" t="s">
        <v>1606</v>
      </c>
      <c r="L1626" s="1" t="s">
        <v>1729</v>
      </c>
      <c r="M1626" s="1" t="s">
        <v>1735</v>
      </c>
      <c r="N1626" t="s">
        <v>1981</v>
      </c>
      <c r="O1626" t="s">
        <v>2157</v>
      </c>
      <c r="P1626" t="s">
        <v>3037</v>
      </c>
      <c r="Q1626">
        <v>-37.5</v>
      </c>
      <c r="R1626" s="1" t="s">
        <v>1839</v>
      </c>
      <c r="S1626">
        <v>2538.98</v>
      </c>
      <c r="T1626">
        <v>-95212</v>
      </c>
    </row>
    <row r="1627" spans="1:20" hidden="1" x14ac:dyDescent="0.4">
      <c r="A1627" s="1" t="s">
        <v>581</v>
      </c>
      <c r="B1627" s="1" t="s">
        <v>1459</v>
      </c>
      <c r="C1627" s="1" t="s">
        <v>1845</v>
      </c>
      <c r="D1627" s="1" t="s">
        <v>1733</v>
      </c>
      <c r="E1627">
        <v>20251219</v>
      </c>
      <c r="F1627" s="1" t="s">
        <v>1470</v>
      </c>
      <c r="G1627">
        <v>4</v>
      </c>
      <c r="H1627" s="1" t="s">
        <v>1494</v>
      </c>
      <c r="I1627" t="s">
        <v>1874</v>
      </c>
      <c r="J1627" s="1" t="s">
        <v>1456</v>
      </c>
      <c r="K1627" s="1" t="s">
        <v>1606</v>
      </c>
      <c r="L1627" s="1" t="s">
        <v>1729</v>
      </c>
      <c r="M1627" s="1" t="s">
        <v>1735</v>
      </c>
      <c r="N1627" t="s">
        <v>1981</v>
      </c>
      <c r="O1627" t="s">
        <v>2157</v>
      </c>
      <c r="P1627" t="s">
        <v>3037</v>
      </c>
      <c r="Q1627">
        <v>-39.6</v>
      </c>
      <c r="R1627" s="1" t="s">
        <v>1839</v>
      </c>
      <c r="S1627">
        <v>2538.98</v>
      </c>
      <c r="T1627">
        <v>-100544</v>
      </c>
    </row>
    <row r="1628" spans="1:20" hidden="1" x14ac:dyDescent="0.4">
      <c r="A1628" s="1" t="s">
        <v>581</v>
      </c>
      <c r="B1628" s="1" t="s">
        <v>1460</v>
      </c>
      <c r="C1628" s="1" t="s">
        <v>1845</v>
      </c>
      <c r="D1628" s="1" t="s">
        <v>1733</v>
      </c>
      <c r="E1628">
        <v>20251219</v>
      </c>
      <c r="F1628" s="1" t="s">
        <v>1470</v>
      </c>
      <c r="G1628">
        <v>4</v>
      </c>
      <c r="H1628" s="1" t="s">
        <v>1494</v>
      </c>
      <c r="I1628" t="s">
        <v>1874</v>
      </c>
      <c r="J1628" s="1" t="s">
        <v>1456</v>
      </c>
      <c r="K1628" s="1" t="s">
        <v>1606</v>
      </c>
      <c r="L1628" s="1" t="s">
        <v>1729</v>
      </c>
      <c r="M1628" s="1" t="s">
        <v>1735</v>
      </c>
      <c r="N1628" t="s">
        <v>1981</v>
      </c>
      <c r="O1628" t="s">
        <v>2157</v>
      </c>
      <c r="P1628" t="s">
        <v>3037</v>
      </c>
      <c r="Q1628">
        <v>-37.5</v>
      </c>
      <c r="R1628" s="1" t="s">
        <v>1839</v>
      </c>
      <c r="S1628">
        <v>2538.98</v>
      </c>
      <c r="T1628">
        <v>-95212</v>
      </c>
    </row>
    <row r="1629" spans="1:20" hidden="1" x14ac:dyDescent="0.4">
      <c r="A1629" s="1" t="s">
        <v>581</v>
      </c>
      <c r="B1629" s="1" t="s">
        <v>1461</v>
      </c>
      <c r="C1629" s="1" t="s">
        <v>1845</v>
      </c>
      <c r="D1629" s="1" t="s">
        <v>1733</v>
      </c>
      <c r="E1629">
        <v>20251219</v>
      </c>
      <c r="F1629" s="1" t="s">
        <v>1470</v>
      </c>
      <c r="G1629">
        <v>4</v>
      </c>
      <c r="H1629" s="1" t="s">
        <v>1494</v>
      </c>
      <c r="I1629" t="s">
        <v>1874</v>
      </c>
      <c r="J1629" s="1" t="s">
        <v>1456</v>
      </c>
      <c r="K1629" s="1" t="s">
        <v>1606</v>
      </c>
      <c r="L1629" s="1" t="s">
        <v>1729</v>
      </c>
      <c r="M1629" s="1" t="s">
        <v>1735</v>
      </c>
      <c r="N1629" t="s">
        <v>1981</v>
      </c>
      <c r="O1629" t="s">
        <v>2157</v>
      </c>
      <c r="P1629" t="s">
        <v>3037</v>
      </c>
      <c r="Q1629">
        <v>-37.5</v>
      </c>
      <c r="R1629" s="1" t="s">
        <v>1839</v>
      </c>
      <c r="S1629">
        <v>2538.98</v>
      </c>
      <c r="T1629">
        <v>-95212</v>
      </c>
    </row>
    <row r="1630" spans="1:20" hidden="1" x14ac:dyDescent="0.4">
      <c r="A1630" s="1" t="s">
        <v>581</v>
      </c>
      <c r="B1630" s="1" t="s">
        <v>1462</v>
      </c>
      <c r="C1630" s="1" t="s">
        <v>1845</v>
      </c>
      <c r="D1630" s="1" t="s">
        <v>1733</v>
      </c>
      <c r="E1630">
        <v>20251219</v>
      </c>
      <c r="F1630" s="1" t="s">
        <v>1470</v>
      </c>
      <c r="G1630">
        <v>4</v>
      </c>
      <c r="H1630" s="1" t="s">
        <v>1494</v>
      </c>
      <c r="I1630" t="s">
        <v>1874</v>
      </c>
      <c r="J1630" s="1" t="s">
        <v>1456</v>
      </c>
      <c r="K1630" s="1" t="s">
        <v>1606</v>
      </c>
      <c r="L1630" s="1" t="s">
        <v>1729</v>
      </c>
      <c r="M1630" s="1" t="s">
        <v>1735</v>
      </c>
      <c r="N1630" t="s">
        <v>1981</v>
      </c>
      <c r="O1630" t="s">
        <v>2157</v>
      </c>
      <c r="P1630" t="s">
        <v>3037</v>
      </c>
      <c r="Q1630">
        <v>-37.5</v>
      </c>
      <c r="R1630" s="1" t="s">
        <v>1839</v>
      </c>
      <c r="S1630">
        <v>2538.98</v>
      </c>
      <c r="T1630">
        <v>-95212</v>
      </c>
    </row>
    <row r="1631" spans="1:20" hidden="1" x14ac:dyDescent="0.4">
      <c r="A1631" s="1" t="s">
        <v>581</v>
      </c>
      <c r="B1631" s="1" t="s">
        <v>1463</v>
      </c>
      <c r="C1631" s="1" t="s">
        <v>1845</v>
      </c>
      <c r="D1631" s="1" t="s">
        <v>1733</v>
      </c>
      <c r="E1631">
        <v>20251219</v>
      </c>
      <c r="F1631" s="1" t="s">
        <v>1470</v>
      </c>
      <c r="G1631">
        <v>4</v>
      </c>
      <c r="H1631" s="1" t="s">
        <v>1494</v>
      </c>
      <c r="I1631" t="s">
        <v>1874</v>
      </c>
      <c r="J1631" s="1" t="s">
        <v>1456</v>
      </c>
      <c r="K1631" s="1" t="s">
        <v>1606</v>
      </c>
      <c r="L1631" s="1" t="s">
        <v>1729</v>
      </c>
      <c r="M1631" s="1" t="s">
        <v>1735</v>
      </c>
      <c r="N1631" t="s">
        <v>1981</v>
      </c>
      <c r="O1631" t="s">
        <v>2157</v>
      </c>
      <c r="P1631" t="s">
        <v>3037</v>
      </c>
      <c r="Q1631">
        <v>-37.5</v>
      </c>
      <c r="R1631" s="1" t="s">
        <v>1839</v>
      </c>
      <c r="S1631">
        <v>2538.98</v>
      </c>
      <c r="T1631">
        <v>-95212</v>
      </c>
    </row>
    <row r="1632" spans="1:20" hidden="1" x14ac:dyDescent="0.4">
      <c r="A1632" s="1" t="s">
        <v>582</v>
      </c>
      <c r="B1632" s="1" t="s">
        <v>1453</v>
      </c>
      <c r="C1632" s="1" t="s">
        <v>1845</v>
      </c>
      <c r="D1632" s="1" t="s">
        <v>1731</v>
      </c>
      <c r="E1632">
        <v>20251219</v>
      </c>
      <c r="F1632" s="1" t="s">
        <v>1470</v>
      </c>
      <c r="G1632">
        <v>4</v>
      </c>
      <c r="H1632" s="1" t="s">
        <v>1494</v>
      </c>
      <c r="I1632" t="s">
        <v>1874</v>
      </c>
      <c r="J1632" s="1" t="s">
        <v>1456</v>
      </c>
      <c r="K1632" s="1" t="s">
        <v>1606</v>
      </c>
      <c r="L1632" s="1" t="s">
        <v>1729</v>
      </c>
      <c r="M1632" s="1" t="s">
        <v>1735</v>
      </c>
      <c r="N1632" t="s">
        <v>1981</v>
      </c>
      <c r="O1632" t="s">
        <v>2157</v>
      </c>
      <c r="P1632" t="s">
        <v>3037</v>
      </c>
      <c r="Q1632">
        <v>37.5</v>
      </c>
      <c r="R1632" s="1" t="s">
        <v>1839</v>
      </c>
      <c r="S1632">
        <v>2538.98</v>
      </c>
      <c r="T1632">
        <v>95212</v>
      </c>
    </row>
    <row r="1633" spans="1:20" hidden="1" x14ac:dyDescent="0.4">
      <c r="A1633" s="1" t="s">
        <v>582</v>
      </c>
      <c r="B1633" s="1" t="s">
        <v>1454</v>
      </c>
      <c r="C1633" s="1" t="s">
        <v>1845</v>
      </c>
      <c r="D1633" s="1" t="s">
        <v>1731</v>
      </c>
      <c r="E1633">
        <v>20251219</v>
      </c>
      <c r="F1633" s="1" t="s">
        <v>1470</v>
      </c>
      <c r="G1633">
        <v>4</v>
      </c>
      <c r="H1633" s="1" t="s">
        <v>1494</v>
      </c>
      <c r="I1633" t="s">
        <v>1874</v>
      </c>
      <c r="J1633" s="1" t="s">
        <v>1456</v>
      </c>
      <c r="K1633" s="1" t="s">
        <v>1606</v>
      </c>
      <c r="L1633" s="1" t="s">
        <v>1729</v>
      </c>
      <c r="M1633" s="1" t="s">
        <v>1735</v>
      </c>
      <c r="N1633" t="s">
        <v>1981</v>
      </c>
      <c r="O1633" t="s">
        <v>2157</v>
      </c>
      <c r="P1633" t="s">
        <v>3037</v>
      </c>
      <c r="Q1633">
        <v>37.5</v>
      </c>
      <c r="R1633" s="1" t="s">
        <v>1839</v>
      </c>
      <c r="S1633">
        <v>2538.98</v>
      </c>
      <c r="T1633">
        <v>95212</v>
      </c>
    </row>
    <row r="1634" spans="1:20" hidden="1" x14ac:dyDescent="0.4">
      <c r="A1634" s="1" t="s">
        <v>582</v>
      </c>
      <c r="B1634" s="1" t="s">
        <v>1455</v>
      </c>
      <c r="C1634" s="1" t="s">
        <v>1845</v>
      </c>
      <c r="D1634" s="1" t="s">
        <v>1731</v>
      </c>
      <c r="E1634">
        <v>20251219</v>
      </c>
      <c r="F1634" s="1" t="s">
        <v>1470</v>
      </c>
      <c r="G1634">
        <v>4</v>
      </c>
      <c r="H1634" s="1" t="s">
        <v>1494</v>
      </c>
      <c r="I1634" t="s">
        <v>1874</v>
      </c>
      <c r="J1634" s="1" t="s">
        <v>1456</v>
      </c>
      <c r="K1634" s="1" t="s">
        <v>1606</v>
      </c>
      <c r="L1634" s="1" t="s">
        <v>1729</v>
      </c>
      <c r="M1634" s="1" t="s">
        <v>1735</v>
      </c>
      <c r="N1634" t="s">
        <v>1981</v>
      </c>
      <c r="O1634" t="s">
        <v>2157</v>
      </c>
      <c r="P1634" t="s">
        <v>3037</v>
      </c>
      <c r="Q1634">
        <v>37.5</v>
      </c>
      <c r="R1634" s="1" t="s">
        <v>1839</v>
      </c>
      <c r="S1634">
        <v>2538.98</v>
      </c>
      <c r="T1634">
        <v>95212</v>
      </c>
    </row>
    <row r="1635" spans="1:20" hidden="1" x14ac:dyDescent="0.4">
      <c r="A1635" s="1" t="s">
        <v>582</v>
      </c>
      <c r="B1635" s="1" t="s">
        <v>1456</v>
      </c>
      <c r="C1635" s="1" t="s">
        <v>1845</v>
      </c>
      <c r="D1635" s="1" t="s">
        <v>1731</v>
      </c>
      <c r="E1635">
        <v>20251219</v>
      </c>
      <c r="F1635" s="1" t="s">
        <v>1470</v>
      </c>
      <c r="G1635">
        <v>4</v>
      </c>
      <c r="H1635" s="1" t="s">
        <v>1494</v>
      </c>
      <c r="I1635" t="s">
        <v>1874</v>
      </c>
      <c r="J1635" s="1" t="s">
        <v>1456</v>
      </c>
      <c r="K1635" s="1" t="s">
        <v>1606</v>
      </c>
      <c r="L1635" s="1" t="s">
        <v>1729</v>
      </c>
      <c r="M1635" s="1" t="s">
        <v>1735</v>
      </c>
      <c r="N1635" t="s">
        <v>1981</v>
      </c>
      <c r="O1635" t="s">
        <v>2157</v>
      </c>
      <c r="P1635" t="s">
        <v>3037</v>
      </c>
      <c r="Q1635">
        <v>37.5</v>
      </c>
      <c r="R1635" s="1" t="s">
        <v>1839</v>
      </c>
      <c r="S1635">
        <v>2538.98</v>
      </c>
      <c r="T1635">
        <v>95212</v>
      </c>
    </row>
    <row r="1636" spans="1:20" hidden="1" x14ac:dyDescent="0.4">
      <c r="A1636" s="1" t="s">
        <v>582</v>
      </c>
      <c r="B1636" s="1" t="s">
        <v>1457</v>
      </c>
      <c r="C1636" s="1" t="s">
        <v>1845</v>
      </c>
      <c r="D1636" s="1" t="s">
        <v>1731</v>
      </c>
      <c r="E1636">
        <v>20251219</v>
      </c>
      <c r="F1636" s="1" t="s">
        <v>1470</v>
      </c>
      <c r="G1636">
        <v>4</v>
      </c>
      <c r="H1636" s="1" t="s">
        <v>1494</v>
      </c>
      <c r="I1636" t="s">
        <v>1874</v>
      </c>
      <c r="J1636" s="1" t="s">
        <v>1456</v>
      </c>
      <c r="K1636" s="1" t="s">
        <v>1606</v>
      </c>
      <c r="L1636" s="1" t="s">
        <v>1729</v>
      </c>
      <c r="M1636" s="1" t="s">
        <v>1735</v>
      </c>
      <c r="N1636" t="s">
        <v>1981</v>
      </c>
      <c r="O1636" t="s">
        <v>2157</v>
      </c>
      <c r="P1636" t="s">
        <v>3037</v>
      </c>
      <c r="Q1636">
        <v>37.5</v>
      </c>
      <c r="R1636" s="1" t="s">
        <v>1839</v>
      </c>
      <c r="S1636">
        <v>2538.98</v>
      </c>
      <c r="T1636">
        <v>95212</v>
      </c>
    </row>
    <row r="1637" spans="1:20" hidden="1" x14ac:dyDescent="0.4">
      <c r="A1637" s="1" t="s">
        <v>582</v>
      </c>
      <c r="B1637" s="1" t="s">
        <v>1458</v>
      </c>
      <c r="C1637" s="1" t="s">
        <v>1845</v>
      </c>
      <c r="D1637" s="1" t="s">
        <v>1731</v>
      </c>
      <c r="E1637">
        <v>20251219</v>
      </c>
      <c r="F1637" s="1" t="s">
        <v>1470</v>
      </c>
      <c r="G1637">
        <v>4</v>
      </c>
      <c r="H1637" s="1" t="s">
        <v>1494</v>
      </c>
      <c r="I1637" t="s">
        <v>1874</v>
      </c>
      <c r="J1637" s="1" t="s">
        <v>1456</v>
      </c>
      <c r="K1637" s="1" t="s">
        <v>1606</v>
      </c>
      <c r="L1637" s="1" t="s">
        <v>1729</v>
      </c>
      <c r="M1637" s="1" t="s">
        <v>1735</v>
      </c>
      <c r="N1637" t="s">
        <v>1981</v>
      </c>
      <c r="O1637" t="s">
        <v>2157</v>
      </c>
      <c r="P1637" t="s">
        <v>3037</v>
      </c>
      <c r="Q1637">
        <v>37.5</v>
      </c>
      <c r="R1637" s="1" t="s">
        <v>1839</v>
      </c>
      <c r="S1637">
        <v>2538.98</v>
      </c>
      <c r="T1637">
        <v>95212</v>
      </c>
    </row>
    <row r="1638" spans="1:20" hidden="1" x14ac:dyDescent="0.4">
      <c r="A1638" s="1" t="s">
        <v>582</v>
      </c>
      <c r="B1638" s="1" t="s">
        <v>1459</v>
      </c>
      <c r="C1638" s="1" t="s">
        <v>1845</v>
      </c>
      <c r="D1638" s="1" t="s">
        <v>1731</v>
      </c>
      <c r="E1638">
        <v>20251219</v>
      </c>
      <c r="F1638" s="1" t="s">
        <v>1470</v>
      </c>
      <c r="G1638">
        <v>4</v>
      </c>
      <c r="H1638" s="1" t="s">
        <v>1494</v>
      </c>
      <c r="I1638" t="s">
        <v>1874</v>
      </c>
      <c r="J1638" s="1" t="s">
        <v>1456</v>
      </c>
      <c r="K1638" s="1" t="s">
        <v>1606</v>
      </c>
      <c r="L1638" s="1" t="s">
        <v>1729</v>
      </c>
      <c r="M1638" s="1" t="s">
        <v>1735</v>
      </c>
      <c r="N1638" t="s">
        <v>1981</v>
      </c>
      <c r="O1638" t="s">
        <v>2157</v>
      </c>
      <c r="P1638" t="s">
        <v>3037</v>
      </c>
      <c r="Q1638">
        <v>39.6</v>
      </c>
      <c r="R1638" s="1" t="s">
        <v>1839</v>
      </c>
      <c r="S1638">
        <v>2538.98</v>
      </c>
      <c r="T1638">
        <v>100544</v>
      </c>
    </row>
    <row r="1639" spans="1:20" hidden="1" x14ac:dyDescent="0.4">
      <c r="A1639" s="1" t="s">
        <v>582</v>
      </c>
      <c r="B1639" s="1" t="s">
        <v>1460</v>
      </c>
      <c r="C1639" s="1" t="s">
        <v>1845</v>
      </c>
      <c r="D1639" s="1" t="s">
        <v>1731</v>
      </c>
      <c r="E1639">
        <v>20251219</v>
      </c>
      <c r="F1639" s="1" t="s">
        <v>1470</v>
      </c>
      <c r="G1639">
        <v>4</v>
      </c>
      <c r="H1639" s="1" t="s">
        <v>1494</v>
      </c>
      <c r="I1639" t="s">
        <v>1874</v>
      </c>
      <c r="J1639" s="1" t="s">
        <v>1456</v>
      </c>
      <c r="K1639" s="1" t="s">
        <v>1606</v>
      </c>
      <c r="L1639" s="1" t="s">
        <v>1729</v>
      </c>
      <c r="M1639" s="1" t="s">
        <v>1735</v>
      </c>
      <c r="N1639" t="s">
        <v>1981</v>
      </c>
      <c r="O1639" t="s">
        <v>2157</v>
      </c>
      <c r="P1639" t="s">
        <v>3037</v>
      </c>
      <c r="Q1639">
        <v>37.5</v>
      </c>
      <c r="R1639" s="1" t="s">
        <v>1839</v>
      </c>
      <c r="S1639">
        <v>2538.98</v>
      </c>
      <c r="T1639">
        <v>95212</v>
      </c>
    </row>
    <row r="1640" spans="1:20" hidden="1" x14ac:dyDescent="0.4">
      <c r="A1640" s="1" t="s">
        <v>582</v>
      </c>
      <c r="B1640" s="1" t="s">
        <v>1461</v>
      </c>
      <c r="C1640" s="1" t="s">
        <v>1845</v>
      </c>
      <c r="D1640" s="1" t="s">
        <v>1731</v>
      </c>
      <c r="E1640">
        <v>20251219</v>
      </c>
      <c r="F1640" s="1" t="s">
        <v>1470</v>
      </c>
      <c r="G1640">
        <v>4</v>
      </c>
      <c r="H1640" s="1" t="s">
        <v>1494</v>
      </c>
      <c r="I1640" t="s">
        <v>1874</v>
      </c>
      <c r="J1640" s="1" t="s">
        <v>1456</v>
      </c>
      <c r="K1640" s="1" t="s">
        <v>1606</v>
      </c>
      <c r="L1640" s="1" t="s">
        <v>1729</v>
      </c>
      <c r="M1640" s="1" t="s">
        <v>1735</v>
      </c>
      <c r="N1640" t="s">
        <v>1981</v>
      </c>
      <c r="O1640" t="s">
        <v>2157</v>
      </c>
      <c r="P1640" t="s">
        <v>3037</v>
      </c>
      <c r="Q1640">
        <v>37.5</v>
      </c>
      <c r="R1640" s="1" t="s">
        <v>1839</v>
      </c>
      <c r="S1640">
        <v>2538.98</v>
      </c>
      <c r="T1640">
        <v>95212</v>
      </c>
    </row>
    <row r="1641" spans="1:20" hidden="1" x14ac:dyDescent="0.4">
      <c r="A1641" s="1" t="s">
        <v>582</v>
      </c>
      <c r="B1641" s="1" t="s">
        <v>1462</v>
      </c>
      <c r="C1641" s="1" t="s">
        <v>1845</v>
      </c>
      <c r="D1641" s="1" t="s">
        <v>1731</v>
      </c>
      <c r="E1641">
        <v>20251219</v>
      </c>
      <c r="F1641" s="1" t="s">
        <v>1470</v>
      </c>
      <c r="G1641">
        <v>4</v>
      </c>
      <c r="H1641" s="1" t="s">
        <v>1494</v>
      </c>
      <c r="I1641" t="s">
        <v>1874</v>
      </c>
      <c r="J1641" s="1" t="s">
        <v>1456</v>
      </c>
      <c r="K1641" s="1" t="s">
        <v>1606</v>
      </c>
      <c r="L1641" s="1" t="s">
        <v>1729</v>
      </c>
      <c r="M1641" s="1" t="s">
        <v>1735</v>
      </c>
      <c r="N1641" t="s">
        <v>1981</v>
      </c>
      <c r="O1641" t="s">
        <v>2157</v>
      </c>
      <c r="P1641" t="s">
        <v>3037</v>
      </c>
      <c r="Q1641">
        <v>37.5</v>
      </c>
      <c r="R1641" s="1" t="s">
        <v>1839</v>
      </c>
      <c r="S1641">
        <v>2538.98</v>
      </c>
      <c r="T1641">
        <v>95212</v>
      </c>
    </row>
    <row r="1642" spans="1:20" hidden="1" x14ac:dyDescent="0.4">
      <c r="A1642" s="1" t="s">
        <v>582</v>
      </c>
      <c r="B1642" s="1" t="s">
        <v>1463</v>
      </c>
      <c r="C1642" s="1" t="s">
        <v>1845</v>
      </c>
      <c r="D1642" s="1" t="s">
        <v>1731</v>
      </c>
      <c r="E1642">
        <v>20251219</v>
      </c>
      <c r="F1642" s="1" t="s">
        <v>1470</v>
      </c>
      <c r="G1642">
        <v>4</v>
      </c>
      <c r="H1642" s="1" t="s">
        <v>1494</v>
      </c>
      <c r="I1642" t="s">
        <v>1874</v>
      </c>
      <c r="J1642" s="1" t="s">
        <v>1456</v>
      </c>
      <c r="K1642" s="1" t="s">
        <v>1606</v>
      </c>
      <c r="L1642" s="1" t="s">
        <v>1729</v>
      </c>
      <c r="M1642" s="1" t="s">
        <v>1735</v>
      </c>
      <c r="N1642" t="s">
        <v>1981</v>
      </c>
      <c r="O1642" t="s">
        <v>2157</v>
      </c>
      <c r="P1642" t="s">
        <v>3037</v>
      </c>
      <c r="Q1642">
        <v>37.5</v>
      </c>
      <c r="R1642" s="1" t="s">
        <v>1839</v>
      </c>
      <c r="S1642">
        <v>2538.98</v>
      </c>
      <c r="T1642">
        <v>95212</v>
      </c>
    </row>
    <row r="1643" spans="1:20" hidden="1" x14ac:dyDescent="0.4">
      <c r="A1643" s="1" t="s">
        <v>583</v>
      </c>
      <c r="B1643" s="1" t="s">
        <v>1453</v>
      </c>
      <c r="C1643" s="1" t="s">
        <v>1845</v>
      </c>
      <c r="D1643" s="1" t="s">
        <v>1731</v>
      </c>
      <c r="E1643">
        <v>20251222</v>
      </c>
      <c r="F1643" s="1" t="s">
        <v>1470</v>
      </c>
      <c r="G1643">
        <v>4</v>
      </c>
      <c r="H1643" s="1" t="s">
        <v>1490</v>
      </c>
      <c r="I1643" t="s">
        <v>1870</v>
      </c>
      <c r="J1643" s="1" t="s">
        <v>1456</v>
      </c>
      <c r="K1643" s="1" t="s">
        <v>1553</v>
      </c>
      <c r="L1643" s="1" t="s">
        <v>1729</v>
      </c>
      <c r="M1643" s="1" t="s">
        <v>1736</v>
      </c>
      <c r="N1643" t="s">
        <v>1925</v>
      </c>
      <c r="O1643" t="s">
        <v>2157</v>
      </c>
      <c r="P1643" t="s">
        <v>3038</v>
      </c>
      <c r="Q1643">
        <v>23</v>
      </c>
      <c r="R1643" s="1" t="s">
        <v>1718</v>
      </c>
      <c r="S1643">
        <v>23063.43</v>
      </c>
      <c r="T1643">
        <v>530459</v>
      </c>
    </row>
    <row r="1644" spans="1:20" hidden="1" x14ac:dyDescent="0.4">
      <c r="A1644" s="1" t="s">
        <v>583</v>
      </c>
      <c r="B1644" s="1" t="s">
        <v>1454</v>
      </c>
      <c r="C1644" s="1" t="s">
        <v>1845</v>
      </c>
      <c r="D1644" s="1" t="s">
        <v>1731</v>
      </c>
      <c r="E1644">
        <v>20251222</v>
      </c>
      <c r="F1644" s="1" t="s">
        <v>1470</v>
      </c>
      <c r="G1644">
        <v>4</v>
      </c>
      <c r="H1644" s="1" t="s">
        <v>1490</v>
      </c>
      <c r="I1644" t="s">
        <v>1870</v>
      </c>
      <c r="J1644" s="1" t="s">
        <v>1456</v>
      </c>
      <c r="K1644" s="1" t="s">
        <v>1554</v>
      </c>
      <c r="L1644" s="1" t="s">
        <v>1729</v>
      </c>
      <c r="M1644" s="1" t="s">
        <v>1737</v>
      </c>
      <c r="N1644" t="s">
        <v>1926</v>
      </c>
      <c r="O1644" t="s">
        <v>2157</v>
      </c>
      <c r="P1644" t="s">
        <v>2157</v>
      </c>
      <c r="Q1644">
        <v>23</v>
      </c>
      <c r="R1644" s="1" t="s">
        <v>1718</v>
      </c>
      <c r="S1644">
        <v>19529.169999999998</v>
      </c>
      <c r="T1644">
        <v>449171</v>
      </c>
    </row>
    <row r="1645" spans="1:20" hidden="1" x14ac:dyDescent="0.4">
      <c r="A1645" s="1" t="s">
        <v>584</v>
      </c>
      <c r="B1645" s="1" t="s">
        <v>1453</v>
      </c>
      <c r="C1645" s="1" t="s">
        <v>1845</v>
      </c>
      <c r="D1645" s="1" t="s">
        <v>1731</v>
      </c>
      <c r="E1645">
        <v>20251222</v>
      </c>
      <c r="F1645" s="1" t="s">
        <v>1470</v>
      </c>
      <c r="G1645">
        <v>4</v>
      </c>
      <c r="H1645" s="1" t="s">
        <v>1490</v>
      </c>
      <c r="I1645" t="s">
        <v>1870</v>
      </c>
      <c r="J1645" s="1" t="s">
        <v>1456</v>
      </c>
      <c r="K1645" s="1" t="s">
        <v>1561</v>
      </c>
      <c r="L1645" s="1" t="s">
        <v>1729</v>
      </c>
      <c r="M1645" s="1" t="s">
        <v>1737</v>
      </c>
      <c r="N1645" t="s">
        <v>1954</v>
      </c>
      <c r="O1645" t="s">
        <v>2157</v>
      </c>
      <c r="P1645" t="s">
        <v>2157</v>
      </c>
      <c r="Q1645">
        <v>6</v>
      </c>
      <c r="R1645" s="1" t="s">
        <v>1718</v>
      </c>
      <c r="S1645">
        <v>10240</v>
      </c>
      <c r="T1645">
        <v>61440</v>
      </c>
    </row>
    <row r="1646" spans="1:20" hidden="1" x14ac:dyDescent="0.4">
      <c r="A1646" s="1" t="s">
        <v>585</v>
      </c>
      <c r="B1646" s="1" t="s">
        <v>1453</v>
      </c>
      <c r="C1646" s="1" t="s">
        <v>1845</v>
      </c>
      <c r="D1646" s="1" t="s">
        <v>1731</v>
      </c>
      <c r="E1646">
        <v>20251222</v>
      </c>
      <c r="F1646" s="1" t="s">
        <v>1470</v>
      </c>
      <c r="G1646">
        <v>4</v>
      </c>
      <c r="H1646" s="1" t="s">
        <v>1490</v>
      </c>
      <c r="I1646" t="s">
        <v>1870</v>
      </c>
      <c r="J1646" s="1" t="s">
        <v>1456</v>
      </c>
      <c r="K1646" s="1" t="s">
        <v>1558</v>
      </c>
      <c r="L1646" s="1" t="s">
        <v>1729</v>
      </c>
      <c r="M1646" s="1" t="s">
        <v>1737</v>
      </c>
      <c r="N1646" t="s">
        <v>1930</v>
      </c>
      <c r="O1646" t="s">
        <v>2157</v>
      </c>
      <c r="P1646" t="s">
        <v>2157</v>
      </c>
      <c r="Q1646">
        <v>16</v>
      </c>
      <c r="R1646" s="1" t="s">
        <v>1718</v>
      </c>
      <c r="S1646">
        <v>17307.12</v>
      </c>
      <c r="T1646">
        <v>276914</v>
      </c>
    </row>
    <row r="1647" spans="1:20" hidden="1" x14ac:dyDescent="0.4">
      <c r="A1647" s="1" t="s">
        <v>586</v>
      </c>
      <c r="B1647" s="1" t="s">
        <v>1453</v>
      </c>
      <c r="C1647" s="1" t="s">
        <v>1845</v>
      </c>
      <c r="D1647" s="1" t="s">
        <v>1731</v>
      </c>
      <c r="E1647">
        <v>20251222</v>
      </c>
      <c r="F1647" s="1" t="s">
        <v>1470</v>
      </c>
      <c r="G1647">
        <v>4</v>
      </c>
      <c r="H1647" s="1" t="s">
        <v>1490</v>
      </c>
      <c r="I1647" t="s">
        <v>1870</v>
      </c>
      <c r="J1647" s="1" t="s">
        <v>1456</v>
      </c>
      <c r="K1647" s="1" t="s">
        <v>1573</v>
      </c>
      <c r="L1647" s="1" t="s">
        <v>1729</v>
      </c>
      <c r="M1647" s="1" t="s">
        <v>1741</v>
      </c>
      <c r="N1647" t="s">
        <v>1946</v>
      </c>
      <c r="O1647" t="s">
        <v>2157</v>
      </c>
      <c r="P1647" t="s">
        <v>3042</v>
      </c>
      <c r="Q1647">
        <v>30</v>
      </c>
      <c r="R1647" s="1" t="s">
        <v>1718</v>
      </c>
      <c r="S1647">
        <v>10898</v>
      </c>
      <c r="T1647">
        <v>326940</v>
      </c>
    </row>
    <row r="1648" spans="1:20" hidden="1" x14ac:dyDescent="0.4">
      <c r="A1648" s="1" t="s">
        <v>586</v>
      </c>
      <c r="B1648" s="1" t="s">
        <v>1454</v>
      </c>
      <c r="C1648" s="1" t="s">
        <v>1845</v>
      </c>
      <c r="D1648" s="1" t="s">
        <v>1731</v>
      </c>
      <c r="E1648">
        <v>20251222</v>
      </c>
      <c r="F1648" s="1" t="s">
        <v>1470</v>
      </c>
      <c r="G1648">
        <v>4</v>
      </c>
      <c r="H1648" s="1" t="s">
        <v>1490</v>
      </c>
      <c r="I1648" t="s">
        <v>1870</v>
      </c>
      <c r="J1648" s="1" t="s">
        <v>1456</v>
      </c>
      <c r="K1648" s="1" t="s">
        <v>1570</v>
      </c>
      <c r="L1648" s="1" t="s">
        <v>1729</v>
      </c>
      <c r="M1648" s="1" t="s">
        <v>1741</v>
      </c>
      <c r="N1648" t="s">
        <v>1943</v>
      </c>
      <c r="O1648" t="s">
        <v>2157</v>
      </c>
      <c r="P1648" t="s">
        <v>3042</v>
      </c>
      <c r="Q1648">
        <v>30</v>
      </c>
      <c r="R1648" s="1" t="s">
        <v>1718</v>
      </c>
      <c r="S1648">
        <v>16304</v>
      </c>
      <c r="T1648">
        <v>489120</v>
      </c>
    </row>
    <row r="1649" spans="1:20" hidden="1" x14ac:dyDescent="0.4">
      <c r="A1649" s="1" t="s">
        <v>587</v>
      </c>
      <c r="B1649" s="1" t="s">
        <v>1453</v>
      </c>
      <c r="C1649" s="1" t="s">
        <v>1845</v>
      </c>
      <c r="D1649" s="1" t="s">
        <v>1731</v>
      </c>
      <c r="E1649">
        <v>20251219</v>
      </c>
      <c r="F1649" s="1" t="s">
        <v>1470</v>
      </c>
      <c r="G1649">
        <v>4</v>
      </c>
      <c r="H1649" s="1" t="s">
        <v>1494</v>
      </c>
      <c r="I1649" t="s">
        <v>1874</v>
      </c>
      <c r="J1649" s="1" t="s">
        <v>1456</v>
      </c>
      <c r="K1649" s="1" t="s">
        <v>1606</v>
      </c>
      <c r="L1649" s="1" t="s">
        <v>1729</v>
      </c>
      <c r="M1649" s="1" t="s">
        <v>1735</v>
      </c>
      <c r="N1649" t="s">
        <v>1981</v>
      </c>
      <c r="O1649" t="s">
        <v>2157</v>
      </c>
      <c r="P1649" t="s">
        <v>3037</v>
      </c>
      <c r="Q1649">
        <v>47.68</v>
      </c>
      <c r="R1649" s="1" t="s">
        <v>1839</v>
      </c>
      <c r="S1649">
        <v>2538.98</v>
      </c>
      <c r="T1649">
        <v>121059</v>
      </c>
    </row>
    <row r="1650" spans="1:20" hidden="1" x14ac:dyDescent="0.4">
      <c r="A1650" s="1" t="s">
        <v>587</v>
      </c>
      <c r="B1650" s="1" t="s">
        <v>1454</v>
      </c>
      <c r="C1650" s="1" t="s">
        <v>1845</v>
      </c>
      <c r="D1650" s="1" t="s">
        <v>1731</v>
      </c>
      <c r="E1650">
        <v>20251219</v>
      </c>
      <c r="F1650" s="1" t="s">
        <v>1470</v>
      </c>
      <c r="G1650">
        <v>4</v>
      </c>
      <c r="H1650" s="1" t="s">
        <v>1494</v>
      </c>
      <c r="I1650" t="s">
        <v>1874</v>
      </c>
      <c r="J1650" s="1" t="s">
        <v>1456</v>
      </c>
      <c r="K1650" s="1" t="s">
        <v>1606</v>
      </c>
      <c r="L1650" s="1" t="s">
        <v>1729</v>
      </c>
      <c r="M1650" s="1" t="s">
        <v>1735</v>
      </c>
      <c r="N1650" t="s">
        <v>1981</v>
      </c>
      <c r="O1650" t="s">
        <v>2157</v>
      </c>
      <c r="P1650" t="s">
        <v>3037</v>
      </c>
      <c r="Q1650">
        <v>35.299999999999997</v>
      </c>
      <c r="R1650" s="1" t="s">
        <v>1839</v>
      </c>
      <c r="S1650">
        <v>2538.98</v>
      </c>
      <c r="T1650">
        <v>89626</v>
      </c>
    </row>
    <row r="1651" spans="1:20" hidden="1" x14ac:dyDescent="0.4">
      <c r="A1651" s="1" t="s">
        <v>587</v>
      </c>
      <c r="B1651" s="1" t="s">
        <v>1455</v>
      </c>
      <c r="C1651" s="1" t="s">
        <v>1845</v>
      </c>
      <c r="D1651" s="1" t="s">
        <v>1731</v>
      </c>
      <c r="E1651">
        <v>20251219</v>
      </c>
      <c r="F1651" s="1" t="s">
        <v>1470</v>
      </c>
      <c r="G1651">
        <v>4</v>
      </c>
      <c r="H1651" s="1" t="s">
        <v>1494</v>
      </c>
      <c r="I1651" t="s">
        <v>1874</v>
      </c>
      <c r="J1651" s="1" t="s">
        <v>1456</v>
      </c>
      <c r="K1651" s="1" t="s">
        <v>1606</v>
      </c>
      <c r="L1651" s="1" t="s">
        <v>1729</v>
      </c>
      <c r="M1651" s="1" t="s">
        <v>1735</v>
      </c>
      <c r="N1651" t="s">
        <v>1981</v>
      </c>
      <c r="O1651" t="s">
        <v>2157</v>
      </c>
      <c r="P1651" t="s">
        <v>3037</v>
      </c>
      <c r="Q1651">
        <v>41.86</v>
      </c>
      <c r="R1651" s="1" t="s">
        <v>1839</v>
      </c>
      <c r="S1651">
        <v>2538.98</v>
      </c>
      <c r="T1651">
        <v>106282</v>
      </c>
    </row>
    <row r="1652" spans="1:20" hidden="1" x14ac:dyDescent="0.4">
      <c r="A1652" s="1" t="s">
        <v>587</v>
      </c>
      <c r="B1652" s="1" t="s">
        <v>1456</v>
      </c>
      <c r="C1652" s="1" t="s">
        <v>1845</v>
      </c>
      <c r="D1652" s="1" t="s">
        <v>1731</v>
      </c>
      <c r="E1652">
        <v>20251219</v>
      </c>
      <c r="F1652" s="1" t="s">
        <v>1470</v>
      </c>
      <c r="G1652">
        <v>4</v>
      </c>
      <c r="H1652" s="1" t="s">
        <v>1494</v>
      </c>
      <c r="I1652" t="s">
        <v>1874</v>
      </c>
      <c r="J1652" s="1" t="s">
        <v>1456</v>
      </c>
      <c r="K1652" s="1" t="s">
        <v>1606</v>
      </c>
      <c r="L1652" s="1" t="s">
        <v>1729</v>
      </c>
      <c r="M1652" s="1" t="s">
        <v>1735</v>
      </c>
      <c r="N1652" t="s">
        <v>1981</v>
      </c>
      <c r="O1652" t="s">
        <v>2157</v>
      </c>
      <c r="P1652" t="s">
        <v>3037</v>
      </c>
      <c r="Q1652">
        <v>45.5</v>
      </c>
      <c r="R1652" s="1" t="s">
        <v>1839</v>
      </c>
      <c r="S1652">
        <v>2538.98</v>
      </c>
      <c r="T1652">
        <v>115524</v>
      </c>
    </row>
    <row r="1653" spans="1:20" hidden="1" x14ac:dyDescent="0.4">
      <c r="A1653" s="1" t="s">
        <v>587</v>
      </c>
      <c r="B1653" s="1" t="s">
        <v>1457</v>
      </c>
      <c r="C1653" s="1" t="s">
        <v>1845</v>
      </c>
      <c r="D1653" s="1" t="s">
        <v>1731</v>
      </c>
      <c r="E1653">
        <v>20251219</v>
      </c>
      <c r="F1653" s="1" t="s">
        <v>1470</v>
      </c>
      <c r="G1653">
        <v>4</v>
      </c>
      <c r="H1653" s="1" t="s">
        <v>1494</v>
      </c>
      <c r="I1653" t="s">
        <v>1874</v>
      </c>
      <c r="J1653" s="1" t="s">
        <v>1456</v>
      </c>
      <c r="K1653" s="1" t="s">
        <v>1606</v>
      </c>
      <c r="L1653" s="1" t="s">
        <v>1729</v>
      </c>
      <c r="M1653" s="1" t="s">
        <v>1735</v>
      </c>
      <c r="N1653" t="s">
        <v>1981</v>
      </c>
      <c r="O1653" t="s">
        <v>2157</v>
      </c>
      <c r="P1653" t="s">
        <v>3037</v>
      </c>
      <c r="Q1653">
        <v>45.5</v>
      </c>
      <c r="R1653" s="1" t="s">
        <v>1839</v>
      </c>
      <c r="S1653">
        <v>2538.98</v>
      </c>
      <c r="T1653">
        <v>115524</v>
      </c>
    </row>
    <row r="1654" spans="1:20" hidden="1" x14ac:dyDescent="0.4">
      <c r="A1654" s="1" t="s">
        <v>587</v>
      </c>
      <c r="B1654" s="1" t="s">
        <v>1458</v>
      </c>
      <c r="C1654" s="1" t="s">
        <v>1845</v>
      </c>
      <c r="D1654" s="1" t="s">
        <v>1731</v>
      </c>
      <c r="E1654">
        <v>20251219</v>
      </c>
      <c r="F1654" s="1" t="s">
        <v>1470</v>
      </c>
      <c r="G1654">
        <v>4</v>
      </c>
      <c r="H1654" s="1" t="s">
        <v>1494</v>
      </c>
      <c r="I1654" t="s">
        <v>1874</v>
      </c>
      <c r="J1654" s="1" t="s">
        <v>1456</v>
      </c>
      <c r="K1654" s="1" t="s">
        <v>1606</v>
      </c>
      <c r="L1654" s="1" t="s">
        <v>1729</v>
      </c>
      <c r="M1654" s="1" t="s">
        <v>1735</v>
      </c>
      <c r="N1654" t="s">
        <v>1981</v>
      </c>
      <c r="O1654" t="s">
        <v>2157</v>
      </c>
      <c r="P1654" t="s">
        <v>3037</v>
      </c>
      <c r="Q1654">
        <v>45.5</v>
      </c>
      <c r="R1654" s="1" t="s">
        <v>1839</v>
      </c>
      <c r="S1654">
        <v>2538.98</v>
      </c>
      <c r="T1654">
        <v>115524</v>
      </c>
    </row>
    <row r="1655" spans="1:20" hidden="1" x14ac:dyDescent="0.4">
      <c r="A1655" s="1" t="s">
        <v>587</v>
      </c>
      <c r="B1655" s="1" t="s">
        <v>1459</v>
      </c>
      <c r="C1655" s="1" t="s">
        <v>1845</v>
      </c>
      <c r="D1655" s="1" t="s">
        <v>1731</v>
      </c>
      <c r="E1655">
        <v>20251219</v>
      </c>
      <c r="F1655" s="1" t="s">
        <v>1470</v>
      </c>
      <c r="G1655">
        <v>4</v>
      </c>
      <c r="H1655" s="1" t="s">
        <v>1494</v>
      </c>
      <c r="I1655" t="s">
        <v>1874</v>
      </c>
      <c r="J1655" s="1" t="s">
        <v>1456</v>
      </c>
      <c r="K1655" s="1" t="s">
        <v>1606</v>
      </c>
      <c r="L1655" s="1" t="s">
        <v>1729</v>
      </c>
      <c r="M1655" s="1" t="s">
        <v>1735</v>
      </c>
      <c r="N1655" t="s">
        <v>1981</v>
      </c>
      <c r="O1655" t="s">
        <v>2157</v>
      </c>
      <c r="P1655" t="s">
        <v>3037</v>
      </c>
      <c r="Q1655">
        <v>45.5</v>
      </c>
      <c r="R1655" s="1" t="s">
        <v>1839</v>
      </c>
      <c r="S1655">
        <v>2538.98</v>
      </c>
      <c r="T1655">
        <v>115524</v>
      </c>
    </row>
    <row r="1656" spans="1:20" hidden="1" x14ac:dyDescent="0.4">
      <c r="A1656" s="1" t="s">
        <v>587</v>
      </c>
      <c r="B1656" s="1" t="s">
        <v>1460</v>
      </c>
      <c r="C1656" s="1" t="s">
        <v>1845</v>
      </c>
      <c r="D1656" s="1" t="s">
        <v>1731</v>
      </c>
      <c r="E1656">
        <v>20251219</v>
      </c>
      <c r="F1656" s="1" t="s">
        <v>1470</v>
      </c>
      <c r="G1656">
        <v>4</v>
      </c>
      <c r="H1656" s="1" t="s">
        <v>1494</v>
      </c>
      <c r="I1656" t="s">
        <v>1874</v>
      </c>
      <c r="J1656" s="1" t="s">
        <v>1456</v>
      </c>
      <c r="K1656" s="1" t="s">
        <v>1606</v>
      </c>
      <c r="L1656" s="1" t="s">
        <v>1729</v>
      </c>
      <c r="M1656" s="1" t="s">
        <v>1735</v>
      </c>
      <c r="N1656" t="s">
        <v>1981</v>
      </c>
      <c r="O1656" t="s">
        <v>2157</v>
      </c>
      <c r="P1656" t="s">
        <v>3037</v>
      </c>
      <c r="Q1656">
        <v>45.13</v>
      </c>
      <c r="R1656" s="1" t="s">
        <v>1839</v>
      </c>
      <c r="S1656">
        <v>2538.9899999999998</v>
      </c>
      <c r="T1656">
        <v>114585</v>
      </c>
    </row>
    <row r="1657" spans="1:20" hidden="1" x14ac:dyDescent="0.4">
      <c r="A1657" s="1" t="s">
        <v>588</v>
      </c>
      <c r="B1657" s="1" t="s">
        <v>1453</v>
      </c>
      <c r="C1657" s="1" t="s">
        <v>1845</v>
      </c>
      <c r="D1657" s="1" t="s">
        <v>1731</v>
      </c>
      <c r="E1657">
        <v>20251219</v>
      </c>
      <c r="F1657" s="1" t="s">
        <v>1470</v>
      </c>
      <c r="G1657">
        <v>4</v>
      </c>
      <c r="H1657" s="1" t="s">
        <v>1494</v>
      </c>
      <c r="I1657" t="s">
        <v>1874</v>
      </c>
      <c r="J1657" s="1" t="s">
        <v>1456</v>
      </c>
      <c r="K1657" s="1" t="s">
        <v>1606</v>
      </c>
      <c r="L1657" s="1" t="s">
        <v>1729</v>
      </c>
      <c r="M1657" s="1" t="s">
        <v>1735</v>
      </c>
      <c r="N1657" t="s">
        <v>1981</v>
      </c>
      <c r="O1657" t="s">
        <v>2157</v>
      </c>
      <c r="P1657" t="s">
        <v>3037</v>
      </c>
      <c r="Q1657">
        <v>39.299999999999997</v>
      </c>
      <c r="R1657" s="1" t="s">
        <v>1839</v>
      </c>
      <c r="S1657">
        <v>2538.98</v>
      </c>
      <c r="T1657">
        <v>99782</v>
      </c>
    </row>
    <row r="1658" spans="1:20" hidden="1" x14ac:dyDescent="0.4">
      <c r="A1658" s="1" t="s">
        <v>588</v>
      </c>
      <c r="B1658" s="1" t="s">
        <v>1454</v>
      </c>
      <c r="C1658" s="1" t="s">
        <v>1845</v>
      </c>
      <c r="D1658" s="1" t="s">
        <v>1731</v>
      </c>
      <c r="E1658">
        <v>20251219</v>
      </c>
      <c r="F1658" s="1" t="s">
        <v>1470</v>
      </c>
      <c r="G1658">
        <v>4</v>
      </c>
      <c r="H1658" s="1" t="s">
        <v>1494</v>
      </c>
      <c r="I1658" t="s">
        <v>1874</v>
      </c>
      <c r="J1658" s="1" t="s">
        <v>1456</v>
      </c>
      <c r="K1658" s="1" t="s">
        <v>1606</v>
      </c>
      <c r="L1658" s="1" t="s">
        <v>1729</v>
      </c>
      <c r="M1658" s="1" t="s">
        <v>1735</v>
      </c>
      <c r="N1658" t="s">
        <v>1981</v>
      </c>
      <c r="O1658" t="s">
        <v>2157</v>
      </c>
      <c r="P1658" t="s">
        <v>3037</v>
      </c>
      <c r="Q1658">
        <v>37.950000000000003</v>
      </c>
      <c r="R1658" s="1" t="s">
        <v>1839</v>
      </c>
      <c r="S1658">
        <v>2538.9899999999998</v>
      </c>
      <c r="T1658">
        <v>96355</v>
      </c>
    </row>
    <row r="1659" spans="1:20" hidden="1" x14ac:dyDescent="0.4">
      <c r="A1659" s="1" t="s">
        <v>588</v>
      </c>
      <c r="B1659" s="1" t="s">
        <v>1455</v>
      </c>
      <c r="C1659" s="1" t="s">
        <v>1845</v>
      </c>
      <c r="D1659" s="1" t="s">
        <v>1731</v>
      </c>
      <c r="E1659">
        <v>20251219</v>
      </c>
      <c r="F1659" s="1" t="s">
        <v>1470</v>
      </c>
      <c r="G1659">
        <v>4</v>
      </c>
      <c r="H1659" s="1" t="s">
        <v>1494</v>
      </c>
      <c r="I1659" t="s">
        <v>1874</v>
      </c>
      <c r="J1659" s="1" t="s">
        <v>1456</v>
      </c>
      <c r="K1659" s="1" t="s">
        <v>1606</v>
      </c>
      <c r="L1659" s="1" t="s">
        <v>1729</v>
      </c>
      <c r="M1659" s="1" t="s">
        <v>1735</v>
      </c>
      <c r="N1659" t="s">
        <v>1981</v>
      </c>
      <c r="O1659" t="s">
        <v>2157</v>
      </c>
      <c r="P1659" t="s">
        <v>3037</v>
      </c>
      <c r="Q1659">
        <v>37.5</v>
      </c>
      <c r="R1659" s="1" t="s">
        <v>1839</v>
      </c>
      <c r="S1659">
        <v>2538.98</v>
      </c>
      <c r="T1659">
        <v>95212</v>
      </c>
    </row>
    <row r="1660" spans="1:20" hidden="1" x14ac:dyDescent="0.4">
      <c r="A1660" s="1" t="s">
        <v>588</v>
      </c>
      <c r="B1660" s="1" t="s">
        <v>1456</v>
      </c>
      <c r="C1660" s="1" t="s">
        <v>1845</v>
      </c>
      <c r="D1660" s="1" t="s">
        <v>1731</v>
      </c>
      <c r="E1660">
        <v>20251219</v>
      </c>
      <c r="F1660" s="1" t="s">
        <v>1470</v>
      </c>
      <c r="G1660">
        <v>4</v>
      </c>
      <c r="H1660" s="1" t="s">
        <v>1494</v>
      </c>
      <c r="I1660" t="s">
        <v>1874</v>
      </c>
      <c r="J1660" s="1" t="s">
        <v>1456</v>
      </c>
      <c r="K1660" s="1" t="s">
        <v>1606</v>
      </c>
      <c r="L1660" s="1" t="s">
        <v>1729</v>
      </c>
      <c r="M1660" s="1" t="s">
        <v>1735</v>
      </c>
      <c r="N1660" t="s">
        <v>1981</v>
      </c>
      <c r="O1660" t="s">
        <v>2157</v>
      </c>
      <c r="P1660" t="s">
        <v>3037</v>
      </c>
      <c r="Q1660">
        <v>37.5</v>
      </c>
      <c r="R1660" s="1" t="s">
        <v>1839</v>
      </c>
      <c r="S1660">
        <v>2538.98</v>
      </c>
      <c r="T1660">
        <v>95212</v>
      </c>
    </row>
    <row r="1661" spans="1:20" hidden="1" x14ac:dyDescent="0.4">
      <c r="A1661" s="1" t="s">
        <v>588</v>
      </c>
      <c r="B1661" s="1" t="s">
        <v>1457</v>
      </c>
      <c r="C1661" s="1" t="s">
        <v>1845</v>
      </c>
      <c r="D1661" s="1" t="s">
        <v>1731</v>
      </c>
      <c r="E1661">
        <v>20251219</v>
      </c>
      <c r="F1661" s="1" t="s">
        <v>1470</v>
      </c>
      <c r="G1661">
        <v>4</v>
      </c>
      <c r="H1661" s="1" t="s">
        <v>1494</v>
      </c>
      <c r="I1661" t="s">
        <v>1874</v>
      </c>
      <c r="J1661" s="1" t="s">
        <v>1456</v>
      </c>
      <c r="K1661" s="1" t="s">
        <v>1606</v>
      </c>
      <c r="L1661" s="1" t="s">
        <v>1729</v>
      </c>
      <c r="M1661" s="1" t="s">
        <v>1735</v>
      </c>
      <c r="N1661" t="s">
        <v>1981</v>
      </c>
      <c r="O1661" t="s">
        <v>2157</v>
      </c>
      <c r="P1661" t="s">
        <v>3037</v>
      </c>
      <c r="Q1661">
        <v>37.5</v>
      </c>
      <c r="R1661" s="1" t="s">
        <v>1839</v>
      </c>
      <c r="S1661">
        <v>2538.98</v>
      </c>
      <c r="T1661">
        <v>95212</v>
      </c>
    </row>
    <row r="1662" spans="1:20" hidden="1" x14ac:dyDescent="0.4">
      <c r="A1662" s="1" t="s">
        <v>588</v>
      </c>
      <c r="B1662" s="1" t="s">
        <v>1458</v>
      </c>
      <c r="C1662" s="1" t="s">
        <v>1845</v>
      </c>
      <c r="D1662" s="1" t="s">
        <v>1731</v>
      </c>
      <c r="E1662">
        <v>20251219</v>
      </c>
      <c r="F1662" s="1" t="s">
        <v>1470</v>
      </c>
      <c r="G1662">
        <v>4</v>
      </c>
      <c r="H1662" s="1" t="s">
        <v>1494</v>
      </c>
      <c r="I1662" t="s">
        <v>1874</v>
      </c>
      <c r="J1662" s="1" t="s">
        <v>1456</v>
      </c>
      <c r="K1662" s="1" t="s">
        <v>1606</v>
      </c>
      <c r="L1662" s="1" t="s">
        <v>1729</v>
      </c>
      <c r="M1662" s="1" t="s">
        <v>1735</v>
      </c>
      <c r="N1662" t="s">
        <v>1981</v>
      </c>
      <c r="O1662" t="s">
        <v>2157</v>
      </c>
      <c r="P1662" t="s">
        <v>3037</v>
      </c>
      <c r="Q1662">
        <v>37.5</v>
      </c>
      <c r="R1662" s="1" t="s">
        <v>1839</v>
      </c>
      <c r="S1662">
        <v>2538.98</v>
      </c>
      <c r="T1662">
        <v>95212</v>
      </c>
    </row>
    <row r="1663" spans="1:20" hidden="1" x14ac:dyDescent="0.4">
      <c r="A1663" s="1" t="s">
        <v>588</v>
      </c>
      <c r="B1663" s="1" t="s">
        <v>1459</v>
      </c>
      <c r="C1663" s="1" t="s">
        <v>1845</v>
      </c>
      <c r="D1663" s="1" t="s">
        <v>1731</v>
      </c>
      <c r="E1663">
        <v>20251219</v>
      </c>
      <c r="F1663" s="1" t="s">
        <v>1470</v>
      </c>
      <c r="G1663">
        <v>4</v>
      </c>
      <c r="H1663" s="1" t="s">
        <v>1494</v>
      </c>
      <c r="I1663" t="s">
        <v>1874</v>
      </c>
      <c r="J1663" s="1" t="s">
        <v>1456</v>
      </c>
      <c r="K1663" s="1" t="s">
        <v>1606</v>
      </c>
      <c r="L1663" s="1" t="s">
        <v>1729</v>
      </c>
      <c r="M1663" s="1" t="s">
        <v>1735</v>
      </c>
      <c r="N1663" t="s">
        <v>1981</v>
      </c>
      <c r="O1663" t="s">
        <v>2157</v>
      </c>
      <c r="P1663" t="s">
        <v>3037</v>
      </c>
      <c r="Q1663">
        <v>37.5</v>
      </c>
      <c r="R1663" s="1" t="s">
        <v>1839</v>
      </c>
      <c r="S1663">
        <v>2538.98</v>
      </c>
      <c r="T1663">
        <v>95212</v>
      </c>
    </row>
    <row r="1664" spans="1:20" hidden="1" x14ac:dyDescent="0.4">
      <c r="A1664" s="1" t="s">
        <v>588</v>
      </c>
      <c r="B1664" s="1" t="s">
        <v>1460</v>
      </c>
      <c r="C1664" s="1" t="s">
        <v>1845</v>
      </c>
      <c r="D1664" s="1" t="s">
        <v>1731</v>
      </c>
      <c r="E1664">
        <v>20251219</v>
      </c>
      <c r="F1664" s="1" t="s">
        <v>1470</v>
      </c>
      <c r="G1664">
        <v>4</v>
      </c>
      <c r="H1664" s="1" t="s">
        <v>1494</v>
      </c>
      <c r="I1664" t="s">
        <v>1874</v>
      </c>
      <c r="J1664" s="1" t="s">
        <v>1456</v>
      </c>
      <c r="K1664" s="1" t="s">
        <v>1606</v>
      </c>
      <c r="L1664" s="1" t="s">
        <v>1729</v>
      </c>
      <c r="M1664" s="1" t="s">
        <v>1735</v>
      </c>
      <c r="N1664" t="s">
        <v>1981</v>
      </c>
      <c r="O1664" t="s">
        <v>2157</v>
      </c>
      <c r="P1664" t="s">
        <v>3037</v>
      </c>
      <c r="Q1664">
        <v>37.200000000000003</v>
      </c>
      <c r="R1664" s="1" t="s">
        <v>1839</v>
      </c>
      <c r="S1664">
        <v>2538.9699999999998</v>
      </c>
      <c r="T1664">
        <v>94450</v>
      </c>
    </row>
    <row r="1665" spans="1:20" hidden="1" x14ac:dyDescent="0.4">
      <c r="A1665" s="1" t="s">
        <v>589</v>
      </c>
      <c r="B1665" s="1" t="s">
        <v>1453</v>
      </c>
      <c r="C1665" s="1" t="s">
        <v>1845</v>
      </c>
      <c r="D1665" s="1" t="s">
        <v>1731</v>
      </c>
      <c r="E1665">
        <v>20251219</v>
      </c>
      <c r="F1665" s="1" t="s">
        <v>1470</v>
      </c>
      <c r="G1665">
        <v>4</v>
      </c>
      <c r="H1665" s="1" t="s">
        <v>1494</v>
      </c>
      <c r="I1665" t="s">
        <v>1874</v>
      </c>
      <c r="J1665" s="1" t="s">
        <v>1456</v>
      </c>
      <c r="K1665" s="1" t="s">
        <v>1606</v>
      </c>
      <c r="L1665" s="1" t="s">
        <v>1729</v>
      </c>
      <c r="M1665" s="1" t="s">
        <v>1735</v>
      </c>
      <c r="N1665" t="s">
        <v>1981</v>
      </c>
      <c r="O1665" t="s">
        <v>2157</v>
      </c>
      <c r="P1665" t="s">
        <v>3037</v>
      </c>
      <c r="Q1665">
        <v>38.22</v>
      </c>
      <c r="R1665" s="1" t="s">
        <v>1839</v>
      </c>
      <c r="S1665">
        <v>2538.98</v>
      </c>
      <c r="T1665">
        <v>97040</v>
      </c>
    </row>
    <row r="1666" spans="1:20" hidden="1" x14ac:dyDescent="0.4">
      <c r="A1666" s="1" t="s">
        <v>589</v>
      </c>
      <c r="B1666" s="1" t="s">
        <v>1454</v>
      </c>
      <c r="C1666" s="1" t="s">
        <v>1845</v>
      </c>
      <c r="D1666" s="1" t="s">
        <v>1731</v>
      </c>
      <c r="E1666">
        <v>20251219</v>
      </c>
      <c r="F1666" s="1" t="s">
        <v>1470</v>
      </c>
      <c r="G1666">
        <v>4</v>
      </c>
      <c r="H1666" s="1" t="s">
        <v>1494</v>
      </c>
      <c r="I1666" t="s">
        <v>1874</v>
      </c>
      <c r="J1666" s="1" t="s">
        <v>1456</v>
      </c>
      <c r="K1666" s="1" t="s">
        <v>1606</v>
      </c>
      <c r="L1666" s="1" t="s">
        <v>1729</v>
      </c>
      <c r="M1666" s="1" t="s">
        <v>1735</v>
      </c>
      <c r="N1666" t="s">
        <v>1981</v>
      </c>
      <c r="O1666" t="s">
        <v>2157</v>
      </c>
      <c r="P1666" t="s">
        <v>3037</v>
      </c>
      <c r="Q1666">
        <v>38.22</v>
      </c>
      <c r="R1666" s="1" t="s">
        <v>1839</v>
      </c>
      <c r="S1666">
        <v>2538.98</v>
      </c>
      <c r="T1666">
        <v>97040</v>
      </c>
    </row>
    <row r="1667" spans="1:20" hidden="1" x14ac:dyDescent="0.4">
      <c r="A1667" s="1" t="s">
        <v>589</v>
      </c>
      <c r="B1667" s="1" t="s">
        <v>1455</v>
      </c>
      <c r="C1667" s="1" t="s">
        <v>1845</v>
      </c>
      <c r="D1667" s="1" t="s">
        <v>1731</v>
      </c>
      <c r="E1667">
        <v>20251219</v>
      </c>
      <c r="F1667" s="1" t="s">
        <v>1470</v>
      </c>
      <c r="G1667">
        <v>4</v>
      </c>
      <c r="H1667" s="1" t="s">
        <v>1494</v>
      </c>
      <c r="I1667" t="s">
        <v>1874</v>
      </c>
      <c r="J1667" s="1" t="s">
        <v>1456</v>
      </c>
      <c r="K1667" s="1" t="s">
        <v>1606</v>
      </c>
      <c r="L1667" s="1" t="s">
        <v>1729</v>
      </c>
      <c r="M1667" s="1" t="s">
        <v>1735</v>
      </c>
      <c r="N1667" t="s">
        <v>1981</v>
      </c>
      <c r="O1667" t="s">
        <v>2157</v>
      </c>
      <c r="P1667" t="s">
        <v>3037</v>
      </c>
      <c r="Q1667">
        <v>39.31</v>
      </c>
      <c r="R1667" s="1" t="s">
        <v>1839</v>
      </c>
      <c r="S1667">
        <v>2538.9899999999998</v>
      </c>
      <c r="T1667">
        <v>99808</v>
      </c>
    </row>
    <row r="1668" spans="1:20" hidden="1" x14ac:dyDescent="0.4">
      <c r="A1668" s="1" t="s">
        <v>589</v>
      </c>
      <c r="B1668" s="1" t="s">
        <v>1456</v>
      </c>
      <c r="C1668" s="1" t="s">
        <v>1845</v>
      </c>
      <c r="D1668" s="1" t="s">
        <v>1731</v>
      </c>
      <c r="E1668">
        <v>20251219</v>
      </c>
      <c r="F1668" s="1" t="s">
        <v>1470</v>
      </c>
      <c r="G1668">
        <v>4</v>
      </c>
      <c r="H1668" s="1" t="s">
        <v>1494</v>
      </c>
      <c r="I1668" t="s">
        <v>1874</v>
      </c>
      <c r="J1668" s="1" t="s">
        <v>1456</v>
      </c>
      <c r="K1668" s="1" t="s">
        <v>1606</v>
      </c>
      <c r="L1668" s="1" t="s">
        <v>1729</v>
      </c>
      <c r="M1668" s="1" t="s">
        <v>1735</v>
      </c>
      <c r="N1668" t="s">
        <v>1981</v>
      </c>
      <c r="O1668" t="s">
        <v>2157</v>
      </c>
      <c r="P1668" t="s">
        <v>3037</v>
      </c>
      <c r="Q1668">
        <v>41.86</v>
      </c>
      <c r="R1668" s="1" t="s">
        <v>1839</v>
      </c>
      <c r="S1668">
        <v>2538.98</v>
      </c>
      <c r="T1668">
        <v>106282</v>
      </c>
    </row>
    <row r="1669" spans="1:20" hidden="1" x14ac:dyDescent="0.4">
      <c r="A1669" s="1" t="s">
        <v>589</v>
      </c>
      <c r="B1669" s="1" t="s">
        <v>1457</v>
      </c>
      <c r="C1669" s="1" t="s">
        <v>1845</v>
      </c>
      <c r="D1669" s="1" t="s">
        <v>1731</v>
      </c>
      <c r="E1669">
        <v>20251219</v>
      </c>
      <c r="F1669" s="1" t="s">
        <v>1470</v>
      </c>
      <c r="G1669">
        <v>4</v>
      </c>
      <c r="H1669" s="1" t="s">
        <v>1494</v>
      </c>
      <c r="I1669" t="s">
        <v>1874</v>
      </c>
      <c r="J1669" s="1" t="s">
        <v>1456</v>
      </c>
      <c r="K1669" s="1" t="s">
        <v>1606</v>
      </c>
      <c r="L1669" s="1" t="s">
        <v>1729</v>
      </c>
      <c r="M1669" s="1" t="s">
        <v>1735</v>
      </c>
      <c r="N1669" t="s">
        <v>1981</v>
      </c>
      <c r="O1669" t="s">
        <v>2157</v>
      </c>
      <c r="P1669" t="s">
        <v>3037</v>
      </c>
      <c r="Q1669">
        <v>41.86</v>
      </c>
      <c r="R1669" s="1" t="s">
        <v>1839</v>
      </c>
      <c r="S1669">
        <v>2538.98</v>
      </c>
      <c r="T1669">
        <v>106282</v>
      </c>
    </row>
    <row r="1670" spans="1:20" hidden="1" x14ac:dyDescent="0.4">
      <c r="A1670" s="1" t="s">
        <v>589</v>
      </c>
      <c r="B1670" s="1" t="s">
        <v>1458</v>
      </c>
      <c r="C1670" s="1" t="s">
        <v>1845</v>
      </c>
      <c r="D1670" s="1" t="s">
        <v>1731</v>
      </c>
      <c r="E1670">
        <v>20251219</v>
      </c>
      <c r="F1670" s="1" t="s">
        <v>1470</v>
      </c>
      <c r="G1670">
        <v>4</v>
      </c>
      <c r="H1670" s="1" t="s">
        <v>1494</v>
      </c>
      <c r="I1670" t="s">
        <v>1874</v>
      </c>
      <c r="J1670" s="1" t="s">
        <v>1456</v>
      </c>
      <c r="K1670" s="1" t="s">
        <v>1606</v>
      </c>
      <c r="L1670" s="1" t="s">
        <v>1729</v>
      </c>
      <c r="M1670" s="1" t="s">
        <v>1735</v>
      </c>
      <c r="N1670" t="s">
        <v>1981</v>
      </c>
      <c r="O1670" t="s">
        <v>2157</v>
      </c>
      <c r="P1670" t="s">
        <v>3037</v>
      </c>
      <c r="Q1670">
        <v>41.86</v>
      </c>
      <c r="R1670" s="1" t="s">
        <v>1839</v>
      </c>
      <c r="S1670">
        <v>2538.98</v>
      </c>
      <c r="T1670">
        <v>106282</v>
      </c>
    </row>
    <row r="1671" spans="1:20" hidden="1" x14ac:dyDescent="0.4">
      <c r="A1671" s="1" t="s">
        <v>589</v>
      </c>
      <c r="B1671" s="1" t="s">
        <v>1459</v>
      </c>
      <c r="C1671" s="1" t="s">
        <v>1845</v>
      </c>
      <c r="D1671" s="1" t="s">
        <v>1731</v>
      </c>
      <c r="E1671">
        <v>20251219</v>
      </c>
      <c r="F1671" s="1" t="s">
        <v>1470</v>
      </c>
      <c r="G1671">
        <v>4</v>
      </c>
      <c r="H1671" s="1" t="s">
        <v>1494</v>
      </c>
      <c r="I1671" t="s">
        <v>1874</v>
      </c>
      <c r="J1671" s="1" t="s">
        <v>1456</v>
      </c>
      <c r="K1671" s="1" t="s">
        <v>1606</v>
      </c>
      <c r="L1671" s="1" t="s">
        <v>1729</v>
      </c>
      <c r="M1671" s="1" t="s">
        <v>1735</v>
      </c>
      <c r="N1671" t="s">
        <v>1981</v>
      </c>
      <c r="O1671" t="s">
        <v>2157</v>
      </c>
      <c r="P1671" t="s">
        <v>3037</v>
      </c>
      <c r="Q1671">
        <v>45.31</v>
      </c>
      <c r="R1671" s="1" t="s">
        <v>1839</v>
      </c>
      <c r="S1671">
        <v>2538.9899999999998</v>
      </c>
      <c r="T1671">
        <v>115042</v>
      </c>
    </row>
    <row r="1672" spans="1:20" hidden="1" x14ac:dyDescent="0.4">
      <c r="A1672" s="1" t="s">
        <v>590</v>
      </c>
      <c r="B1672" s="1" t="s">
        <v>1453</v>
      </c>
      <c r="C1672" s="1" t="s">
        <v>1845</v>
      </c>
      <c r="D1672" s="1" t="s">
        <v>1731</v>
      </c>
      <c r="E1672">
        <v>20251219</v>
      </c>
      <c r="F1672" s="1" t="s">
        <v>1470</v>
      </c>
      <c r="G1672">
        <v>4</v>
      </c>
      <c r="H1672" s="1" t="s">
        <v>1494</v>
      </c>
      <c r="I1672" t="s">
        <v>1874</v>
      </c>
      <c r="J1672" s="1" t="s">
        <v>1456</v>
      </c>
      <c r="K1672" s="1" t="s">
        <v>1606</v>
      </c>
      <c r="L1672" s="1" t="s">
        <v>1729</v>
      </c>
      <c r="M1672" s="1" t="s">
        <v>1735</v>
      </c>
      <c r="N1672" t="s">
        <v>1981</v>
      </c>
      <c r="O1672" t="s">
        <v>2157</v>
      </c>
      <c r="P1672" t="s">
        <v>3037</v>
      </c>
      <c r="Q1672">
        <v>31.5</v>
      </c>
      <c r="R1672" s="1" t="s">
        <v>1839</v>
      </c>
      <c r="S1672">
        <v>2538.98</v>
      </c>
      <c r="T1672">
        <v>79978</v>
      </c>
    </row>
    <row r="1673" spans="1:20" hidden="1" x14ac:dyDescent="0.4">
      <c r="A1673" s="1" t="s">
        <v>590</v>
      </c>
      <c r="B1673" s="1" t="s">
        <v>1454</v>
      </c>
      <c r="C1673" s="1" t="s">
        <v>1845</v>
      </c>
      <c r="D1673" s="1" t="s">
        <v>1731</v>
      </c>
      <c r="E1673">
        <v>20251219</v>
      </c>
      <c r="F1673" s="1" t="s">
        <v>1470</v>
      </c>
      <c r="G1673">
        <v>4</v>
      </c>
      <c r="H1673" s="1" t="s">
        <v>1494</v>
      </c>
      <c r="I1673" t="s">
        <v>1874</v>
      </c>
      <c r="J1673" s="1" t="s">
        <v>1456</v>
      </c>
      <c r="K1673" s="1" t="s">
        <v>1606</v>
      </c>
      <c r="L1673" s="1" t="s">
        <v>1729</v>
      </c>
      <c r="M1673" s="1" t="s">
        <v>1735</v>
      </c>
      <c r="N1673" t="s">
        <v>1981</v>
      </c>
      <c r="O1673" t="s">
        <v>2157</v>
      </c>
      <c r="P1673" t="s">
        <v>3037</v>
      </c>
      <c r="Q1673">
        <v>31.5</v>
      </c>
      <c r="R1673" s="1" t="s">
        <v>1839</v>
      </c>
      <c r="S1673">
        <v>2538.98</v>
      </c>
      <c r="T1673">
        <v>79978</v>
      </c>
    </row>
    <row r="1674" spans="1:20" hidden="1" x14ac:dyDescent="0.4">
      <c r="A1674" s="1" t="s">
        <v>590</v>
      </c>
      <c r="B1674" s="1" t="s">
        <v>1455</v>
      </c>
      <c r="C1674" s="1" t="s">
        <v>1845</v>
      </c>
      <c r="D1674" s="1" t="s">
        <v>1731</v>
      </c>
      <c r="E1674">
        <v>20251219</v>
      </c>
      <c r="F1674" s="1" t="s">
        <v>1470</v>
      </c>
      <c r="G1674">
        <v>4</v>
      </c>
      <c r="H1674" s="1" t="s">
        <v>1494</v>
      </c>
      <c r="I1674" t="s">
        <v>1874</v>
      </c>
      <c r="J1674" s="1" t="s">
        <v>1456</v>
      </c>
      <c r="K1674" s="1" t="s">
        <v>1606</v>
      </c>
      <c r="L1674" s="1" t="s">
        <v>1729</v>
      </c>
      <c r="M1674" s="1" t="s">
        <v>1735</v>
      </c>
      <c r="N1674" t="s">
        <v>1981</v>
      </c>
      <c r="O1674" t="s">
        <v>2157</v>
      </c>
      <c r="P1674" t="s">
        <v>3037</v>
      </c>
      <c r="Q1674">
        <v>32.4</v>
      </c>
      <c r="R1674" s="1" t="s">
        <v>1839</v>
      </c>
      <c r="S1674">
        <v>2538.98</v>
      </c>
      <c r="T1674">
        <v>82263</v>
      </c>
    </row>
    <row r="1675" spans="1:20" hidden="1" x14ac:dyDescent="0.4">
      <c r="A1675" s="1" t="s">
        <v>590</v>
      </c>
      <c r="B1675" s="1" t="s">
        <v>1456</v>
      </c>
      <c r="C1675" s="1" t="s">
        <v>1845</v>
      </c>
      <c r="D1675" s="1" t="s">
        <v>1731</v>
      </c>
      <c r="E1675">
        <v>20251219</v>
      </c>
      <c r="F1675" s="1" t="s">
        <v>1470</v>
      </c>
      <c r="G1675">
        <v>4</v>
      </c>
      <c r="H1675" s="1" t="s">
        <v>1494</v>
      </c>
      <c r="I1675" t="s">
        <v>1874</v>
      </c>
      <c r="J1675" s="1" t="s">
        <v>1456</v>
      </c>
      <c r="K1675" s="1" t="s">
        <v>1606</v>
      </c>
      <c r="L1675" s="1" t="s">
        <v>1729</v>
      </c>
      <c r="M1675" s="1" t="s">
        <v>1735</v>
      </c>
      <c r="N1675" t="s">
        <v>1981</v>
      </c>
      <c r="O1675" t="s">
        <v>2157</v>
      </c>
      <c r="P1675" t="s">
        <v>3037</v>
      </c>
      <c r="Q1675">
        <v>34.5</v>
      </c>
      <c r="R1675" s="1" t="s">
        <v>1839</v>
      </c>
      <c r="S1675">
        <v>2538.98</v>
      </c>
      <c r="T1675">
        <v>87595</v>
      </c>
    </row>
    <row r="1676" spans="1:20" hidden="1" x14ac:dyDescent="0.4">
      <c r="A1676" s="1" t="s">
        <v>590</v>
      </c>
      <c r="B1676" s="1" t="s">
        <v>1457</v>
      </c>
      <c r="C1676" s="1" t="s">
        <v>1845</v>
      </c>
      <c r="D1676" s="1" t="s">
        <v>1731</v>
      </c>
      <c r="E1676">
        <v>20251219</v>
      </c>
      <c r="F1676" s="1" t="s">
        <v>1470</v>
      </c>
      <c r="G1676">
        <v>4</v>
      </c>
      <c r="H1676" s="1" t="s">
        <v>1494</v>
      </c>
      <c r="I1676" t="s">
        <v>1874</v>
      </c>
      <c r="J1676" s="1" t="s">
        <v>1456</v>
      </c>
      <c r="K1676" s="1" t="s">
        <v>1606</v>
      </c>
      <c r="L1676" s="1" t="s">
        <v>1729</v>
      </c>
      <c r="M1676" s="1" t="s">
        <v>1735</v>
      </c>
      <c r="N1676" t="s">
        <v>1981</v>
      </c>
      <c r="O1676" t="s">
        <v>2157</v>
      </c>
      <c r="P1676" t="s">
        <v>3037</v>
      </c>
      <c r="Q1676">
        <v>34.5</v>
      </c>
      <c r="R1676" s="1" t="s">
        <v>1839</v>
      </c>
      <c r="S1676">
        <v>2538.98</v>
      </c>
      <c r="T1676">
        <v>87595</v>
      </c>
    </row>
    <row r="1677" spans="1:20" hidden="1" x14ac:dyDescent="0.4">
      <c r="A1677" s="1" t="s">
        <v>590</v>
      </c>
      <c r="B1677" s="1" t="s">
        <v>1458</v>
      </c>
      <c r="C1677" s="1" t="s">
        <v>1845</v>
      </c>
      <c r="D1677" s="1" t="s">
        <v>1731</v>
      </c>
      <c r="E1677">
        <v>20251219</v>
      </c>
      <c r="F1677" s="1" t="s">
        <v>1470</v>
      </c>
      <c r="G1677">
        <v>4</v>
      </c>
      <c r="H1677" s="1" t="s">
        <v>1494</v>
      </c>
      <c r="I1677" t="s">
        <v>1874</v>
      </c>
      <c r="J1677" s="1" t="s">
        <v>1456</v>
      </c>
      <c r="K1677" s="1" t="s">
        <v>1606</v>
      </c>
      <c r="L1677" s="1" t="s">
        <v>1729</v>
      </c>
      <c r="M1677" s="1" t="s">
        <v>1735</v>
      </c>
      <c r="N1677" t="s">
        <v>1981</v>
      </c>
      <c r="O1677" t="s">
        <v>2157</v>
      </c>
      <c r="P1677" t="s">
        <v>3037</v>
      </c>
      <c r="Q1677">
        <v>34.5</v>
      </c>
      <c r="R1677" s="1" t="s">
        <v>1839</v>
      </c>
      <c r="S1677">
        <v>2538.98</v>
      </c>
      <c r="T1677">
        <v>87595</v>
      </c>
    </row>
    <row r="1678" spans="1:20" hidden="1" x14ac:dyDescent="0.4">
      <c r="A1678" s="1" t="s">
        <v>590</v>
      </c>
      <c r="B1678" s="1" t="s">
        <v>1459</v>
      </c>
      <c r="C1678" s="1" t="s">
        <v>1845</v>
      </c>
      <c r="D1678" s="1" t="s">
        <v>1731</v>
      </c>
      <c r="E1678">
        <v>20251219</v>
      </c>
      <c r="F1678" s="1" t="s">
        <v>1470</v>
      </c>
      <c r="G1678">
        <v>4</v>
      </c>
      <c r="H1678" s="1" t="s">
        <v>1494</v>
      </c>
      <c r="I1678" t="s">
        <v>1874</v>
      </c>
      <c r="J1678" s="1" t="s">
        <v>1456</v>
      </c>
      <c r="K1678" s="1" t="s">
        <v>1606</v>
      </c>
      <c r="L1678" s="1" t="s">
        <v>1729</v>
      </c>
      <c r="M1678" s="1" t="s">
        <v>1735</v>
      </c>
      <c r="N1678" t="s">
        <v>1981</v>
      </c>
      <c r="O1678" t="s">
        <v>2157</v>
      </c>
      <c r="P1678" t="s">
        <v>3037</v>
      </c>
      <c r="Q1678">
        <v>37.35</v>
      </c>
      <c r="R1678" s="1" t="s">
        <v>1839</v>
      </c>
      <c r="S1678">
        <v>2538.98</v>
      </c>
      <c r="T1678">
        <v>94831</v>
      </c>
    </row>
    <row r="1679" spans="1:20" hidden="1" x14ac:dyDescent="0.4">
      <c r="A1679" s="1" t="s">
        <v>591</v>
      </c>
      <c r="B1679" s="1" t="s">
        <v>1453</v>
      </c>
      <c r="C1679" s="1" t="s">
        <v>1845</v>
      </c>
      <c r="D1679" s="1" t="s">
        <v>1464</v>
      </c>
      <c r="E1679">
        <v>20251217</v>
      </c>
      <c r="F1679" s="1" t="s">
        <v>1471</v>
      </c>
      <c r="G1679">
        <v>4</v>
      </c>
      <c r="H1679" s="1" t="s">
        <v>1507</v>
      </c>
      <c r="I1679" t="s">
        <v>1887</v>
      </c>
      <c r="J1679" s="1" t="s">
        <v>1460</v>
      </c>
      <c r="K1679" s="1" t="s">
        <v>1653</v>
      </c>
      <c r="L1679" s="1" t="s">
        <v>1731</v>
      </c>
      <c r="M1679" s="1" t="s">
        <v>1767</v>
      </c>
      <c r="N1679" t="s">
        <v>2037</v>
      </c>
      <c r="O1679" t="s">
        <v>2178</v>
      </c>
      <c r="P1679" t="s">
        <v>3147</v>
      </c>
      <c r="Q1679">
        <v>3000</v>
      </c>
      <c r="R1679" s="1" t="s">
        <v>1463</v>
      </c>
      <c r="S1679">
        <v>300</v>
      </c>
      <c r="T1679">
        <v>900000</v>
      </c>
    </row>
    <row r="1680" spans="1:20" hidden="1" x14ac:dyDescent="0.4">
      <c r="A1680" s="1" t="s">
        <v>592</v>
      </c>
      <c r="B1680" s="1" t="s">
        <v>1453</v>
      </c>
      <c r="C1680" s="1" t="s">
        <v>1845</v>
      </c>
      <c r="D1680" s="1" t="s">
        <v>1848</v>
      </c>
      <c r="E1680">
        <v>20251220</v>
      </c>
      <c r="F1680" s="1" t="s">
        <v>1473</v>
      </c>
      <c r="G1680">
        <v>4</v>
      </c>
      <c r="H1680" s="1" t="s">
        <v>1494</v>
      </c>
      <c r="I1680" t="s">
        <v>1874</v>
      </c>
      <c r="J1680" s="1" t="s">
        <v>1453</v>
      </c>
      <c r="K1680" s="1" t="s">
        <v>1607</v>
      </c>
      <c r="L1680" s="1" t="s">
        <v>1718</v>
      </c>
      <c r="M1680" s="1" t="s">
        <v>1768</v>
      </c>
      <c r="N1680" t="s">
        <v>1970</v>
      </c>
      <c r="O1680" t="s">
        <v>2164</v>
      </c>
      <c r="P1680" t="s">
        <v>3092</v>
      </c>
      <c r="Q1680">
        <v>-18</v>
      </c>
      <c r="R1680" s="1" t="s">
        <v>1839</v>
      </c>
      <c r="S1680">
        <v>1807</v>
      </c>
      <c r="T1680">
        <v>-32526</v>
      </c>
    </row>
    <row r="1681" spans="1:20" hidden="1" x14ac:dyDescent="0.4">
      <c r="A1681" s="1" t="s">
        <v>593</v>
      </c>
      <c r="B1681" s="1" t="s">
        <v>1453</v>
      </c>
      <c r="C1681" s="1" t="s">
        <v>1845</v>
      </c>
      <c r="D1681" s="1" t="s">
        <v>1731</v>
      </c>
      <c r="E1681">
        <v>20251219</v>
      </c>
      <c r="F1681" s="1" t="s">
        <v>1473</v>
      </c>
      <c r="G1681">
        <v>4</v>
      </c>
      <c r="H1681" s="1" t="s">
        <v>1494</v>
      </c>
      <c r="I1681" t="s">
        <v>1874</v>
      </c>
      <c r="J1681" s="1" t="s">
        <v>1453</v>
      </c>
      <c r="K1681" s="1" t="s">
        <v>1596</v>
      </c>
      <c r="L1681" s="1" t="s">
        <v>1718</v>
      </c>
      <c r="M1681" s="1" t="s">
        <v>1763</v>
      </c>
      <c r="N1681" t="s">
        <v>1971</v>
      </c>
      <c r="O1681" t="s">
        <v>2164</v>
      </c>
      <c r="P1681" t="s">
        <v>3081</v>
      </c>
      <c r="Q1681">
        <v>144.5</v>
      </c>
      <c r="R1681" s="1" t="s">
        <v>1839</v>
      </c>
      <c r="S1681">
        <v>1194.99</v>
      </c>
      <c r="T1681">
        <v>172677</v>
      </c>
    </row>
    <row r="1682" spans="1:20" hidden="1" x14ac:dyDescent="0.4">
      <c r="A1682" s="1" t="s">
        <v>593</v>
      </c>
      <c r="B1682" s="1" t="s">
        <v>1454</v>
      </c>
      <c r="C1682" s="1" t="s">
        <v>1845</v>
      </c>
      <c r="D1682" s="1" t="s">
        <v>1731</v>
      </c>
      <c r="E1682">
        <v>20251219</v>
      </c>
      <c r="F1682" s="1" t="s">
        <v>1473</v>
      </c>
      <c r="G1682">
        <v>4</v>
      </c>
      <c r="H1682" s="1" t="s">
        <v>1494</v>
      </c>
      <c r="I1682" t="s">
        <v>1874</v>
      </c>
      <c r="J1682" s="1" t="s">
        <v>1453</v>
      </c>
      <c r="K1682" s="1" t="s">
        <v>1596</v>
      </c>
      <c r="L1682" s="1" t="s">
        <v>1718</v>
      </c>
      <c r="M1682" s="1" t="s">
        <v>1763</v>
      </c>
      <c r="N1682" t="s">
        <v>1971</v>
      </c>
      <c r="O1682" t="s">
        <v>2164</v>
      </c>
      <c r="P1682" t="s">
        <v>3081</v>
      </c>
      <c r="Q1682">
        <v>138.32</v>
      </c>
      <c r="R1682" s="1" t="s">
        <v>1839</v>
      </c>
      <c r="S1682">
        <v>1194.99</v>
      </c>
      <c r="T1682">
        <v>165292</v>
      </c>
    </row>
    <row r="1683" spans="1:20" hidden="1" x14ac:dyDescent="0.4">
      <c r="A1683" s="1" t="s">
        <v>593</v>
      </c>
      <c r="B1683" s="1" t="s">
        <v>1455</v>
      </c>
      <c r="C1683" s="1" t="s">
        <v>1845</v>
      </c>
      <c r="D1683" s="1" t="s">
        <v>1731</v>
      </c>
      <c r="E1683">
        <v>20251219</v>
      </c>
      <c r="F1683" s="1" t="s">
        <v>1473</v>
      </c>
      <c r="G1683">
        <v>4</v>
      </c>
      <c r="H1683" s="1" t="s">
        <v>1494</v>
      </c>
      <c r="I1683" t="s">
        <v>1874</v>
      </c>
      <c r="J1683" s="1" t="s">
        <v>1453</v>
      </c>
      <c r="K1683" s="1" t="s">
        <v>1596</v>
      </c>
      <c r="L1683" s="1" t="s">
        <v>1718</v>
      </c>
      <c r="M1683" s="1" t="s">
        <v>1763</v>
      </c>
      <c r="N1683" t="s">
        <v>1971</v>
      </c>
      <c r="O1683" t="s">
        <v>2164</v>
      </c>
      <c r="P1683" t="s">
        <v>3081</v>
      </c>
      <c r="Q1683">
        <v>138.32</v>
      </c>
      <c r="R1683" s="1" t="s">
        <v>1839</v>
      </c>
      <c r="S1683">
        <v>1194.99</v>
      </c>
      <c r="T1683">
        <v>165292</v>
      </c>
    </row>
    <row r="1684" spans="1:20" hidden="1" x14ac:dyDescent="0.4">
      <c r="A1684" s="1" t="s">
        <v>593</v>
      </c>
      <c r="B1684" s="1" t="s">
        <v>1456</v>
      </c>
      <c r="C1684" s="1" t="s">
        <v>1845</v>
      </c>
      <c r="D1684" s="1" t="s">
        <v>1731</v>
      </c>
      <c r="E1684">
        <v>20251219</v>
      </c>
      <c r="F1684" s="1" t="s">
        <v>1473</v>
      </c>
      <c r="G1684">
        <v>4</v>
      </c>
      <c r="H1684" s="1" t="s">
        <v>1494</v>
      </c>
      <c r="I1684" t="s">
        <v>1874</v>
      </c>
      <c r="J1684" s="1" t="s">
        <v>1453</v>
      </c>
      <c r="K1684" s="1" t="s">
        <v>1596</v>
      </c>
      <c r="L1684" s="1" t="s">
        <v>1718</v>
      </c>
      <c r="M1684" s="1" t="s">
        <v>1763</v>
      </c>
      <c r="N1684" t="s">
        <v>1971</v>
      </c>
      <c r="O1684" t="s">
        <v>2164</v>
      </c>
      <c r="P1684" t="s">
        <v>3081</v>
      </c>
      <c r="Q1684">
        <v>138.32</v>
      </c>
      <c r="R1684" s="1" t="s">
        <v>1839</v>
      </c>
      <c r="S1684">
        <v>1194.99</v>
      </c>
      <c r="T1684">
        <v>165292</v>
      </c>
    </row>
    <row r="1685" spans="1:20" hidden="1" x14ac:dyDescent="0.4">
      <c r="A1685" s="1" t="s">
        <v>593</v>
      </c>
      <c r="B1685" s="1" t="s">
        <v>1457</v>
      </c>
      <c r="C1685" s="1" t="s">
        <v>1845</v>
      </c>
      <c r="D1685" s="1" t="s">
        <v>1731</v>
      </c>
      <c r="E1685">
        <v>20251219</v>
      </c>
      <c r="F1685" s="1" t="s">
        <v>1473</v>
      </c>
      <c r="G1685">
        <v>4</v>
      </c>
      <c r="H1685" s="1" t="s">
        <v>1494</v>
      </c>
      <c r="I1685" t="s">
        <v>1874</v>
      </c>
      <c r="J1685" s="1" t="s">
        <v>1453</v>
      </c>
      <c r="K1685" s="1" t="s">
        <v>1596</v>
      </c>
      <c r="L1685" s="1" t="s">
        <v>1718</v>
      </c>
      <c r="M1685" s="1" t="s">
        <v>1763</v>
      </c>
      <c r="N1685" t="s">
        <v>1971</v>
      </c>
      <c r="O1685" t="s">
        <v>2164</v>
      </c>
      <c r="P1685" t="s">
        <v>3081</v>
      </c>
      <c r="Q1685">
        <v>138.32</v>
      </c>
      <c r="R1685" s="1" t="s">
        <v>1839</v>
      </c>
      <c r="S1685">
        <v>1194.99</v>
      </c>
      <c r="T1685">
        <v>165292</v>
      </c>
    </row>
    <row r="1686" spans="1:20" hidden="1" x14ac:dyDescent="0.4">
      <c r="A1686" s="1" t="s">
        <v>593</v>
      </c>
      <c r="B1686" s="1" t="s">
        <v>1458</v>
      </c>
      <c r="C1686" s="1" t="s">
        <v>1845</v>
      </c>
      <c r="D1686" s="1" t="s">
        <v>1731</v>
      </c>
      <c r="E1686">
        <v>20251219</v>
      </c>
      <c r="F1686" s="1" t="s">
        <v>1473</v>
      </c>
      <c r="G1686">
        <v>4</v>
      </c>
      <c r="H1686" s="1" t="s">
        <v>1494</v>
      </c>
      <c r="I1686" t="s">
        <v>1874</v>
      </c>
      <c r="J1686" s="1" t="s">
        <v>1453</v>
      </c>
      <c r="K1686" s="1" t="s">
        <v>1596</v>
      </c>
      <c r="L1686" s="1" t="s">
        <v>1718</v>
      </c>
      <c r="M1686" s="1" t="s">
        <v>1763</v>
      </c>
      <c r="N1686" t="s">
        <v>1971</v>
      </c>
      <c r="O1686" t="s">
        <v>2164</v>
      </c>
      <c r="P1686" t="s">
        <v>3081</v>
      </c>
      <c r="Q1686">
        <v>138.32</v>
      </c>
      <c r="R1686" s="1" t="s">
        <v>1839</v>
      </c>
      <c r="S1686">
        <v>1194.99</v>
      </c>
      <c r="T1686">
        <v>165292</v>
      </c>
    </row>
    <row r="1687" spans="1:20" hidden="1" x14ac:dyDescent="0.4">
      <c r="A1687" s="1" t="s">
        <v>593</v>
      </c>
      <c r="B1687" s="1" t="s">
        <v>1459</v>
      </c>
      <c r="C1687" s="1" t="s">
        <v>1845</v>
      </c>
      <c r="D1687" s="1" t="s">
        <v>1731</v>
      </c>
      <c r="E1687">
        <v>20251219</v>
      </c>
      <c r="F1687" s="1" t="s">
        <v>1473</v>
      </c>
      <c r="G1687">
        <v>4</v>
      </c>
      <c r="H1687" s="1" t="s">
        <v>1494</v>
      </c>
      <c r="I1687" t="s">
        <v>1874</v>
      </c>
      <c r="J1687" s="1" t="s">
        <v>1453</v>
      </c>
      <c r="K1687" s="1" t="s">
        <v>1596</v>
      </c>
      <c r="L1687" s="1" t="s">
        <v>1718</v>
      </c>
      <c r="M1687" s="1" t="s">
        <v>1763</v>
      </c>
      <c r="N1687" t="s">
        <v>1971</v>
      </c>
      <c r="O1687" t="s">
        <v>2164</v>
      </c>
      <c r="P1687" t="s">
        <v>3081</v>
      </c>
      <c r="Q1687">
        <v>140.13999999999999</v>
      </c>
      <c r="R1687" s="1" t="s">
        <v>1839</v>
      </c>
      <c r="S1687">
        <v>1194.99</v>
      </c>
      <c r="T1687">
        <v>167467</v>
      </c>
    </row>
    <row r="1688" spans="1:20" hidden="1" x14ac:dyDescent="0.4">
      <c r="A1688" s="1" t="s">
        <v>593</v>
      </c>
      <c r="B1688" s="1" t="s">
        <v>1460</v>
      </c>
      <c r="C1688" s="1" t="s">
        <v>1845</v>
      </c>
      <c r="D1688" s="1" t="s">
        <v>1731</v>
      </c>
      <c r="E1688">
        <v>20251219</v>
      </c>
      <c r="F1688" s="1" t="s">
        <v>1473</v>
      </c>
      <c r="G1688">
        <v>4</v>
      </c>
      <c r="H1688" s="1" t="s">
        <v>1494</v>
      </c>
      <c r="I1688" t="s">
        <v>1874</v>
      </c>
      <c r="J1688" s="1" t="s">
        <v>1453</v>
      </c>
      <c r="K1688" s="1" t="s">
        <v>1596</v>
      </c>
      <c r="L1688" s="1" t="s">
        <v>1718</v>
      </c>
      <c r="M1688" s="1" t="s">
        <v>1763</v>
      </c>
      <c r="N1688" t="s">
        <v>1971</v>
      </c>
      <c r="O1688" t="s">
        <v>2164</v>
      </c>
      <c r="P1688" t="s">
        <v>3081</v>
      </c>
      <c r="Q1688">
        <v>138.32</v>
      </c>
      <c r="R1688" s="1" t="s">
        <v>1839</v>
      </c>
      <c r="S1688">
        <v>1194.99</v>
      </c>
      <c r="T1688">
        <v>165292</v>
      </c>
    </row>
    <row r="1689" spans="1:20" hidden="1" x14ac:dyDescent="0.4">
      <c r="A1689" s="1" t="s">
        <v>593</v>
      </c>
      <c r="B1689" s="1" t="s">
        <v>1461</v>
      </c>
      <c r="C1689" s="1" t="s">
        <v>1845</v>
      </c>
      <c r="D1689" s="1" t="s">
        <v>1731</v>
      </c>
      <c r="E1689">
        <v>20251219</v>
      </c>
      <c r="F1689" s="1" t="s">
        <v>1473</v>
      </c>
      <c r="G1689">
        <v>4</v>
      </c>
      <c r="H1689" s="1" t="s">
        <v>1494</v>
      </c>
      <c r="I1689" t="s">
        <v>1874</v>
      </c>
      <c r="J1689" s="1" t="s">
        <v>1453</v>
      </c>
      <c r="K1689" s="1" t="s">
        <v>1596</v>
      </c>
      <c r="L1689" s="1" t="s">
        <v>1718</v>
      </c>
      <c r="M1689" s="1" t="s">
        <v>1763</v>
      </c>
      <c r="N1689" t="s">
        <v>1971</v>
      </c>
      <c r="O1689" t="s">
        <v>2164</v>
      </c>
      <c r="P1689" t="s">
        <v>3081</v>
      </c>
      <c r="Q1689">
        <v>116.11</v>
      </c>
      <c r="R1689" s="1" t="s">
        <v>1839</v>
      </c>
      <c r="S1689">
        <v>1194.99</v>
      </c>
      <c r="T1689">
        <v>138751</v>
      </c>
    </row>
    <row r="1690" spans="1:20" hidden="1" x14ac:dyDescent="0.4">
      <c r="A1690" s="1" t="s">
        <v>593</v>
      </c>
      <c r="B1690" s="1" t="s">
        <v>1462</v>
      </c>
      <c r="C1690" s="1" t="s">
        <v>1845</v>
      </c>
      <c r="D1690" s="1" t="s">
        <v>1731</v>
      </c>
      <c r="E1690">
        <v>20251219</v>
      </c>
      <c r="F1690" s="1" t="s">
        <v>1473</v>
      </c>
      <c r="G1690">
        <v>4</v>
      </c>
      <c r="H1690" s="1" t="s">
        <v>1494</v>
      </c>
      <c r="I1690" t="s">
        <v>1874</v>
      </c>
      <c r="J1690" s="1" t="s">
        <v>1453</v>
      </c>
      <c r="K1690" s="1" t="s">
        <v>1596</v>
      </c>
      <c r="L1690" s="1" t="s">
        <v>1718</v>
      </c>
      <c r="M1690" s="1" t="s">
        <v>1763</v>
      </c>
      <c r="N1690" t="s">
        <v>1971</v>
      </c>
      <c r="O1690" t="s">
        <v>2164</v>
      </c>
      <c r="P1690" t="s">
        <v>3081</v>
      </c>
      <c r="Q1690">
        <v>145.6</v>
      </c>
      <c r="R1690" s="1" t="s">
        <v>1839</v>
      </c>
      <c r="S1690">
        <v>1195</v>
      </c>
      <c r="T1690">
        <v>173992</v>
      </c>
    </row>
    <row r="1691" spans="1:20" hidden="1" x14ac:dyDescent="0.4">
      <c r="A1691" s="1" t="s">
        <v>593</v>
      </c>
      <c r="B1691" s="1" t="s">
        <v>1463</v>
      </c>
      <c r="C1691" s="1" t="s">
        <v>1845</v>
      </c>
      <c r="D1691" s="1" t="s">
        <v>1731</v>
      </c>
      <c r="E1691">
        <v>20251219</v>
      </c>
      <c r="F1691" s="1" t="s">
        <v>1473</v>
      </c>
      <c r="G1691">
        <v>4</v>
      </c>
      <c r="H1691" s="1" t="s">
        <v>1494</v>
      </c>
      <c r="I1691" t="s">
        <v>1874</v>
      </c>
      <c r="J1691" s="1" t="s">
        <v>1453</v>
      </c>
      <c r="K1691" s="1" t="s">
        <v>1596</v>
      </c>
      <c r="L1691" s="1" t="s">
        <v>1718</v>
      </c>
      <c r="M1691" s="1" t="s">
        <v>1763</v>
      </c>
      <c r="N1691" t="s">
        <v>1971</v>
      </c>
      <c r="O1691" t="s">
        <v>2164</v>
      </c>
      <c r="P1691" t="s">
        <v>3081</v>
      </c>
      <c r="Q1691">
        <v>141.96</v>
      </c>
      <c r="R1691" s="1" t="s">
        <v>1839</v>
      </c>
      <c r="S1691">
        <v>1194.99</v>
      </c>
      <c r="T1691">
        <v>169642</v>
      </c>
    </row>
    <row r="1692" spans="1:20" hidden="1" x14ac:dyDescent="0.4">
      <c r="A1692" s="1" t="s">
        <v>594</v>
      </c>
      <c r="B1692" s="1" t="s">
        <v>1453</v>
      </c>
      <c r="C1692" s="1" t="s">
        <v>1845</v>
      </c>
      <c r="D1692" s="1" t="s">
        <v>1731</v>
      </c>
      <c r="E1692">
        <v>20251219</v>
      </c>
      <c r="F1692" s="1" t="s">
        <v>1473</v>
      </c>
      <c r="G1692">
        <v>4</v>
      </c>
      <c r="H1692" s="1" t="s">
        <v>1494</v>
      </c>
      <c r="I1692" t="s">
        <v>1874</v>
      </c>
      <c r="J1692" s="1" t="s">
        <v>1453</v>
      </c>
      <c r="K1692" s="1" t="s">
        <v>1608</v>
      </c>
      <c r="L1692" s="1" t="s">
        <v>1718</v>
      </c>
      <c r="M1692" s="1" t="s">
        <v>1769</v>
      </c>
      <c r="N1692" t="s">
        <v>1982</v>
      </c>
      <c r="O1692" t="s">
        <v>2164</v>
      </c>
      <c r="P1692" t="s">
        <v>3093</v>
      </c>
      <c r="Q1692">
        <v>91</v>
      </c>
      <c r="R1692" s="1" t="s">
        <v>1839</v>
      </c>
      <c r="S1692">
        <v>2287</v>
      </c>
      <c r="T1692">
        <v>208117</v>
      </c>
    </row>
    <row r="1693" spans="1:20" hidden="1" x14ac:dyDescent="0.4">
      <c r="A1693" s="1" t="s">
        <v>594</v>
      </c>
      <c r="B1693" s="1" t="s">
        <v>1454</v>
      </c>
      <c r="C1693" s="1" t="s">
        <v>1845</v>
      </c>
      <c r="D1693" s="1" t="s">
        <v>1731</v>
      </c>
      <c r="E1693">
        <v>20251219</v>
      </c>
      <c r="F1693" s="1" t="s">
        <v>1473</v>
      </c>
      <c r="G1693">
        <v>4</v>
      </c>
      <c r="H1693" s="1" t="s">
        <v>1494</v>
      </c>
      <c r="I1693" t="s">
        <v>1874</v>
      </c>
      <c r="J1693" s="1" t="s">
        <v>1453</v>
      </c>
      <c r="K1693" s="1" t="s">
        <v>1608</v>
      </c>
      <c r="L1693" s="1" t="s">
        <v>1718</v>
      </c>
      <c r="M1693" s="1" t="s">
        <v>1769</v>
      </c>
      <c r="N1693" t="s">
        <v>1982</v>
      </c>
      <c r="O1693" t="s">
        <v>2164</v>
      </c>
      <c r="P1693" t="s">
        <v>3093</v>
      </c>
      <c r="Q1693">
        <v>91</v>
      </c>
      <c r="R1693" s="1" t="s">
        <v>1839</v>
      </c>
      <c r="S1693">
        <v>2287</v>
      </c>
      <c r="T1693">
        <v>208117</v>
      </c>
    </row>
    <row r="1694" spans="1:20" hidden="1" x14ac:dyDescent="0.4">
      <c r="A1694" s="1" t="s">
        <v>594</v>
      </c>
      <c r="B1694" s="1" t="s">
        <v>1455</v>
      </c>
      <c r="C1694" s="1" t="s">
        <v>1845</v>
      </c>
      <c r="D1694" s="1" t="s">
        <v>1731</v>
      </c>
      <c r="E1694">
        <v>20251219</v>
      </c>
      <c r="F1694" s="1" t="s">
        <v>1473</v>
      </c>
      <c r="G1694">
        <v>4</v>
      </c>
      <c r="H1694" s="1" t="s">
        <v>1494</v>
      </c>
      <c r="I1694" t="s">
        <v>1874</v>
      </c>
      <c r="J1694" s="1" t="s">
        <v>1453</v>
      </c>
      <c r="K1694" s="1" t="s">
        <v>1608</v>
      </c>
      <c r="L1694" s="1" t="s">
        <v>1718</v>
      </c>
      <c r="M1694" s="1" t="s">
        <v>1769</v>
      </c>
      <c r="N1694" t="s">
        <v>1982</v>
      </c>
      <c r="O1694" t="s">
        <v>2164</v>
      </c>
      <c r="P1694" t="s">
        <v>3093</v>
      </c>
      <c r="Q1694">
        <v>91</v>
      </c>
      <c r="R1694" s="1" t="s">
        <v>1839</v>
      </c>
      <c r="S1694">
        <v>2287</v>
      </c>
      <c r="T1694">
        <v>208117</v>
      </c>
    </row>
    <row r="1695" spans="1:20" hidden="1" x14ac:dyDescent="0.4">
      <c r="A1695" s="1" t="s">
        <v>594</v>
      </c>
      <c r="B1695" s="1" t="s">
        <v>1456</v>
      </c>
      <c r="C1695" s="1" t="s">
        <v>1845</v>
      </c>
      <c r="D1695" s="1" t="s">
        <v>1731</v>
      </c>
      <c r="E1695">
        <v>20251219</v>
      </c>
      <c r="F1695" s="1" t="s">
        <v>1473</v>
      </c>
      <c r="G1695">
        <v>4</v>
      </c>
      <c r="H1695" s="1" t="s">
        <v>1494</v>
      </c>
      <c r="I1695" t="s">
        <v>1874</v>
      </c>
      <c r="J1695" s="1" t="s">
        <v>1453</v>
      </c>
      <c r="K1695" s="1" t="s">
        <v>1608</v>
      </c>
      <c r="L1695" s="1" t="s">
        <v>1718</v>
      </c>
      <c r="M1695" s="1" t="s">
        <v>1769</v>
      </c>
      <c r="N1695" t="s">
        <v>1982</v>
      </c>
      <c r="O1695" t="s">
        <v>2164</v>
      </c>
      <c r="P1695" t="s">
        <v>3093</v>
      </c>
      <c r="Q1695">
        <v>94.64</v>
      </c>
      <c r="R1695" s="1" t="s">
        <v>1839</v>
      </c>
      <c r="S1695">
        <v>2286.9899999999998</v>
      </c>
      <c r="T1695">
        <v>216441</v>
      </c>
    </row>
    <row r="1696" spans="1:20" hidden="1" x14ac:dyDescent="0.4">
      <c r="A1696" s="1" t="s">
        <v>594</v>
      </c>
      <c r="B1696" s="1" t="s">
        <v>1457</v>
      </c>
      <c r="C1696" s="1" t="s">
        <v>1845</v>
      </c>
      <c r="D1696" s="1" t="s">
        <v>1731</v>
      </c>
      <c r="E1696">
        <v>20251219</v>
      </c>
      <c r="F1696" s="1" t="s">
        <v>1473</v>
      </c>
      <c r="G1696">
        <v>4</v>
      </c>
      <c r="H1696" s="1" t="s">
        <v>1494</v>
      </c>
      <c r="I1696" t="s">
        <v>1874</v>
      </c>
      <c r="J1696" s="1" t="s">
        <v>1453</v>
      </c>
      <c r="K1696" s="1" t="s">
        <v>1608</v>
      </c>
      <c r="L1696" s="1" t="s">
        <v>1718</v>
      </c>
      <c r="M1696" s="1" t="s">
        <v>1769</v>
      </c>
      <c r="N1696" t="s">
        <v>1982</v>
      </c>
      <c r="O1696" t="s">
        <v>2164</v>
      </c>
      <c r="P1696" t="s">
        <v>3093</v>
      </c>
      <c r="Q1696">
        <v>80.08</v>
      </c>
      <c r="R1696" s="1" t="s">
        <v>1839</v>
      </c>
      <c r="S1696">
        <v>2286.98</v>
      </c>
      <c r="T1696">
        <v>183142</v>
      </c>
    </row>
    <row r="1697" spans="1:20" hidden="1" x14ac:dyDescent="0.4">
      <c r="A1697" s="1" t="s">
        <v>594</v>
      </c>
      <c r="B1697" s="1" t="s">
        <v>1458</v>
      </c>
      <c r="C1697" s="1" t="s">
        <v>1845</v>
      </c>
      <c r="D1697" s="1" t="s">
        <v>1731</v>
      </c>
      <c r="E1697">
        <v>20251219</v>
      </c>
      <c r="F1697" s="1" t="s">
        <v>1473</v>
      </c>
      <c r="G1697">
        <v>4</v>
      </c>
      <c r="H1697" s="1" t="s">
        <v>1494</v>
      </c>
      <c r="I1697" t="s">
        <v>1874</v>
      </c>
      <c r="J1697" s="1" t="s">
        <v>1453</v>
      </c>
      <c r="K1697" s="1" t="s">
        <v>1608</v>
      </c>
      <c r="L1697" s="1" t="s">
        <v>1718</v>
      </c>
      <c r="M1697" s="1" t="s">
        <v>1769</v>
      </c>
      <c r="N1697" t="s">
        <v>1982</v>
      </c>
      <c r="O1697" t="s">
        <v>2164</v>
      </c>
      <c r="P1697" t="s">
        <v>3093</v>
      </c>
      <c r="Q1697">
        <v>80.08</v>
      </c>
      <c r="R1697" s="1" t="s">
        <v>1839</v>
      </c>
      <c r="S1697">
        <v>2286.98</v>
      </c>
      <c r="T1697">
        <v>183142</v>
      </c>
    </row>
    <row r="1698" spans="1:20" hidden="1" x14ac:dyDescent="0.4">
      <c r="A1698" s="1" t="s">
        <v>594</v>
      </c>
      <c r="B1698" s="1" t="s">
        <v>1459</v>
      </c>
      <c r="C1698" s="1" t="s">
        <v>1845</v>
      </c>
      <c r="D1698" s="1" t="s">
        <v>1731</v>
      </c>
      <c r="E1698">
        <v>20251219</v>
      </c>
      <c r="F1698" s="1" t="s">
        <v>1473</v>
      </c>
      <c r="G1698">
        <v>4</v>
      </c>
      <c r="H1698" s="1" t="s">
        <v>1494</v>
      </c>
      <c r="I1698" t="s">
        <v>1874</v>
      </c>
      <c r="J1698" s="1" t="s">
        <v>1453</v>
      </c>
      <c r="K1698" s="1" t="s">
        <v>1608</v>
      </c>
      <c r="L1698" s="1" t="s">
        <v>1718</v>
      </c>
      <c r="M1698" s="1" t="s">
        <v>1769</v>
      </c>
      <c r="N1698" t="s">
        <v>1982</v>
      </c>
      <c r="O1698" t="s">
        <v>2164</v>
      </c>
      <c r="P1698" t="s">
        <v>3093</v>
      </c>
      <c r="Q1698">
        <v>80.08</v>
      </c>
      <c r="R1698" s="1" t="s">
        <v>1839</v>
      </c>
      <c r="S1698">
        <v>2286.98</v>
      </c>
      <c r="T1698">
        <v>183142</v>
      </c>
    </row>
    <row r="1699" spans="1:20" hidden="1" x14ac:dyDescent="0.4">
      <c r="A1699" s="1" t="s">
        <v>594</v>
      </c>
      <c r="B1699" s="1" t="s">
        <v>1460</v>
      </c>
      <c r="C1699" s="1" t="s">
        <v>1845</v>
      </c>
      <c r="D1699" s="1" t="s">
        <v>1731</v>
      </c>
      <c r="E1699">
        <v>20251219</v>
      </c>
      <c r="F1699" s="1" t="s">
        <v>1473</v>
      </c>
      <c r="G1699">
        <v>4</v>
      </c>
      <c r="H1699" s="1" t="s">
        <v>1494</v>
      </c>
      <c r="I1699" t="s">
        <v>1874</v>
      </c>
      <c r="J1699" s="1" t="s">
        <v>1453</v>
      </c>
      <c r="K1699" s="1" t="s">
        <v>1608</v>
      </c>
      <c r="L1699" s="1" t="s">
        <v>1718</v>
      </c>
      <c r="M1699" s="1" t="s">
        <v>1769</v>
      </c>
      <c r="N1699" t="s">
        <v>1982</v>
      </c>
      <c r="O1699" t="s">
        <v>2164</v>
      </c>
      <c r="P1699" t="s">
        <v>3093</v>
      </c>
      <c r="Q1699">
        <v>84.81</v>
      </c>
      <c r="R1699" s="1" t="s">
        <v>1839</v>
      </c>
      <c r="S1699">
        <v>2286.9899999999998</v>
      </c>
      <c r="T1699">
        <v>193960</v>
      </c>
    </row>
    <row r="1700" spans="1:20" hidden="1" x14ac:dyDescent="0.4">
      <c r="A1700" s="1" t="s">
        <v>595</v>
      </c>
      <c r="B1700" s="1" t="s">
        <v>1453</v>
      </c>
      <c r="C1700" s="1" t="s">
        <v>1845</v>
      </c>
      <c r="D1700" s="1" t="s">
        <v>1850</v>
      </c>
      <c r="E1700">
        <v>20251201</v>
      </c>
      <c r="F1700" s="1" t="s">
        <v>1474</v>
      </c>
      <c r="G1700">
        <v>4</v>
      </c>
      <c r="H1700" s="1" t="s">
        <v>1501</v>
      </c>
      <c r="I1700" t="s">
        <v>1881</v>
      </c>
      <c r="J1700" s="1" t="s">
        <v>1455</v>
      </c>
      <c r="K1700" s="1" t="s">
        <v>1678</v>
      </c>
      <c r="L1700" s="1" t="s">
        <v>1720</v>
      </c>
      <c r="M1700" s="1" t="s">
        <v>1735</v>
      </c>
      <c r="N1700" t="s">
        <v>2069</v>
      </c>
      <c r="O1700" t="s">
        <v>2166</v>
      </c>
      <c r="P1700" t="s">
        <v>3197</v>
      </c>
      <c r="Q1700">
        <v>-1523.8</v>
      </c>
      <c r="R1700" s="1" t="s">
        <v>1839</v>
      </c>
      <c r="S1700">
        <v>1038.5</v>
      </c>
      <c r="T1700">
        <v>-1582466</v>
      </c>
    </row>
    <row r="1701" spans="1:20" hidden="1" x14ac:dyDescent="0.4">
      <c r="A1701" s="1" t="s">
        <v>595</v>
      </c>
      <c r="B1701" s="1" t="s">
        <v>1454</v>
      </c>
      <c r="C1701" s="1" t="s">
        <v>1845</v>
      </c>
      <c r="D1701" s="1" t="s">
        <v>1850</v>
      </c>
      <c r="E1701">
        <v>20251201</v>
      </c>
      <c r="F1701" s="1" t="s">
        <v>1474</v>
      </c>
      <c r="G1701">
        <v>4</v>
      </c>
      <c r="H1701" s="1" t="s">
        <v>1501</v>
      </c>
      <c r="I1701" t="s">
        <v>1881</v>
      </c>
      <c r="J1701" s="1" t="s">
        <v>1455</v>
      </c>
      <c r="K1701" s="1" t="s">
        <v>1678</v>
      </c>
      <c r="L1701" s="1" t="s">
        <v>1720</v>
      </c>
      <c r="M1701" s="1" t="s">
        <v>1735</v>
      </c>
      <c r="N1701" t="s">
        <v>2069</v>
      </c>
      <c r="O1701" t="s">
        <v>2166</v>
      </c>
      <c r="P1701" t="s">
        <v>3197</v>
      </c>
      <c r="Q1701">
        <v>-1679.25</v>
      </c>
      <c r="R1701" s="1" t="s">
        <v>1839</v>
      </c>
      <c r="S1701">
        <v>1038.5</v>
      </c>
      <c r="T1701">
        <v>-1743901</v>
      </c>
    </row>
    <row r="1702" spans="1:20" hidden="1" x14ac:dyDescent="0.4">
      <c r="A1702" s="1" t="s">
        <v>595</v>
      </c>
      <c r="B1702" s="1" t="s">
        <v>1455</v>
      </c>
      <c r="C1702" s="1" t="s">
        <v>1845</v>
      </c>
      <c r="D1702" s="1" t="s">
        <v>1850</v>
      </c>
      <c r="E1702">
        <v>20251201</v>
      </c>
      <c r="F1702" s="1" t="s">
        <v>1474</v>
      </c>
      <c r="G1702">
        <v>4</v>
      </c>
      <c r="H1702" s="1" t="s">
        <v>1501</v>
      </c>
      <c r="I1702" t="s">
        <v>1881</v>
      </c>
      <c r="J1702" s="1" t="s">
        <v>1455</v>
      </c>
      <c r="K1702" s="1" t="s">
        <v>1679</v>
      </c>
      <c r="L1702" s="1" t="s">
        <v>1720</v>
      </c>
      <c r="M1702" s="1" t="s">
        <v>1762</v>
      </c>
      <c r="N1702" t="s">
        <v>2070</v>
      </c>
      <c r="O1702" t="s">
        <v>2166</v>
      </c>
      <c r="P1702" t="s">
        <v>3172</v>
      </c>
      <c r="Q1702">
        <v>-1254.5999999999999</v>
      </c>
      <c r="R1702" s="1" t="s">
        <v>1839</v>
      </c>
      <c r="S1702">
        <v>911.4</v>
      </c>
      <c r="T1702">
        <v>-1143442</v>
      </c>
    </row>
    <row r="1703" spans="1:20" hidden="1" x14ac:dyDescent="0.4">
      <c r="A1703" s="1" t="s">
        <v>596</v>
      </c>
      <c r="B1703" s="1" t="s">
        <v>1453</v>
      </c>
      <c r="C1703" s="1" t="s">
        <v>1845</v>
      </c>
      <c r="D1703" s="1" t="s">
        <v>1462</v>
      </c>
      <c r="E1703">
        <v>20251201</v>
      </c>
      <c r="F1703" s="1" t="s">
        <v>1474</v>
      </c>
      <c r="G1703">
        <v>4</v>
      </c>
      <c r="H1703" s="1" t="s">
        <v>1501</v>
      </c>
      <c r="I1703" t="s">
        <v>1881</v>
      </c>
      <c r="J1703" s="1" t="s">
        <v>1455</v>
      </c>
      <c r="K1703" s="1" t="s">
        <v>1678</v>
      </c>
      <c r="L1703" s="1" t="s">
        <v>1720</v>
      </c>
      <c r="M1703" s="1" t="s">
        <v>1735</v>
      </c>
      <c r="N1703" t="s">
        <v>2069</v>
      </c>
      <c r="O1703" t="s">
        <v>2166</v>
      </c>
      <c r="P1703" t="s">
        <v>3197</v>
      </c>
      <c r="Q1703">
        <v>1523.8</v>
      </c>
      <c r="R1703" s="1" t="s">
        <v>1839</v>
      </c>
      <c r="S1703">
        <v>1044.27</v>
      </c>
      <c r="T1703">
        <v>1591258</v>
      </c>
    </row>
    <row r="1704" spans="1:20" hidden="1" x14ac:dyDescent="0.4">
      <c r="A1704" s="1" t="s">
        <v>596</v>
      </c>
      <c r="B1704" s="1" t="s">
        <v>1454</v>
      </c>
      <c r="C1704" s="1" t="s">
        <v>1845</v>
      </c>
      <c r="D1704" s="1" t="s">
        <v>1462</v>
      </c>
      <c r="E1704">
        <v>20251201</v>
      </c>
      <c r="F1704" s="1" t="s">
        <v>1474</v>
      </c>
      <c r="G1704">
        <v>4</v>
      </c>
      <c r="H1704" s="1" t="s">
        <v>1501</v>
      </c>
      <c r="I1704" t="s">
        <v>1881</v>
      </c>
      <c r="J1704" s="1" t="s">
        <v>1455</v>
      </c>
      <c r="K1704" s="1" t="s">
        <v>1678</v>
      </c>
      <c r="L1704" s="1" t="s">
        <v>1720</v>
      </c>
      <c r="M1704" s="1" t="s">
        <v>1735</v>
      </c>
      <c r="N1704" t="s">
        <v>2069</v>
      </c>
      <c r="O1704" t="s">
        <v>2166</v>
      </c>
      <c r="P1704" t="s">
        <v>3197</v>
      </c>
      <c r="Q1704">
        <v>1679.25</v>
      </c>
      <c r="R1704" s="1" t="s">
        <v>1839</v>
      </c>
      <c r="S1704">
        <v>1044.27</v>
      </c>
      <c r="T1704">
        <v>1753590</v>
      </c>
    </row>
    <row r="1705" spans="1:20" hidden="1" x14ac:dyDescent="0.4">
      <c r="A1705" s="1" t="s">
        <v>596</v>
      </c>
      <c r="B1705" s="1" t="s">
        <v>1455</v>
      </c>
      <c r="C1705" s="1" t="s">
        <v>1845</v>
      </c>
      <c r="D1705" s="1" t="s">
        <v>1462</v>
      </c>
      <c r="E1705">
        <v>20251201</v>
      </c>
      <c r="F1705" s="1" t="s">
        <v>1474</v>
      </c>
      <c r="G1705">
        <v>4</v>
      </c>
      <c r="H1705" s="1" t="s">
        <v>1501</v>
      </c>
      <c r="I1705" t="s">
        <v>1881</v>
      </c>
      <c r="J1705" s="1" t="s">
        <v>1455</v>
      </c>
      <c r="K1705" s="1" t="s">
        <v>1679</v>
      </c>
      <c r="L1705" s="1" t="s">
        <v>1720</v>
      </c>
      <c r="M1705" s="1" t="s">
        <v>1762</v>
      </c>
      <c r="N1705" t="s">
        <v>2070</v>
      </c>
      <c r="O1705" t="s">
        <v>2166</v>
      </c>
      <c r="P1705" t="s">
        <v>3172</v>
      </c>
      <c r="Q1705">
        <v>1254.5999999999999</v>
      </c>
      <c r="R1705" s="1" t="s">
        <v>1839</v>
      </c>
      <c r="S1705">
        <v>916.46</v>
      </c>
      <c r="T1705">
        <v>1149790</v>
      </c>
    </row>
    <row r="1706" spans="1:20" hidden="1" x14ac:dyDescent="0.4">
      <c r="A1706" s="1" t="s">
        <v>597</v>
      </c>
      <c r="B1706" s="1" t="s">
        <v>1453</v>
      </c>
      <c r="C1706" s="1" t="s">
        <v>1845</v>
      </c>
      <c r="D1706" s="1" t="s">
        <v>1850</v>
      </c>
      <c r="E1706">
        <v>20251201</v>
      </c>
      <c r="F1706" s="1" t="s">
        <v>1474</v>
      </c>
      <c r="G1706">
        <v>4</v>
      </c>
      <c r="H1706" s="1" t="s">
        <v>1501</v>
      </c>
      <c r="I1706" t="s">
        <v>1881</v>
      </c>
      <c r="J1706" s="1" t="s">
        <v>1455</v>
      </c>
      <c r="K1706" s="1" t="s">
        <v>1680</v>
      </c>
      <c r="L1706" s="1" t="s">
        <v>1720</v>
      </c>
      <c r="M1706" s="1" t="s">
        <v>1815</v>
      </c>
      <c r="N1706" t="s">
        <v>2071</v>
      </c>
      <c r="O1706" t="s">
        <v>2166</v>
      </c>
      <c r="P1706" t="s">
        <v>3077</v>
      </c>
      <c r="Q1706">
        <v>-908.06</v>
      </c>
      <c r="R1706" s="1" t="s">
        <v>1839</v>
      </c>
      <c r="S1706">
        <v>1198.1500000000001</v>
      </c>
      <c r="T1706">
        <v>-1087992</v>
      </c>
    </row>
    <row r="1707" spans="1:20" hidden="1" x14ac:dyDescent="0.4">
      <c r="A1707" s="1" t="s">
        <v>597</v>
      </c>
      <c r="B1707" s="1" t="s">
        <v>1454</v>
      </c>
      <c r="C1707" s="1" t="s">
        <v>1845</v>
      </c>
      <c r="D1707" s="1" t="s">
        <v>1850</v>
      </c>
      <c r="E1707">
        <v>20251201</v>
      </c>
      <c r="F1707" s="1" t="s">
        <v>1474</v>
      </c>
      <c r="G1707">
        <v>4</v>
      </c>
      <c r="H1707" s="1" t="s">
        <v>1501</v>
      </c>
      <c r="I1707" t="s">
        <v>1881</v>
      </c>
      <c r="J1707" s="1" t="s">
        <v>1455</v>
      </c>
      <c r="K1707" s="1" t="s">
        <v>1680</v>
      </c>
      <c r="L1707" s="1" t="s">
        <v>1720</v>
      </c>
      <c r="M1707" s="1" t="s">
        <v>1762</v>
      </c>
      <c r="N1707" t="s">
        <v>2071</v>
      </c>
      <c r="O1707" t="s">
        <v>2166</v>
      </c>
      <c r="P1707" t="s">
        <v>3172</v>
      </c>
      <c r="Q1707">
        <v>-653.62</v>
      </c>
      <c r="R1707" s="1" t="s">
        <v>1839</v>
      </c>
      <c r="S1707">
        <v>1198.1500000000001</v>
      </c>
      <c r="T1707">
        <v>-783134</v>
      </c>
    </row>
    <row r="1708" spans="1:20" hidden="1" x14ac:dyDescent="0.4">
      <c r="A1708" s="1" t="s">
        <v>597</v>
      </c>
      <c r="B1708" s="1" t="s">
        <v>1455</v>
      </c>
      <c r="C1708" s="1" t="s">
        <v>1845</v>
      </c>
      <c r="D1708" s="1" t="s">
        <v>1850</v>
      </c>
      <c r="E1708">
        <v>20251201</v>
      </c>
      <c r="F1708" s="1" t="s">
        <v>1474</v>
      </c>
      <c r="G1708">
        <v>4</v>
      </c>
      <c r="H1708" s="1" t="s">
        <v>1501</v>
      </c>
      <c r="I1708" t="s">
        <v>1881</v>
      </c>
      <c r="J1708" s="1" t="s">
        <v>1455</v>
      </c>
      <c r="K1708" s="1" t="s">
        <v>1669</v>
      </c>
      <c r="L1708" s="1" t="s">
        <v>1720</v>
      </c>
      <c r="M1708" s="1" t="s">
        <v>1762</v>
      </c>
      <c r="N1708" t="s">
        <v>2057</v>
      </c>
      <c r="O1708" t="s">
        <v>2166</v>
      </c>
      <c r="P1708" t="s">
        <v>3172</v>
      </c>
      <c r="Q1708">
        <v>-1373.07</v>
      </c>
      <c r="R1708" s="1" t="s">
        <v>1842</v>
      </c>
      <c r="S1708">
        <v>1289.5999999999999</v>
      </c>
      <c r="T1708">
        <v>-1770711</v>
      </c>
    </row>
    <row r="1709" spans="1:20" hidden="1" x14ac:dyDescent="0.4">
      <c r="A1709" s="1" t="s">
        <v>597</v>
      </c>
      <c r="B1709" s="1" t="s">
        <v>1456</v>
      </c>
      <c r="C1709" s="1" t="s">
        <v>1845</v>
      </c>
      <c r="D1709" s="1" t="s">
        <v>1850</v>
      </c>
      <c r="E1709">
        <v>20251201</v>
      </c>
      <c r="F1709" s="1" t="s">
        <v>1474</v>
      </c>
      <c r="G1709">
        <v>4</v>
      </c>
      <c r="H1709" s="1" t="s">
        <v>1501</v>
      </c>
      <c r="I1709" t="s">
        <v>1881</v>
      </c>
      <c r="J1709" s="1" t="s">
        <v>1455</v>
      </c>
      <c r="K1709" s="1" t="s">
        <v>1665</v>
      </c>
      <c r="L1709" s="1" t="s">
        <v>1720</v>
      </c>
      <c r="M1709" s="1" t="s">
        <v>1762</v>
      </c>
      <c r="N1709" t="s">
        <v>2053</v>
      </c>
      <c r="O1709" t="s">
        <v>2166</v>
      </c>
      <c r="P1709" t="s">
        <v>3172</v>
      </c>
      <c r="Q1709">
        <v>-819.47</v>
      </c>
      <c r="R1709" s="1" t="s">
        <v>1839</v>
      </c>
      <c r="S1709">
        <v>1190.4000000000001</v>
      </c>
      <c r="T1709">
        <v>-975497</v>
      </c>
    </row>
    <row r="1710" spans="1:20" hidden="1" x14ac:dyDescent="0.4">
      <c r="A1710" s="1" t="s">
        <v>597</v>
      </c>
      <c r="B1710" s="1" t="s">
        <v>1457</v>
      </c>
      <c r="C1710" s="1" t="s">
        <v>1845</v>
      </c>
      <c r="D1710" s="1" t="s">
        <v>1850</v>
      </c>
      <c r="E1710">
        <v>20251201</v>
      </c>
      <c r="F1710" s="1" t="s">
        <v>1474</v>
      </c>
      <c r="G1710">
        <v>4</v>
      </c>
      <c r="H1710" s="1" t="s">
        <v>1501</v>
      </c>
      <c r="I1710" t="s">
        <v>1881</v>
      </c>
      <c r="J1710" s="1" t="s">
        <v>1455</v>
      </c>
      <c r="K1710" s="1" t="s">
        <v>1668</v>
      </c>
      <c r="L1710" s="1" t="s">
        <v>1720</v>
      </c>
      <c r="M1710" s="1" t="s">
        <v>1762</v>
      </c>
      <c r="N1710" t="s">
        <v>2056</v>
      </c>
      <c r="O1710" t="s">
        <v>2166</v>
      </c>
      <c r="P1710" t="s">
        <v>3172</v>
      </c>
      <c r="Q1710">
        <v>-536.82000000000005</v>
      </c>
      <c r="R1710" s="1" t="s">
        <v>1842</v>
      </c>
      <c r="S1710">
        <v>697.5</v>
      </c>
      <c r="T1710">
        <v>-374431</v>
      </c>
    </row>
    <row r="1711" spans="1:20" hidden="1" x14ac:dyDescent="0.4">
      <c r="A1711" s="1" t="s">
        <v>597</v>
      </c>
      <c r="B1711" s="1" t="s">
        <v>1458</v>
      </c>
      <c r="C1711" s="1" t="s">
        <v>1845</v>
      </c>
      <c r="D1711" s="1" t="s">
        <v>1850</v>
      </c>
      <c r="E1711">
        <v>20251201</v>
      </c>
      <c r="F1711" s="1" t="s">
        <v>1474</v>
      </c>
      <c r="G1711">
        <v>4</v>
      </c>
      <c r="H1711" s="1" t="s">
        <v>1501</v>
      </c>
      <c r="I1711" t="s">
        <v>1881</v>
      </c>
      <c r="J1711" s="1" t="s">
        <v>1455</v>
      </c>
      <c r="K1711" s="1" t="s">
        <v>1663</v>
      </c>
      <c r="L1711" s="1" t="s">
        <v>1720</v>
      </c>
      <c r="M1711" s="1" t="s">
        <v>1762</v>
      </c>
      <c r="N1711" t="s">
        <v>2051</v>
      </c>
      <c r="O1711" t="s">
        <v>2166</v>
      </c>
      <c r="P1711" t="s">
        <v>3183</v>
      </c>
      <c r="Q1711">
        <v>-15.2</v>
      </c>
      <c r="R1711" s="1" t="s">
        <v>1839</v>
      </c>
      <c r="S1711">
        <v>1550</v>
      </c>
      <c r="T1711">
        <v>-23560</v>
      </c>
    </row>
    <row r="1712" spans="1:20" hidden="1" x14ac:dyDescent="0.4">
      <c r="A1712" s="1" t="s">
        <v>597</v>
      </c>
      <c r="B1712" s="1" t="s">
        <v>1459</v>
      </c>
      <c r="C1712" s="1" t="s">
        <v>1845</v>
      </c>
      <c r="D1712" s="1" t="s">
        <v>1850</v>
      </c>
      <c r="E1712">
        <v>20251201</v>
      </c>
      <c r="F1712" s="1" t="s">
        <v>1474</v>
      </c>
      <c r="G1712">
        <v>4</v>
      </c>
      <c r="H1712" s="1" t="s">
        <v>1501</v>
      </c>
      <c r="I1712" t="s">
        <v>1881</v>
      </c>
      <c r="J1712" s="1" t="s">
        <v>1455</v>
      </c>
      <c r="K1712" s="1" t="s">
        <v>1661</v>
      </c>
      <c r="L1712" s="1" t="s">
        <v>1720</v>
      </c>
      <c r="M1712" s="1" t="s">
        <v>1762</v>
      </c>
      <c r="N1712" t="s">
        <v>2049</v>
      </c>
      <c r="O1712" t="s">
        <v>2166</v>
      </c>
      <c r="P1712" t="s">
        <v>3183</v>
      </c>
      <c r="Q1712">
        <v>-15.2</v>
      </c>
      <c r="R1712" s="1" t="s">
        <v>1842</v>
      </c>
      <c r="S1712">
        <v>1550</v>
      </c>
      <c r="T1712">
        <v>-23560</v>
      </c>
    </row>
    <row r="1713" spans="1:20" hidden="1" x14ac:dyDescent="0.4">
      <c r="A1713" s="1" t="s">
        <v>598</v>
      </c>
      <c r="B1713" s="1" t="s">
        <v>1453</v>
      </c>
      <c r="C1713" s="1" t="s">
        <v>1845</v>
      </c>
      <c r="D1713" s="1" t="s">
        <v>1462</v>
      </c>
      <c r="E1713">
        <v>20251201</v>
      </c>
      <c r="F1713" s="1" t="s">
        <v>1474</v>
      </c>
      <c r="G1713">
        <v>4</v>
      </c>
      <c r="H1713" s="1" t="s">
        <v>1501</v>
      </c>
      <c r="I1713" t="s">
        <v>1881</v>
      </c>
      <c r="J1713" s="1" t="s">
        <v>1455</v>
      </c>
      <c r="K1713" s="1" t="s">
        <v>1680</v>
      </c>
      <c r="L1713" s="1" t="s">
        <v>1720</v>
      </c>
      <c r="M1713" s="1" t="s">
        <v>1815</v>
      </c>
      <c r="N1713" t="s">
        <v>2071</v>
      </c>
      <c r="O1713" t="s">
        <v>2166</v>
      </c>
      <c r="P1713" t="s">
        <v>3077</v>
      </c>
      <c r="Q1713">
        <v>908.06</v>
      </c>
      <c r="R1713" s="1" t="s">
        <v>1839</v>
      </c>
      <c r="S1713">
        <v>1204.8</v>
      </c>
      <c r="T1713">
        <v>1094030</v>
      </c>
    </row>
    <row r="1714" spans="1:20" hidden="1" x14ac:dyDescent="0.4">
      <c r="A1714" s="1" t="s">
        <v>598</v>
      </c>
      <c r="B1714" s="1" t="s">
        <v>1454</v>
      </c>
      <c r="C1714" s="1" t="s">
        <v>1845</v>
      </c>
      <c r="D1714" s="1" t="s">
        <v>1462</v>
      </c>
      <c r="E1714">
        <v>20251201</v>
      </c>
      <c r="F1714" s="1" t="s">
        <v>1474</v>
      </c>
      <c r="G1714">
        <v>4</v>
      </c>
      <c r="H1714" s="1" t="s">
        <v>1501</v>
      </c>
      <c r="I1714" t="s">
        <v>1881</v>
      </c>
      <c r="J1714" s="1" t="s">
        <v>1455</v>
      </c>
      <c r="K1714" s="1" t="s">
        <v>1680</v>
      </c>
      <c r="L1714" s="1" t="s">
        <v>1720</v>
      </c>
      <c r="M1714" s="1" t="s">
        <v>1762</v>
      </c>
      <c r="N1714" t="s">
        <v>2071</v>
      </c>
      <c r="O1714" t="s">
        <v>2166</v>
      </c>
      <c r="P1714" t="s">
        <v>3172</v>
      </c>
      <c r="Q1714">
        <v>653.62</v>
      </c>
      <c r="R1714" s="1" t="s">
        <v>1839</v>
      </c>
      <c r="S1714">
        <v>1204.8</v>
      </c>
      <c r="T1714">
        <v>787481</v>
      </c>
    </row>
    <row r="1715" spans="1:20" hidden="1" x14ac:dyDescent="0.4">
      <c r="A1715" s="1" t="s">
        <v>598</v>
      </c>
      <c r="B1715" s="1" t="s">
        <v>1455</v>
      </c>
      <c r="C1715" s="1" t="s">
        <v>1845</v>
      </c>
      <c r="D1715" s="1" t="s">
        <v>1462</v>
      </c>
      <c r="E1715">
        <v>20251201</v>
      </c>
      <c r="F1715" s="1" t="s">
        <v>1474</v>
      </c>
      <c r="G1715">
        <v>4</v>
      </c>
      <c r="H1715" s="1" t="s">
        <v>1501</v>
      </c>
      <c r="I1715" t="s">
        <v>1881</v>
      </c>
      <c r="J1715" s="1" t="s">
        <v>1455</v>
      </c>
      <c r="K1715" s="1" t="s">
        <v>1669</v>
      </c>
      <c r="L1715" s="1" t="s">
        <v>1720</v>
      </c>
      <c r="M1715" s="1" t="s">
        <v>1762</v>
      </c>
      <c r="N1715" t="s">
        <v>2057</v>
      </c>
      <c r="O1715" t="s">
        <v>2166</v>
      </c>
      <c r="P1715" t="s">
        <v>3172</v>
      </c>
      <c r="Q1715">
        <v>1373.07</v>
      </c>
      <c r="R1715" s="1" t="s">
        <v>1842</v>
      </c>
      <c r="S1715">
        <v>1296.76</v>
      </c>
      <c r="T1715">
        <v>1780542</v>
      </c>
    </row>
    <row r="1716" spans="1:20" hidden="1" x14ac:dyDescent="0.4">
      <c r="A1716" s="1" t="s">
        <v>598</v>
      </c>
      <c r="B1716" s="1" t="s">
        <v>1456</v>
      </c>
      <c r="C1716" s="1" t="s">
        <v>1845</v>
      </c>
      <c r="D1716" s="1" t="s">
        <v>1462</v>
      </c>
      <c r="E1716">
        <v>20251201</v>
      </c>
      <c r="F1716" s="1" t="s">
        <v>1474</v>
      </c>
      <c r="G1716">
        <v>4</v>
      </c>
      <c r="H1716" s="1" t="s">
        <v>1501</v>
      </c>
      <c r="I1716" t="s">
        <v>1881</v>
      </c>
      <c r="J1716" s="1" t="s">
        <v>1455</v>
      </c>
      <c r="K1716" s="1" t="s">
        <v>1665</v>
      </c>
      <c r="L1716" s="1" t="s">
        <v>1720</v>
      </c>
      <c r="M1716" s="1" t="s">
        <v>1762</v>
      </c>
      <c r="N1716" t="s">
        <v>2053</v>
      </c>
      <c r="O1716" t="s">
        <v>2166</v>
      </c>
      <c r="P1716" t="s">
        <v>3172</v>
      </c>
      <c r="Q1716">
        <v>819.47</v>
      </c>
      <c r="R1716" s="1" t="s">
        <v>1839</v>
      </c>
      <c r="S1716">
        <v>1197.01</v>
      </c>
      <c r="T1716">
        <v>980913</v>
      </c>
    </row>
    <row r="1717" spans="1:20" hidden="1" x14ac:dyDescent="0.4">
      <c r="A1717" s="1" t="s">
        <v>598</v>
      </c>
      <c r="B1717" s="1" t="s">
        <v>1457</v>
      </c>
      <c r="C1717" s="1" t="s">
        <v>1845</v>
      </c>
      <c r="D1717" s="1" t="s">
        <v>1462</v>
      </c>
      <c r="E1717">
        <v>20251201</v>
      </c>
      <c r="F1717" s="1" t="s">
        <v>1474</v>
      </c>
      <c r="G1717">
        <v>4</v>
      </c>
      <c r="H1717" s="1" t="s">
        <v>1501</v>
      </c>
      <c r="I1717" t="s">
        <v>1881</v>
      </c>
      <c r="J1717" s="1" t="s">
        <v>1455</v>
      </c>
      <c r="K1717" s="1" t="s">
        <v>1668</v>
      </c>
      <c r="L1717" s="1" t="s">
        <v>1720</v>
      </c>
      <c r="M1717" s="1" t="s">
        <v>1762</v>
      </c>
      <c r="N1717" t="s">
        <v>2056</v>
      </c>
      <c r="O1717" t="s">
        <v>2166</v>
      </c>
      <c r="P1717" t="s">
        <v>3172</v>
      </c>
      <c r="Q1717">
        <v>536.82000000000005</v>
      </c>
      <c r="R1717" s="1" t="s">
        <v>1842</v>
      </c>
      <c r="S1717">
        <v>701.38</v>
      </c>
      <c r="T1717">
        <v>376514</v>
      </c>
    </row>
    <row r="1718" spans="1:20" hidden="1" x14ac:dyDescent="0.4">
      <c r="A1718" s="1" t="s">
        <v>598</v>
      </c>
      <c r="B1718" s="1" t="s">
        <v>1458</v>
      </c>
      <c r="C1718" s="1" t="s">
        <v>1845</v>
      </c>
      <c r="D1718" s="1" t="s">
        <v>1462</v>
      </c>
      <c r="E1718">
        <v>20251201</v>
      </c>
      <c r="F1718" s="1" t="s">
        <v>1474</v>
      </c>
      <c r="G1718">
        <v>4</v>
      </c>
      <c r="H1718" s="1" t="s">
        <v>1501</v>
      </c>
      <c r="I1718" t="s">
        <v>1881</v>
      </c>
      <c r="J1718" s="1" t="s">
        <v>1455</v>
      </c>
      <c r="K1718" s="1" t="s">
        <v>1663</v>
      </c>
      <c r="L1718" s="1" t="s">
        <v>1720</v>
      </c>
      <c r="M1718" s="1" t="s">
        <v>1762</v>
      </c>
      <c r="N1718" t="s">
        <v>2051</v>
      </c>
      <c r="O1718" t="s">
        <v>2166</v>
      </c>
      <c r="P1718" t="s">
        <v>3183</v>
      </c>
      <c r="Q1718">
        <v>15.2</v>
      </c>
      <c r="R1718" s="1" t="s">
        <v>1839</v>
      </c>
      <c r="S1718">
        <v>1558.61</v>
      </c>
      <c r="T1718">
        <v>23690</v>
      </c>
    </row>
    <row r="1719" spans="1:20" hidden="1" x14ac:dyDescent="0.4">
      <c r="A1719" s="1" t="s">
        <v>598</v>
      </c>
      <c r="B1719" s="1" t="s">
        <v>1459</v>
      </c>
      <c r="C1719" s="1" t="s">
        <v>1845</v>
      </c>
      <c r="D1719" s="1" t="s">
        <v>1462</v>
      </c>
      <c r="E1719">
        <v>20251201</v>
      </c>
      <c r="F1719" s="1" t="s">
        <v>1474</v>
      </c>
      <c r="G1719">
        <v>4</v>
      </c>
      <c r="H1719" s="1" t="s">
        <v>1501</v>
      </c>
      <c r="I1719" t="s">
        <v>1881</v>
      </c>
      <c r="J1719" s="1" t="s">
        <v>1455</v>
      </c>
      <c r="K1719" s="1" t="s">
        <v>1661</v>
      </c>
      <c r="L1719" s="1" t="s">
        <v>1720</v>
      </c>
      <c r="M1719" s="1" t="s">
        <v>1762</v>
      </c>
      <c r="N1719" t="s">
        <v>2049</v>
      </c>
      <c r="O1719" t="s">
        <v>2166</v>
      </c>
      <c r="P1719" t="s">
        <v>3183</v>
      </c>
      <c r="Q1719">
        <v>15.2</v>
      </c>
      <c r="R1719" s="1" t="s">
        <v>1842</v>
      </c>
      <c r="S1719">
        <v>1558.61</v>
      </c>
      <c r="T1719">
        <v>23690</v>
      </c>
    </row>
    <row r="1720" spans="1:20" hidden="1" x14ac:dyDescent="0.4">
      <c r="A1720" s="1" t="s">
        <v>599</v>
      </c>
      <c r="B1720" s="1" t="s">
        <v>1453</v>
      </c>
      <c r="C1720" s="1" t="s">
        <v>1845</v>
      </c>
      <c r="D1720" s="1" t="s">
        <v>1462</v>
      </c>
      <c r="E1720">
        <v>20251202</v>
      </c>
      <c r="F1720" s="1" t="s">
        <v>1474</v>
      </c>
      <c r="G1720">
        <v>4</v>
      </c>
      <c r="H1720" s="1" t="s">
        <v>1501</v>
      </c>
      <c r="I1720" t="s">
        <v>1881</v>
      </c>
      <c r="J1720" s="1" t="s">
        <v>1455</v>
      </c>
      <c r="K1720" s="1" t="s">
        <v>1665</v>
      </c>
      <c r="L1720" s="1" t="s">
        <v>1720</v>
      </c>
      <c r="M1720" s="1" t="s">
        <v>1762</v>
      </c>
      <c r="N1720" t="s">
        <v>2053</v>
      </c>
      <c r="O1720" t="s">
        <v>2166</v>
      </c>
      <c r="P1720" t="s">
        <v>3172</v>
      </c>
      <c r="Q1720">
        <v>882.25</v>
      </c>
      <c r="R1720" s="1" t="s">
        <v>1839</v>
      </c>
      <c r="S1720">
        <v>1197.01</v>
      </c>
      <c r="T1720">
        <v>1056062</v>
      </c>
    </row>
    <row r="1721" spans="1:20" hidden="1" x14ac:dyDescent="0.4">
      <c r="A1721" s="1" t="s">
        <v>599</v>
      </c>
      <c r="B1721" s="1" t="s">
        <v>1454</v>
      </c>
      <c r="C1721" s="1" t="s">
        <v>1845</v>
      </c>
      <c r="D1721" s="1" t="s">
        <v>1462</v>
      </c>
      <c r="E1721">
        <v>20251202</v>
      </c>
      <c r="F1721" s="1" t="s">
        <v>1474</v>
      </c>
      <c r="G1721">
        <v>4</v>
      </c>
      <c r="H1721" s="1" t="s">
        <v>1501</v>
      </c>
      <c r="I1721" t="s">
        <v>1881</v>
      </c>
      <c r="J1721" s="1" t="s">
        <v>1455</v>
      </c>
      <c r="K1721" s="1" t="s">
        <v>1665</v>
      </c>
      <c r="L1721" s="1" t="s">
        <v>1720</v>
      </c>
      <c r="M1721" s="1" t="s">
        <v>1762</v>
      </c>
      <c r="N1721" t="s">
        <v>2053</v>
      </c>
      <c r="O1721" t="s">
        <v>2166</v>
      </c>
      <c r="P1721" t="s">
        <v>3172</v>
      </c>
      <c r="Q1721">
        <v>626.59</v>
      </c>
      <c r="R1721" s="1" t="s">
        <v>1842</v>
      </c>
      <c r="S1721">
        <v>1197.01</v>
      </c>
      <c r="T1721">
        <v>750034</v>
      </c>
    </row>
    <row r="1722" spans="1:20" hidden="1" x14ac:dyDescent="0.4">
      <c r="A1722" s="1" t="s">
        <v>599</v>
      </c>
      <c r="B1722" s="1" t="s">
        <v>1455</v>
      </c>
      <c r="C1722" s="1" t="s">
        <v>1845</v>
      </c>
      <c r="D1722" s="1" t="s">
        <v>1462</v>
      </c>
      <c r="E1722">
        <v>20251202</v>
      </c>
      <c r="F1722" s="1" t="s">
        <v>1474</v>
      </c>
      <c r="G1722">
        <v>4</v>
      </c>
      <c r="H1722" s="1" t="s">
        <v>1501</v>
      </c>
      <c r="I1722" t="s">
        <v>1881</v>
      </c>
      <c r="J1722" s="1" t="s">
        <v>1455</v>
      </c>
      <c r="K1722" s="1" t="s">
        <v>1665</v>
      </c>
      <c r="L1722" s="1" t="s">
        <v>1720</v>
      </c>
      <c r="M1722" s="1" t="s">
        <v>1762</v>
      </c>
      <c r="N1722" t="s">
        <v>2053</v>
      </c>
      <c r="O1722" t="s">
        <v>2166</v>
      </c>
      <c r="P1722" t="s">
        <v>3172</v>
      </c>
      <c r="Q1722">
        <v>1374.03</v>
      </c>
      <c r="R1722" s="1" t="s">
        <v>1839</v>
      </c>
      <c r="S1722">
        <v>1197.01</v>
      </c>
      <c r="T1722">
        <v>1644727</v>
      </c>
    </row>
    <row r="1723" spans="1:20" hidden="1" x14ac:dyDescent="0.4">
      <c r="A1723" s="1" t="s">
        <v>599</v>
      </c>
      <c r="B1723" s="1" t="s">
        <v>1456</v>
      </c>
      <c r="C1723" s="1" t="s">
        <v>1845</v>
      </c>
      <c r="D1723" s="1" t="s">
        <v>1462</v>
      </c>
      <c r="E1723">
        <v>20251202</v>
      </c>
      <c r="F1723" s="1" t="s">
        <v>1474</v>
      </c>
      <c r="G1723">
        <v>4</v>
      </c>
      <c r="H1723" s="1" t="s">
        <v>1501</v>
      </c>
      <c r="I1723" t="s">
        <v>1881</v>
      </c>
      <c r="J1723" s="1" t="s">
        <v>1455</v>
      </c>
      <c r="K1723" s="1" t="s">
        <v>1668</v>
      </c>
      <c r="L1723" s="1" t="s">
        <v>1720</v>
      </c>
      <c r="M1723" s="1" t="s">
        <v>1762</v>
      </c>
      <c r="N1723" t="s">
        <v>2056</v>
      </c>
      <c r="O1723" t="s">
        <v>2166</v>
      </c>
      <c r="P1723" t="s">
        <v>3172</v>
      </c>
      <c r="Q1723">
        <v>539.05999999999995</v>
      </c>
      <c r="R1723" s="1" t="s">
        <v>1839</v>
      </c>
      <c r="S1723">
        <v>701.37</v>
      </c>
      <c r="T1723">
        <v>378080</v>
      </c>
    </row>
    <row r="1724" spans="1:20" hidden="1" x14ac:dyDescent="0.4">
      <c r="A1724" s="1" t="s">
        <v>599</v>
      </c>
      <c r="B1724" s="1" t="s">
        <v>1457</v>
      </c>
      <c r="C1724" s="1" t="s">
        <v>1845</v>
      </c>
      <c r="D1724" s="1" t="s">
        <v>1462</v>
      </c>
      <c r="E1724">
        <v>20251202</v>
      </c>
      <c r="F1724" s="1" t="s">
        <v>1474</v>
      </c>
      <c r="G1724">
        <v>4</v>
      </c>
      <c r="H1724" s="1" t="s">
        <v>1501</v>
      </c>
      <c r="I1724" t="s">
        <v>1881</v>
      </c>
      <c r="J1724" s="1" t="s">
        <v>1455</v>
      </c>
      <c r="K1724" s="1" t="s">
        <v>1662</v>
      </c>
      <c r="L1724" s="1" t="s">
        <v>1720</v>
      </c>
      <c r="M1724" s="1" t="s">
        <v>1762</v>
      </c>
      <c r="N1724" t="s">
        <v>2050</v>
      </c>
      <c r="O1724" t="s">
        <v>2166</v>
      </c>
      <c r="P1724" t="s">
        <v>3172</v>
      </c>
      <c r="Q1724">
        <v>680.47</v>
      </c>
      <c r="R1724" s="1" t="s">
        <v>1842</v>
      </c>
      <c r="S1724">
        <v>1024</v>
      </c>
      <c r="T1724">
        <v>696801</v>
      </c>
    </row>
    <row r="1725" spans="1:20" hidden="1" x14ac:dyDescent="0.4">
      <c r="A1725" s="1" t="s">
        <v>599</v>
      </c>
      <c r="B1725" s="1" t="s">
        <v>1458</v>
      </c>
      <c r="C1725" s="1" t="s">
        <v>1845</v>
      </c>
      <c r="D1725" s="1" t="s">
        <v>1462</v>
      </c>
      <c r="E1725">
        <v>20251202</v>
      </c>
      <c r="F1725" s="1" t="s">
        <v>1474</v>
      </c>
      <c r="G1725">
        <v>4</v>
      </c>
      <c r="H1725" s="1" t="s">
        <v>1501</v>
      </c>
      <c r="I1725" t="s">
        <v>1881</v>
      </c>
      <c r="J1725" s="1" t="s">
        <v>1455</v>
      </c>
      <c r="K1725" s="1" t="s">
        <v>1665</v>
      </c>
      <c r="L1725" s="1" t="s">
        <v>1720</v>
      </c>
      <c r="M1725" s="1" t="s">
        <v>1762</v>
      </c>
      <c r="N1725" t="s">
        <v>2053</v>
      </c>
      <c r="O1725" t="s">
        <v>2166</v>
      </c>
      <c r="P1725" t="s">
        <v>3172</v>
      </c>
      <c r="Q1725">
        <v>1830.83</v>
      </c>
      <c r="R1725" s="1" t="s">
        <v>1842</v>
      </c>
      <c r="S1725">
        <v>1197</v>
      </c>
      <c r="T1725">
        <v>2191503</v>
      </c>
    </row>
    <row r="1726" spans="1:20" hidden="1" x14ac:dyDescent="0.4">
      <c r="A1726" s="1" t="s">
        <v>599</v>
      </c>
      <c r="B1726" s="1" t="s">
        <v>1459</v>
      </c>
      <c r="C1726" s="1" t="s">
        <v>1845</v>
      </c>
      <c r="D1726" s="1" t="s">
        <v>1462</v>
      </c>
      <c r="E1726">
        <v>20251202</v>
      </c>
      <c r="F1726" s="1" t="s">
        <v>1474</v>
      </c>
      <c r="G1726">
        <v>4</v>
      </c>
      <c r="H1726" s="1" t="s">
        <v>1501</v>
      </c>
      <c r="I1726" t="s">
        <v>1881</v>
      </c>
      <c r="J1726" s="1" t="s">
        <v>1455</v>
      </c>
      <c r="K1726" s="1" t="s">
        <v>1662</v>
      </c>
      <c r="L1726" s="1" t="s">
        <v>1720</v>
      </c>
      <c r="M1726" s="1" t="s">
        <v>1762</v>
      </c>
      <c r="N1726" t="s">
        <v>2050</v>
      </c>
      <c r="O1726" t="s">
        <v>2166</v>
      </c>
      <c r="P1726" t="s">
        <v>3172</v>
      </c>
      <c r="Q1726">
        <v>1175.18</v>
      </c>
      <c r="R1726" s="1" t="s">
        <v>1842</v>
      </c>
      <c r="S1726">
        <v>1024</v>
      </c>
      <c r="T1726">
        <v>1203384</v>
      </c>
    </row>
    <row r="1727" spans="1:20" hidden="1" x14ac:dyDescent="0.4">
      <c r="A1727" s="1" t="s">
        <v>599</v>
      </c>
      <c r="B1727" s="1" t="s">
        <v>1460</v>
      </c>
      <c r="C1727" s="1" t="s">
        <v>1845</v>
      </c>
      <c r="D1727" s="1" t="s">
        <v>1462</v>
      </c>
      <c r="E1727">
        <v>20251202</v>
      </c>
      <c r="F1727" s="1" t="s">
        <v>1474</v>
      </c>
      <c r="G1727">
        <v>4</v>
      </c>
      <c r="H1727" s="1" t="s">
        <v>1501</v>
      </c>
      <c r="I1727" t="s">
        <v>1881</v>
      </c>
      <c r="J1727" s="1" t="s">
        <v>1455</v>
      </c>
      <c r="K1727" s="1" t="s">
        <v>1662</v>
      </c>
      <c r="L1727" s="1" t="s">
        <v>1720</v>
      </c>
      <c r="M1727" s="1" t="s">
        <v>1762</v>
      </c>
      <c r="N1727" t="s">
        <v>2050</v>
      </c>
      <c r="O1727" t="s">
        <v>2166</v>
      </c>
      <c r="P1727" t="s">
        <v>3172</v>
      </c>
      <c r="Q1727">
        <v>583.84</v>
      </c>
      <c r="R1727" s="1" t="s">
        <v>1842</v>
      </c>
      <c r="S1727">
        <v>1024</v>
      </c>
      <c r="T1727">
        <v>597852</v>
      </c>
    </row>
    <row r="1728" spans="1:20" hidden="1" x14ac:dyDescent="0.4">
      <c r="A1728" s="1" t="s">
        <v>599</v>
      </c>
      <c r="B1728" s="1" t="s">
        <v>1461</v>
      </c>
      <c r="C1728" s="1" t="s">
        <v>1845</v>
      </c>
      <c r="D1728" s="1" t="s">
        <v>1462</v>
      </c>
      <c r="E1728">
        <v>20251202</v>
      </c>
      <c r="F1728" s="1" t="s">
        <v>1474</v>
      </c>
      <c r="G1728">
        <v>4</v>
      </c>
      <c r="H1728" s="1" t="s">
        <v>1501</v>
      </c>
      <c r="I1728" t="s">
        <v>1881</v>
      </c>
      <c r="J1728" s="1" t="s">
        <v>1455</v>
      </c>
      <c r="K1728" s="1" t="s">
        <v>1666</v>
      </c>
      <c r="L1728" s="1" t="s">
        <v>1720</v>
      </c>
      <c r="M1728" s="1" t="s">
        <v>1762</v>
      </c>
      <c r="N1728" t="s">
        <v>2054</v>
      </c>
      <c r="O1728" t="s">
        <v>2166</v>
      </c>
      <c r="P1728" t="s">
        <v>3172</v>
      </c>
      <c r="Q1728">
        <v>306.07</v>
      </c>
      <c r="R1728" s="1" t="s">
        <v>1842</v>
      </c>
      <c r="S1728">
        <v>1008.41</v>
      </c>
      <c r="T1728">
        <v>308644</v>
      </c>
    </row>
    <row r="1729" spans="1:20" hidden="1" x14ac:dyDescent="0.4">
      <c r="A1729" s="1" t="s">
        <v>599</v>
      </c>
      <c r="B1729" s="1" t="s">
        <v>1462</v>
      </c>
      <c r="C1729" s="1" t="s">
        <v>1845</v>
      </c>
      <c r="D1729" s="1" t="s">
        <v>1462</v>
      </c>
      <c r="E1729">
        <v>20251202</v>
      </c>
      <c r="F1729" s="1" t="s">
        <v>1474</v>
      </c>
      <c r="G1729">
        <v>4</v>
      </c>
      <c r="H1729" s="1" t="s">
        <v>1501</v>
      </c>
      <c r="I1729" t="s">
        <v>1881</v>
      </c>
      <c r="J1729" s="1" t="s">
        <v>1455</v>
      </c>
      <c r="K1729" s="1" t="s">
        <v>1664</v>
      </c>
      <c r="L1729" s="1" t="s">
        <v>1720</v>
      </c>
      <c r="M1729" s="1" t="s">
        <v>1762</v>
      </c>
      <c r="N1729" t="s">
        <v>2052</v>
      </c>
      <c r="O1729" t="s">
        <v>2166</v>
      </c>
      <c r="P1729" t="s">
        <v>3172</v>
      </c>
      <c r="Q1729">
        <v>2331.56</v>
      </c>
      <c r="R1729" s="1" t="s">
        <v>1842</v>
      </c>
      <c r="S1729">
        <v>716.96</v>
      </c>
      <c r="T1729">
        <v>1671635</v>
      </c>
    </row>
    <row r="1730" spans="1:20" hidden="1" x14ac:dyDescent="0.4">
      <c r="A1730" s="1" t="s">
        <v>599</v>
      </c>
      <c r="B1730" s="1" t="s">
        <v>1463</v>
      </c>
      <c r="C1730" s="1" t="s">
        <v>1845</v>
      </c>
      <c r="D1730" s="1" t="s">
        <v>1462</v>
      </c>
      <c r="E1730">
        <v>20251202</v>
      </c>
      <c r="F1730" s="1" t="s">
        <v>1474</v>
      </c>
      <c r="G1730">
        <v>4</v>
      </c>
      <c r="H1730" s="1" t="s">
        <v>1501</v>
      </c>
      <c r="I1730" t="s">
        <v>1881</v>
      </c>
      <c r="J1730" s="1" t="s">
        <v>1455</v>
      </c>
      <c r="K1730" s="1" t="s">
        <v>1667</v>
      </c>
      <c r="L1730" s="1" t="s">
        <v>1720</v>
      </c>
      <c r="M1730" s="1" t="s">
        <v>1762</v>
      </c>
      <c r="N1730" t="s">
        <v>2055</v>
      </c>
      <c r="O1730" t="s">
        <v>2166</v>
      </c>
      <c r="P1730" t="s">
        <v>3172</v>
      </c>
      <c r="Q1730">
        <v>1610.55</v>
      </c>
      <c r="R1730" s="1" t="s">
        <v>1839</v>
      </c>
      <c r="S1730">
        <v>782.41</v>
      </c>
      <c r="T1730">
        <v>1260110</v>
      </c>
    </row>
    <row r="1731" spans="1:20" hidden="1" x14ac:dyDescent="0.4">
      <c r="A1731" s="1" t="s">
        <v>599</v>
      </c>
      <c r="B1731" s="1" t="s">
        <v>1464</v>
      </c>
      <c r="C1731" s="1" t="s">
        <v>1845</v>
      </c>
      <c r="D1731" s="1" t="s">
        <v>1462</v>
      </c>
      <c r="E1731">
        <v>20251202</v>
      </c>
      <c r="F1731" s="1" t="s">
        <v>1474</v>
      </c>
      <c r="G1731">
        <v>4</v>
      </c>
      <c r="H1731" s="1" t="s">
        <v>1501</v>
      </c>
      <c r="I1731" t="s">
        <v>1881</v>
      </c>
      <c r="J1731" s="1" t="s">
        <v>1455</v>
      </c>
      <c r="K1731" s="1" t="s">
        <v>1667</v>
      </c>
      <c r="L1731" s="1" t="s">
        <v>1720</v>
      </c>
      <c r="M1731" s="1" t="s">
        <v>1762</v>
      </c>
      <c r="N1731" t="s">
        <v>2055</v>
      </c>
      <c r="O1731" t="s">
        <v>2166</v>
      </c>
      <c r="P1731" t="s">
        <v>3172</v>
      </c>
      <c r="Q1731">
        <v>2668.97</v>
      </c>
      <c r="R1731" s="1" t="s">
        <v>1839</v>
      </c>
      <c r="S1731">
        <v>782.42</v>
      </c>
      <c r="T1731">
        <v>2088255</v>
      </c>
    </row>
    <row r="1732" spans="1:20" hidden="1" x14ac:dyDescent="0.4">
      <c r="A1732" s="1" t="s">
        <v>600</v>
      </c>
      <c r="B1732" s="1" t="s">
        <v>1453</v>
      </c>
      <c r="C1732" s="1" t="s">
        <v>1845</v>
      </c>
      <c r="D1732" s="1" t="s">
        <v>1462</v>
      </c>
      <c r="E1732">
        <v>20251219</v>
      </c>
      <c r="F1732" s="1" t="s">
        <v>1470</v>
      </c>
      <c r="G1732">
        <v>1</v>
      </c>
      <c r="H1732" s="1" t="s">
        <v>1503</v>
      </c>
      <c r="I1732" t="s">
        <v>1883</v>
      </c>
      <c r="J1732" s="1" t="s">
        <v>1456</v>
      </c>
      <c r="K1732" s="1" t="s">
        <v>1606</v>
      </c>
      <c r="L1732" s="1" t="s">
        <v>1716</v>
      </c>
      <c r="M1732" s="1" t="s">
        <v>1735</v>
      </c>
      <c r="N1732" t="s">
        <v>1981</v>
      </c>
      <c r="O1732" t="s">
        <v>2162</v>
      </c>
      <c r="P1732" t="s">
        <v>3141</v>
      </c>
      <c r="Q1732">
        <v>925.9</v>
      </c>
      <c r="R1732" s="1" t="s">
        <v>1463</v>
      </c>
      <c r="S1732">
        <v>2193</v>
      </c>
      <c r="T1732">
        <v>2030498</v>
      </c>
    </row>
    <row r="1733" spans="1:20" hidden="1" x14ac:dyDescent="0.4">
      <c r="A1733" s="1" t="s">
        <v>600</v>
      </c>
      <c r="B1733" s="1" t="s">
        <v>1454</v>
      </c>
      <c r="C1733" s="1" t="s">
        <v>1845</v>
      </c>
      <c r="D1733" s="1" t="s">
        <v>1462</v>
      </c>
      <c r="E1733">
        <v>20251219</v>
      </c>
      <c r="F1733" s="1" t="s">
        <v>1470</v>
      </c>
      <c r="G1733">
        <v>1</v>
      </c>
      <c r="H1733" s="1" t="s">
        <v>1503</v>
      </c>
      <c r="I1733" t="s">
        <v>1883</v>
      </c>
      <c r="J1733" s="1" t="s">
        <v>1456</v>
      </c>
      <c r="K1733" s="1" t="s">
        <v>1606</v>
      </c>
      <c r="L1733" s="1" t="s">
        <v>1716</v>
      </c>
      <c r="M1733" s="1" t="s">
        <v>1735</v>
      </c>
      <c r="N1733" t="s">
        <v>1981</v>
      </c>
      <c r="O1733" t="s">
        <v>2162</v>
      </c>
      <c r="P1733" t="s">
        <v>3141</v>
      </c>
      <c r="Q1733">
        <v>795.86</v>
      </c>
      <c r="R1733" s="1" t="s">
        <v>1463</v>
      </c>
      <c r="S1733">
        <v>1870</v>
      </c>
      <c r="T1733">
        <v>1488258</v>
      </c>
    </row>
    <row r="1734" spans="1:20" hidden="1" x14ac:dyDescent="0.4">
      <c r="A1734" s="1" t="s">
        <v>600</v>
      </c>
      <c r="B1734" s="1" t="s">
        <v>1455</v>
      </c>
      <c r="C1734" s="1" t="s">
        <v>1845</v>
      </c>
      <c r="D1734" s="1" t="s">
        <v>1462</v>
      </c>
      <c r="E1734">
        <v>20251219</v>
      </c>
      <c r="F1734" s="1" t="s">
        <v>1470</v>
      </c>
      <c r="G1734">
        <v>1</v>
      </c>
      <c r="H1734" s="1" t="s">
        <v>1503</v>
      </c>
      <c r="I1734" t="s">
        <v>1883</v>
      </c>
      <c r="J1734" s="1" t="s">
        <v>1456</v>
      </c>
      <c r="K1734" s="1" t="s">
        <v>1606</v>
      </c>
      <c r="L1734" s="1" t="s">
        <v>1716</v>
      </c>
      <c r="M1734" s="1" t="s">
        <v>1735</v>
      </c>
      <c r="N1734" t="s">
        <v>1981</v>
      </c>
      <c r="O1734" t="s">
        <v>2162</v>
      </c>
      <c r="P1734" t="s">
        <v>3142</v>
      </c>
      <c r="Q1734">
        <v>929</v>
      </c>
      <c r="R1734" s="1" t="s">
        <v>1463</v>
      </c>
      <c r="S1734">
        <v>2193</v>
      </c>
      <c r="T1734">
        <v>2037297</v>
      </c>
    </row>
    <row r="1735" spans="1:20" hidden="1" x14ac:dyDescent="0.4">
      <c r="A1735" s="1" t="s">
        <v>600</v>
      </c>
      <c r="B1735" s="1" t="s">
        <v>1456</v>
      </c>
      <c r="C1735" s="1" t="s">
        <v>1845</v>
      </c>
      <c r="D1735" s="1" t="s">
        <v>1462</v>
      </c>
      <c r="E1735">
        <v>20251219</v>
      </c>
      <c r="F1735" s="1" t="s">
        <v>1470</v>
      </c>
      <c r="G1735">
        <v>1</v>
      </c>
      <c r="H1735" s="1" t="s">
        <v>1503</v>
      </c>
      <c r="I1735" t="s">
        <v>1883</v>
      </c>
      <c r="J1735" s="1" t="s">
        <v>1456</v>
      </c>
      <c r="K1735" s="1" t="s">
        <v>1606</v>
      </c>
      <c r="L1735" s="1" t="s">
        <v>1716</v>
      </c>
      <c r="M1735" s="1" t="s">
        <v>1735</v>
      </c>
      <c r="N1735" t="s">
        <v>1981</v>
      </c>
      <c r="O1735" t="s">
        <v>2162</v>
      </c>
      <c r="P1735" t="s">
        <v>3142</v>
      </c>
      <c r="Q1735">
        <v>795.86</v>
      </c>
      <c r="R1735" s="1" t="s">
        <v>1463</v>
      </c>
      <c r="S1735">
        <v>1870</v>
      </c>
      <c r="T1735">
        <v>1488258</v>
      </c>
    </row>
    <row r="1736" spans="1:20" hidden="1" x14ac:dyDescent="0.4">
      <c r="A1736" s="1" t="s">
        <v>601</v>
      </c>
      <c r="B1736" s="1" t="s">
        <v>1453</v>
      </c>
      <c r="C1736" s="1" t="s">
        <v>1845</v>
      </c>
      <c r="D1736" s="1" t="s">
        <v>1731</v>
      </c>
      <c r="E1736">
        <v>20251219</v>
      </c>
      <c r="F1736" s="1" t="s">
        <v>1473</v>
      </c>
      <c r="G1736">
        <v>4</v>
      </c>
      <c r="H1736" s="1" t="s">
        <v>1494</v>
      </c>
      <c r="I1736" t="s">
        <v>1874</v>
      </c>
      <c r="J1736" s="1" t="s">
        <v>1453</v>
      </c>
      <c r="K1736" s="1" t="s">
        <v>1609</v>
      </c>
      <c r="L1736" s="1" t="s">
        <v>1718</v>
      </c>
      <c r="M1736" s="1" t="s">
        <v>1770</v>
      </c>
      <c r="N1736" t="s">
        <v>1983</v>
      </c>
      <c r="O1736" t="s">
        <v>2164</v>
      </c>
      <c r="P1736" t="s">
        <v>3094</v>
      </c>
      <c r="Q1736">
        <v>106.28</v>
      </c>
      <c r="R1736" s="1" t="s">
        <v>1839</v>
      </c>
      <c r="S1736">
        <v>1729.99</v>
      </c>
      <c r="T1736">
        <v>183864</v>
      </c>
    </row>
    <row r="1737" spans="1:20" hidden="1" x14ac:dyDescent="0.4">
      <c r="A1737" s="1" t="s">
        <v>601</v>
      </c>
      <c r="B1737" s="1" t="s">
        <v>1454</v>
      </c>
      <c r="C1737" s="1" t="s">
        <v>1845</v>
      </c>
      <c r="D1737" s="1" t="s">
        <v>1731</v>
      </c>
      <c r="E1737">
        <v>20251219</v>
      </c>
      <c r="F1737" s="1" t="s">
        <v>1473</v>
      </c>
      <c r="G1737">
        <v>4</v>
      </c>
      <c r="H1737" s="1" t="s">
        <v>1494</v>
      </c>
      <c r="I1737" t="s">
        <v>1874</v>
      </c>
      <c r="J1737" s="1" t="s">
        <v>1453</v>
      </c>
      <c r="K1737" s="1" t="s">
        <v>1609</v>
      </c>
      <c r="L1737" s="1" t="s">
        <v>1718</v>
      </c>
      <c r="M1737" s="1" t="s">
        <v>1770</v>
      </c>
      <c r="N1737" t="s">
        <v>1983</v>
      </c>
      <c r="O1737" t="s">
        <v>2164</v>
      </c>
      <c r="P1737" t="s">
        <v>3094</v>
      </c>
      <c r="Q1737">
        <v>25.11</v>
      </c>
      <c r="R1737" s="1" t="s">
        <v>1839</v>
      </c>
      <c r="S1737">
        <v>1729.98</v>
      </c>
      <c r="T1737">
        <v>43440</v>
      </c>
    </row>
    <row r="1738" spans="1:20" hidden="1" x14ac:dyDescent="0.4">
      <c r="A1738" s="1" t="s">
        <v>601</v>
      </c>
      <c r="B1738" s="1" t="s">
        <v>1455</v>
      </c>
      <c r="C1738" s="1" t="s">
        <v>1845</v>
      </c>
      <c r="D1738" s="1" t="s">
        <v>1731</v>
      </c>
      <c r="E1738">
        <v>20251219</v>
      </c>
      <c r="F1738" s="1" t="s">
        <v>1473</v>
      </c>
      <c r="G1738">
        <v>4</v>
      </c>
      <c r="H1738" s="1" t="s">
        <v>1494</v>
      </c>
      <c r="I1738" t="s">
        <v>1874</v>
      </c>
      <c r="J1738" s="1" t="s">
        <v>1453</v>
      </c>
      <c r="K1738" s="1" t="s">
        <v>1609</v>
      </c>
      <c r="L1738" s="1" t="s">
        <v>1718</v>
      </c>
      <c r="M1738" s="1" t="s">
        <v>1770</v>
      </c>
      <c r="N1738" t="s">
        <v>1983</v>
      </c>
      <c r="O1738" t="s">
        <v>2164</v>
      </c>
      <c r="P1738" t="s">
        <v>3094</v>
      </c>
      <c r="Q1738">
        <v>57.14</v>
      </c>
      <c r="R1738" s="1" t="s">
        <v>1839</v>
      </c>
      <c r="S1738">
        <v>1729.99</v>
      </c>
      <c r="T1738">
        <v>98852</v>
      </c>
    </row>
    <row r="1739" spans="1:20" hidden="1" x14ac:dyDescent="0.4">
      <c r="A1739" s="1" t="s">
        <v>601</v>
      </c>
      <c r="B1739" s="1" t="s">
        <v>1456</v>
      </c>
      <c r="C1739" s="1" t="s">
        <v>1845</v>
      </c>
      <c r="D1739" s="1" t="s">
        <v>1731</v>
      </c>
      <c r="E1739">
        <v>20251219</v>
      </c>
      <c r="F1739" s="1" t="s">
        <v>1473</v>
      </c>
      <c r="G1739">
        <v>4</v>
      </c>
      <c r="H1739" s="1" t="s">
        <v>1494</v>
      </c>
      <c r="I1739" t="s">
        <v>1874</v>
      </c>
      <c r="J1739" s="1" t="s">
        <v>1453</v>
      </c>
      <c r="K1739" s="1" t="s">
        <v>1609</v>
      </c>
      <c r="L1739" s="1" t="s">
        <v>1718</v>
      </c>
      <c r="M1739" s="1" t="s">
        <v>1770</v>
      </c>
      <c r="N1739" t="s">
        <v>1983</v>
      </c>
      <c r="O1739" t="s">
        <v>2164</v>
      </c>
      <c r="P1739" t="s">
        <v>3094</v>
      </c>
      <c r="Q1739">
        <v>25.48</v>
      </c>
      <c r="R1739" s="1" t="s">
        <v>1839</v>
      </c>
      <c r="S1739">
        <v>1729.98</v>
      </c>
      <c r="T1739">
        <v>44080</v>
      </c>
    </row>
    <row r="1740" spans="1:20" hidden="1" x14ac:dyDescent="0.4">
      <c r="A1740" s="1" t="s">
        <v>601</v>
      </c>
      <c r="B1740" s="1" t="s">
        <v>1457</v>
      </c>
      <c r="C1740" s="1" t="s">
        <v>1845</v>
      </c>
      <c r="D1740" s="1" t="s">
        <v>1731</v>
      </c>
      <c r="E1740">
        <v>20251219</v>
      </c>
      <c r="F1740" s="1" t="s">
        <v>1473</v>
      </c>
      <c r="G1740">
        <v>4</v>
      </c>
      <c r="H1740" s="1" t="s">
        <v>1494</v>
      </c>
      <c r="I1740" t="s">
        <v>1874</v>
      </c>
      <c r="J1740" s="1" t="s">
        <v>1453</v>
      </c>
      <c r="K1740" s="1" t="s">
        <v>1609</v>
      </c>
      <c r="L1740" s="1" t="s">
        <v>1724</v>
      </c>
      <c r="M1740" s="1" t="s">
        <v>1770</v>
      </c>
      <c r="N1740" t="s">
        <v>1983</v>
      </c>
      <c r="O1740" t="s">
        <v>2170</v>
      </c>
      <c r="P1740" t="s">
        <v>3094</v>
      </c>
      <c r="Q1740">
        <v>12.37</v>
      </c>
      <c r="R1740" s="1" t="s">
        <v>1839</v>
      </c>
      <c r="S1740">
        <v>1383.99</v>
      </c>
      <c r="T1740">
        <v>17120</v>
      </c>
    </row>
    <row r="1741" spans="1:20" hidden="1" x14ac:dyDescent="0.4">
      <c r="A1741" s="1" t="s">
        <v>601</v>
      </c>
      <c r="B1741" s="1" t="s">
        <v>1458</v>
      </c>
      <c r="C1741" s="1" t="s">
        <v>1845</v>
      </c>
      <c r="D1741" s="1" t="s">
        <v>1731</v>
      </c>
      <c r="E1741">
        <v>20251219</v>
      </c>
      <c r="F1741" s="1" t="s">
        <v>1473</v>
      </c>
      <c r="G1741">
        <v>4</v>
      </c>
      <c r="H1741" s="1" t="s">
        <v>1494</v>
      </c>
      <c r="I1741" t="s">
        <v>1874</v>
      </c>
      <c r="J1741" s="1" t="s">
        <v>1453</v>
      </c>
      <c r="K1741" s="1" t="s">
        <v>1609</v>
      </c>
      <c r="L1741" s="1" t="s">
        <v>1718</v>
      </c>
      <c r="M1741" s="1" t="s">
        <v>1770</v>
      </c>
      <c r="N1741" t="s">
        <v>1983</v>
      </c>
      <c r="O1741" t="s">
        <v>2164</v>
      </c>
      <c r="P1741" t="s">
        <v>3094</v>
      </c>
      <c r="Q1741">
        <v>22.93</v>
      </c>
      <c r="R1741" s="1" t="s">
        <v>1839</v>
      </c>
      <c r="S1741">
        <v>1729.96</v>
      </c>
      <c r="T1741">
        <v>39668</v>
      </c>
    </row>
    <row r="1742" spans="1:20" hidden="1" x14ac:dyDescent="0.4">
      <c r="A1742" s="1" t="s">
        <v>601</v>
      </c>
      <c r="B1742" s="1" t="s">
        <v>1459</v>
      </c>
      <c r="C1742" s="1" t="s">
        <v>1845</v>
      </c>
      <c r="D1742" s="1" t="s">
        <v>1731</v>
      </c>
      <c r="E1742">
        <v>20251219</v>
      </c>
      <c r="F1742" s="1" t="s">
        <v>1473</v>
      </c>
      <c r="G1742">
        <v>4</v>
      </c>
      <c r="H1742" s="1" t="s">
        <v>1494</v>
      </c>
      <c r="I1742" t="s">
        <v>1874</v>
      </c>
      <c r="J1742" s="1" t="s">
        <v>1453</v>
      </c>
      <c r="K1742" s="1" t="s">
        <v>1609</v>
      </c>
      <c r="L1742" s="1" t="s">
        <v>1718</v>
      </c>
      <c r="M1742" s="1" t="s">
        <v>1770</v>
      </c>
      <c r="N1742" t="s">
        <v>1983</v>
      </c>
      <c r="O1742" t="s">
        <v>2164</v>
      </c>
      <c r="P1742" t="s">
        <v>3094</v>
      </c>
      <c r="Q1742">
        <v>109.2</v>
      </c>
      <c r="R1742" s="1" t="s">
        <v>1839</v>
      </c>
      <c r="S1742">
        <v>1730</v>
      </c>
      <c r="T1742">
        <v>188916</v>
      </c>
    </row>
    <row r="1743" spans="1:20" hidden="1" x14ac:dyDescent="0.4">
      <c r="A1743" s="1" t="s">
        <v>601</v>
      </c>
      <c r="B1743" s="1" t="s">
        <v>1460</v>
      </c>
      <c r="C1743" s="1" t="s">
        <v>1845</v>
      </c>
      <c r="D1743" s="1" t="s">
        <v>1731</v>
      </c>
      <c r="E1743">
        <v>20251219</v>
      </c>
      <c r="F1743" s="1" t="s">
        <v>1473</v>
      </c>
      <c r="G1743">
        <v>4</v>
      </c>
      <c r="H1743" s="1" t="s">
        <v>1494</v>
      </c>
      <c r="I1743" t="s">
        <v>1874</v>
      </c>
      <c r="J1743" s="1" t="s">
        <v>1453</v>
      </c>
      <c r="K1743" s="1" t="s">
        <v>1609</v>
      </c>
      <c r="L1743" s="1" t="s">
        <v>1718</v>
      </c>
      <c r="M1743" s="1" t="s">
        <v>1770</v>
      </c>
      <c r="N1743" t="s">
        <v>1983</v>
      </c>
      <c r="O1743" t="s">
        <v>2164</v>
      </c>
      <c r="P1743" t="s">
        <v>3094</v>
      </c>
      <c r="Q1743">
        <v>51.68</v>
      </c>
      <c r="R1743" s="1" t="s">
        <v>1839</v>
      </c>
      <c r="S1743">
        <v>1729.99</v>
      </c>
      <c r="T1743">
        <v>89406</v>
      </c>
    </row>
    <row r="1744" spans="1:20" hidden="1" x14ac:dyDescent="0.4">
      <c r="A1744" s="1" t="s">
        <v>601</v>
      </c>
      <c r="B1744" s="1" t="s">
        <v>1461</v>
      </c>
      <c r="C1744" s="1" t="s">
        <v>1845</v>
      </c>
      <c r="D1744" s="1" t="s">
        <v>1731</v>
      </c>
      <c r="E1744">
        <v>20251219</v>
      </c>
      <c r="F1744" s="1" t="s">
        <v>1473</v>
      </c>
      <c r="G1744">
        <v>4</v>
      </c>
      <c r="H1744" s="1" t="s">
        <v>1494</v>
      </c>
      <c r="I1744" t="s">
        <v>1874</v>
      </c>
      <c r="J1744" s="1" t="s">
        <v>1453</v>
      </c>
      <c r="K1744" s="1" t="s">
        <v>1609</v>
      </c>
      <c r="L1744" s="1" t="s">
        <v>1718</v>
      </c>
      <c r="M1744" s="1" t="s">
        <v>1770</v>
      </c>
      <c r="N1744" t="s">
        <v>1983</v>
      </c>
      <c r="O1744" t="s">
        <v>2164</v>
      </c>
      <c r="P1744" t="s">
        <v>3094</v>
      </c>
      <c r="Q1744">
        <v>130.31</v>
      </c>
      <c r="R1744" s="1" t="s">
        <v>1839</v>
      </c>
      <c r="S1744">
        <v>1729.99</v>
      </c>
      <c r="T1744">
        <v>225436</v>
      </c>
    </row>
    <row r="1745" spans="1:20" hidden="1" x14ac:dyDescent="0.4">
      <c r="A1745" s="1" t="s">
        <v>602</v>
      </c>
      <c r="B1745" s="1" t="s">
        <v>1453</v>
      </c>
      <c r="C1745" s="1" t="s">
        <v>1845</v>
      </c>
      <c r="D1745" s="1" t="s">
        <v>1731</v>
      </c>
      <c r="E1745">
        <v>20251222</v>
      </c>
      <c r="F1745" s="1" t="s">
        <v>1470</v>
      </c>
      <c r="G1745">
        <v>4</v>
      </c>
      <c r="H1745" s="1" t="s">
        <v>1490</v>
      </c>
      <c r="I1745" t="s">
        <v>1870</v>
      </c>
      <c r="J1745" s="1" t="s">
        <v>1456</v>
      </c>
      <c r="K1745" s="1" t="s">
        <v>1562</v>
      </c>
      <c r="L1745" s="1" t="s">
        <v>1729</v>
      </c>
      <c r="M1745" s="1" t="s">
        <v>1735</v>
      </c>
      <c r="N1745" t="s">
        <v>1939</v>
      </c>
      <c r="O1745" t="s">
        <v>2157</v>
      </c>
      <c r="P1745" t="s">
        <v>3037</v>
      </c>
      <c r="Q1745">
        <v>200</v>
      </c>
      <c r="R1745" s="1" t="s">
        <v>1718</v>
      </c>
      <c r="S1745">
        <v>2815</v>
      </c>
      <c r="T1745">
        <v>563000</v>
      </c>
    </row>
    <row r="1746" spans="1:20" hidden="1" x14ac:dyDescent="0.4">
      <c r="A1746" s="1" t="s">
        <v>602</v>
      </c>
      <c r="B1746" s="1" t="s">
        <v>1454</v>
      </c>
      <c r="C1746" s="1" t="s">
        <v>1845</v>
      </c>
      <c r="D1746" s="1" t="s">
        <v>1731</v>
      </c>
      <c r="E1746">
        <v>20251222</v>
      </c>
      <c r="F1746" s="1" t="s">
        <v>1470</v>
      </c>
      <c r="G1746">
        <v>4</v>
      </c>
      <c r="H1746" s="1" t="s">
        <v>1490</v>
      </c>
      <c r="I1746" t="s">
        <v>1870</v>
      </c>
      <c r="J1746" s="1" t="s">
        <v>1456</v>
      </c>
      <c r="K1746" s="1" t="s">
        <v>1573</v>
      </c>
      <c r="L1746" s="1" t="s">
        <v>1729</v>
      </c>
      <c r="M1746" s="1" t="s">
        <v>1741</v>
      </c>
      <c r="N1746" t="s">
        <v>1946</v>
      </c>
      <c r="O1746" t="s">
        <v>2157</v>
      </c>
      <c r="P1746" t="s">
        <v>3042</v>
      </c>
      <c r="Q1746">
        <v>1</v>
      </c>
      <c r="R1746" s="1" t="s">
        <v>1718</v>
      </c>
      <c r="S1746">
        <v>5544</v>
      </c>
      <c r="T1746">
        <v>5544</v>
      </c>
    </row>
    <row r="1747" spans="1:20" hidden="1" x14ac:dyDescent="0.4">
      <c r="A1747" s="1" t="s">
        <v>602</v>
      </c>
      <c r="B1747" s="1" t="s">
        <v>1455</v>
      </c>
      <c r="C1747" s="1" t="s">
        <v>1845</v>
      </c>
      <c r="D1747" s="1" t="s">
        <v>1731</v>
      </c>
      <c r="E1747">
        <v>20251222</v>
      </c>
      <c r="F1747" s="1" t="s">
        <v>1470</v>
      </c>
      <c r="G1747">
        <v>4</v>
      </c>
      <c r="H1747" s="1" t="s">
        <v>1490</v>
      </c>
      <c r="I1747" t="s">
        <v>1870</v>
      </c>
      <c r="J1747" s="1" t="s">
        <v>1456</v>
      </c>
      <c r="K1747" s="1" t="s">
        <v>1570</v>
      </c>
      <c r="L1747" s="1" t="s">
        <v>1729</v>
      </c>
      <c r="M1747" s="1" t="s">
        <v>1741</v>
      </c>
      <c r="N1747" t="s">
        <v>1943</v>
      </c>
      <c r="O1747" t="s">
        <v>2157</v>
      </c>
      <c r="P1747" t="s">
        <v>3042</v>
      </c>
      <c r="Q1747">
        <v>26</v>
      </c>
      <c r="R1747" s="1" t="s">
        <v>1718</v>
      </c>
      <c r="S1747">
        <v>10865</v>
      </c>
      <c r="T1747">
        <v>282490</v>
      </c>
    </row>
    <row r="1748" spans="1:20" hidden="1" x14ac:dyDescent="0.4">
      <c r="A1748" s="1" t="s">
        <v>603</v>
      </c>
      <c r="B1748" s="1" t="s">
        <v>1453</v>
      </c>
      <c r="C1748" s="1" t="s">
        <v>1845</v>
      </c>
      <c r="D1748" s="1" t="s">
        <v>1731</v>
      </c>
      <c r="E1748">
        <v>20251220</v>
      </c>
      <c r="F1748" s="1" t="s">
        <v>1473</v>
      </c>
      <c r="G1748">
        <v>4</v>
      </c>
      <c r="H1748" s="1" t="s">
        <v>1494</v>
      </c>
      <c r="I1748" t="s">
        <v>1874</v>
      </c>
      <c r="J1748" s="1" t="s">
        <v>1453</v>
      </c>
      <c r="K1748" s="1" t="s">
        <v>1610</v>
      </c>
      <c r="L1748" s="1" t="s">
        <v>1718</v>
      </c>
      <c r="M1748" s="1" t="s">
        <v>1771</v>
      </c>
      <c r="N1748" t="s">
        <v>1984</v>
      </c>
      <c r="O1748" t="s">
        <v>2164</v>
      </c>
      <c r="P1748" t="s">
        <v>3095</v>
      </c>
      <c r="Q1748">
        <v>63.33</v>
      </c>
      <c r="R1748" s="1" t="s">
        <v>1839</v>
      </c>
      <c r="S1748">
        <v>1898.98</v>
      </c>
      <c r="T1748">
        <v>120263</v>
      </c>
    </row>
    <row r="1749" spans="1:20" hidden="1" x14ac:dyDescent="0.4">
      <c r="A1749" s="1" t="s">
        <v>603</v>
      </c>
      <c r="B1749" s="1" t="s">
        <v>1454</v>
      </c>
      <c r="C1749" s="1" t="s">
        <v>1845</v>
      </c>
      <c r="D1749" s="1" t="s">
        <v>1731</v>
      </c>
      <c r="E1749">
        <v>20251220</v>
      </c>
      <c r="F1749" s="1" t="s">
        <v>1473</v>
      </c>
      <c r="G1749">
        <v>4</v>
      </c>
      <c r="H1749" s="1" t="s">
        <v>1494</v>
      </c>
      <c r="I1749" t="s">
        <v>1874</v>
      </c>
      <c r="J1749" s="1" t="s">
        <v>1453</v>
      </c>
      <c r="K1749" s="1" t="s">
        <v>1610</v>
      </c>
      <c r="L1749" s="1" t="s">
        <v>1718</v>
      </c>
      <c r="M1749" s="1" t="s">
        <v>1771</v>
      </c>
      <c r="N1749" t="s">
        <v>1984</v>
      </c>
      <c r="O1749" t="s">
        <v>2164</v>
      </c>
      <c r="P1749" t="s">
        <v>3095</v>
      </c>
      <c r="Q1749">
        <v>82.26</v>
      </c>
      <c r="R1749" s="1" t="s">
        <v>1839</v>
      </c>
      <c r="S1749">
        <v>1898.99</v>
      </c>
      <c r="T1749">
        <v>156211</v>
      </c>
    </row>
    <row r="1750" spans="1:20" hidden="1" x14ac:dyDescent="0.4">
      <c r="A1750" s="1" t="s">
        <v>603</v>
      </c>
      <c r="B1750" s="1" t="s">
        <v>1455</v>
      </c>
      <c r="C1750" s="1" t="s">
        <v>1845</v>
      </c>
      <c r="D1750" s="1" t="s">
        <v>1731</v>
      </c>
      <c r="E1750">
        <v>20251220</v>
      </c>
      <c r="F1750" s="1" t="s">
        <v>1473</v>
      </c>
      <c r="G1750">
        <v>4</v>
      </c>
      <c r="H1750" s="1" t="s">
        <v>1494</v>
      </c>
      <c r="I1750" t="s">
        <v>1874</v>
      </c>
      <c r="J1750" s="1" t="s">
        <v>1453</v>
      </c>
      <c r="K1750" s="1" t="s">
        <v>1610</v>
      </c>
      <c r="L1750" s="1" t="s">
        <v>1718</v>
      </c>
      <c r="M1750" s="1" t="s">
        <v>1771</v>
      </c>
      <c r="N1750" t="s">
        <v>1984</v>
      </c>
      <c r="O1750" t="s">
        <v>2164</v>
      </c>
      <c r="P1750" t="s">
        <v>3095</v>
      </c>
      <c r="Q1750">
        <v>36.4</v>
      </c>
      <c r="R1750" s="1" t="s">
        <v>1839</v>
      </c>
      <c r="S1750">
        <v>1898.98</v>
      </c>
      <c r="T1750">
        <v>69123</v>
      </c>
    </row>
    <row r="1751" spans="1:20" hidden="1" x14ac:dyDescent="0.4">
      <c r="A1751" s="1" t="s">
        <v>603</v>
      </c>
      <c r="B1751" s="1" t="s">
        <v>1456</v>
      </c>
      <c r="C1751" s="1" t="s">
        <v>1845</v>
      </c>
      <c r="D1751" s="1" t="s">
        <v>1731</v>
      </c>
      <c r="E1751">
        <v>20251220</v>
      </c>
      <c r="F1751" s="1" t="s">
        <v>1473</v>
      </c>
      <c r="G1751">
        <v>4</v>
      </c>
      <c r="H1751" s="1" t="s">
        <v>1494</v>
      </c>
      <c r="I1751" t="s">
        <v>1874</v>
      </c>
      <c r="J1751" s="1" t="s">
        <v>1453</v>
      </c>
      <c r="K1751" s="1" t="s">
        <v>1610</v>
      </c>
      <c r="L1751" s="1" t="s">
        <v>1718</v>
      </c>
      <c r="M1751" s="1" t="s">
        <v>1771</v>
      </c>
      <c r="N1751" t="s">
        <v>1984</v>
      </c>
      <c r="O1751" t="s">
        <v>2164</v>
      </c>
      <c r="P1751" t="s">
        <v>3095</v>
      </c>
      <c r="Q1751">
        <v>43.68</v>
      </c>
      <c r="R1751" s="1" t="s">
        <v>1839</v>
      </c>
      <c r="S1751">
        <v>1898.99</v>
      </c>
      <c r="T1751">
        <v>82948</v>
      </c>
    </row>
    <row r="1752" spans="1:20" hidden="1" x14ac:dyDescent="0.4">
      <c r="A1752" s="1" t="s">
        <v>604</v>
      </c>
      <c r="B1752" s="1" t="s">
        <v>1453</v>
      </c>
      <c r="C1752" s="1" t="s">
        <v>1845</v>
      </c>
      <c r="D1752" s="1" t="s">
        <v>1848</v>
      </c>
      <c r="E1752">
        <v>20251220</v>
      </c>
      <c r="F1752" s="1" t="s">
        <v>1473</v>
      </c>
      <c r="G1752">
        <v>4</v>
      </c>
      <c r="H1752" s="1" t="s">
        <v>1494</v>
      </c>
      <c r="I1752" t="s">
        <v>1874</v>
      </c>
      <c r="J1752" s="1" t="s">
        <v>1453</v>
      </c>
      <c r="K1752" s="1" t="s">
        <v>1585</v>
      </c>
      <c r="L1752" s="1" t="s">
        <v>1718</v>
      </c>
      <c r="M1752" s="1" t="s">
        <v>1754</v>
      </c>
      <c r="N1752" t="s">
        <v>1960</v>
      </c>
      <c r="O1752" t="s">
        <v>2164</v>
      </c>
      <c r="P1752" t="s">
        <v>3067</v>
      </c>
      <c r="Q1752">
        <v>-5.82</v>
      </c>
      <c r="R1752" s="1" t="s">
        <v>1839</v>
      </c>
      <c r="S1752">
        <v>2851.89</v>
      </c>
      <c r="T1752">
        <v>-16598</v>
      </c>
    </row>
    <row r="1753" spans="1:20" hidden="1" x14ac:dyDescent="0.4">
      <c r="A1753" s="1" t="s">
        <v>605</v>
      </c>
      <c r="B1753" s="1" t="s">
        <v>1453</v>
      </c>
      <c r="C1753" s="1" t="s">
        <v>1845</v>
      </c>
      <c r="D1753" s="1" t="s">
        <v>1731</v>
      </c>
      <c r="E1753">
        <v>20251220</v>
      </c>
      <c r="F1753" s="1" t="s">
        <v>1473</v>
      </c>
      <c r="G1753">
        <v>4</v>
      </c>
      <c r="H1753" s="1" t="s">
        <v>1494</v>
      </c>
      <c r="I1753" t="s">
        <v>1874</v>
      </c>
      <c r="J1753" s="1" t="s">
        <v>1453</v>
      </c>
      <c r="K1753" s="1" t="s">
        <v>1611</v>
      </c>
      <c r="L1753" s="1" t="s">
        <v>1718</v>
      </c>
      <c r="M1753" s="1" t="s">
        <v>1772</v>
      </c>
      <c r="N1753" t="s">
        <v>1985</v>
      </c>
      <c r="O1753" t="s">
        <v>2164</v>
      </c>
      <c r="P1753" t="s">
        <v>3096</v>
      </c>
      <c r="Q1753">
        <v>103.74</v>
      </c>
      <c r="R1753" s="1" t="s">
        <v>1839</v>
      </c>
      <c r="S1753">
        <v>1961.99</v>
      </c>
      <c r="T1753">
        <v>203537</v>
      </c>
    </row>
    <row r="1754" spans="1:20" hidden="1" x14ac:dyDescent="0.4">
      <c r="A1754" s="1" t="s">
        <v>605</v>
      </c>
      <c r="B1754" s="1" t="s">
        <v>1454</v>
      </c>
      <c r="C1754" s="1" t="s">
        <v>1845</v>
      </c>
      <c r="D1754" s="1" t="s">
        <v>1731</v>
      </c>
      <c r="E1754">
        <v>20251220</v>
      </c>
      <c r="F1754" s="1" t="s">
        <v>1473</v>
      </c>
      <c r="G1754">
        <v>4</v>
      </c>
      <c r="H1754" s="1" t="s">
        <v>1494</v>
      </c>
      <c r="I1754" t="s">
        <v>1874</v>
      </c>
      <c r="J1754" s="1" t="s">
        <v>1453</v>
      </c>
      <c r="K1754" s="1" t="s">
        <v>1611</v>
      </c>
      <c r="L1754" s="1" t="s">
        <v>1718</v>
      </c>
      <c r="M1754" s="1" t="s">
        <v>1772</v>
      </c>
      <c r="N1754" t="s">
        <v>1985</v>
      </c>
      <c r="O1754" t="s">
        <v>2164</v>
      </c>
      <c r="P1754" t="s">
        <v>3096</v>
      </c>
      <c r="Q1754">
        <v>127.4</v>
      </c>
      <c r="R1754" s="1" t="s">
        <v>1839</v>
      </c>
      <c r="S1754">
        <v>1961.99</v>
      </c>
      <c r="T1754">
        <v>249958</v>
      </c>
    </row>
    <row r="1755" spans="1:20" hidden="1" x14ac:dyDescent="0.4">
      <c r="A1755" s="1" t="s">
        <v>605</v>
      </c>
      <c r="B1755" s="1" t="s">
        <v>1455</v>
      </c>
      <c r="C1755" s="1" t="s">
        <v>1845</v>
      </c>
      <c r="D1755" s="1" t="s">
        <v>1731</v>
      </c>
      <c r="E1755">
        <v>20251220</v>
      </c>
      <c r="F1755" s="1" t="s">
        <v>1473</v>
      </c>
      <c r="G1755">
        <v>4</v>
      </c>
      <c r="H1755" s="1" t="s">
        <v>1494</v>
      </c>
      <c r="I1755" t="s">
        <v>1874</v>
      </c>
      <c r="J1755" s="1" t="s">
        <v>1453</v>
      </c>
      <c r="K1755" s="1" t="s">
        <v>1611</v>
      </c>
      <c r="L1755" s="1" t="s">
        <v>1718</v>
      </c>
      <c r="M1755" s="1" t="s">
        <v>1772</v>
      </c>
      <c r="N1755" t="s">
        <v>1985</v>
      </c>
      <c r="O1755" t="s">
        <v>2164</v>
      </c>
      <c r="P1755" t="s">
        <v>3096</v>
      </c>
      <c r="Q1755">
        <v>128.85</v>
      </c>
      <c r="R1755" s="1" t="s">
        <v>1839</v>
      </c>
      <c r="S1755">
        <v>1961.99</v>
      </c>
      <c r="T1755">
        <v>252803</v>
      </c>
    </row>
    <row r="1756" spans="1:20" hidden="1" x14ac:dyDescent="0.4">
      <c r="A1756" s="1" t="s">
        <v>605</v>
      </c>
      <c r="B1756" s="1" t="s">
        <v>1456</v>
      </c>
      <c r="C1756" s="1" t="s">
        <v>1845</v>
      </c>
      <c r="D1756" s="1" t="s">
        <v>1731</v>
      </c>
      <c r="E1756">
        <v>20251220</v>
      </c>
      <c r="F1756" s="1" t="s">
        <v>1473</v>
      </c>
      <c r="G1756">
        <v>4</v>
      </c>
      <c r="H1756" s="1" t="s">
        <v>1494</v>
      </c>
      <c r="I1756" t="s">
        <v>1874</v>
      </c>
      <c r="J1756" s="1" t="s">
        <v>1453</v>
      </c>
      <c r="K1756" s="1" t="s">
        <v>1611</v>
      </c>
      <c r="L1756" s="1" t="s">
        <v>1718</v>
      </c>
      <c r="M1756" s="1" t="s">
        <v>1772</v>
      </c>
      <c r="N1756" t="s">
        <v>1985</v>
      </c>
      <c r="O1756" t="s">
        <v>2164</v>
      </c>
      <c r="P1756" t="s">
        <v>3096</v>
      </c>
      <c r="Q1756">
        <v>121.94</v>
      </c>
      <c r="R1756" s="1" t="s">
        <v>1839</v>
      </c>
      <c r="S1756">
        <v>1961.99</v>
      </c>
      <c r="T1756">
        <v>239246</v>
      </c>
    </row>
    <row r="1757" spans="1:20" hidden="1" x14ac:dyDescent="0.4">
      <c r="A1757" s="1" t="s">
        <v>606</v>
      </c>
      <c r="B1757" s="1" t="s">
        <v>1453</v>
      </c>
      <c r="C1757" s="1" t="s">
        <v>1845</v>
      </c>
      <c r="D1757" s="1" t="s">
        <v>1731</v>
      </c>
      <c r="E1757">
        <v>20251220</v>
      </c>
      <c r="F1757" s="1" t="s">
        <v>1472</v>
      </c>
      <c r="G1757">
        <v>4</v>
      </c>
      <c r="H1757" s="1" t="s">
        <v>1494</v>
      </c>
      <c r="I1757" t="s">
        <v>1874</v>
      </c>
      <c r="J1757" s="1" t="s">
        <v>1457</v>
      </c>
      <c r="K1757" s="1" t="s">
        <v>1592</v>
      </c>
      <c r="L1757" s="1" t="s">
        <v>1719</v>
      </c>
      <c r="M1757" s="1" t="s">
        <v>1761</v>
      </c>
      <c r="N1757" t="s">
        <v>1967</v>
      </c>
      <c r="O1757" t="s">
        <v>2165</v>
      </c>
      <c r="P1757" t="s">
        <v>3175</v>
      </c>
      <c r="Q1757">
        <v>1243.8399999999999</v>
      </c>
      <c r="R1757" s="1" t="s">
        <v>1839</v>
      </c>
      <c r="S1757">
        <v>2808.99</v>
      </c>
      <c r="T1757">
        <v>3493946</v>
      </c>
    </row>
    <row r="1758" spans="1:20" hidden="1" x14ac:dyDescent="0.4">
      <c r="A1758" s="1" t="s">
        <v>607</v>
      </c>
      <c r="B1758" s="1" t="s">
        <v>1453</v>
      </c>
      <c r="C1758" s="1" t="s">
        <v>1845</v>
      </c>
      <c r="D1758" s="1" t="s">
        <v>1462</v>
      </c>
      <c r="E1758">
        <v>20251222</v>
      </c>
      <c r="F1758" s="1" t="s">
        <v>1471</v>
      </c>
      <c r="G1758">
        <v>4</v>
      </c>
      <c r="H1758" s="1" t="s">
        <v>1491</v>
      </c>
      <c r="I1758" t="s">
        <v>1871</v>
      </c>
      <c r="J1758" s="1" t="s">
        <v>1460</v>
      </c>
      <c r="K1758" s="1" t="s">
        <v>1681</v>
      </c>
      <c r="L1758" s="1" t="s">
        <v>1730</v>
      </c>
      <c r="M1758" s="1" t="s">
        <v>1768</v>
      </c>
      <c r="N1758" t="s">
        <v>2072</v>
      </c>
      <c r="O1758" t="s">
        <v>2175</v>
      </c>
      <c r="P1758" t="s">
        <v>3167</v>
      </c>
      <c r="Q1758">
        <v>200</v>
      </c>
      <c r="R1758" s="1" t="s">
        <v>1718</v>
      </c>
      <c r="S1758">
        <v>1273</v>
      </c>
      <c r="T1758">
        <v>254600</v>
      </c>
    </row>
    <row r="1759" spans="1:20" hidden="1" x14ac:dyDescent="0.4">
      <c r="A1759" s="1" t="s">
        <v>607</v>
      </c>
      <c r="B1759" s="1" t="s">
        <v>1454</v>
      </c>
      <c r="C1759" s="1" t="s">
        <v>1845</v>
      </c>
      <c r="D1759" s="1" t="s">
        <v>1462</v>
      </c>
      <c r="E1759">
        <v>20251222</v>
      </c>
      <c r="F1759" s="1" t="s">
        <v>1471</v>
      </c>
      <c r="G1759">
        <v>4</v>
      </c>
      <c r="H1759" s="1" t="s">
        <v>1491</v>
      </c>
      <c r="I1759" t="s">
        <v>1871</v>
      </c>
      <c r="J1759" s="1" t="s">
        <v>1460</v>
      </c>
      <c r="K1759" s="1" t="s">
        <v>1642</v>
      </c>
      <c r="L1759" s="1" t="s">
        <v>1725</v>
      </c>
      <c r="M1759" s="1" t="s">
        <v>1737</v>
      </c>
      <c r="N1759" t="s">
        <v>2023</v>
      </c>
      <c r="O1759" t="s">
        <v>2157</v>
      </c>
      <c r="P1759" t="s">
        <v>2157</v>
      </c>
      <c r="Q1759">
        <v>7</v>
      </c>
      <c r="R1759" s="1" t="s">
        <v>1842</v>
      </c>
      <c r="S1759">
        <v>880</v>
      </c>
      <c r="T1759">
        <v>6160</v>
      </c>
    </row>
    <row r="1760" spans="1:20" hidden="1" x14ac:dyDescent="0.4">
      <c r="A1760" s="1" t="s">
        <v>608</v>
      </c>
      <c r="B1760" s="1" t="s">
        <v>1453</v>
      </c>
      <c r="C1760" s="1" t="s">
        <v>1845</v>
      </c>
      <c r="D1760" s="1" t="s">
        <v>1463</v>
      </c>
      <c r="E1760">
        <v>20251210</v>
      </c>
      <c r="F1760" s="1" t="s">
        <v>1472</v>
      </c>
      <c r="G1760">
        <v>4</v>
      </c>
      <c r="H1760" s="1" t="s">
        <v>1495</v>
      </c>
      <c r="I1760" t="s">
        <v>1875</v>
      </c>
      <c r="J1760" s="1" t="s">
        <v>1457</v>
      </c>
      <c r="K1760" s="1" t="s">
        <v>1677</v>
      </c>
      <c r="L1760" s="1" t="s">
        <v>1719</v>
      </c>
      <c r="M1760" s="1" t="s">
        <v>1737</v>
      </c>
      <c r="N1760" t="s">
        <v>2068</v>
      </c>
      <c r="O1760" t="s">
        <v>2165</v>
      </c>
      <c r="P1760" t="s">
        <v>3198</v>
      </c>
      <c r="Q1760">
        <v>1</v>
      </c>
      <c r="R1760" s="1" t="s">
        <v>1839</v>
      </c>
      <c r="S1760">
        <v>6000</v>
      </c>
      <c r="T1760">
        <v>6000</v>
      </c>
    </row>
    <row r="1761" spans="1:20" hidden="1" x14ac:dyDescent="0.4">
      <c r="A1761" s="1" t="s">
        <v>609</v>
      </c>
      <c r="B1761" s="1" t="s">
        <v>1453</v>
      </c>
      <c r="C1761" s="1" t="s">
        <v>1845</v>
      </c>
      <c r="D1761" s="1" t="s">
        <v>1463</v>
      </c>
      <c r="E1761">
        <v>20251211</v>
      </c>
      <c r="F1761" s="1" t="s">
        <v>1472</v>
      </c>
      <c r="G1761">
        <v>4</v>
      </c>
      <c r="H1761" s="1" t="s">
        <v>1495</v>
      </c>
      <c r="I1761" t="s">
        <v>1875</v>
      </c>
      <c r="J1761" s="1" t="s">
        <v>1457</v>
      </c>
      <c r="K1761" s="1" t="s">
        <v>1643</v>
      </c>
      <c r="L1761" s="1" t="s">
        <v>1725</v>
      </c>
      <c r="M1761" s="1" t="s">
        <v>1737</v>
      </c>
      <c r="N1761" t="s">
        <v>2024</v>
      </c>
      <c r="O1761" t="s">
        <v>2181</v>
      </c>
      <c r="P1761" t="s">
        <v>3153</v>
      </c>
      <c r="Q1761">
        <v>1</v>
      </c>
      <c r="R1761" s="1" t="s">
        <v>1839</v>
      </c>
      <c r="S1761">
        <v>62340</v>
      </c>
      <c r="T1761">
        <v>62340</v>
      </c>
    </row>
    <row r="1762" spans="1:20" hidden="1" x14ac:dyDescent="0.4">
      <c r="A1762" s="1" t="s">
        <v>610</v>
      </c>
      <c r="B1762" s="1" t="s">
        <v>1453</v>
      </c>
      <c r="C1762" s="1" t="s">
        <v>1845</v>
      </c>
      <c r="D1762" s="1" t="s">
        <v>1463</v>
      </c>
      <c r="E1762">
        <v>20251216</v>
      </c>
      <c r="F1762" s="1" t="s">
        <v>1472</v>
      </c>
      <c r="G1762">
        <v>4</v>
      </c>
      <c r="H1762" s="1" t="s">
        <v>1495</v>
      </c>
      <c r="I1762" t="s">
        <v>1875</v>
      </c>
      <c r="J1762" s="1" t="s">
        <v>1457</v>
      </c>
      <c r="K1762" s="1" t="s">
        <v>1643</v>
      </c>
      <c r="L1762" s="1" t="s">
        <v>1725</v>
      </c>
      <c r="M1762" s="1" t="s">
        <v>1737</v>
      </c>
      <c r="N1762" t="s">
        <v>2073</v>
      </c>
      <c r="O1762" t="s">
        <v>2182</v>
      </c>
      <c r="P1762" t="s">
        <v>3153</v>
      </c>
      <c r="Q1762">
        <v>1</v>
      </c>
      <c r="R1762" s="1" t="s">
        <v>1839</v>
      </c>
      <c r="S1762">
        <v>15543</v>
      </c>
      <c r="T1762">
        <v>15543</v>
      </c>
    </row>
    <row r="1763" spans="1:20" hidden="1" x14ac:dyDescent="0.4">
      <c r="A1763" s="1" t="s">
        <v>611</v>
      </c>
      <c r="B1763" s="1" t="s">
        <v>1453</v>
      </c>
      <c r="C1763" s="1" t="s">
        <v>1845</v>
      </c>
      <c r="D1763" s="1" t="s">
        <v>1462</v>
      </c>
      <c r="E1763">
        <v>20251204</v>
      </c>
      <c r="F1763" s="1" t="s">
        <v>1474</v>
      </c>
      <c r="G1763">
        <v>4</v>
      </c>
      <c r="H1763" s="1" t="s">
        <v>1501</v>
      </c>
      <c r="I1763" t="s">
        <v>1881</v>
      </c>
      <c r="J1763" s="1" t="s">
        <v>1455</v>
      </c>
      <c r="K1763" s="1" t="s">
        <v>1661</v>
      </c>
      <c r="L1763" s="1" t="s">
        <v>1720</v>
      </c>
      <c r="M1763" s="1" t="s">
        <v>1762</v>
      </c>
      <c r="N1763" t="s">
        <v>2049</v>
      </c>
      <c r="O1763" t="s">
        <v>2166</v>
      </c>
      <c r="P1763" t="s">
        <v>3180</v>
      </c>
      <c r="Q1763">
        <v>472.15</v>
      </c>
      <c r="R1763" s="1" t="s">
        <v>1842</v>
      </c>
      <c r="S1763">
        <v>1268.8900000000001</v>
      </c>
      <c r="T1763">
        <v>599106</v>
      </c>
    </row>
    <row r="1764" spans="1:20" hidden="1" x14ac:dyDescent="0.4">
      <c r="A1764" s="1" t="s">
        <v>611</v>
      </c>
      <c r="B1764" s="1" t="s">
        <v>1454</v>
      </c>
      <c r="C1764" s="1" t="s">
        <v>1845</v>
      </c>
      <c r="D1764" s="1" t="s">
        <v>1462</v>
      </c>
      <c r="E1764">
        <v>20251204</v>
      </c>
      <c r="F1764" s="1" t="s">
        <v>1474</v>
      </c>
      <c r="G1764">
        <v>4</v>
      </c>
      <c r="H1764" s="1" t="s">
        <v>1501</v>
      </c>
      <c r="I1764" t="s">
        <v>1881</v>
      </c>
      <c r="J1764" s="1" t="s">
        <v>1455</v>
      </c>
      <c r="K1764" s="1" t="s">
        <v>1661</v>
      </c>
      <c r="L1764" s="1" t="s">
        <v>1720</v>
      </c>
      <c r="M1764" s="1" t="s">
        <v>1762</v>
      </c>
      <c r="N1764" t="s">
        <v>2049</v>
      </c>
      <c r="O1764" t="s">
        <v>2166</v>
      </c>
      <c r="P1764" t="s">
        <v>3181</v>
      </c>
      <c r="Q1764">
        <v>217.83</v>
      </c>
      <c r="R1764" s="1" t="s">
        <v>1842</v>
      </c>
      <c r="S1764">
        <v>1268.8900000000001</v>
      </c>
      <c r="T1764">
        <v>276402</v>
      </c>
    </row>
    <row r="1765" spans="1:20" hidden="1" x14ac:dyDescent="0.4">
      <c r="A1765" s="1" t="s">
        <v>611</v>
      </c>
      <c r="B1765" s="1" t="s">
        <v>1455</v>
      </c>
      <c r="C1765" s="1" t="s">
        <v>1845</v>
      </c>
      <c r="D1765" s="1" t="s">
        <v>1462</v>
      </c>
      <c r="E1765">
        <v>20251204</v>
      </c>
      <c r="F1765" s="1" t="s">
        <v>1474</v>
      </c>
      <c r="G1765">
        <v>4</v>
      </c>
      <c r="H1765" s="1" t="s">
        <v>1501</v>
      </c>
      <c r="I1765" t="s">
        <v>1881</v>
      </c>
      <c r="J1765" s="1" t="s">
        <v>1455</v>
      </c>
      <c r="K1765" s="1" t="s">
        <v>1661</v>
      </c>
      <c r="L1765" s="1" t="s">
        <v>1720</v>
      </c>
      <c r="M1765" s="1" t="s">
        <v>1762</v>
      </c>
      <c r="N1765" t="s">
        <v>2049</v>
      </c>
      <c r="O1765" t="s">
        <v>2166</v>
      </c>
      <c r="P1765" t="s">
        <v>3182</v>
      </c>
      <c r="Q1765">
        <v>724.02</v>
      </c>
      <c r="R1765" s="1" t="s">
        <v>1842</v>
      </c>
      <c r="S1765">
        <v>1268.8900000000001</v>
      </c>
      <c r="T1765">
        <v>918701</v>
      </c>
    </row>
    <row r="1766" spans="1:20" hidden="1" x14ac:dyDescent="0.4">
      <c r="A1766" s="1" t="s">
        <v>611</v>
      </c>
      <c r="B1766" s="1" t="s">
        <v>1456</v>
      </c>
      <c r="C1766" s="1" t="s">
        <v>1845</v>
      </c>
      <c r="D1766" s="1" t="s">
        <v>1462</v>
      </c>
      <c r="E1766">
        <v>20251204</v>
      </c>
      <c r="F1766" s="1" t="s">
        <v>1474</v>
      </c>
      <c r="G1766">
        <v>4</v>
      </c>
      <c r="H1766" s="1" t="s">
        <v>1501</v>
      </c>
      <c r="I1766" t="s">
        <v>1881</v>
      </c>
      <c r="J1766" s="1" t="s">
        <v>1455</v>
      </c>
      <c r="K1766" s="1" t="s">
        <v>1661</v>
      </c>
      <c r="L1766" s="1" t="s">
        <v>1720</v>
      </c>
      <c r="M1766" s="1" t="s">
        <v>1762</v>
      </c>
      <c r="N1766" t="s">
        <v>2049</v>
      </c>
      <c r="O1766" t="s">
        <v>2166</v>
      </c>
      <c r="P1766" t="s">
        <v>3183</v>
      </c>
      <c r="Q1766">
        <v>800.98</v>
      </c>
      <c r="R1766" s="1" t="s">
        <v>1842</v>
      </c>
      <c r="S1766">
        <v>1268.8900000000001</v>
      </c>
      <c r="T1766">
        <v>1016355</v>
      </c>
    </row>
    <row r="1767" spans="1:20" hidden="1" x14ac:dyDescent="0.4">
      <c r="A1767" s="1" t="s">
        <v>611</v>
      </c>
      <c r="B1767" s="1" t="s">
        <v>1457</v>
      </c>
      <c r="C1767" s="1" t="s">
        <v>1845</v>
      </c>
      <c r="D1767" s="1" t="s">
        <v>1462</v>
      </c>
      <c r="E1767">
        <v>20251204</v>
      </c>
      <c r="F1767" s="1" t="s">
        <v>1474</v>
      </c>
      <c r="G1767">
        <v>4</v>
      </c>
      <c r="H1767" s="1" t="s">
        <v>1501</v>
      </c>
      <c r="I1767" t="s">
        <v>1881</v>
      </c>
      <c r="J1767" s="1" t="s">
        <v>1455</v>
      </c>
      <c r="K1767" s="1" t="s">
        <v>1663</v>
      </c>
      <c r="L1767" s="1" t="s">
        <v>1720</v>
      </c>
      <c r="M1767" s="1" t="s">
        <v>1762</v>
      </c>
      <c r="N1767" t="s">
        <v>2051</v>
      </c>
      <c r="O1767" t="s">
        <v>2166</v>
      </c>
      <c r="P1767" t="s">
        <v>3180</v>
      </c>
      <c r="Q1767">
        <v>477.18</v>
      </c>
      <c r="R1767" s="1" t="s">
        <v>1839</v>
      </c>
      <c r="S1767">
        <v>1360.63</v>
      </c>
      <c r="T1767">
        <v>649265</v>
      </c>
    </row>
    <row r="1768" spans="1:20" hidden="1" x14ac:dyDescent="0.4">
      <c r="A1768" s="1" t="s">
        <v>611</v>
      </c>
      <c r="B1768" s="1" t="s">
        <v>1458</v>
      </c>
      <c r="C1768" s="1" t="s">
        <v>1845</v>
      </c>
      <c r="D1768" s="1" t="s">
        <v>1462</v>
      </c>
      <c r="E1768">
        <v>20251204</v>
      </c>
      <c r="F1768" s="1" t="s">
        <v>1474</v>
      </c>
      <c r="G1768">
        <v>4</v>
      </c>
      <c r="H1768" s="1" t="s">
        <v>1501</v>
      </c>
      <c r="I1768" t="s">
        <v>1881</v>
      </c>
      <c r="J1768" s="1" t="s">
        <v>1455</v>
      </c>
      <c r="K1768" s="1" t="s">
        <v>1663</v>
      </c>
      <c r="L1768" s="1" t="s">
        <v>1720</v>
      </c>
      <c r="M1768" s="1" t="s">
        <v>1762</v>
      </c>
      <c r="N1768" t="s">
        <v>2051</v>
      </c>
      <c r="O1768" t="s">
        <v>2166</v>
      </c>
      <c r="P1768" t="s">
        <v>3181</v>
      </c>
      <c r="Q1768">
        <v>207.16</v>
      </c>
      <c r="R1768" s="1" t="s">
        <v>1839</v>
      </c>
      <c r="S1768">
        <v>1360.63</v>
      </c>
      <c r="T1768">
        <v>281868</v>
      </c>
    </row>
    <row r="1769" spans="1:20" hidden="1" x14ac:dyDescent="0.4">
      <c r="A1769" s="1" t="s">
        <v>611</v>
      </c>
      <c r="B1769" s="1" t="s">
        <v>1459</v>
      </c>
      <c r="C1769" s="1" t="s">
        <v>1845</v>
      </c>
      <c r="D1769" s="1" t="s">
        <v>1462</v>
      </c>
      <c r="E1769">
        <v>20251204</v>
      </c>
      <c r="F1769" s="1" t="s">
        <v>1474</v>
      </c>
      <c r="G1769">
        <v>4</v>
      </c>
      <c r="H1769" s="1" t="s">
        <v>1501</v>
      </c>
      <c r="I1769" t="s">
        <v>1881</v>
      </c>
      <c r="J1769" s="1" t="s">
        <v>1455</v>
      </c>
      <c r="K1769" s="1" t="s">
        <v>1663</v>
      </c>
      <c r="L1769" s="1" t="s">
        <v>1720</v>
      </c>
      <c r="M1769" s="1" t="s">
        <v>1762</v>
      </c>
      <c r="N1769" t="s">
        <v>2051</v>
      </c>
      <c r="O1769" t="s">
        <v>2166</v>
      </c>
      <c r="P1769" t="s">
        <v>3182</v>
      </c>
      <c r="Q1769">
        <v>665.57</v>
      </c>
      <c r="R1769" s="1" t="s">
        <v>1839</v>
      </c>
      <c r="S1769">
        <v>1360.63</v>
      </c>
      <c r="T1769">
        <v>905594</v>
      </c>
    </row>
    <row r="1770" spans="1:20" hidden="1" x14ac:dyDescent="0.4">
      <c r="A1770" s="1" t="s">
        <v>611</v>
      </c>
      <c r="B1770" s="1" t="s">
        <v>1460</v>
      </c>
      <c r="C1770" s="1" t="s">
        <v>1845</v>
      </c>
      <c r="D1770" s="1" t="s">
        <v>1462</v>
      </c>
      <c r="E1770">
        <v>20251204</v>
      </c>
      <c r="F1770" s="1" t="s">
        <v>1474</v>
      </c>
      <c r="G1770">
        <v>4</v>
      </c>
      <c r="H1770" s="1" t="s">
        <v>1501</v>
      </c>
      <c r="I1770" t="s">
        <v>1881</v>
      </c>
      <c r="J1770" s="1" t="s">
        <v>1455</v>
      </c>
      <c r="K1770" s="1" t="s">
        <v>1663</v>
      </c>
      <c r="L1770" s="1" t="s">
        <v>1720</v>
      </c>
      <c r="M1770" s="1" t="s">
        <v>1762</v>
      </c>
      <c r="N1770" t="s">
        <v>2051</v>
      </c>
      <c r="O1770" t="s">
        <v>2166</v>
      </c>
      <c r="P1770" t="s">
        <v>3183</v>
      </c>
      <c r="Q1770">
        <v>835.32</v>
      </c>
      <c r="R1770" s="1" t="s">
        <v>1839</v>
      </c>
      <c r="S1770">
        <v>1360.63</v>
      </c>
      <c r="T1770">
        <v>1136561</v>
      </c>
    </row>
    <row r="1771" spans="1:20" hidden="1" x14ac:dyDescent="0.4">
      <c r="A1771" s="1" t="s">
        <v>611</v>
      </c>
      <c r="B1771" s="1" t="s">
        <v>1461</v>
      </c>
      <c r="C1771" s="1" t="s">
        <v>1845</v>
      </c>
      <c r="D1771" s="1" t="s">
        <v>1462</v>
      </c>
      <c r="E1771">
        <v>20251204</v>
      </c>
      <c r="F1771" s="1" t="s">
        <v>1474</v>
      </c>
      <c r="G1771">
        <v>4</v>
      </c>
      <c r="H1771" s="1" t="s">
        <v>1501</v>
      </c>
      <c r="I1771" t="s">
        <v>1881</v>
      </c>
      <c r="J1771" s="1" t="s">
        <v>1455</v>
      </c>
      <c r="K1771" s="1" t="s">
        <v>1668</v>
      </c>
      <c r="L1771" s="1" t="s">
        <v>1720</v>
      </c>
      <c r="M1771" s="1" t="s">
        <v>1762</v>
      </c>
      <c r="N1771" t="s">
        <v>2056</v>
      </c>
      <c r="O1771" t="s">
        <v>2166</v>
      </c>
      <c r="P1771" t="s">
        <v>3172</v>
      </c>
      <c r="Q1771">
        <v>563.02</v>
      </c>
      <c r="R1771" s="1" t="s">
        <v>1839</v>
      </c>
      <c r="S1771">
        <v>699.75</v>
      </c>
      <c r="T1771">
        <v>393973</v>
      </c>
    </row>
    <row r="1772" spans="1:20" hidden="1" x14ac:dyDescent="0.4">
      <c r="A1772" s="1" t="s">
        <v>612</v>
      </c>
      <c r="B1772" s="1" t="s">
        <v>1453</v>
      </c>
      <c r="C1772" s="1" t="s">
        <v>1845</v>
      </c>
      <c r="D1772" s="1" t="s">
        <v>1462</v>
      </c>
      <c r="E1772">
        <v>20251211</v>
      </c>
      <c r="F1772" s="1" t="s">
        <v>1474</v>
      </c>
      <c r="G1772">
        <v>4</v>
      </c>
      <c r="H1772" s="1" t="s">
        <v>1501</v>
      </c>
      <c r="I1772" t="s">
        <v>1881</v>
      </c>
      <c r="J1772" s="1" t="s">
        <v>1455</v>
      </c>
      <c r="K1772" s="1" t="s">
        <v>1666</v>
      </c>
      <c r="L1772" s="1" t="s">
        <v>1720</v>
      </c>
      <c r="M1772" s="1" t="s">
        <v>1762</v>
      </c>
      <c r="N1772" t="s">
        <v>2054</v>
      </c>
      <c r="O1772" t="s">
        <v>2166</v>
      </c>
      <c r="P1772" t="s">
        <v>3172</v>
      </c>
      <c r="Q1772">
        <v>3508.64</v>
      </c>
      <c r="R1772" s="1" t="s">
        <v>1842</v>
      </c>
      <c r="S1772">
        <v>1006.09</v>
      </c>
      <c r="T1772">
        <v>3530007</v>
      </c>
    </row>
    <row r="1773" spans="1:20" hidden="1" x14ac:dyDescent="0.4">
      <c r="A1773" s="1" t="s">
        <v>612</v>
      </c>
      <c r="B1773" s="1" t="s">
        <v>1454</v>
      </c>
      <c r="C1773" s="1" t="s">
        <v>1845</v>
      </c>
      <c r="D1773" s="1" t="s">
        <v>1462</v>
      </c>
      <c r="E1773">
        <v>20251211</v>
      </c>
      <c r="F1773" s="1" t="s">
        <v>1474</v>
      </c>
      <c r="G1773">
        <v>4</v>
      </c>
      <c r="H1773" s="1" t="s">
        <v>1501</v>
      </c>
      <c r="I1773" t="s">
        <v>1881</v>
      </c>
      <c r="J1773" s="1" t="s">
        <v>1455</v>
      </c>
      <c r="K1773" s="1" t="s">
        <v>1666</v>
      </c>
      <c r="L1773" s="1" t="s">
        <v>1720</v>
      </c>
      <c r="M1773" s="1" t="s">
        <v>1762</v>
      </c>
      <c r="N1773" t="s">
        <v>2054</v>
      </c>
      <c r="O1773" t="s">
        <v>2166</v>
      </c>
      <c r="P1773" t="s">
        <v>3172</v>
      </c>
      <c r="Q1773">
        <v>677.29</v>
      </c>
      <c r="R1773" s="1" t="s">
        <v>1842</v>
      </c>
      <c r="S1773">
        <v>1006.08</v>
      </c>
      <c r="T1773">
        <v>681407</v>
      </c>
    </row>
    <row r="1774" spans="1:20" hidden="1" x14ac:dyDescent="0.4">
      <c r="A1774" s="1" t="s">
        <v>613</v>
      </c>
      <c r="B1774" s="1" t="s">
        <v>1453</v>
      </c>
      <c r="C1774" s="1" t="s">
        <v>1845</v>
      </c>
      <c r="D1774" s="1" t="s">
        <v>1850</v>
      </c>
      <c r="E1774">
        <v>20251201</v>
      </c>
      <c r="F1774" s="1" t="s">
        <v>1474</v>
      </c>
      <c r="G1774">
        <v>4</v>
      </c>
      <c r="H1774" s="1" t="s">
        <v>1501</v>
      </c>
      <c r="I1774" t="s">
        <v>1881</v>
      </c>
      <c r="J1774" s="1" t="s">
        <v>1455</v>
      </c>
      <c r="K1774" s="1" t="s">
        <v>1678</v>
      </c>
      <c r="L1774" s="1" t="s">
        <v>1720</v>
      </c>
      <c r="M1774" s="1" t="s">
        <v>1735</v>
      </c>
      <c r="N1774" t="s">
        <v>2069</v>
      </c>
      <c r="O1774" t="s">
        <v>2166</v>
      </c>
      <c r="P1774" t="s">
        <v>3197</v>
      </c>
      <c r="Q1774">
        <v>-1523.8</v>
      </c>
      <c r="R1774" s="1" t="s">
        <v>1839</v>
      </c>
      <c r="S1774">
        <v>1044.27</v>
      </c>
      <c r="T1774">
        <v>-1591258</v>
      </c>
    </row>
    <row r="1775" spans="1:20" hidden="1" x14ac:dyDescent="0.4">
      <c r="A1775" s="1" t="s">
        <v>613</v>
      </c>
      <c r="B1775" s="1" t="s">
        <v>1454</v>
      </c>
      <c r="C1775" s="1" t="s">
        <v>1845</v>
      </c>
      <c r="D1775" s="1" t="s">
        <v>1850</v>
      </c>
      <c r="E1775">
        <v>20251201</v>
      </c>
      <c r="F1775" s="1" t="s">
        <v>1474</v>
      </c>
      <c r="G1775">
        <v>4</v>
      </c>
      <c r="H1775" s="1" t="s">
        <v>1501</v>
      </c>
      <c r="I1775" t="s">
        <v>1881</v>
      </c>
      <c r="J1775" s="1" t="s">
        <v>1455</v>
      </c>
      <c r="K1775" s="1" t="s">
        <v>1678</v>
      </c>
      <c r="L1775" s="1" t="s">
        <v>1720</v>
      </c>
      <c r="M1775" s="1" t="s">
        <v>1735</v>
      </c>
      <c r="N1775" t="s">
        <v>2069</v>
      </c>
      <c r="O1775" t="s">
        <v>2166</v>
      </c>
      <c r="P1775" t="s">
        <v>3197</v>
      </c>
      <c r="Q1775">
        <v>-1679.25</v>
      </c>
      <c r="R1775" s="1" t="s">
        <v>1839</v>
      </c>
      <c r="S1775">
        <v>1044.27</v>
      </c>
      <c r="T1775">
        <v>-1753590</v>
      </c>
    </row>
    <row r="1776" spans="1:20" hidden="1" x14ac:dyDescent="0.4">
      <c r="A1776" s="1" t="s">
        <v>613</v>
      </c>
      <c r="B1776" s="1" t="s">
        <v>1455</v>
      </c>
      <c r="C1776" s="1" t="s">
        <v>1845</v>
      </c>
      <c r="D1776" s="1" t="s">
        <v>1850</v>
      </c>
      <c r="E1776">
        <v>20251201</v>
      </c>
      <c r="F1776" s="1" t="s">
        <v>1474</v>
      </c>
      <c r="G1776">
        <v>4</v>
      </c>
      <c r="H1776" s="1" t="s">
        <v>1501</v>
      </c>
      <c r="I1776" t="s">
        <v>1881</v>
      </c>
      <c r="J1776" s="1" t="s">
        <v>1455</v>
      </c>
      <c r="K1776" s="1" t="s">
        <v>1679</v>
      </c>
      <c r="L1776" s="1" t="s">
        <v>1720</v>
      </c>
      <c r="M1776" s="1" t="s">
        <v>1762</v>
      </c>
      <c r="N1776" t="s">
        <v>2070</v>
      </c>
      <c r="O1776" t="s">
        <v>2166</v>
      </c>
      <c r="P1776" t="s">
        <v>3172</v>
      </c>
      <c r="Q1776">
        <v>-1254.5999999999999</v>
      </c>
      <c r="R1776" s="1" t="s">
        <v>1839</v>
      </c>
      <c r="S1776">
        <v>916.46</v>
      </c>
      <c r="T1776">
        <v>-1149790</v>
      </c>
    </row>
    <row r="1777" spans="1:20" hidden="1" x14ac:dyDescent="0.4">
      <c r="A1777" s="1" t="s">
        <v>614</v>
      </c>
      <c r="B1777" s="1" t="s">
        <v>1453</v>
      </c>
      <c r="C1777" s="1" t="s">
        <v>1845</v>
      </c>
      <c r="D1777" s="1" t="s">
        <v>1462</v>
      </c>
      <c r="E1777">
        <v>20251201</v>
      </c>
      <c r="F1777" s="1" t="s">
        <v>1474</v>
      </c>
      <c r="G1777">
        <v>4</v>
      </c>
      <c r="H1777" s="1" t="s">
        <v>1501</v>
      </c>
      <c r="I1777" t="s">
        <v>1881</v>
      </c>
      <c r="J1777" s="1" t="s">
        <v>1455</v>
      </c>
      <c r="K1777" s="1" t="s">
        <v>1678</v>
      </c>
      <c r="L1777" s="1" t="s">
        <v>1720</v>
      </c>
      <c r="M1777" s="1" t="s">
        <v>1735</v>
      </c>
      <c r="N1777" t="s">
        <v>2069</v>
      </c>
      <c r="O1777" t="s">
        <v>2166</v>
      </c>
      <c r="P1777" t="s">
        <v>3197</v>
      </c>
      <c r="Q1777">
        <v>1523.8</v>
      </c>
      <c r="R1777" s="1" t="s">
        <v>1839</v>
      </c>
      <c r="S1777">
        <v>1044.28</v>
      </c>
      <c r="T1777">
        <v>1591273</v>
      </c>
    </row>
    <row r="1778" spans="1:20" hidden="1" x14ac:dyDescent="0.4">
      <c r="A1778" s="1" t="s">
        <v>614</v>
      </c>
      <c r="B1778" s="1" t="s">
        <v>1454</v>
      </c>
      <c r="C1778" s="1" t="s">
        <v>1845</v>
      </c>
      <c r="D1778" s="1" t="s">
        <v>1462</v>
      </c>
      <c r="E1778">
        <v>20251201</v>
      </c>
      <c r="F1778" s="1" t="s">
        <v>1474</v>
      </c>
      <c r="G1778">
        <v>4</v>
      </c>
      <c r="H1778" s="1" t="s">
        <v>1501</v>
      </c>
      <c r="I1778" t="s">
        <v>1881</v>
      </c>
      <c r="J1778" s="1" t="s">
        <v>1455</v>
      </c>
      <c r="K1778" s="1" t="s">
        <v>1678</v>
      </c>
      <c r="L1778" s="1" t="s">
        <v>1720</v>
      </c>
      <c r="M1778" s="1" t="s">
        <v>1735</v>
      </c>
      <c r="N1778" t="s">
        <v>2069</v>
      </c>
      <c r="O1778" t="s">
        <v>2166</v>
      </c>
      <c r="P1778" t="s">
        <v>3197</v>
      </c>
      <c r="Q1778">
        <v>1679.25</v>
      </c>
      <c r="R1778" s="1" t="s">
        <v>1839</v>
      </c>
      <c r="S1778">
        <v>1044.28</v>
      </c>
      <c r="T1778">
        <v>1753607</v>
      </c>
    </row>
    <row r="1779" spans="1:20" hidden="1" x14ac:dyDescent="0.4">
      <c r="A1779" s="1" t="s">
        <v>614</v>
      </c>
      <c r="B1779" s="1" t="s">
        <v>1455</v>
      </c>
      <c r="C1779" s="1" t="s">
        <v>1845</v>
      </c>
      <c r="D1779" s="1" t="s">
        <v>1462</v>
      </c>
      <c r="E1779">
        <v>20251201</v>
      </c>
      <c r="F1779" s="1" t="s">
        <v>1474</v>
      </c>
      <c r="G1779">
        <v>4</v>
      </c>
      <c r="H1779" s="1" t="s">
        <v>1501</v>
      </c>
      <c r="I1779" t="s">
        <v>1881</v>
      </c>
      <c r="J1779" s="1" t="s">
        <v>1455</v>
      </c>
      <c r="K1779" s="1" t="s">
        <v>1679</v>
      </c>
      <c r="L1779" s="1" t="s">
        <v>1720</v>
      </c>
      <c r="M1779" s="1" t="s">
        <v>1762</v>
      </c>
      <c r="N1779" t="s">
        <v>2070</v>
      </c>
      <c r="O1779" t="s">
        <v>2166</v>
      </c>
      <c r="P1779" t="s">
        <v>3172</v>
      </c>
      <c r="Q1779">
        <v>1254.5999999999999</v>
      </c>
      <c r="R1779" s="1" t="s">
        <v>1839</v>
      </c>
      <c r="S1779">
        <v>916.47</v>
      </c>
      <c r="T1779">
        <v>1149803</v>
      </c>
    </row>
    <row r="1780" spans="1:20" hidden="1" x14ac:dyDescent="0.4">
      <c r="A1780" s="1" t="s">
        <v>615</v>
      </c>
      <c r="B1780" s="1" t="s">
        <v>1453</v>
      </c>
      <c r="C1780" s="1" t="s">
        <v>1845</v>
      </c>
      <c r="D1780" s="1" t="s">
        <v>1850</v>
      </c>
      <c r="E1780">
        <v>20251201</v>
      </c>
      <c r="F1780" s="1" t="s">
        <v>1474</v>
      </c>
      <c r="G1780">
        <v>4</v>
      </c>
      <c r="H1780" s="1" t="s">
        <v>1501</v>
      </c>
      <c r="I1780" t="s">
        <v>1881</v>
      </c>
      <c r="J1780" s="1" t="s">
        <v>1455</v>
      </c>
      <c r="K1780" s="1" t="s">
        <v>1680</v>
      </c>
      <c r="L1780" s="1" t="s">
        <v>1720</v>
      </c>
      <c r="M1780" s="1" t="s">
        <v>1815</v>
      </c>
      <c r="N1780" t="s">
        <v>2071</v>
      </c>
      <c r="O1780" t="s">
        <v>2166</v>
      </c>
      <c r="P1780" t="s">
        <v>3077</v>
      </c>
      <c r="Q1780">
        <v>-908.06</v>
      </c>
      <c r="R1780" s="1" t="s">
        <v>1839</v>
      </c>
      <c r="S1780">
        <v>1204.8</v>
      </c>
      <c r="T1780">
        <v>-1094030</v>
      </c>
    </row>
    <row r="1781" spans="1:20" hidden="1" x14ac:dyDescent="0.4">
      <c r="A1781" s="1" t="s">
        <v>615</v>
      </c>
      <c r="B1781" s="1" t="s">
        <v>1454</v>
      </c>
      <c r="C1781" s="1" t="s">
        <v>1845</v>
      </c>
      <c r="D1781" s="1" t="s">
        <v>1850</v>
      </c>
      <c r="E1781">
        <v>20251201</v>
      </c>
      <c r="F1781" s="1" t="s">
        <v>1474</v>
      </c>
      <c r="G1781">
        <v>4</v>
      </c>
      <c r="H1781" s="1" t="s">
        <v>1501</v>
      </c>
      <c r="I1781" t="s">
        <v>1881</v>
      </c>
      <c r="J1781" s="1" t="s">
        <v>1455</v>
      </c>
      <c r="K1781" s="1" t="s">
        <v>1680</v>
      </c>
      <c r="L1781" s="1" t="s">
        <v>1720</v>
      </c>
      <c r="M1781" s="1" t="s">
        <v>1762</v>
      </c>
      <c r="N1781" t="s">
        <v>2071</v>
      </c>
      <c r="O1781" t="s">
        <v>2166</v>
      </c>
      <c r="P1781" t="s">
        <v>3172</v>
      </c>
      <c r="Q1781">
        <v>-653.62</v>
      </c>
      <c r="R1781" s="1" t="s">
        <v>1839</v>
      </c>
      <c r="S1781">
        <v>1204.8</v>
      </c>
      <c r="T1781">
        <v>-787481</v>
      </c>
    </row>
    <row r="1782" spans="1:20" hidden="1" x14ac:dyDescent="0.4">
      <c r="A1782" s="1" t="s">
        <v>615</v>
      </c>
      <c r="B1782" s="1" t="s">
        <v>1455</v>
      </c>
      <c r="C1782" s="1" t="s">
        <v>1845</v>
      </c>
      <c r="D1782" s="1" t="s">
        <v>1850</v>
      </c>
      <c r="E1782">
        <v>20251201</v>
      </c>
      <c r="F1782" s="1" t="s">
        <v>1474</v>
      </c>
      <c r="G1782">
        <v>4</v>
      </c>
      <c r="H1782" s="1" t="s">
        <v>1501</v>
      </c>
      <c r="I1782" t="s">
        <v>1881</v>
      </c>
      <c r="J1782" s="1" t="s">
        <v>1455</v>
      </c>
      <c r="K1782" s="1" t="s">
        <v>1669</v>
      </c>
      <c r="L1782" s="1" t="s">
        <v>1720</v>
      </c>
      <c r="M1782" s="1" t="s">
        <v>1762</v>
      </c>
      <c r="N1782" t="s">
        <v>2057</v>
      </c>
      <c r="O1782" t="s">
        <v>2166</v>
      </c>
      <c r="P1782" t="s">
        <v>3172</v>
      </c>
      <c r="Q1782">
        <v>-1373.07</v>
      </c>
      <c r="R1782" s="1" t="s">
        <v>1842</v>
      </c>
      <c r="S1782">
        <v>1296.76</v>
      </c>
      <c r="T1782">
        <v>-1780542</v>
      </c>
    </row>
    <row r="1783" spans="1:20" hidden="1" x14ac:dyDescent="0.4">
      <c r="A1783" s="1" t="s">
        <v>615</v>
      </c>
      <c r="B1783" s="1" t="s">
        <v>1456</v>
      </c>
      <c r="C1783" s="1" t="s">
        <v>1845</v>
      </c>
      <c r="D1783" s="1" t="s">
        <v>1850</v>
      </c>
      <c r="E1783">
        <v>20251201</v>
      </c>
      <c r="F1783" s="1" t="s">
        <v>1474</v>
      </c>
      <c r="G1783">
        <v>4</v>
      </c>
      <c r="H1783" s="1" t="s">
        <v>1501</v>
      </c>
      <c r="I1783" t="s">
        <v>1881</v>
      </c>
      <c r="J1783" s="1" t="s">
        <v>1455</v>
      </c>
      <c r="K1783" s="1" t="s">
        <v>1665</v>
      </c>
      <c r="L1783" s="1" t="s">
        <v>1720</v>
      </c>
      <c r="M1783" s="1" t="s">
        <v>1762</v>
      </c>
      <c r="N1783" t="s">
        <v>2053</v>
      </c>
      <c r="O1783" t="s">
        <v>2166</v>
      </c>
      <c r="P1783" t="s">
        <v>3172</v>
      </c>
      <c r="Q1783">
        <v>-819.47</v>
      </c>
      <c r="R1783" s="1" t="s">
        <v>1839</v>
      </c>
      <c r="S1783">
        <v>1197.01</v>
      </c>
      <c r="T1783">
        <v>-980913</v>
      </c>
    </row>
    <row r="1784" spans="1:20" hidden="1" x14ac:dyDescent="0.4">
      <c r="A1784" s="1" t="s">
        <v>615</v>
      </c>
      <c r="B1784" s="1" t="s">
        <v>1457</v>
      </c>
      <c r="C1784" s="1" t="s">
        <v>1845</v>
      </c>
      <c r="D1784" s="1" t="s">
        <v>1850</v>
      </c>
      <c r="E1784">
        <v>20251201</v>
      </c>
      <c r="F1784" s="1" t="s">
        <v>1474</v>
      </c>
      <c r="G1784">
        <v>4</v>
      </c>
      <c r="H1784" s="1" t="s">
        <v>1501</v>
      </c>
      <c r="I1784" t="s">
        <v>1881</v>
      </c>
      <c r="J1784" s="1" t="s">
        <v>1455</v>
      </c>
      <c r="K1784" s="1" t="s">
        <v>1668</v>
      </c>
      <c r="L1784" s="1" t="s">
        <v>1720</v>
      </c>
      <c r="M1784" s="1" t="s">
        <v>1762</v>
      </c>
      <c r="N1784" t="s">
        <v>2056</v>
      </c>
      <c r="O1784" t="s">
        <v>2166</v>
      </c>
      <c r="P1784" t="s">
        <v>3172</v>
      </c>
      <c r="Q1784">
        <v>-536.82000000000005</v>
      </c>
      <c r="R1784" s="1" t="s">
        <v>1842</v>
      </c>
      <c r="S1784">
        <v>701.38</v>
      </c>
      <c r="T1784">
        <v>-376514</v>
      </c>
    </row>
    <row r="1785" spans="1:20" hidden="1" x14ac:dyDescent="0.4">
      <c r="A1785" s="1" t="s">
        <v>615</v>
      </c>
      <c r="B1785" s="1" t="s">
        <v>1458</v>
      </c>
      <c r="C1785" s="1" t="s">
        <v>1845</v>
      </c>
      <c r="D1785" s="1" t="s">
        <v>1850</v>
      </c>
      <c r="E1785">
        <v>20251201</v>
      </c>
      <c r="F1785" s="1" t="s">
        <v>1474</v>
      </c>
      <c r="G1785">
        <v>4</v>
      </c>
      <c r="H1785" s="1" t="s">
        <v>1501</v>
      </c>
      <c r="I1785" t="s">
        <v>1881</v>
      </c>
      <c r="J1785" s="1" t="s">
        <v>1455</v>
      </c>
      <c r="K1785" s="1" t="s">
        <v>1663</v>
      </c>
      <c r="L1785" s="1" t="s">
        <v>1720</v>
      </c>
      <c r="M1785" s="1" t="s">
        <v>1762</v>
      </c>
      <c r="N1785" t="s">
        <v>2051</v>
      </c>
      <c r="O1785" t="s">
        <v>2166</v>
      </c>
      <c r="P1785" t="s">
        <v>3183</v>
      </c>
      <c r="Q1785">
        <v>-15.2</v>
      </c>
      <c r="R1785" s="1" t="s">
        <v>1839</v>
      </c>
      <c r="S1785">
        <v>1558.61</v>
      </c>
      <c r="T1785">
        <v>-23690</v>
      </c>
    </row>
    <row r="1786" spans="1:20" hidden="1" x14ac:dyDescent="0.4">
      <c r="A1786" s="1" t="s">
        <v>615</v>
      </c>
      <c r="B1786" s="1" t="s">
        <v>1459</v>
      </c>
      <c r="C1786" s="1" t="s">
        <v>1845</v>
      </c>
      <c r="D1786" s="1" t="s">
        <v>1850</v>
      </c>
      <c r="E1786">
        <v>20251201</v>
      </c>
      <c r="F1786" s="1" t="s">
        <v>1474</v>
      </c>
      <c r="G1786">
        <v>4</v>
      </c>
      <c r="H1786" s="1" t="s">
        <v>1501</v>
      </c>
      <c r="I1786" t="s">
        <v>1881</v>
      </c>
      <c r="J1786" s="1" t="s">
        <v>1455</v>
      </c>
      <c r="K1786" s="1" t="s">
        <v>1661</v>
      </c>
      <c r="L1786" s="1" t="s">
        <v>1720</v>
      </c>
      <c r="M1786" s="1" t="s">
        <v>1762</v>
      </c>
      <c r="N1786" t="s">
        <v>2049</v>
      </c>
      <c r="O1786" t="s">
        <v>2166</v>
      </c>
      <c r="P1786" t="s">
        <v>3183</v>
      </c>
      <c r="Q1786">
        <v>-15.2</v>
      </c>
      <c r="R1786" s="1" t="s">
        <v>1842</v>
      </c>
      <c r="S1786">
        <v>1558.61</v>
      </c>
      <c r="T1786">
        <v>-23690</v>
      </c>
    </row>
    <row r="1787" spans="1:20" hidden="1" x14ac:dyDescent="0.4">
      <c r="A1787" s="1" t="s">
        <v>616</v>
      </c>
      <c r="B1787" s="1" t="s">
        <v>1453</v>
      </c>
      <c r="C1787" s="1" t="s">
        <v>1845</v>
      </c>
      <c r="D1787" s="1" t="s">
        <v>1462</v>
      </c>
      <c r="E1787">
        <v>20251201</v>
      </c>
      <c r="F1787" s="1" t="s">
        <v>1474</v>
      </c>
      <c r="G1787">
        <v>4</v>
      </c>
      <c r="H1787" s="1" t="s">
        <v>1501</v>
      </c>
      <c r="I1787" t="s">
        <v>1881</v>
      </c>
      <c r="J1787" s="1" t="s">
        <v>1455</v>
      </c>
      <c r="K1787" s="1" t="s">
        <v>1680</v>
      </c>
      <c r="L1787" s="1" t="s">
        <v>1720</v>
      </c>
      <c r="M1787" s="1" t="s">
        <v>1815</v>
      </c>
      <c r="N1787" t="s">
        <v>2071</v>
      </c>
      <c r="O1787" t="s">
        <v>2166</v>
      </c>
      <c r="P1787" t="s">
        <v>3077</v>
      </c>
      <c r="Q1787">
        <v>908.06</v>
      </c>
      <c r="R1787" s="1" t="s">
        <v>1839</v>
      </c>
      <c r="S1787">
        <v>1204.81</v>
      </c>
      <c r="T1787">
        <v>1094039</v>
      </c>
    </row>
    <row r="1788" spans="1:20" hidden="1" x14ac:dyDescent="0.4">
      <c r="A1788" s="1" t="s">
        <v>616</v>
      </c>
      <c r="B1788" s="1" t="s">
        <v>1454</v>
      </c>
      <c r="C1788" s="1" t="s">
        <v>1845</v>
      </c>
      <c r="D1788" s="1" t="s">
        <v>1462</v>
      </c>
      <c r="E1788">
        <v>20251201</v>
      </c>
      <c r="F1788" s="1" t="s">
        <v>1474</v>
      </c>
      <c r="G1788">
        <v>4</v>
      </c>
      <c r="H1788" s="1" t="s">
        <v>1501</v>
      </c>
      <c r="I1788" t="s">
        <v>1881</v>
      </c>
      <c r="J1788" s="1" t="s">
        <v>1455</v>
      </c>
      <c r="K1788" s="1" t="s">
        <v>1680</v>
      </c>
      <c r="L1788" s="1" t="s">
        <v>1720</v>
      </c>
      <c r="M1788" s="1" t="s">
        <v>1762</v>
      </c>
      <c r="N1788" t="s">
        <v>2071</v>
      </c>
      <c r="O1788" t="s">
        <v>2166</v>
      </c>
      <c r="P1788" t="s">
        <v>3172</v>
      </c>
      <c r="Q1788">
        <v>653.62</v>
      </c>
      <c r="R1788" s="1" t="s">
        <v>1839</v>
      </c>
      <c r="S1788">
        <v>1204.81</v>
      </c>
      <c r="T1788">
        <v>787487</v>
      </c>
    </row>
    <row r="1789" spans="1:20" hidden="1" x14ac:dyDescent="0.4">
      <c r="A1789" s="1" t="s">
        <v>616</v>
      </c>
      <c r="B1789" s="1" t="s">
        <v>1455</v>
      </c>
      <c r="C1789" s="1" t="s">
        <v>1845</v>
      </c>
      <c r="D1789" s="1" t="s">
        <v>1462</v>
      </c>
      <c r="E1789">
        <v>20251201</v>
      </c>
      <c r="F1789" s="1" t="s">
        <v>1474</v>
      </c>
      <c r="G1789">
        <v>4</v>
      </c>
      <c r="H1789" s="1" t="s">
        <v>1501</v>
      </c>
      <c r="I1789" t="s">
        <v>1881</v>
      </c>
      <c r="J1789" s="1" t="s">
        <v>1455</v>
      </c>
      <c r="K1789" s="1" t="s">
        <v>1669</v>
      </c>
      <c r="L1789" s="1" t="s">
        <v>1720</v>
      </c>
      <c r="M1789" s="1" t="s">
        <v>1762</v>
      </c>
      <c r="N1789" t="s">
        <v>2057</v>
      </c>
      <c r="O1789" t="s">
        <v>2166</v>
      </c>
      <c r="P1789" t="s">
        <v>3172</v>
      </c>
      <c r="Q1789">
        <v>1373.07</v>
      </c>
      <c r="R1789" s="1" t="s">
        <v>1842</v>
      </c>
      <c r="S1789">
        <v>1296.77</v>
      </c>
      <c r="T1789">
        <v>1780555</v>
      </c>
    </row>
    <row r="1790" spans="1:20" hidden="1" x14ac:dyDescent="0.4">
      <c r="A1790" s="1" t="s">
        <v>616</v>
      </c>
      <c r="B1790" s="1" t="s">
        <v>1456</v>
      </c>
      <c r="C1790" s="1" t="s">
        <v>1845</v>
      </c>
      <c r="D1790" s="1" t="s">
        <v>1462</v>
      </c>
      <c r="E1790">
        <v>20251201</v>
      </c>
      <c r="F1790" s="1" t="s">
        <v>1474</v>
      </c>
      <c r="G1790">
        <v>4</v>
      </c>
      <c r="H1790" s="1" t="s">
        <v>1501</v>
      </c>
      <c r="I1790" t="s">
        <v>1881</v>
      </c>
      <c r="J1790" s="1" t="s">
        <v>1455</v>
      </c>
      <c r="K1790" s="1" t="s">
        <v>1665</v>
      </c>
      <c r="L1790" s="1" t="s">
        <v>1720</v>
      </c>
      <c r="M1790" s="1" t="s">
        <v>1762</v>
      </c>
      <c r="N1790" t="s">
        <v>2053</v>
      </c>
      <c r="O1790" t="s">
        <v>2166</v>
      </c>
      <c r="P1790" t="s">
        <v>3172</v>
      </c>
      <c r="Q1790">
        <v>819.47</v>
      </c>
      <c r="R1790" s="1" t="s">
        <v>1839</v>
      </c>
      <c r="S1790">
        <v>1197.02</v>
      </c>
      <c r="T1790">
        <v>980921</v>
      </c>
    </row>
    <row r="1791" spans="1:20" hidden="1" x14ac:dyDescent="0.4">
      <c r="A1791" s="1" t="s">
        <v>616</v>
      </c>
      <c r="B1791" s="1" t="s">
        <v>1457</v>
      </c>
      <c r="C1791" s="1" t="s">
        <v>1845</v>
      </c>
      <c r="D1791" s="1" t="s">
        <v>1462</v>
      </c>
      <c r="E1791">
        <v>20251201</v>
      </c>
      <c r="F1791" s="1" t="s">
        <v>1474</v>
      </c>
      <c r="G1791">
        <v>4</v>
      </c>
      <c r="H1791" s="1" t="s">
        <v>1501</v>
      </c>
      <c r="I1791" t="s">
        <v>1881</v>
      </c>
      <c r="J1791" s="1" t="s">
        <v>1455</v>
      </c>
      <c r="K1791" s="1" t="s">
        <v>1668</v>
      </c>
      <c r="L1791" s="1" t="s">
        <v>1720</v>
      </c>
      <c r="M1791" s="1" t="s">
        <v>1762</v>
      </c>
      <c r="N1791" t="s">
        <v>2056</v>
      </c>
      <c r="O1791" t="s">
        <v>2166</v>
      </c>
      <c r="P1791" t="s">
        <v>3172</v>
      </c>
      <c r="Q1791">
        <v>536.82000000000005</v>
      </c>
      <c r="R1791" s="1" t="s">
        <v>1842</v>
      </c>
      <c r="S1791">
        <v>701.39</v>
      </c>
      <c r="T1791">
        <v>376520</v>
      </c>
    </row>
    <row r="1792" spans="1:20" hidden="1" x14ac:dyDescent="0.4">
      <c r="A1792" s="1" t="s">
        <v>616</v>
      </c>
      <c r="B1792" s="1" t="s">
        <v>1458</v>
      </c>
      <c r="C1792" s="1" t="s">
        <v>1845</v>
      </c>
      <c r="D1792" s="1" t="s">
        <v>1462</v>
      </c>
      <c r="E1792">
        <v>20251201</v>
      </c>
      <c r="F1792" s="1" t="s">
        <v>1474</v>
      </c>
      <c r="G1792">
        <v>4</v>
      </c>
      <c r="H1792" s="1" t="s">
        <v>1501</v>
      </c>
      <c r="I1792" t="s">
        <v>1881</v>
      </c>
      <c r="J1792" s="1" t="s">
        <v>1455</v>
      </c>
      <c r="K1792" s="1" t="s">
        <v>1663</v>
      </c>
      <c r="L1792" s="1" t="s">
        <v>1720</v>
      </c>
      <c r="M1792" s="1" t="s">
        <v>1762</v>
      </c>
      <c r="N1792" t="s">
        <v>2051</v>
      </c>
      <c r="O1792" t="s">
        <v>2166</v>
      </c>
      <c r="P1792" t="s">
        <v>3183</v>
      </c>
      <c r="Q1792">
        <v>15.2</v>
      </c>
      <c r="R1792" s="1" t="s">
        <v>1839</v>
      </c>
      <c r="S1792">
        <v>1558.62</v>
      </c>
      <c r="T1792">
        <v>23691</v>
      </c>
    </row>
    <row r="1793" spans="1:20" hidden="1" x14ac:dyDescent="0.4">
      <c r="A1793" s="1" t="s">
        <v>616</v>
      </c>
      <c r="B1793" s="1" t="s">
        <v>1459</v>
      </c>
      <c r="C1793" s="1" t="s">
        <v>1845</v>
      </c>
      <c r="D1793" s="1" t="s">
        <v>1462</v>
      </c>
      <c r="E1793">
        <v>20251201</v>
      </c>
      <c r="F1793" s="1" t="s">
        <v>1474</v>
      </c>
      <c r="G1793">
        <v>4</v>
      </c>
      <c r="H1793" s="1" t="s">
        <v>1501</v>
      </c>
      <c r="I1793" t="s">
        <v>1881</v>
      </c>
      <c r="J1793" s="1" t="s">
        <v>1455</v>
      </c>
      <c r="K1793" s="1" t="s">
        <v>1661</v>
      </c>
      <c r="L1793" s="1" t="s">
        <v>1720</v>
      </c>
      <c r="M1793" s="1" t="s">
        <v>1762</v>
      </c>
      <c r="N1793" t="s">
        <v>2049</v>
      </c>
      <c r="O1793" t="s">
        <v>2166</v>
      </c>
      <c r="P1793" t="s">
        <v>3183</v>
      </c>
      <c r="Q1793">
        <v>15.2</v>
      </c>
      <c r="R1793" s="1" t="s">
        <v>1842</v>
      </c>
      <c r="S1793">
        <v>1558.62</v>
      </c>
      <c r="T1793">
        <v>23691</v>
      </c>
    </row>
    <row r="1794" spans="1:20" hidden="1" x14ac:dyDescent="0.4">
      <c r="A1794" s="1" t="s">
        <v>617</v>
      </c>
      <c r="B1794" s="1" t="s">
        <v>1453</v>
      </c>
      <c r="C1794" s="1" t="s">
        <v>1845</v>
      </c>
      <c r="D1794" s="1" t="s">
        <v>1462</v>
      </c>
      <c r="E1794">
        <v>20251202</v>
      </c>
      <c r="F1794" s="1" t="s">
        <v>1474</v>
      </c>
      <c r="G1794">
        <v>4</v>
      </c>
      <c r="H1794" s="1" t="s">
        <v>1505</v>
      </c>
      <c r="I1794" t="s">
        <v>1885</v>
      </c>
      <c r="J1794" s="1" t="s">
        <v>1455</v>
      </c>
      <c r="K1794" s="1" t="s">
        <v>1670</v>
      </c>
      <c r="L1794" s="1" t="s">
        <v>1720</v>
      </c>
      <c r="M1794" s="1" t="s">
        <v>1762</v>
      </c>
      <c r="N1794" t="s">
        <v>2058</v>
      </c>
      <c r="O1794" t="s">
        <v>2166</v>
      </c>
      <c r="P1794" t="s">
        <v>3172</v>
      </c>
      <c r="Q1794">
        <v>2848.55</v>
      </c>
      <c r="R1794" s="1" t="s">
        <v>1839</v>
      </c>
      <c r="S1794">
        <v>732.55</v>
      </c>
      <c r="T1794">
        <v>2086705</v>
      </c>
    </row>
    <row r="1795" spans="1:20" hidden="1" x14ac:dyDescent="0.4">
      <c r="A1795" s="1" t="s">
        <v>617</v>
      </c>
      <c r="B1795" s="1" t="s">
        <v>1454</v>
      </c>
      <c r="C1795" s="1" t="s">
        <v>1845</v>
      </c>
      <c r="D1795" s="1" t="s">
        <v>1462</v>
      </c>
      <c r="E1795">
        <v>20251202</v>
      </c>
      <c r="F1795" s="1" t="s">
        <v>1474</v>
      </c>
      <c r="G1795">
        <v>4</v>
      </c>
      <c r="H1795" s="1" t="s">
        <v>1505</v>
      </c>
      <c r="I1795" t="s">
        <v>1885</v>
      </c>
      <c r="J1795" s="1" t="s">
        <v>1455</v>
      </c>
      <c r="K1795" s="1" t="s">
        <v>1670</v>
      </c>
      <c r="L1795" s="1" t="s">
        <v>1720</v>
      </c>
      <c r="M1795" s="1" t="s">
        <v>1762</v>
      </c>
      <c r="N1795" t="s">
        <v>2058</v>
      </c>
      <c r="O1795" t="s">
        <v>2166</v>
      </c>
      <c r="P1795" t="s">
        <v>3172</v>
      </c>
      <c r="Q1795">
        <v>2523.06</v>
      </c>
      <c r="R1795" s="1" t="s">
        <v>1839</v>
      </c>
      <c r="S1795">
        <v>732.54</v>
      </c>
      <c r="T1795">
        <v>1848242</v>
      </c>
    </row>
    <row r="1796" spans="1:20" hidden="1" x14ac:dyDescent="0.4">
      <c r="A1796" s="1" t="s">
        <v>617</v>
      </c>
      <c r="B1796" s="1" t="s">
        <v>1455</v>
      </c>
      <c r="C1796" s="1" t="s">
        <v>1845</v>
      </c>
      <c r="D1796" s="1" t="s">
        <v>1462</v>
      </c>
      <c r="E1796">
        <v>20251202</v>
      </c>
      <c r="F1796" s="1" t="s">
        <v>1474</v>
      </c>
      <c r="G1796">
        <v>4</v>
      </c>
      <c r="H1796" s="1" t="s">
        <v>1505</v>
      </c>
      <c r="I1796" t="s">
        <v>1885</v>
      </c>
      <c r="J1796" s="1" t="s">
        <v>1455</v>
      </c>
      <c r="K1796" s="1" t="s">
        <v>1670</v>
      </c>
      <c r="L1796" s="1" t="s">
        <v>1720</v>
      </c>
      <c r="M1796" s="1" t="s">
        <v>1762</v>
      </c>
      <c r="N1796" t="s">
        <v>2058</v>
      </c>
      <c r="O1796" t="s">
        <v>2166</v>
      </c>
      <c r="P1796" t="s">
        <v>3172</v>
      </c>
      <c r="Q1796">
        <v>1898.9</v>
      </c>
      <c r="R1796" s="1" t="s">
        <v>1839</v>
      </c>
      <c r="S1796">
        <v>732.54</v>
      </c>
      <c r="T1796">
        <v>1391020</v>
      </c>
    </row>
    <row r="1797" spans="1:20" hidden="1" x14ac:dyDescent="0.4">
      <c r="A1797" s="1" t="s">
        <v>617</v>
      </c>
      <c r="B1797" s="1" t="s">
        <v>1456</v>
      </c>
      <c r="C1797" s="1" t="s">
        <v>1845</v>
      </c>
      <c r="D1797" s="1" t="s">
        <v>1462</v>
      </c>
      <c r="E1797">
        <v>20251202</v>
      </c>
      <c r="F1797" s="1" t="s">
        <v>1474</v>
      </c>
      <c r="G1797">
        <v>4</v>
      </c>
      <c r="H1797" s="1" t="s">
        <v>1505</v>
      </c>
      <c r="I1797" t="s">
        <v>1885</v>
      </c>
      <c r="J1797" s="1" t="s">
        <v>1455</v>
      </c>
      <c r="K1797" s="1" t="s">
        <v>1670</v>
      </c>
      <c r="L1797" s="1" t="s">
        <v>1720</v>
      </c>
      <c r="M1797" s="1" t="s">
        <v>1762</v>
      </c>
      <c r="N1797" t="s">
        <v>2058</v>
      </c>
      <c r="O1797" t="s">
        <v>2166</v>
      </c>
      <c r="P1797" t="s">
        <v>3172</v>
      </c>
      <c r="Q1797">
        <v>1268.22</v>
      </c>
      <c r="R1797" s="1" t="s">
        <v>1839</v>
      </c>
      <c r="S1797">
        <v>732.54</v>
      </c>
      <c r="T1797">
        <v>929021</v>
      </c>
    </row>
    <row r="1798" spans="1:20" hidden="1" x14ac:dyDescent="0.4">
      <c r="A1798" s="1" t="s">
        <v>618</v>
      </c>
      <c r="B1798" s="1" t="s">
        <v>1453</v>
      </c>
      <c r="C1798" s="1" t="s">
        <v>1845</v>
      </c>
      <c r="D1798" s="1" t="s">
        <v>1462</v>
      </c>
      <c r="E1798">
        <v>20251218</v>
      </c>
      <c r="F1798" s="1" t="s">
        <v>1473</v>
      </c>
      <c r="G1798">
        <v>1</v>
      </c>
      <c r="H1798" s="1" t="s">
        <v>1493</v>
      </c>
      <c r="I1798" t="s">
        <v>1873</v>
      </c>
      <c r="J1798" s="1" t="s">
        <v>1453</v>
      </c>
      <c r="K1798" s="1" t="s">
        <v>1611</v>
      </c>
      <c r="L1798" s="1" t="s">
        <v>1716</v>
      </c>
      <c r="M1798" s="1" t="s">
        <v>1791</v>
      </c>
      <c r="N1798" t="s">
        <v>1985</v>
      </c>
      <c r="O1798" t="s">
        <v>2162</v>
      </c>
      <c r="P1798" t="s">
        <v>3145</v>
      </c>
      <c r="Q1798">
        <v>1029.8</v>
      </c>
      <c r="R1798" s="1" t="s">
        <v>1463</v>
      </c>
      <c r="S1798">
        <v>1350</v>
      </c>
      <c r="T1798">
        <v>1390230</v>
      </c>
    </row>
    <row r="1799" spans="1:20" hidden="1" x14ac:dyDescent="0.4">
      <c r="A1799" s="1" t="s">
        <v>619</v>
      </c>
      <c r="B1799" s="1" t="s">
        <v>1453</v>
      </c>
      <c r="C1799" s="1" t="s">
        <v>1845</v>
      </c>
      <c r="D1799" s="1" t="s">
        <v>1462</v>
      </c>
      <c r="E1799">
        <v>20251206</v>
      </c>
      <c r="F1799" s="1" t="s">
        <v>1474</v>
      </c>
      <c r="G1799">
        <v>4</v>
      </c>
      <c r="H1799" s="1" t="s">
        <v>1505</v>
      </c>
      <c r="I1799" t="s">
        <v>1885</v>
      </c>
      <c r="J1799" s="1" t="s">
        <v>1455</v>
      </c>
      <c r="K1799" s="1" t="s">
        <v>1670</v>
      </c>
      <c r="L1799" s="1" t="s">
        <v>1720</v>
      </c>
      <c r="M1799" s="1" t="s">
        <v>1762</v>
      </c>
      <c r="N1799" t="s">
        <v>2058</v>
      </c>
      <c r="O1799" t="s">
        <v>2166</v>
      </c>
      <c r="P1799" t="s">
        <v>3172</v>
      </c>
      <c r="Q1799">
        <v>1074.8399999999999</v>
      </c>
      <c r="R1799" s="1" t="s">
        <v>1839</v>
      </c>
      <c r="S1799">
        <v>730.85</v>
      </c>
      <c r="T1799">
        <v>785546</v>
      </c>
    </row>
    <row r="1800" spans="1:20" hidden="1" x14ac:dyDescent="0.4">
      <c r="A1800" s="1" t="s">
        <v>619</v>
      </c>
      <c r="B1800" s="1" t="s">
        <v>1454</v>
      </c>
      <c r="C1800" s="1" t="s">
        <v>1845</v>
      </c>
      <c r="D1800" s="1" t="s">
        <v>1462</v>
      </c>
      <c r="E1800">
        <v>20251206</v>
      </c>
      <c r="F1800" s="1" t="s">
        <v>1474</v>
      </c>
      <c r="G1800">
        <v>4</v>
      </c>
      <c r="H1800" s="1" t="s">
        <v>1505</v>
      </c>
      <c r="I1800" t="s">
        <v>1885</v>
      </c>
      <c r="J1800" s="1" t="s">
        <v>1455</v>
      </c>
      <c r="K1800" s="1" t="s">
        <v>1670</v>
      </c>
      <c r="L1800" s="1" t="s">
        <v>1720</v>
      </c>
      <c r="M1800" s="1" t="s">
        <v>1762</v>
      </c>
      <c r="N1800" t="s">
        <v>2058</v>
      </c>
      <c r="O1800" t="s">
        <v>2166</v>
      </c>
      <c r="P1800" t="s">
        <v>3172</v>
      </c>
      <c r="Q1800">
        <v>1058.6199999999999</v>
      </c>
      <c r="R1800" s="1" t="s">
        <v>1839</v>
      </c>
      <c r="S1800">
        <v>730.85</v>
      </c>
      <c r="T1800">
        <v>773692</v>
      </c>
    </row>
    <row r="1801" spans="1:20" hidden="1" x14ac:dyDescent="0.4">
      <c r="A1801" s="1" t="s">
        <v>619</v>
      </c>
      <c r="B1801" s="1" t="s">
        <v>1455</v>
      </c>
      <c r="C1801" s="1" t="s">
        <v>1845</v>
      </c>
      <c r="D1801" s="1" t="s">
        <v>1462</v>
      </c>
      <c r="E1801">
        <v>20251206</v>
      </c>
      <c r="F1801" s="1" t="s">
        <v>1474</v>
      </c>
      <c r="G1801">
        <v>4</v>
      </c>
      <c r="H1801" s="1" t="s">
        <v>1505</v>
      </c>
      <c r="I1801" t="s">
        <v>1885</v>
      </c>
      <c r="J1801" s="1" t="s">
        <v>1455</v>
      </c>
      <c r="K1801" s="1" t="s">
        <v>1682</v>
      </c>
      <c r="L1801" s="1" t="s">
        <v>1720</v>
      </c>
      <c r="M1801" s="1" t="s">
        <v>1762</v>
      </c>
      <c r="N1801" t="s">
        <v>2074</v>
      </c>
      <c r="O1801" t="s">
        <v>2166</v>
      </c>
      <c r="P1801" t="s">
        <v>3172</v>
      </c>
      <c r="Q1801">
        <v>483.34</v>
      </c>
      <c r="R1801" s="1" t="s">
        <v>1839</v>
      </c>
      <c r="S1801">
        <v>684.2</v>
      </c>
      <c r="T1801">
        <v>330701</v>
      </c>
    </row>
    <row r="1802" spans="1:20" hidden="1" x14ac:dyDescent="0.4">
      <c r="A1802" s="1" t="s">
        <v>619</v>
      </c>
      <c r="B1802" s="1" t="s">
        <v>1456</v>
      </c>
      <c r="C1802" s="1" t="s">
        <v>1845</v>
      </c>
      <c r="D1802" s="1" t="s">
        <v>1462</v>
      </c>
      <c r="E1802">
        <v>20251206</v>
      </c>
      <c r="F1802" s="1" t="s">
        <v>1474</v>
      </c>
      <c r="G1802">
        <v>4</v>
      </c>
      <c r="H1802" s="1" t="s">
        <v>1505</v>
      </c>
      <c r="I1802" t="s">
        <v>1885</v>
      </c>
      <c r="J1802" s="1" t="s">
        <v>1455</v>
      </c>
      <c r="K1802" s="1" t="s">
        <v>1682</v>
      </c>
      <c r="L1802" s="1" t="s">
        <v>1720</v>
      </c>
      <c r="M1802" s="1" t="s">
        <v>1762</v>
      </c>
      <c r="N1802" t="s">
        <v>2074</v>
      </c>
      <c r="O1802" t="s">
        <v>2166</v>
      </c>
      <c r="P1802" t="s">
        <v>3172</v>
      </c>
      <c r="Q1802">
        <v>187.47</v>
      </c>
      <c r="R1802" s="1" t="s">
        <v>1839</v>
      </c>
      <c r="S1802">
        <v>684.2</v>
      </c>
      <c r="T1802">
        <v>128266</v>
      </c>
    </row>
    <row r="1803" spans="1:20" hidden="1" x14ac:dyDescent="0.4">
      <c r="A1803" s="1" t="s">
        <v>619</v>
      </c>
      <c r="B1803" s="1" t="s">
        <v>1457</v>
      </c>
      <c r="C1803" s="1" t="s">
        <v>1845</v>
      </c>
      <c r="D1803" s="1" t="s">
        <v>1462</v>
      </c>
      <c r="E1803">
        <v>20251206</v>
      </c>
      <c r="F1803" s="1" t="s">
        <v>1474</v>
      </c>
      <c r="G1803">
        <v>4</v>
      </c>
      <c r="H1803" s="1" t="s">
        <v>1505</v>
      </c>
      <c r="I1803" t="s">
        <v>1885</v>
      </c>
      <c r="J1803" s="1" t="s">
        <v>1455</v>
      </c>
      <c r="K1803" s="1" t="s">
        <v>1670</v>
      </c>
      <c r="L1803" s="1" t="s">
        <v>1720</v>
      </c>
      <c r="M1803" s="1" t="s">
        <v>1762</v>
      </c>
      <c r="N1803" t="s">
        <v>2058</v>
      </c>
      <c r="O1803" t="s">
        <v>2166</v>
      </c>
      <c r="P1803" t="s">
        <v>3172</v>
      </c>
      <c r="Q1803">
        <v>568.51</v>
      </c>
      <c r="R1803" s="1" t="s">
        <v>1839</v>
      </c>
      <c r="S1803">
        <v>730.85</v>
      </c>
      <c r="T1803">
        <v>415495</v>
      </c>
    </row>
    <row r="1804" spans="1:20" hidden="1" x14ac:dyDescent="0.4">
      <c r="A1804" s="1" t="s">
        <v>619</v>
      </c>
      <c r="B1804" s="1" t="s">
        <v>1458</v>
      </c>
      <c r="C1804" s="1" t="s">
        <v>1845</v>
      </c>
      <c r="D1804" s="1" t="s">
        <v>1462</v>
      </c>
      <c r="E1804">
        <v>20251206</v>
      </c>
      <c r="F1804" s="1" t="s">
        <v>1474</v>
      </c>
      <c r="G1804">
        <v>4</v>
      </c>
      <c r="H1804" s="1" t="s">
        <v>1505</v>
      </c>
      <c r="I1804" t="s">
        <v>1885</v>
      </c>
      <c r="J1804" s="1" t="s">
        <v>1455</v>
      </c>
      <c r="K1804" s="1" t="s">
        <v>1670</v>
      </c>
      <c r="L1804" s="1" t="s">
        <v>1720</v>
      </c>
      <c r="M1804" s="1" t="s">
        <v>1762</v>
      </c>
      <c r="N1804" t="s">
        <v>2058</v>
      </c>
      <c r="O1804" t="s">
        <v>2166</v>
      </c>
      <c r="P1804" t="s">
        <v>3172</v>
      </c>
      <c r="Q1804">
        <v>1175.99</v>
      </c>
      <c r="R1804" s="1" t="s">
        <v>1839</v>
      </c>
      <c r="S1804">
        <v>730.85</v>
      </c>
      <c r="T1804">
        <v>859472</v>
      </c>
    </row>
    <row r="1805" spans="1:20" hidden="1" x14ac:dyDescent="0.4">
      <c r="A1805" s="1" t="s">
        <v>619</v>
      </c>
      <c r="B1805" s="1" t="s">
        <v>1459</v>
      </c>
      <c r="C1805" s="1" t="s">
        <v>1845</v>
      </c>
      <c r="D1805" s="1" t="s">
        <v>1462</v>
      </c>
      <c r="E1805">
        <v>20251206</v>
      </c>
      <c r="F1805" s="1" t="s">
        <v>1474</v>
      </c>
      <c r="G1805">
        <v>4</v>
      </c>
      <c r="H1805" s="1" t="s">
        <v>1505</v>
      </c>
      <c r="I1805" t="s">
        <v>1885</v>
      </c>
      <c r="J1805" s="1" t="s">
        <v>1455</v>
      </c>
      <c r="K1805" s="1" t="s">
        <v>1682</v>
      </c>
      <c r="L1805" s="1" t="s">
        <v>1720</v>
      </c>
      <c r="M1805" s="1" t="s">
        <v>1762</v>
      </c>
      <c r="N1805" t="s">
        <v>2074</v>
      </c>
      <c r="O1805" t="s">
        <v>2166</v>
      </c>
      <c r="P1805" t="s">
        <v>3172</v>
      </c>
      <c r="Q1805">
        <v>331.89</v>
      </c>
      <c r="R1805" s="1" t="s">
        <v>1839</v>
      </c>
      <c r="S1805">
        <v>684.2</v>
      </c>
      <c r="T1805">
        <v>227079</v>
      </c>
    </row>
    <row r="1806" spans="1:20" hidden="1" x14ac:dyDescent="0.4">
      <c r="A1806" s="1" t="s">
        <v>619</v>
      </c>
      <c r="B1806" s="1" t="s">
        <v>1460</v>
      </c>
      <c r="C1806" s="1" t="s">
        <v>1845</v>
      </c>
      <c r="D1806" s="1" t="s">
        <v>1462</v>
      </c>
      <c r="E1806">
        <v>20251206</v>
      </c>
      <c r="F1806" s="1" t="s">
        <v>1474</v>
      </c>
      <c r="G1806">
        <v>4</v>
      </c>
      <c r="H1806" s="1" t="s">
        <v>1505</v>
      </c>
      <c r="I1806" t="s">
        <v>1885</v>
      </c>
      <c r="J1806" s="1" t="s">
        <v>1455</v>
      </c>
      <c r="K1806" s="1" t="s">
        <v>1666</v>
      </c>
      <c r="L1806" s="1" t="s">
        <v>1720</v>
      </c>
      <c r="M1806" s="1" t="s">
        <v>1762</v>
      </c>
      <c r="N1806" t="s">
        <v>2054</v>
      </c>
      <c r="O1806" t="s">
        <v>2166</v>
      </c>
      <c r="P1806" t="s">
        <v>3172</v>
      </c>
      <c r="Q1806">
        <v>520.4</v>
      </c>
      <c r="R1806" s="1" t="s">
        <v>1839</v>
      </c>
      <c r="S1806">
        <v>1006.09</v>
      </c>
      <c r="T1806">
        <v>523569</v>
      </c>
    </row>
    <row r="1807" spans="1:20" hidden="1" x14ac:dyDescent="0.4">
      <c r="A1807" s="1" t="s">
        <v>619</v>
      </c>
      <c r="B1807" s="1" t="s">
        <v>1461</v>
      </c>
      <c r="C1807" s="1" t="s">
        <v>1845</v>
      </c>
      <c r="D1807" s="1" t="s">
        <v>1462</v>
      </c>
      <c r="E1807">
        <v>20251206</v>
      </c>
      <c r="F1807" s="1" t="s">
        <v>1474</v>
      </c>
      <c r="G1807">
        <v>4</v>
      </c>
      <c r="H1807" s="1" t="s">
        <v>1505</v>
      </c>
      <c r="I1807" t="s">
        <v>1885</v>
      </c>
      <c r="J1807" s="1" t="s">
        <v>1455</v>
      </c>
      <c r="K1807" s="1" t="s">
        <v>1666</v>
      </c>
      <c r="L1807" s="1" t="s">
        <v>1720</v>
      </c>
      <c r="M1807" s="1" t="s">
        <v>1762</v>
      </c>
      <c r="N1807" t="s">
        <v>2054</v>
      </c>
      <c r="O1807" t="s">
        <v>2166</v>
      </c>
      <c r="P1807" t="s">
        <v>3172</v>
      </c>
      <c r="Q1807">
        <v>530.11</v>
      </c>
      <c r="R1807" s="1" t="s">
        <v>1839</v>
      </c>
      <c r="S1807">
        <v>1006.09</v>
      </c>
      <c r="T1807">
        <v>533338</v>
      </c>
    </row>
    <row r="1808" spans="1:20" hidden="1" x14ac:dyDescent="0.4">
      <c r="A1808" s="1" t="s">
        <v>620</v>
      </c>
      <c r="B1808" s="1" t="s">
        <v>1453</v>
      </c>
      <c r="C1808" s="1" t="s">
        <v>1845</v>
      </c>
      <c r="D1808" s="1" t="s">
        <v>1462</v>
      </c>
      <c r="E1808">
        <v>20251204</v>
      </c>
      <c r="F1808" s="1" t="s">
        <v>1474</v>
      </c>
      <c r="G1808">
        <v>4</v>
      </c>
      <c r="H1808" s="1" t="s">
        <v>1501</v>
      </c>
      <c r="I1808" t="s">
        <v>1881</v>
      </c>
      <c r="J1808" s="1" t="s">
        <v>1455</v>
      </c>
      <c r="K1808" s="1" t="s">
        <v>1666</v>
      </c>
      <c r="L1808" s="1" t="s">
        <v>1720</v>
      </c>
      <c r="M1808" s="1" t="s">
        <v>1762</v>
      </c>
      <c r="N1808" t="s">
        <v>2054</v>
      </c>
      <c r="O1808" t="s">
        <v>2166</v>
      </c>
      <c r="P1808" t="s">
        <v>3172</v>
      </c>
      <c r="Q1808">
        <v>1653.15</v>
      </c>
      <c r="R1808" s="1" t="s">
        <v>1842</v>
      </c>
      <c r="S1808">
        <v>1006.08</v>
      </c>
      <c r="T1808">
        <v>1663201</v>
      </c>
    </row>
    <row r="1809" spans="1:20" hidden="1" x14ac:dyDescent="0.4">
      <c r="A1809" s="1" t="s">
        <v>620</v>
      </c>
      <c r="B1809" s="1" t="s">
        <v>1454</v>
      </c>
      <c r="C1809" s="1" t="s">
        <v>1845</v>
      </c>
      <c r="D1809" s="1" t="s">
        <v>1462</v>
      </c>
      <c r="E1809">
        <v>20251204</v>
      </c>
      <c r="F1809" s="1" t="s">
        <v>1474</v>
      </c>
      <c r="G1809">
        <v>4</v>
      </c>
      <c r="H1809" s="1" t="s">
        <v>1501</v>
      </c>
      <c r="I1809" t="s">
        <v>1881</v>
      </c>
      <c r="J1809" s="1" t="s">
        <v>1455</v>
      </c>
      <c r="K1809" s="1" t="s">
        <v>1666</v>
      </c>
      <c r="L1809" s="1" t="s">
        <v>1720</v>
      </c>
      <c r="M1809" s="1" t="s">
        <v>1762</v>
      </c>
      <c r="N1809" t="s">
        <v>2054</v>
      </c>
      <c r="O1809" t="s">
        <v>2166</v>
      </c>
      <c r="P1809" t="s">
        <v>3172</v>
      </c>
      <c r="Q1809">
        <v>1015.49</v>
      </c>
      <c r="R1809" s="1" t="s">
        <v>1842</v>
      </c>
      <c r="S1809">
        <v>1006.08</v>
      </c>
      <c r="T1809">
        <v>1021664</v>
      </c>
    </row>
    <row r="1810" spans="1:20" hidden="1" x14ac:dyDescent="0.4">
      <c r="A1810" s="1" t="s">
        <v>620</v>
      </c>
      <c r="B1810" s="1" t="s">
        <v>1455</v>
      </c>
      <c r="C1810" s="1" t="s">
        <v>1845</v>
      </c>
      <c r="D1810" s="1" t="s">
        <v>1462</v>
      </c>
      <c r="E1810">
        <v>20251204</v>
      </c>
      <c r="F1810" s="1" t="s">
        <v>1474</v>
      </c>
      <c r="G1810">
        <v>4</v>
      </c>
      <c r="H1810" s="1" t="s">
        <v>1501</v>
      </c>
      <c r="I1810" t="s">
        <v>1881</v>
      </c>
      <c r="J1810" s="1" t="s">
        <v>1455</v>
      </c>
      <c r="K1810" s="1" t="s">
        <v>1662</v>
      </c>
      <c r="L1810" s="1" t="s">
        <v>1720</v>
      </c>
      <c r="M1810" s="1" t="s">
        <v>1762</v>
      </c>
      <c r="N1810" t="s">
        <v>2050</v>
      </c>
      <c r="O1810" t="s">
        <v>2166</v>
      </c>
      <c r="P1810" t="s">
        <v>3172</v>
      </c>
      <c r="Q1810">
        <v>1742.46</v>
      </c>
      <c r="R1810" s="1" t="s">
        <v>1842</v>
      </c>
      <c r="S1810">
        <v>1021.64</v>
      </c>
      <c r="T1810">
        <v>1780166</v>
      </c>
    </row>
    <row r="1811" spans="1:20" hidden="1" x14ac:dyDescent="0.4">
      <c r="A1811" s="1" t="s">
        <v>621</v>
      </c>
      <c r="B1811" s="1" t="s">
        <v>1453</v>
      </c>
      <c r="C1811" s="1" t="s">
        <v>1845</v>
      </c>
      <c r="D1811" s="1" t="s">
        <v>1731</v>
      </c>
      <c r="E1811">
        <v>20251223</v>
      </c>
      <c r="F1811" s="1" t="s">
        <v>1470</v>
      </c>
      <c r="G1811">
        <v>4</v>
      </c>
      <c r="H1811" s="1" t="s">
        <v>1490</v>
      </c>
      <c r="I1811" t="s">
        <v>1870</v>
      </c>
      <c r="J1811" s="1" t="s">
        <v>1456</v>
      </c>
      <c r="K1811" s="1" t="s">
        <v>1553</v>
      </c>
      <c r="L1811" s="1" t="s">
        <v>1729</v>
      </c>
      <c r="M1811" s="1" t="s">
        <v>1736</v>
      </c>
      <c r="N1811" t="s">
        <v>1925</v>
      </c>
      <c r="O1811" t="s">
        <v>2157</v>
      </c>
      <c r="P1811" t="s">
        <v>3038</v>
      </c>
      <c r="Q1811">
        <v>2</v>
      </c>
      <c r="R1811" s="1" t="s">
        <v>1718</v>
      </c>
      <c r="S1811">
        <v>8677</v>
      </c>
      <c r="T1811">
        <v>17354</v>
      </c>
    </row>
    <row r="1812" spans="1:20" hidden="1" x14ac:dyDescent="0.4">
      <c r="A1812" s="1" t="s">
        <v>621</v>
      </c>
      <c r="B1812" s="1" t="s">
        <v>1454</v>
      </c>
      <c r="C1812" s="1" t="s">
        <v>1845</v>
      </c>
      <c r="D1812" s="1" t="s">
        <v>1731</v>
      </c>
      <c r="E1812">
        <v>20251223</v>
      </c>
      <c r="F1812" s="1" t="s">
        <v>1470</v>
      </c>
      <c r="G1812">
        <v>4</v>
      </c>
      <c r="H1812" s="1" t="s">
        <v>1490</v>
      </c>
      <c r="I1812" t="s">
        <v>1870</v>
      </c>
      <c r="J1812" s="1" t="s">
        <v>1456</v>
      </c>
      <c r="K1812" s="1" t="s">
        <v>1553</v>
      </c>
      <c r="L1812" s="1" t="s">
        <v>1729</v>
      </c>
      <c r="M1812" s="1" t="s">
        <v>1740</v>
      </c>
      <c r="N1812" t="s">
        <v>1925</v>
      </c>
      <c r="O1812" t="s">
        <v>2157</v>
      </c>
      <c r="P1812" t="s">
        <v>3041</v>
      </c>
      <c r="Q1812">
        <v>2</v>
      </c>
      <c r="R1812" s="1" t="s">
        <v>1718</v>
      </c>
      <c r="S1812">
        <v>3791</v>
      </c>
      <c r="T1812">
        <v>7582</v>
      </c>
    </row>
    <row r="1813" spans="1:20" hidden="1" x14ac:dyDescent="0.4">
      <c r="A1813" s="1" t="s">
        <v>621</v>
      </c>
      <c r="B1813" s="1" t="s">
        <v>1455</v>
      </c>
      <c r="C1813" s="1" t="s">
        <v>1845</v>
      </c>
      <c r="D1813" s="1" t="s">
        <v>1731</v>
      </c>
      <c r="E1813">
        <v>20251223</v>
      </c>
      <c r="F1813" s="1" t="s">
        <v>1470</v>
      </c>
      <c r="G1813">
        <v>4</v>
      </c>
      <c r="H1813" s="1" t="s">
        <v>1490</v>
      </c>
      <c r="I1813" t="s">
        <v>1870</v>
      </c>
      <c r="J1813" s="1" t="s">
        <v>1456</v>
      </c>
      <c r="K1813" s="1" t="s">
        <v>1554</v>
      </c>
      <c r="L1813" s="1" t="s">
        <v>1729</v>
      </c>
      <c r="M1813" s="1" t="s">
        <v>1737</v>
      </c>
      <c r="N1813" t="s">
        <v>1926</v>
      </c>
      <c r="O1813" t="s">
        <v>2157</v>
      </c>
      <c r="P1813" t="s">
        <v>2157</v>
      </c>
      <c r="Q1813">
        <v>13</v>
      </c>
      <c r="R1813" s="1" t="s">
        <v>1718</v>
      </c>
      <c r="S1813">
        <v>11490.23</v>
      </c>
      <c r="T1813">
        <v>149373</v>
      </c>
    </row>
    <row r="1814" spans="1:20" hidden="1" x14ac:dyDescent="0.4">
      <c r="A1814" s="1" t="s">
        <v>622</v>
      </c>
      <c r="B1814" s="1" t="s">
        <v>1453</v>
      </c>
      <c r="C1814" s="1" t="s">
        <v>1845</v>
      </c>
      <c r="D1814" s="1" t="s">
        <v>1731</v>
      </c>
      <c r="E1814">
        <v>20251223</v>
      </c>
      <c r="F1814" s="1" t="s">
        <v>1470</v>
      </c>
      <c r="G1814">
        <v>4</v>
      </c>
      <c r="H1814" s="1" t="s">
        <v>1490</v>
      </c>
      <c r="I1814" t="s">
        <v>1870</v>
      </c>
      <c r="J1814" s="1" t="s">
        <v>1456</v>
      </c>
      <c r="K1814" s="1" t="s">
        <v>1560</v>
      </c>
      <c r="L1814" s="1" t="s">
        <v>1729</v>
      </c>
      <c r="M1814" s="1" t="s">
        <v>1740</v>
      </c>
      <c r="N1814" t="s">
        <v>1932</v>
      </c>
      <c r="O1814" t="s">
        <v>2157</v>
      </c>
      <c r="P1814" t="s">
        <v>3041</v>
      </c>
      <c r="Q1814">
        <v>2</v>
      </c>
      <c r="R1814" s="1" t="s">
        <v>1718</v>
      </c>
      <c r="S1814">
        <v>10952</v>
      </c>
      <c r="T1814">
        <v>21904</v>
      </c>
    </row>
    <row r="1815" spans="1:20" hidden="1" x14ac:dyDescent="0.4">
      <c r="A1815" s="1" t="s">
        <v>622</v>
      </c>
      <c r="B1815" s="1" t="s">
        <v>1454</v>
      </c>
      <c r="C1815" s="1" t="s">
        <v>1845</v>
      </c>
      <c r="D1815" s="1" t="s">
        <v>1731</v>
      </c>
      <c r="E1815">
        <v>20251223</v>
      </c>
      <c r="F1815" s="1" t="s">
        <v>1470</v>
      </c>
      <c r="G1815">
        <v>4</v>
      </c>
      <c r="H1815" s="1" t="s">
        <v>1490</v>
      </c>
      <c r="I1815" t="s">
        <v>1870</v>
      </c>
      <c r="J1815" s="1" t="s">
        <v>1456</v>
      </c>
      <c r="K1815" s="1" t="s">
        <v>1555</v>
      </c>
      <c r="L1815" s="1" t="s">
        <v>1729</v>
      </c>
      <c r="M1815" s="1" t="s">
        <v>1736</v>
      </c>
      <c r="N1815" t="s">
        <v>1927</v>
      </c>
      <c r="O1815" t="s">
        <v>2157</v>
      </c>
      <c r="P1815" t="s">
        <v>3038</v>
      </c>
      <c r="Q1815">
        <v>6</v>
      </c>
      <c r="R1815" s="1" t="s">
        <v>1718</v>
      </c>
      <c r="S1815">
        <v>8291.33</v>
      </c>
      <c r="T1815">
        <v>49748</v>
      </c>
    </row>
    <row r="1816" spans="1:20" hidden="1" x14ac:dyDescent="0.4">
      <c r="A1816" s="1" t="s">
        <v>622</v>
      </c>
      <c r="B1816" s="1" t="s">
        <v>1455</v>
      </c>
      <c r="C1816" s="1" t="s">
        <v>1845</v>
      </c>
      <c r="D1816" s="1" t="s">
        <v>1731</v>
      </c>
      <c r="E1816">
        <v>20251223</v>
      </c>
      <c r="F1816" s="1" t="s">
        <v>1470</v>
      </c>
      <c r="G1816">
        <v>4</v>
      </c>
      <c r="H1816" s="1" t="s">
        <v>1490</v>
      </c>
      <c r="I1816" t="s">
        <v>1870</v>
      </c>
      <c r="J1816" s="1" t="s">
        <v>1456</v>
      </c>
      <c r="K1816" s="1" t="s">
        <v>1561</v>
      </c>
      <c r="L1816" s="1" t="s">
        <v>1729</v>
      </c>
      <c r="M1816" s="1" t="s">
        <v>1737</v>
      </c>
      <c r="N1816" t="s">
        <v>1954</v>
      </c>
      <c r="O1816" t="s">
        <v>2157</v>
      </c>
      <c r="P1816" t="s">
        <v>2157</v>
      </c>
      <c r="Q1816">
        <v>3</v>
      </c>
      <c r="R1816" s="1" t="s">
        <v>1718</v>
      </c>
      <c r="S1816">
        <v>6726.33</v>
      </c>
      <c r="T1816">
        <v>20179</v>
      </c>
    </row>
    <row r="1817" spans="1:20" hidden="1" x14ac:dyDescent="0.4">
      <c r="A1817" s="1" t="s">
        <v>622</v>
      </c>
      <c r="B1817" s="1" t="s">
        <v>1456</v>
      </c>
      <c r="C1817" s="1" t="s">
        <v>1845</v>
      </c>
      <c r="D1817" s="1" t="s">
        <v>1731</v>
      </c>
      <c r="E1817">
        <v>20251223</v>
      </c>
      <c r="F1817" s="1" t="s">
        <v>1470</v>
      </c>
      <c r="G1817">
        <v>4</v>
      </c>
      <c r="H1817" s="1" t="s">
        <v>1490</v>
      </c>
      <c r="I1817" t="s">
        <v>1870</v>
      </c>
      <c r="J1817" s="1" t="s">
        <v>1456</v>
      </c>
      <c r="K1817" s="1" t="s">
        <v>1556</v>
      </c>
      <c r="L1817" s="1" t="s">
        <v>1729</v>
      </c>
      <c r="M1817" s="1" t="s">
        <v>1738</v>
      </c>
      <c r="N1817" t="s">
        <v>1928</v>
      </c>
      <c r="O1817" t="s">
        <v>2157</v>
      </c>
      <c r="P1817" t="s">
        <v>3149</v>
      </c>
      <c r="Q1817">
        <v>8</v>
      </c>
      <c r="R1817" s="1" t="s">
        <v>1718</v>
      </c>
      <c r="S1817">
        <v>12960.75</v>
      </c>
      <c r="T1817">
        <v>103686</v>
      </c>
    </row>
    <row r="1818" spans="1:20" hidden="1" x14ac:dyDescent="0.4">
      <c r="A1818" s="1" t="s">
        <v>623</v>
      </c>
      <c r="B1818" s="1" t="s">
        <v>1453</v>
      </c>
      <c r="C1818" s="1" t="s">
        <v>1845</v>
      </c>
      <c r="D1818" s="1" t="s">
        <v>1731</v>
      </c>
      <c r="E1818">
        <v>20251223</v>
      </c>
      <c r="F1818" s="1" t="s">
        <v>1470</v>
      </c>
      <c r="G1818">
        <v>4</v>
      </c>
      <c r="H1818" s="1" t="s">
        <v>1490</v>
      </c>
      <c r="I1818" t="s">
        <v>1870</v>
      </c>
      <c r="J1818" s="1" t="s">
        <v>1456</v>
      </c>
      <c r="K1818" s="1" t="s">
        <v>1558</v>
      </c>
      <c r="L1818" s="1" t="s">
        <v>1729</v>
      </c>
      <c r="M1818" s="1" t="s">
        <v>1737</v>
      </c>
      <c r="N1818" t="s">
        <v>1930</v>
      </c>
      <c r="O1818" t="s">
        <v>2157</v>
      </c>
      <c r="P1818" t="s">
        <v>2157</v>
      </c>
      <c r="Q1818">
        <v>16</v>
      </c>
      <c r="R1818" s="1" t="s">
        <v>1718</v>
      </c>
      <c r="S1818">
        <v>18827.5</v>
      </c>
      <c r="T1818">
        <v>301240</v>
      </c>
    </row>
    <row r="1819" spans="1:20" hidden="1" x14ac:dyDescent="0.4">
      <c r="A1819" s="1" t="s">
        <v>624</v>
      </c>
      <c r="B1819" s="1" t="s">
        <v>1453</v>
      </c>
      <c r="C1819" s="1" t="s">
        <v>1845</v>
      </c>
      <c r="D1819" s="1" t="s">
        <v>1731</v>
      </c>
      <c r="E1819">
        <v>20251223</v>
      </c>
      <c r="F1819" s="1" t="s">
        <v>1470</v>
      </c>
      <c r="G1819">
        <v>4</v>
      </c>
      <c r="H1819" s="1" t="s">
        <v>1490</v>
      </c>
      <c r="I1819" t="s">
        <v>1870</v>
      </c>
      <c r="J1819" s="1" t="s">
        <v>1456</v>
      </c>
      <c r="K1819" s="1" t="s">
        <v>1575</v>
      </c>
      <c r="L1819" s="1" t="s">
        <v>1729</v>
      </c>
      <c r="M1819" s="1" t="s">
        <v>1735</v>
      </c>
      <c r="N1819" t="s">
        <v>1948</v>
      </c>
      <c r="O1819" t="s">
        <v>2157</v>
      </c>
      <c r="P1819" t="s">
        <v>3037</v>
      </c>
      <c r="Q1819">
        <v>350</v>
      </c>
      <c r="R1819" s="1" t="s">
        <v>1718</v>
      </c>
      <c r="S1819">
        <v>7649</v>
      </c>
      <c r="T1819">
        <v>2677150</v>
      </c>
    </row>
    <row r="1820" spans="1:20" hidden="1" x14ac:dyDescent="0.4">
      <c r="A1820" s="1" t="s">
        <v>624</v>
      </c>
      <c r="B1820" s="1" t="s">
        <v>1454</v>
      </c>
      <c r="C1820" s="1" t="s">
        <v>1845</v>
      </c>
      <c r="D1820" s="1" t="s">
        <v>1731</v>
      </c>
      <c r="E1820">
        <v>20251223</v>
      </c>
      <c r="F1820" s="1" t="s">
        <v>1470</v>
      </c>
      <c r="G1820">
        <v>4</v>
      </c>
      <c r="H1820" s="1" t="s">
        <v>1490</v>
      </c>
      <c r="I1820" t="s">
        <v>1870</v>
      </c>
      <c r="J1820" s="1" t="s">
        <v>1456</v>
      </c>
      <c r="K1820" s="1" t="s">
        <v>1570</v>
      </c>
      <c r="L1820" s="1" t="s">
        <v>1729</v>
      </c>
      <c r="M1820" s="1" t="s">
        <v>1742</v>
      </c>
      <c r="N1820" t="s">
        <v>1943</v>
      </c>
      <c r="O1820" t="s">
        <v>2157</v>
      </c>
      <c r="P1820" t="s">
        <v>3043</v>
      </c>
      <c r="Q1820">
        <v>1</v>
      </c>
      <c r="R1820" s="1" t="s">
        <v>1718</v>
      </c>
      <c r="S1820">
        <v>18371</v>
      </c>
      <c r="T1820">
        <v>18371</v>
      </c>
    </row>
    <row r="1821" spans="1:20" hidden="1" x14ac:dyDescent="0.4">
      <c r="A1821" s="1" t="s">
        <v>624</v>
      </c>
      <c r="B1821" s="1" t="s">
        <v>1455</v>
      </c>
      <c r="C1821" s="1" t="s">
        <v>1845</v>
      </c>
      <c r="D1821" s="1" t="s">
        <v>1731</v>
      </c>
      <c r="E1821">
        <v>20251223</v>
      </c>
      <c r="F1821" s="1" t="s">
        <v>1470</v>
      </c>
      <c r="G1821">
        <v>4</v>
      </c>
      <c r="H1821" s="1" t="s">
        <v>1490</v>
      </c>
      <c r="I1821" t="s">
        <v>1870</v>
      </c>
      <c r="J1821" s="1" t="s">
        <v>1456</v>
      </c>
      <c r="K1821" s="1" t="s">
        <v>1570</v>
      </c>
      <c r="L1821" s="1" t="s">
        <v>1729</v>
      </c>
      <c r="M1821" s="1" t="s">
        <v>1741</v>
      </c>
      <c r="N1821" t="s">
        <v>1943</v>
      </c>
      <c r="O1821" t="s">
        <v>2157</v>
      </c>
      <c r="P1821" t="s">
        <v>3042</v>
      </c>
      <c r="Q1821">
        <v>5</v>
      </c>
      <c r="R1821" s="1" t="s">
        <v>1718</v>
      </c>
      <c r="S1821">
        <v>5450</v>
      </c>
      <c r="T1821">
        <v>27250</v>
      </c>
    </row>
    <row r="1822" spans="1:20" hidden="1" x14ac:dyDescent="0.4">
      <c r="A1822" s="1" t="s">
        <v>625</v>
      </c>
      <c r="B1822" s="1" t="s">
        <v>1453</v>
      </c>
      <c r="C1822" s="1" t="s">
        <v>1845</v>
      </c>
      <c r="D1822" s="1" t="s">
        <v>1731</v>
      </c>
      <c r="E1822">
        <v>20251223</v>
      </c>
      <c r="F1822" s="1" t="s">
        <v>1470</v>
      </c>
      <c r="G1822">
        <v>4</v>
      </c>
      <c r="H1822" s="1" t="s">
        <v>1490</v>
      </c>
      <c r="I1822" t="s">
        <v>1870</v>
      </c>
      <c r="J1822" s="1" t="s">
        <v>1456</v>
      </c>
      <c r="K1822" s="1" t="s">
        <v>1577</v>
      </c>
      <c r="L1822" s="1" t="s">
        <v>1729</v>
      </c>
      <c r="M1822" s="1" t="s">
        <v>1737</v>
      </c>
      <c r="N1822" t="s">
        <v>1950</v>
      </c>
      <c r="O1822" t="s">
        <v>2157</v>
      </c>
      <c r="P1822" t="s">
        <v>2157</v>
      </c>
      <c r="Q1822">
        <v>1</v>
      </c>
      <c r="R1822" s="1" t="s">
        <v>1718</v>
      </c>
      <c r="S1822">
        <v>4032</v>
      </c>
      <c r="T1822">
        <v>4032</v>
      </c>
    </row>
    <row r="1823" spans="1:20" hidden="1" x14ac:dyDescent="0.4">
      <c r="A1823" s="1" t="s">
        <v>626</v>
      </c>
      <c r="B1823" s="1" t="s">
        <v>1453</v>
      </c>
      <c r="C1823" s="1" t="s">
        <v>1845</v>
      </c>
      <c r="D1823" s="1" t="s">
        <v>1731</v>
      </c>
      <c r="E1823">
        <v>20251222</v>
      </c>
      <c r="F1823" s="1" t="s">
        <v>1473</v>
      </c>
      <c r="G1823">
        <v>4</v>
      </c>
      <c r="H1823" s="1" t="s">
        <v>1494</v>
      </c>
      <c r="I1823" t="s">
        <v>1874</v>
      </c>
      <c r="J1823" s="1" t="s">
        <v>1453</v>
      </c>
      <c r="K1823" s="1" t="s">
        <v>1609</v>
      </c>
      <c r="L1823" s="1" t="s">
        <v>1718</v>
      </c>
      <c r="M1823" s="1" t="s">
        <v>1770</v>
      </c>
      <c r="N1823" t="s">
        <v>1983</v>
      </c>
      <c r="O1823" t="s">
        <v>2164</v>
      </c>
      <c r="P1823" t="s">
        <v>3094</v>
      </c>
      <c r="Q1823">
        <v>98.28</v>
      </c>
      <c r="R1823" s="1" t="s">
        <v>1839</v>
      </c>
      <c r="S1823">
        <v>1729.99</v>
      </c>
      <c r="T1823">
        <v>170024</v>
      </c>
    </row>
    <row r="1824" spans="1:20" hidden="1" x14ac:dyDescent="0.4">
      <c r="A1824" s="1" t="s">
        <v>626</v>
      </c>
      <c r="B1824" s="1" t="s">
        <v>1454</v>
      </c>
      <c r="C1824" s="1" t="s">
        <v>1845</v>
      </c>
      <c r="D1824" s="1" t="s">
        <v>1731</v>
      </c>
      <c r="E1824">
        <v>20251222</v>
      </c>
      <c r="F1824" s="1" t="s">
        <v>1473</v>
      </c>
      <c r="G1824">
        <v>4</v>
      </c>
      <c r="H1824" s="1" t="s">
        <v>1494</v>
      </c>
      <c r="I1824" t="s">
        <v>1874</v>
      </c>
      <c r="J1824" s="1" t="s">
        <v>1453</v>
      </c>
      <c r="K1824" s="1" t="s">
        <v>1609</v>
      </c>
      <c r="L1824" s="1" t="s">
        <v>1718</v>
      </c>
      <c r="M1824" s="1" t="s">
        <v>1770</v>
      </c>
      <c r="N1824" t="s">
        <v>1983</v>
      </c>
      <c r="O1824" t="s">
        <v>2164</v>
      </c>
      <c r="P1824" t="s">
        <v>3094</v>
      </c>
      <c r="Q1824">
        <v>98.28</v>
      </c>
      <c r="R1824" s="1" t="s">
        <v>1839</v>
      </c>
      <c r="S1824">
        <v>1729.99</v>
      </c>
      <c r="T1824">
        <v>170024</v>
      </c>
    </row>
    <row r="1825" spans="1:20" hidden="1" x14ac:dyDescent="0.4">
      <c r="A1825" s="1" t="s">
        <v>626</v>
      </c>
      <c r="B1825" s="1" t="s">
        <v>1455</v>
      </c>
      <c r="C1825" s="1" t="s">
        <v>1845</v>
      </c>
      <c r="D1825" s="1" t="s">
        <v>1731</v>
      </c>
      <c r="E1825">
        <v>20251222</v>
      </c>
      <c r="F1825" s="1" t="s">
        <v>1473</v>
      </c>
      <c r="G1825">
        <v>4</v>
      </c>
      <c r="H1825" s="1" t="s">
        <v>1494</v>
      </c>
      <c r="I1825" t="s">
        <v>1874</v>
      </c>
      <c r="J1825" s="1" t="s">
        <v>1453</v>
      </c>
      <c r="K1825" s="1" t="s">
        <v>1609</v>
      </c>
      <c r="L1825" s="1" t="s">
        <v>1718</v>
      </c>
      <c r="M1825" s="1" t="s">
        <v>1770</v>
      </c>
      <c r="N1825" t="s">
        <v>1983</v>
      </c>
      <c r="O1825" t="s">
        <v>2164</v>
      </c>
      <c r="P1825" t="s">
        <v>3094</v>
      </c>
      <c r="Q1825">
        <v>98.28</v>
      </c>
      <c r="R1825" s="1" t="s">
        <v>1839</v>
      </c>
      <c r="S1825">
        <v>1729.99</v>
      </c>
      <c r="T1825">
        <v>170024</v>
      </c>
    </row>
    <row r="1826" spans="1:20" hidden="1" x14ac:dyDescent="0.4">
      <c r="A1826" s="1" t="s">
        <v>626</v>
      </c>
      <c r="B1826" s="1" t="s">
        <v>1456</v>
      </c>
      <c r="C1826" s="1" t="s">
        <v>1845</v>
      </c>
      <c r="D1826" s="1" t="s">
        <v>1731</v>
      </c>
      <c r="E1826">
        <v>20251222</v>
      </c>
      <c r="F1826" s="1" t="s">
        <v>1473</v>
      </c>
      <c r="G1826">
        <v>4</v>
      </c>
      <c r="H1826" s="1" t="s">
        <v>1494</v>
      </c>
      <c r="I1826" t="s">
        <v>1874</v>
      </c>
      <c r="J1826" s="1" t="s">
        <v>1453</v>
      </c>
      <c r="K1826" s="1" t="s">
        <v>1609</v>
      </c>
      <c r="L1826" s="1" t="s">
        <v>1718</v>
      </c>
      <c r="M1826" s="1" t="s">
        <v>1770</v>
      </c>
      <c r="N1826" t="s">
        <v>1983</v>
      </c>
      <c r="O1826" t="s">
        <v>2164</v>
      </c>
      <c r="P1826" t="s">
        <v>3094</v>
      </c>
      <c r="Q1826">
        <v>93.18</v>
      </c>
      <c r="R1826" s="1" t="s">
        <v>1839</v>
      </c>
      <c r="S1826">
        <v>1729.99</v>
      </c>
      <c r="T1826">
        <v>161201</v>
      </c>
    </row>
    <row r="1827" spans="1:20" hidden="1" x14ac:dyDescent="0.4">
      <c r="A1827" s="1" t="s">
        <v>627</v>
      </c>
      <c r="B1827" s="1" t="s">
        <v>1453</v>
      </c>
      <c r="C1827" s="1" t="s">
        <v>1845</v>
      </c>
      <c r="D1827" s="1" t="s">
        <v>1733</v>
      </c>
      <c r="E1827">
        <v>20251222</v>
      </c>
      <c r="F1827" s="1" t="s">
        <v>1473</v>
      </c>
      <c r="G1827">
        <v>4</v>
      </c>
      <c r="H1827" s="1" t="s">
        <v>1494</v>
      </c>
      <c r="I1827" t="s">
        <v>1874</v>
      </c>
      <c r="J1827" s="1" t="s">
        <v>1453</v>
      </c>
      <c r="K1827" s="1" t="s">
        <v>1609</v>
      </c>
      <c r="L1827" s="1" t="s">
        <v>1718</v>
      </c>
      <c r="M1827" s="1" t="s">
        <v>1770</v>
      </c>
      <c r="N1827" t="s">
        <v>1983</v>
      </c>
      <c r="O1827" t="s">
        <v>2164</v>
      </c>
      <c r="P1827" t="s">
        <v>3094</v>
      </c>
      <c r="Q1827">
        <v>-98.28</v>
      </c>
      <c r="R1827" s="1" t="s">
        <v>1839</v>
      </c>
      <c r="S1827">
        <v>1729.99</v>
      </c>
      <c r="T1827">
        <v>-170024</v>
      </c>
    </row>
    <row r="1828" spans="1:20" hidden="1" x14ac:dyDescent="0.4">
      <c r="A1828" s="1" t="s">
        <v>627</v>
      </c>
      <c r="B1828" s="1" t="s">
        <v>1454</v>
      </c>
      <c r="C1828" s="1" t="s">
        <v>1845</v>
      </c>
      <c r="D1828" s="1" t="s">
        <v>1733</v>
      </c>
      <c r="E1828">
        <v>20251222</v>
      </c>
      <c r="F1828" s="1" t="s">
        <v>1473</v>
      </c>
      <c r="G1828">
        <v>4</v>
      </c>
      <c r="H1828" s="1" t="s">
        <v>1494</v>
      </c>
      <c r="I1828" t="s">
        <v>1874</v>
      </c>
      <c r="J1828" s="1" t="s">
        <v>1453</v>
      </c>
      <c r="K1828" s="1" t="s">
        <v>1609</v>
      </c>
      <c r="L1828" s="1" t="s">
        <v>1718</v>
      </c>
      <c r="M1828" s="1" t="s">
        <v>1770</v>
      </c>
      <c r="N1828" t="s">
        <v>1983</v>
      </c>
      <c r="O1828" t="s">
        <v>2164</v>
      </c>
      <c r="P1828" t="s">
        <v>3094</v>
      </c>
      <c r="Q1828">
        <v>-98.28</v>
      </c>
      <c r="R1828" s="1" t="s">
        <v>1839</v>
      </c>
      <c r="S1828">
        <v>1729.99</v>
      </c>
      <c r="T1828">
        <v>-170024</v>
      </c>
    </row>
    <row r="1829" spans="1:20" hidden="1" x14ac:dyDescent="0.4">
      <c r="A1829" s="1" t="s">
        <v>627</v>
      </c>
      <c r="B1829" s="1" t="s">
        <v>1455</v>
      </c>
      <c r="C1829" s="1" t="s">
        <v>1845</v>
      </c>
      <c r="D1829" s="1" t="s">
        <v>1733</v>
      </c>
      <c r="E1829">
        <v>20251222</v>
      </c>
      <c r="F1829" s="1" t="s">
        <v>1473</v>
      </c>
      <c r="G1829">
        <v>4</v>
      </c>
      <c r="H1829" s="1" t="s">
        <v>1494</v>
      </c>
      <c r="I1829" t="s">
        <v>1874</v>
      </c>
      <c r="J1829" s="1" t="s">
        <v>1453</v>
      </c>
      <c r="K1829" s="1" t="s">
        <v>1609</v>
      </c>
      <c r="L1829" s="1" t="s">
        <v>1718</v>
      </c>
      <c r="M1829" s="1" t="s">
        <v>1770</v>
      </c>
      <c r="N1829" t="s">
        <v>1983</v>
      </c>
      <c r="O1829" t="s">
        <v>2164</v>
      </c>
      <c r="P1829" t="s">
        <v>3094</v>
      </c>
      <c r="Q1829">
        <v>-98.28</v>
      </c>
      <c r="R1829" s="1" t="s">
        <v>1839</v>
      </c>
      <c r="S1829">
        <v>1729.99</v>
      </c>
      <c r="T1829">
        <v>-170024</v>
      </c>
    </row>
    <row r="1830" spans="1:20" hidden="1" x14ac:dyDescent="0.4">
      <c r="A1830" s="1" t="s">
        <v>627</v>
      </c>
      <c r="B1830" s="1" t="s">
        <v>1456</v>
      </c>
      <c r="C1830" s="1" t="s">
        <v>1845</v>
      </c>
      <c r="D1830" s="1" t="s">
        <v>1733</v>
      </c>
      <c r="E1830">
        <v>20251222</v>
      </c>
      <c r="F1830" s="1" t="s">
        <v>1473</v>
      </c>
      <c r="G1830">
        <v>4</v>
      </c>
      <c r="H1830" s="1" t="s">
        <v>1494</v>
      </c>
      <c r="I1830" t="s">
        <v>1874</v>
      </c>
      <c r="J1830" s="1" t="s">
        <v>1453</v>
      </c>
      <c r="K1830" s="1" t="s">
        <v>1609</v>
      </c>
      <c r="L1830" s="1" t="s">
        <v>1718</v>
      </c>
      <c r="M1830" s="1" t="s">
        <v>1770</v>
      </c>
      <c r="N1830" t="s">
        <v>1983</v>
      </c>
      <c r="O1830" t="s">
        <v>2164</v>
      </c>
      <c r="P1830" t="s">
        <v>3094</v>
      </c>
      <c r="Q1830">
        <v>-93.18</v>
      </c>
      <c r="R1830" s="1" t="s">
        <v>1839</v>
      </c>
      <c r="S1830">
        <v>1729.99</v>
      </c>
      <c r="T1830">
        <v>-161201</v>
      </c>
    </row>
    <row r="1831" spans="1:20" hidden="1" x14ac:dyDescent="0.4">
      <c r="A1831" s="1" t="s">
        <v>628</v>
      </c>
      <c r="B1831" s="1" t="s">
        <v>1453</v>
      </c>
      <c r="C1831" s="1" t="s">
        <v>1845</v>
      </c>
      <c r="D1831" s="1" t="s">
        <v>1731</v>
      </c>
      <c r="E1831">
        <v>20251222</v>
      </c>
      <c r="F1831" s="1" t="s">
        <v>1473</v>
      </c>
      <c r="G1831">
        <v>4</v>
      </c>
      <c r="H1831" s="1" t="s">
        <v>1494</v>
      </c>
      <c r="I1831" t="s">
        <v>1874</v>
      </c>
      <c r="J1831" s="1" t="s">
        <v>1453</v>
      </c>
      <c r="K1831" s="1" t="s">
        <v>1609</v>
      </c>
      <c r="L1831" s="1" t="s">
        <v>1718</v>
      </c>
      <c r="M1831" s="1" t="s">
        <v>1770</v>
      </c>
      <c r="N1831" t="s">
        <v>1983</v>
      </c>
      <c r="O1831" t="s">
        <v>2164</v>
      </c>
      <c r="P1831" t="s">
        <v>3094</v>
      </c>
      <c r="Q1831">
        <v>98.28</v>
      </c>
      <c r="R1831" s="1" t="s">
        <v>1839</v>
      </c>
      <c r="S1831">
        <v>1729.99</v>
      </c>
      <c r="T1831">
        <v>170024</v>
      </c>
    </row>
    <row r="1832" spans="1:20" hidden="1" x14ac:dyDescent="0.4">
      <c r="A1832" s="1" t="s">
        <v>628</v>
      </c>
      <c r="B1832" s="1" t="s">
        <v>1454</v>
      </c>
      <c r="C1832" s="1" t="s">
        <v>1845</v>
      </c>
      <c r="D1832" s="1" t="s">
        <v>1731</v>
      </c>
      <c r="E1832">
        <v>20251222</v>
      </c>
      <c r="F1832" s="1" t="s">
        <v>1473</v>
      </c>
      <c r="G1832">
        <v>4</v>
      </c>
      <c r="H1832" s="1" t="s">
        <v>1494</v>
      </c>
      <c r="I1832" t="s">
        <v>1874</v>
      </c>
      <c r="J1832" s="1" t="s">
        <v>1453</v>
      </c>
      <c r="K1832" s="1" t="s">
        <v>1609</v>
      </c>
      <c r="L1832" s="1" t="s">
        <v>1718</v>
      </c>
      <c r="M1832" s="1" t="s">
        <v>1770</v>
      </c>
      <c r="N1832" t="s">
        <v>1983</v>
      </c>
      <c r="O1832" t="s">
        <v>2164</v>
      </c>
      <c r="P1832" t="s">
        <v>3094</v>
      </c>
      <c r="Q1832">
        <v>98.28</v>
      </c>
      <c r="R1832" s="1" t="s">
        <v>1839</v>
      </c>
      <c r="S1832">
        <v>1729.99</v>
      </c>
      <c r="T1832">
        <v>170024</v>
      </c>
    </row>
    <row r="1833" spans="1:20" hidden="1" x14ac:dyDescent="0.4">
      <c r="A1833" s="1" t="s">
        <v>628</v>
      </c>
      <c r="B1833" s="1" t="s">
        <v>1455</v>
      </c>
      <c r="C1833" s="1" t="s">
        <v>1845</v>
      </c>
      <c r="D1833" s="1" t="s">
        <v>1731</v>
      </c>
      <c r="E1833">
        <v>20251222</v>
      </c>
      <c r="F1833" s="1" t="s">
        <v>1473</v>
      </c>
      <c r="G1833">
        <v>4</v>
      </c>
      <c r="H1833" s="1" t="s">
        <v>1494</v>
      </c>
      <c r="I1833" t="s">
        <v>1874</v>
      </c>
      <c r="J1833" s="1" t="s">
        <v>1453</v>
      </c>
      <c r="K1833" s="1" t="s">
        <v>1609</v>
      </c>
      <c r="L1833" s="1" t="s">
        <v>1718</v>
      </c>
      <c r="M1833" s="1" t="s">
        <v>1770</v>
      </c>
      <c r="N1833" t="s">
        <v>1983</v>
      </c>
      <c r="O1833" t="s">
        <v>2164</v>
      </c>
      <c r="P1833" t="s">
        <v>3094</v>
      </c>
      <c r="Q1833">
        <v>98.28</v>
      </c>
      <c r="R1833" s="1" t="s">
        <v>1839</v>
      </c>
      <c r="S1833">
        <v>1729.99</v>
      </c>
      <c r="T1833">
        <v>170024</v>
      </c>
    </row>
    <row r="1834" spans="1:20" hidden="1" x14ac:dyDescent="0.4">
      <c r="A1834" s="1" t="s">
        <v>628</v>
      </c>
      <c r="B1834" s="1" t="s">
        <v>1456</v>
      </c>
      <c r="C1834" s="1" t="s">
        <v>1845</v>
      </c>
      <c r="D1834" s="1" t="s">
        <v>1731</v>
      </c>
      <c r="E1834">
        <v>20251222</v>
      </c>
      <c r="F1834" s="1" t="s">
        <v>1473</v>
      </c>
      <c r="G1834">
        <v>4</v>
      </c>
      <c r="H1834" s="1" t="s">
        <v>1494</v>
      </c>
      <c r="I1834" t="s">
        <v>1874</v>
      </c>
      <c r="J1834" s="1" t="s">
        <v>1453</v>
      </c>
      <c r="K1834" s="1" t="s">
        <v>1609</v>
      </c>
      <c r="L1834" s="1" t="s">
        <v>1718</v>
      </c>
      <c r="M1834" s="1" t="s">
        <v>1770</v>
      </c>
      <c r="N1834" t="s">
        <v>1983</v>
      </c>
      <c r="O1834" t="s">
        <v>2164</v>
      </c>
      <c r="P1834" t="s">
        <v>3094</v>
      </c>
      <c r="Q1834">
        <v>93.18</v>
      </c>
      <c r="R1834" s="1" t="s">
        <v>1839</v>
      </c>
      <c r="S1834">
        <v>1729.99</v>
      </c>
      <c r="T1834">
        <v>161201</v>
      </c>
    </row>
    <row r="1835" spans="1:20" hidden="1" x14ac:dyDescent="0.4">
      <c r="A1835" s="1" t="s">
        <v>629</v>
      </c>
      <c r="B1835" s="1" t="s">
        <v>1453</v>
      </c>
      <c r="C1835" s="1" t="s">
        <v>1845</v>
      </c>
      <c r="D1835" s="1" t="s">
        <v>1462</v>
      </c>
      <c r="E1835">
        <v>20251202</v>
      </c>
      <c r="F1835" s="1" t="s">
        <v>1474</v>
      </c>
      <c r="G1835">
        <v>4</v>
      </c>
      <c r="H1835" s="1" t="s">
        <v>1508</v>
      </c>
      <c r="I1835" t="s">
        <v>1888</v>
      </c>
      <c r="J1835" s="1" t="s">
        <v>1455</v>
      </c>
      <c r="K1835" s="1" t="s">
        <v>1683</v>
      </c>
      <c r="L1835" s="1" t="s">
        <v>1734</v>
      </c>
      <c r="M1835" s="1" t="s">
        <v>1768</v>
      </c>
      <c r="N1835" t="s">
        <v>2075</v>
      </c>
      <c r="O1835" t="s">
        <v>2179</v>
      </c>
      <c r="P1835" t="s">
        <v>3199</v>
      </c>
      <c r="Q1835">
        <v>1036</v>
      </c>
      <c r="R1835" s="1" t="s">
        <v>1463</v>
      </c>
      <c r="S1835">
        <v>520.22</v>
      </c>
      <c r="T1835">
        <v>538947</v>
      </c>
    </row>
    <row r="1836" spans="1:20" hidden="1" x14ac:dyDescent="0.4">
      <c r="A1836" s="1" t="s">
        <v>629</v>
      </c>
      <c r="B1836" s="1" t="s">
        <v>1454</v>
      </c>
      <c r="C1836" s="1" t="s">
        <v>1845</v>
      </c>
      <c r="D1836" s="1" t="s">
        <v>1462</v>
      </c>
      <c r="E1836">
        <v>20251202</v>
      </c>
      <c r="F1836" s="1" t="s">
        <v>1474</v>
      </c>
      <c r="G1836">
        <v>4</v>
      </c>
      <c r="H1836" s="1" t="s">
        <v>1508</v>
      </c>
      <c r="I1836" t="s">
        <v>1888</v>
      </c>
      <c r="J1836" s="1" t="s">
        <v>1455</v>
      </c>
      <c r="K1836" s="1" t="s">
        <v>1684</v>
      </c>
      <c r="L1836" s="1" t="s">
        <v>1734</v>
      </c>
      <c r="M1836" s="1" t="s">
        <v>1768</v>
      </c>
      <c r="N1836" t="s">
        <v>2076</v>
      </c>
      <c r="O1836" t="s">
        <v>2179</v>
      </c>
      <c r="P1836" t="s">
        <v>3200</v>
      </c>
      <c r="Q1836">
        <v>7151</v>
      </c>
      <c r="R1836" s="1" t="s">
        <v>1463</v>
      </c>
      <c r="S1836">
        <v>504.02</v>
      </c>
      <c r="T1836">
        <v>3604247</v>
      </c>
    </row>
    <row r="1837" spans="1:20" hidden="1" x14ac:dyDescent="0.4">
      <c r="A1837" s="1" t="s">
        <v>629</v>
      </c>
      <c r="B1837" s="1" t="s">
        <v>1455</v>
      </c>
      <c r="C1837" s="1" t="s">
        <v>1845</v>
      </c>
      <c r="D1837" s="1" t="s">
        <v>1462</v>
      </c>
      <c r="E1837">
        <v>20251202</v>
      </c>
      <c r="F1837" s="1" t="s">
        <v>1474</v>
      </c>
      <c r="G1837">
        <v>4</v>
      </c>
      <c r="H1837" s="1" t="s">
        <v>1508</v>
      </c>
      <c r="I1837" t="s">
        <v>1888</v>
      </c>
      <c r="J1837" s="1" t="s">
        <v>1455</v>
      </c>
      <c r="K1837" s="1" t="s">
        <v>1684</v>
      </c>
      <c r="L1837" s="1" t="s">
        <v>1734</v>
      </c>
      <c r="M1837" s="1" t="s">
        <v>1761</v>
      </c>
      <c r="N1837" t="s">
        <v>2076</v>
      </c>
      <c r="O1837" t="s">
        <v>2179</v>
      </c>
      <c r="P1837" t="s">
        <v>3201</v>
      </c>
      <c r="Q1837">
        <v>260</v>
      </c>
      <c r="R1837" s="1" t="s">
        <v>1463</v>
      </c>
      <c r="S1837">
        <v>504.02</v>
      </c>
      <c r="T1837">
        <v>131045</v>
      </c>
    </row>
    <row r="1838" spans="1:20" hidden="1" x14ac:dyDescent="0.4">
      <c r="A1838" s="1" t="s">
        <v>630</v>
      </c>
      <c r="B1838" s="1" t="s">
        <v>1453</v>
      </c>
      <c r="C1838" s="1" t="s">
        <v>1845</v>
      </c>
      <c r="D1838" s="1" t="s">
        <v>1850</v>
      </c>
      <c r="E1838">
        <v>20251204</v>
      </c>
      <c r="F1838" s="1" t="s">
        <v>1470</v>
      </c>
      <c r="G1838">
        <v>1</v>
      </c>
      <c r="H1838" s="1" t="s">
        <v>1499</v>
      </c>
      <c r="I1838" t="s">
        <v>1879</v>
      </c>
      <c r="J1838" s="1" t="s">
        <v>1456</v>
      </c>
      <c r="K1838" s="1" t="s">
        <v>1628</v>
      </c>
      <c r="L1838" s="1" t="s">
        <v>1716</v>
      </c>
      <c r="M1838" s="1" t="s">
        <v>1777</v>
      </c>
      <c r="N1838" t="s">
        <v>2033</v>
      </c>
      <c r="O1838" t="s">
        <v>2162</v>
      </c>
      <c r="P1838">
        <v>1403</v>
      </c>
      <c r="Q1838">
        <v>-509</v>
      </c>
      <c r="R1838" s="1" t="s">
        <v>1463</v>
      </c>
      <c r="S1838">
        <v>1453</v>
      </c>
      <c r="T1838">
        <v>-739577</v>
      </c>
    </row>
    <row r="1839" spans="1:20" hidden="1" x14ac:dyDescent="0.4">
      <c r="A1839" s="1" t="s">
        <v>630</v>
      </c>
      <c r="B1839" s="1" t="s">
        <v>1454</v>
      </c>
      <c r="C1839" s="1" t="s">
        <v>1845</v>
      </c>
      <c r="D1839" s="1" t="s">
        <v>1850</v>
      </c>
      <c r="E1839">
        <v>20251204</v>
      </c>
      <c r="F1839" s="1" t="s">
        <v>1470</v>
      </c>
      <c r="G1839">
        <v>1</v>
      </c>
      <c r="H1839" s="1" t="s">
        <v>1499</v>
      </c>
      <c r="I1839" t="s">
        <v>1879</v>
      </c>
      <c r="J1839" s="1" t="s">
        <v>1456</v>
      </c>
      <c r="K1839" s="1" t="s">
        <v>1629</v>
      </c>
      <c r="L1839" s="1" t="s">
        <v>1716</v>
      </c>
      <c r="M1839" s="1" t="s">
        <v>1778</v>
      </c>
      <c r="N1839" t="s">
        <v>2034</v>
      </c>
      <c r="O1839" t="s">
        <v>2162</v>
      </c>
      <c r="P1839">
        <v>1303</v>
      </c>
      <c r="Q1839">
        <v>-509</v>
      </c>
      <c r="R1839" s="1" t="s">
        <v>1463</v>
      </c>
      <c r="S1839">
        <v>1845</v>
      </c>
      <c r="T1839">
        <v>-939105</v>
      </c>
    </row>
    <row r="1840" spans="1:20" hidden="1" x14ac:dyDescent="0.4">
      <c r="A1840" s="1" t="s">
        <v>631</v>
      </c>
      <c r="B1840" s="1" t="s">
        <v>1453</v>
      </c>
      <c r="C1840" s="1" t="s">
        <v>1845</v>
      </c>
      <c r="D1840" s="1" t="s">
        <v>1462</v>
      </c>
      <c r="E1840">
        <v>20251204</v>
      </c>
      <c r="F1840" s="1" t="s">
        <v>1470</v>
      </c>
      <c r="G1840">
        <v>1</v>
      </c>
      <c r="H1840" s="1" t="s">
        <v>1499</v>
      </c>
      <c r="I1840" t="s">
        <v>1879</v>
      </c>
      <c r="J1840" s="1" t="s">
        <v>1456</v>
      </c>
      <c r="K1840" s="1" t="s">
        <v>1628</v>
      </c>
      <c r="L1840" s="1" t="s">
        <v>1716</v>
      </c>
      <c r="M1840" s="1" t="s">
        <v>1777</v>
      </c>
      <c r="N1840" t="s">
        <v>2033</v>
      </c>
      <c r="O1840" t="s">
        <v>2162</v>
      </c>
      <c r="P1840">
        <v>1403</v>
      </c>
      <c r="Q1840">
        <v>509</v>
      </c>
      <c r="R1840" s="1" t="s">
        <v>1463</v>
      </c>
      <c r="S1840">
        <v>1305</v>
      </c>
      <c r="T1840">
        <v>664245</v>
      </c>
    </row>
    <row r="1841" spans="1:20" hidden="1" x14ac:dyDescent="0.4">
      <c r="A1841" s="1" t="s">
        <v>631</v>
      </c>
      <c r="B1841" s="1" t="s">
        <v>1454</v>
      </c>
      <c r="C1841" s="1" t="s">
        <v>1845</v>
      </c>
      <c r="D1841" s="1" t="s">
        <v>1462</v>
      </c>
      <c r="E1841">
        <v>20251204</v>
      </c>
      <c r="F1841" s="1" t="s">
        <v>1470</v>
      </c>
      <c r="G1841">
        <v>1</v>
      </c>
      <c r="H1841" s="1" t="s">
        <v>1499</v>
      </c>
      <c r="I1841" t="s">
        <v>1879</v>
      </c>
      <c r="J1841" s="1" t="s">
        <v>1456</v>
      </c>
      <c r="K1841" s="1" t="s">
        <v>1629</v>
      </c>
      <c r="L1841" s="1" t="s">
        <v>1716</v>
      </c>
      <c r="M1841" s="1" t="s">
        <v>1778</v>
      </c>
      <c r="N1841" t="s">
        <v>2034</v>
      </c>
      <c r="O1841" t="s">
        <v>2162</v>
      </c>
      <c r="P1841">
        <v>1303</v>
      </c>
      <c r="Q1841">
        <v>509</v>
      </c>
      <c r="R1841" s="1" t="s">
        <v>1463</v>
      </c>
      <c r="S1841">
        <v>1845</v>
      </c>
      <c r="T1841">
        <v>939105</v>
      </c>
    </row>
    <row r="1842" spans="1:20" hidden="1" x14ac:dyDescent="0.4">
      <c r="A1842" s="1" t="s">
        <v>632</v>
      </c>
      <c r="B1842" s="1" t="s">
        <v>1453</v>
      </c>
      <c r="C1842" s="1" t="s">
        <v>1845</v>
      </c>
      <c r="D1842" s="1" t="s">
        <v>1731</v>
      </c>
      <c r="E1842">
        <v>20251223</v>
      </c>
      <c r="F1842" s="1" t="s">
        <v>1470</v>
      </c>
      <c r="G1842">
        <v>4</v>
      </c>
      <c r="H1842" s="1" t="s">
        <v>1494</v>
      </c>
      <c r="I1842" t="s">
        <v>1874</v>
      </c>
      <c r="J1842" s="1" t="s">
        <v>1456</v>
      </c>
      <c r="K1842" s="1" t="s">
        <v>1612</v>
      </c>
      <c r="L1842" s="1" t="s">
        <v>1729</v>
      </c>
      <c r="M1842" s="1" t="s">
        <v>1737</v>
      </c>
      <c r="N1842" t="s">
        <v>1986</v>
      </c>
      <c r="O1842" t="s">
        <v>2157</v>
      </c>
      <c r="P1842" t="s">
        <v>2157</v>
      </c>
      <c r="Q1842">
        <v>12.3</v>
      </c>
      <c r="R1842" s="1" t="s">
        <v>1839</v>
      </c>
      <c r="S1842">
        <v>1082.92</v>
      </c>
      <c r="T1842">
        <v>13320</v>
      </c>
    </row>
    <row r="1843" spans="1:20" hidden="1" x14ac:dyDescent="0.4">
      <c r="A1843" s="1" t="s">
        <v>632</v>
      </c>
      <c r="B1843" s="1" t="s">
        <v>1454</v>
      </c>
      <c r="C1843" s="1" t="s">
        <v>1845</v>
      </c>
      <c r="D1843" s="1" t="s">
        <v>1731</v>
      </c>
      <c r="E1843">
        <v>20251223</v>
      </c>
      <c r="F1843" s="1" t="s">
        <v>1470</v>
      </c>
      <c r="G1843">
        <v>4</v>
      </c>
      <c r="H1843" s="1" t="s">
        <v>1494</v>
      </c>
      <c r="I1843" t="s">
        <v>1874</v>
      </c>
      <c r="J1843" s="1" t="s">
        <v>1456</v>
      </c>
      <c r="K1843" s="1" t="s">
        <v>1612</v>
      </c>
      <c r="L1843" s="1" t="s">
        <v>1729</v>
      </c>
      <c r="M1843" s="1" t="s">
        <v>1737</v>
      </c>
      <c r="N1843" t="s">
        <v>1986</v>
      </c>
      <c r="O1843" t="s">
        <v>2157</v>
      </c>
      <c r="P1843" t="s">
        <v>2157</v>
      </c>
      <c r="Q1843">
        <v>12.3</v>
      </c>
      <c r="R1843" s="1" t="s">
        <v>1839</v>
      </c>
      <c r="S1843">
        <v>1082.92</v>
      </c>
      <c r="T1843">
        <v>13320</v>
      </c>
    </row>
    <row r="1844" spans="1:20" hidden="1" x14ac:dyDescent="0.4">
      <c r="A1844" s="1" t="s">
        <v>632</v>
      </c>
      <c r="B1844" s="1" t="s">
        <v>1455</v>
      </c>
      <c r="C1844" s="1" t="s">
        <v>1845</v>
      </c>
      <c r="D1844" s="1" t="s">
        <v>1731</v>
      </c>
      <c r="E1844">
        <v>20251223</v>
      </c>
      <c r="F1844" s="1" t="s">
        <v>1470</v>
      </c>
      <c r="G1844">
        <v>4</v>
      </c>
      <c r="H1844" s="1" t="s">
        <v>1494</v>
      </c>
      <c r="I1844" t="s">
        <v>1874</v>
      </c>
      <c r="J1844" s="1" t="s">
        <v>1456</v>
      </c>
      <c r="K1844" s="1" t="s">
        <v>1612</v>
      </c>
      <c r="L1844" s="1" t="s">
        <v>1729</v>
      </c>
      <c r="M1844" s="1" t="s">
        <v>1737</v>
      </c>
      <c r="N1844" t="s">
        <v>1986</v>
      </c>
      <c r="O1844" t="s">
        <v>2157</v>
      </c>
      <c r="P1844" t="s">
        <v>2157</v>
      </c>
      <c r="Q1844">
        <v>12.3</v>
      </c>
      <c r="R1844" s="1" t="s">
        <v>1839</v>
      </c>
      <c r="S1844">
        <v>1082.92</v>
      </c>
      <c r="T1844">
        <v>13320</v>
      </c>
    </row>
    <row r="1845" spans="1:20" hidden="1" x14ac:dyDescent="0.4">
      <c r="A1845" s="1" t="s">
        <v>632</v>
      </c>
      <c r="B1845" s="1" t="s">
        <v>1456</v>
      </c>
      <c r="C1845" s="1" t="s">
        <v>1845</v>
      </c>
      <c r="D1845" s="1" t="s">
        <v>1731</v>
      </c>
      <c r="E1845">
        <v>20251223</v>
      </c>
      <c r="F1845" s="1" t="s">
        <v>1470</v>
      </c>
      <c r="G1845">
        <v>4</v>
      </c>
      <c r="H1845" s="1" t="s">
        <v>1494</v>
      </c>
      <c r="I1845" t="s">
        <v>1874</v>
      </c>
      <c r="J1845" s="1" t="s">
        <v>1456</v>
      </c>
      <c r="K1845" s="1" t="s">
        <v>1612</v>
      </c>
      <c r="L1845" s="1" t="s">
        <v>1729</v>
      </c>
      <c r="M1845" s="1" t="s">
        <v>1737</v>
      </c>
      <c r="N1845" t="s">
        <v>1986</v>
      </c>
      <c r="O1845" t="s">
        <v>2157</v>
      </c>
      <c r="P1845" t="s">
        <v>2157</v>
      </c>
      <c r="Q1845">
        <v>12.3</v>
      </c>
      <c r="R1845" s="1" t="s">
        <v>1839</v>
      </c>
      <c r="S1845">
        <v>1082.92</v>
      </c>
      <c r="T1845">
        <v>13320</v>
      </c>
    </row>
    <row r="1846" spans="1:20" hidden="1" x14ac:dyDescent="0.4">
      <c r="A1846" s="1" t="s">
        <v>632</v>
      </c>
      <c r="B1846" s="1" t="s">
        <v>1457</v>
      </c>
      <c r="C1846" s="1" t="s">
        <v>1845</v>
      </c>
      <c r="D1846" s="1" t="s">
        <v>1731</v>
      </c>
      <c r="E1846">
        <v>20251223</v>
      </c>
      <c r="F1846" s="1" t="s">
        <v>1470</v>
      </c>
      <c r="G1846">
        <v>4</v>
      </c>
      <c r="H1846" s="1" t="s">
        <v>1494</v>
      </c>
      <c r="I1846" t="s">
        <v>1874</v>
      </c>
      <c r="J1846" s="1" t="s">
        <v>1456</v>
      </c>
      <c r="K1846" s="1" t="s">
        <v>1612</v>
      </c>
      <c r="L1846" s="1" t="s">
        <v>1729</v>
      </c>
      <c r="M1846" s="1" t="s">
        <v>1737</v>
      </c>
      <c r="N1846" t="s">
        <v>1986</v>
      </c>
      <c r="O1846" t="s">
        <v>2157</v>
      </c>
      <c r="P1846" t="s">
        <v>2157</v>
      </c>
      <c r="Q1846">
        <v>12.3</v>
      </c>
      <c r="R1846" s="1" t="s">
        <v>1839</v>
      </c>
      <c r="S1846">
        <v>1082.92</v>
      </c>
      <c r="T1846">
        <v>13320</v>
      </c>
    </row>
    <row r="1847" spans="1:20" hidden="1" x14ac:dyDescent="0.4">
      <c r="A1847" s="1" t="s">
        <v>632</v>
      </c>
      <c r="B1847" s="1" t="s">
        <v>1458</v>
      </c>
      <c r="C1847" s="1" t="s">
        <v>1845</v>
      </c>
      <c r="D1847" s="1" t="s">
        <v>1731</v>
      </c>
      <c r="E1847">
        <v>20251223</v>
      </c>
      <c r="F1847" s="1" t="s">
        <v>1470</v>
      </c>
      <c r="G1847">
        <v>4</v>
      </c>
      <c r="H1847" s="1" t="s">
        <v>1494</v>
      </c>
      <c r="I1847" t="s">
        <v>1874</v>
      </c>
      <c r="J1847" s="1" t="s">
        <v>1456</v>
      </c>
      <c r="K1847" s="1" t="s">
        <v>1612</v>
      </c>
      <c r="L1847" s="1" t="s">
        <v>1729</v>
      </c>
      <c r="M1847" s="1" t="s">
        <v>1737</v>
      </c>
      <c r="N1847" t="s">
        <v>1986</v>
      </c>
      <c r="O1847" t="s">
        <v>2157</v>
      </c>
      <c r="P1847" t="s">
        <v>2157</v>
      </c>
      <c r="Q1847">
        <v>12.3</v>
      </c>
      <c r="R1847" s="1" t="s">
        <v>1839</v>
      </c>
      <c r="S1847">
        <v>1082.92</v>
      </c>
      <c r="T1847">
        <v>13320</v>
      </c>
    </row>
    <row r="1848" spans="1:20" hidden="1" x14ac:dyDescent="0.4">
      <c r="A1848" s="1" t="s">
        <v>632</v>
      </c>
      <c r="B1848" s="1" t="s">
        <v>1459</v>
      </c>
      <c r="C1848" s="1" t="s">
        <v>1845</v>
      </c>
      <c r="D1848" s="1" t="s">
        <v>1731</v>
      </c>
      <c r="E1848">
        <v>20251223</v>
      </c>
      <c r="F1848" s="1" t="s">
        <v>1470</v>
      </c>
      <c r="G1848">
        <v>4</v>
      </c>
      <c r="H1848" s="1" t="s">
        <v>1494</v>
      </c>
      <c r="I1848" t="s">
        <v>1874</v>
      </c>
      <c r="J1848" s="1" t="s">
        <v>1456</v>
      </c>
      <c r="K1848" s="1" t="s">
        <v>1612</v>
      </c>
      <c r="L1848" s="1" t="s">
        <v>1729</v>
      </c>
      <c r="M1848" s="1" t="s">
        <v>1737</v>
      </c>
      <c r="N1848" t="s">
        <v>1986</v>
      </c>
      <c r="O1848" t="s">
        <v>2157</v>
      </c>
      <c r="P1848" t="s">
        <v>2157</v>
      </c>
      <c r="Q1848">
        <v>12.3</v>
      </c>
      <c r="R1848" s="1" t="s">
        <v>1839</v>
      </c>
      <c r="S1848">
        <v>1082.92</v>
      </c>
      <c r="T1848">
        <v>13320</v>
      </c>
    </row>
    <row r="1849" spans="1:20" hidden="1" x14ac:dyDescent="0.4">
      <c r="A1849" s="1" t="s">
        <v>632</v>
      </c>
      <c r="B1849" s="1" t="s">
        <v>1460</v>
      </c>
      <c r="C1849" s="1" t="s">
        <v>1845</v>
      </c>
      <c r="D1849" s="1" t="s">
        <v>1731</v>
      </c>
      <c r="E1849">
        <v>20251223</v>
      </c>
      <c r="F1849" s="1" t="s">
        <v>1470</v>
      </c>
      <c r="G1849">
        <v>4</v>
      </c>
      <c r="H1849" s="1" t="s">
        <v>1494</v>
      </c>
      <c r="I1849" t="s">
        <v>1874</v>
      </c>
      <c r="J1849" s="1" t="s">
        <v>1456</v>
      </c>
      <c r="K1849" s="1" t="s">
        <v>1612</v>
      </c>
      <c r="L1849" s="1" t="s">
        <v>1729</v>
      </c>
      <c r="M1849" s="1" t="s">
        <v>1737</v>
      </c>
      <c r="N1849" t="s">
        <v>1986</v>
      </c>
      <c r="O1849" t="s">
        <v>2157</v>
      </c>
      <c r="P1849" t="s">
        <v>2157</v>
      </c>
      <c r="Q1849">
        <v>12.3</v>
      </c>
      <c r="R1849" s="1" t="s">
        <v>1839</v>
      </c>
      <c r="S1849">
        <v>1082.92</v>
      </c>
      <c r="T1849">
        <v>13320</v>
      </c>
    </row>
    <row r="1850" spans="1:20" hidden="1" x14ac:dyDescent="0.4">
      <c r="A1850" s="1" t="s">
        <v>632</v>
      </c>
      <c r="B1850" s="1" t="s">
        <v>1461</v>
      </c>
      <c r="C1850" s="1" t="s">
        <v>1845</v>
      </c>
      <c r="D1850" s="1" t="s">
        <v>1731</v>
      </c>
      <c r="E1850">
        <v>20251223</v>
      </c>
      <c r="F1850" s="1" t="s">
        <v>1470</v>
      </c>
      <c r="G1850">
        <v>4</v>
      </c>
      <c r="H1850" s="1" t="s">
        <v>1494</v>
      </c>
      <c r="I1850" t="s">
        <v>1874</v>
      </c>
      <c r="J1850" s="1" t="s">
        <v>1456</v>
      </c>
      <c r="K1850" s="1" t="s">
        <v>1612</v>
      </c>
      <c r="L1850" s="1" t="s">
        <v>1729</v>
      </c>
      <c r="M1850" s="1" t="s">
        <v>1737</v>
      </c>
      <c r="N1850" t="s">
        <v>1986</v>
      </c>
      <c r="O1850" t="s">
        <v>2157</v>
      </c>
      <c r="P1850" t="s">
        <v>2157</v>
      </c>
      <c r="Q1850">
        <v>12.3</v>
      </c>
      <c r="R1850" s="1" t="s">
        <v>1839</v>
      </c>
      <c r="S1850">
        <v>1082.92</v>
      </c>
      <c r="T1850">
        <v>13320</v>
      </c>
    </row>
    <row r="1851" spans="1:20" hidden="1" x14ac:dyDescent="0.4">
      <c r="A1851" s="1" t="s">
        <v>632</v>
      </c>
      <c r="B1851" s="1" t="s">
        <v>1462</v>
      </c>
      <c r="C1851" s="1" t="s">
        <v>1845</v>
      </c>
      <c r="D1851" s="1" t="s">
        <v>1731</v>
      </c>
      <c r="E1851">
        <v>20251223</v>
      </c>
      <c r="F1851" s="1" t="s">
        <v>1470</v>
      </c>
      <c r="G1851">
        <v>4</v>
      </c>
      <c r="H1851" s="1" t="s">
        <v>1494</v>
      </c>
      <c r="I1851" t="s">
        <v>1874</v>
      </c>
      <c r="J1851" s="1" t="s">
        <v>1456</v>
      </c>
      <c r="K1851" s="1" t="s">
        <v>1612</v>
      </c>
      <c r="L1851" s="1" t="s">
        <v>1729</v>
      </c>
      <c r="M1851" s="1" t="s">
        <v>1737</v>
      </c>
      <c r="N1851" t="s">
        <v>1986</v>
      </c>
      <c r="O1851" t="s">
        <v>2157</v>
      </c>
      <c r="P1851" t="s">
        <v>2157</v>
      </c>
      <c r="Q1851">
        <v>12.42</v>
      </c>
      <c r="R1851" s="1" t="s">
        <v>1839</v>
      </c>
      <c r="S1851">
        <v>1082.93</v>
      </c>
      <c r="T1851">
        <v>13450</v>
      </c>
    </row>
    <row r="1852" spans="1:20" hidden="1" x14ac:dyDescent="0.4">
      <c r="A1852" s="1" t="s">
        <v>633</v>
      </c>
      <c r="B1852" s="1" t="s">
        <v>1453</v>
      </c>
      <c r="C1852" s="1" t="s">
        <v>1845</v>
      </c>
      <c r="D1852" s="1" t="s">
        <v>1731</v>
      </c>
      <c r="E1852">
        <v>20251223</v>
      </c>
      <c r="F1852" s="1" t="s">
        <v>1470</v>
      </c>
      <c r="G1852">
        <v>4</v>
      </c>
      <c r="H1852" s="1" t="s">
        <v>1494</v>
      </c>
      <c r="I1852" t="s">
        <v>1874</v>
      </c>
      <c r="J1852" s="1" t="s">
        <v>1456</v>
      </c>
      <c r="K1852" s="1" t="s">
        <v>1612</v>
      </c>
      <c r="L1852" s="1" t="s">
        <v>1729</v>
      </c>
      <c r="M1852" s="1" t="s">
        <v>1737</v>
      </c>
      <c r="N1852" t="s">
        <v>1986</v>
      </c>
      <c r="O1852" t="s">
        <v>2157</v>
      </c>
      <c r="P1852" t="s">
        <v>2157</v>
      </c>
      <c r="Q1852">
        <v>12.36</v>
      </c>
      <c r="R1852" s="1" t="s">
        <v>1839</v>
      </c>
      <c r="S1852">
        <v>1082.92</v>
      </c>
      <c r="T1852">
        <v>13385</v>
      </c>
    </row>
    <row r="1853" spans="1:20" hidden="1" x14ac:dyDescent="0.4">
      <c r="A1853" s="1" t="s">
        <v>633</v>
      </c>
      <c r="B1853" s="1" t="s">
        <v>1454</v>
      </c>
      <c r="C1853" s="1" t="s">
        <v>1845</v>
      </c>
      <c r="D1853" s="1" t="s">
        <v>1731</v>
      </c>
      <c r="E1853">
        <v>20251223</v>
      </c>
      <c r="F1853" s="1" t="s">
        <v>1470</v>
      </c>
      <c r="G1853">
        <v>4</v>
      </c>
      <c r="H1853" s="1" t="s">
        <v>1494</v>
      </c>
      <c r="I1853" t="s">
        <v>1874</v>
      </c>
      <c r="J1853" s="1" t="s">
        <v>1456</v>
      </c>
      <c r="K1853" s="1" t="s">
        <v>1612</v>
      </c>
      <c r="L1853" s="1" t="s">
        <v>1729</v>
      </c>
      <c r="M1853" s="1" t="s">
        <v>1737</v>
      </c>
      <c r="N1853" t="s">
        <v>1986</v>
      </c>
      <c r="O1853" t="s">
        <v>2157</v>
      </c>
      <c r="P1853" t="s">
        <v>2157</v>
      </c>
      <c r="Q1853">
        <v>12.42</v>
      </c>
      <c r="R1853" s="1" t="s">
        <v>1839</v>
      </c>
      <c r="S1853">
        <v>1082.93</v>
      </c>
      <c r="T1853">
        <v>13450</v>
      </c>
    </row>
    <row r="1854" spans="1:20" hidden="1" x14ac:dyDescent="0.4">
      <c r="A1854" s="1" t="s">
        <v>633</v>
      </c>
      <c r="B1854" s="1" t="s">
        <v>1455</v>
      </c>
      <c r="C1854" s="1" t="s">
        <v>1845</v>
      </c>
      <c r="D1854" s="1" t="s">
        <v>1731</v>
      </c>
      <c r="E1854">
        <v>20251223</v>
      </c>
      <c r="F1854" s="1" t="s">
        <v>1470</v>
      </c>
      <c r="G1854">
        <v>4</v>
      </c>
      <c r="H1854" s="1" t="s">
        <v>1494</v>
      </c>
      <c r="I1854" t="s">
        <v>1874</v>
      </c>
      <c r="J1854" s="1" t="s">
        <v>1456</v>
      </c>
      <c r="K1854" s="1" t="s">
        <v>1612</v>
      </c>
      <c r="L1854" s="1" t="s">
        <v>1729</v>
      </c>
      <c r="M1854" s="1" t="s">
        <v>1737</v>
      </c>
      <c r="N1854" t="s">
        <v>1986</v>
      </c>
      <c r="O1854" t="s">
        <v>2157</v>
      </c>
      <c r="P1854" t="s">
        <v>2157</v>
      </c>
      <c r="Q1854">
        <v>12.3</v>
      </c>
      <c r="R1854" s="1" t="s">
        <v>1839</v>
      </c>
      <c r="S1854">
        <v>1082.92</v>
      </c>
      <c r="T1854">
        <v>13320</v>
      </c>
    </row>
    <row r="1855" spans="1:20" hidden="1" x14ac:dyDescent="0.4">
      <c r="A1855" s="1" t="s">
        <v>633</v>
      </c>
      <c r="B1855" s="1" t="s">
        <v>1456</v>
      </c>
      <c r="C1855" s="1" t="s">
        <v>1845</v>
      </c>
      <c r="D1855" s="1" t="s">
        <v>1731</v>
      </c>
      <c r="E1855">
        <v>20251223</v>
      </c>
      <c r="F1855" s="1" t="s">
        <v>1470</v>
      </c>
      <c r="G1855">
        <v>4</v>
      </c>
      <c r="H1855" s="1" t="s">
        <v>1494</v>
      </c>
      <c r="I1855" t="s">
        <v>1874</v>
      </c>
      <c r="J1855" s="1" t="s">
        <v>1456</v>
      </c>
      <c r="K1855" s="1" t="s">
        <v>1612</v>
      </c>
      <c r="L1855" s="1" t="s">
        <v>1729</v>
      </c>
      <c r="M1855" s="1" t="s">
        <v>1737</v>
      </c>
      <c r="N1855" t="s">
        <v>1986</v>
      </c>
      <c r="O1855" t="s">
        <v>2157</v>
      </c>
      <c r="P1855" t="s">
        <v>2157</v>
      </c>
      <c r="Q1855">
        <v>12.3</v>
      </c>
      <c r="R1855" s="1" t="s">
        <v>1839</v>
      </c>
      <c r="S1855">
        <v>1082.92</v>
      </c>
      <c r="T1855">
        <v>13320</v>
      </c>
    </row>
    <row r="1856" spans="1:20" hidden="1" x14ac:dyDescent="0.4">
      <c r="A1856" s="1" t="s">
        <v>633</v>
      </c>
      <c r="B1856" s="1" t="s">
        <v>1457</v>
      </c>
      <c r="C1856" s="1" t="s">
        <v>1845</v>
      </c>
      <c r="D1856" s="1" t="s">
        <v>1731</v>
      </c>
      <c r="E1856">
        <v>20251223</v>
      </c>
      <c r="F1856" s="1" t="s">
        <v>1470</v>
      </c>
      <c r="G1856">
        <v>4</v>
      </c>
      <c r="H1856" s="1" t="s">
        <v>1494</v>
      </c>
      <c r="I1856" t="s">
        <v>1874</v>
      </c>
      <c r="J1856" s="1" t="s">
        <v>1456</v>
      </c>
      <c r="K1856" s="1" t="s">
        <v>1612</v>
      </c>
      <c r="L1856" s="1" t="s">
        <v>1729</v>
      </c>
      <c r="M1856" s="1" t="s">
        <v>1737</v>
      </c>
      <c r="N1856" t="s">
        <v>1986</v>
      </c>
      <c r="O1856" t="s">
        <v>2157</v>
      </c>
      <c r="P1856" t="s">
        <v>2157</v>
      </c>
      <c r="Q1856">
        <v>12.3</v>
      </c>
      <c r="R1856" s="1" t="s">
        <v>1839</v>
      </c>
      <c r="S1856">
        <v>1082.92</v>
      </c>
      <c r="T1856">
        <v>13320</v>
      </c>
    </row>
    <row r="1857" spans="1:20" hidden="1" x14ac:dyDescent="0.4">
      <c r="A1857" s="1" t="s">
        <v>633</v>
      </c>
      <c r="B1857" s="1" t="s">
        <v>1458</v>
      </c>
      <c r="C1857" s="1" t="s">
        <v>1845</v>
      </c>
      <c r="D1857" s="1" t="s">
        <v>1731</v>
      </c>
      <c r="E1857">
        <v>20251223</v>
      </c>
      <c r="F1857" s="1" t="s">
        <v>1470</v>
      </c>
      <c r="G1857">
        <v>4</v>
      </c>
      <c r="H1857" s="1" t="s">
        <v>1494</v>
      </c>
      <c r="I1857" t="s">
        <v>1874</v>
      </c>
      <c r="J1857" s="1" t="s">
        <v>1456</v>
      </c>
      <c r="K1857" s="1" t="s">
        <v>1612</v>
      </c>
      <c r="L1857" s="1" t="s">
        <v>1729</v>
      </c>
      <c r="M1857" s="1" t="s">
        <v>1737</v>
      </c>
      <c r="N1857" t="s">
        <v>1986</v>
      </c>
      <c r="O1857" t="s">
        <v>2157</v>
      </c>
      <c r="P1857" t="s">
        <v>2157</v>
      </c>
      <c r="Q1857">
        <v>12.3</v>
      </c>
      <c r="R1857" s="1" t="s">
        <v>1839</v>
      </c>
      <c r="S1857">
        <v>1082.92</v>
      </c>
      <c r="T1857">
        <v>13320</v>
      </c>
    </row>
    <row r="1858" spans="1:20" hidden="1" x14ac:dyDescent="0.4">
      <c r="A1858" s="1" t="s">
        <v>633</v>
      </c>
      <c r="B1858" s="1" t="s">
        <v>1459</v>
      </c>
      <c r="C1858" s="1" t="s">
        <v>1845</v>
      </c>
      <c r="D1858" s="1" t="s">
        <v>1731</v>
      </c>
      <c r="E1858">
        <v>20251223</v>
      </c>
      <c r="F1858" s="1" t="s">
        <v>1470</v>
      </c>
      <c r="G1858">
        <v>4</v>
      </c>
      <c r="H1858" s="1" t="s">
        <v>1494</v>
      </c>
      <c r="I1858" t="s">
        <v>1874</v>
      </c>
      <c r="J1858" s="1" t="s">
        <v>1456</v>
      </c>
      <c r="K1858" s="1" t="s">
        <v>1612</v>
      </c>
      <c r="L1858" s="1" t="s">
        <v>1729</v>
      </c>
      <c r="M1858" s="1" t="s">
        <v>1737</v>
      </c>
      <c r="N1858" t="s">
        <v>1986</v>
      </c>
      <c r="O1858" t="s">
        <v>2157</v>
      </c>
      <c r="P1858" t="s">
        <v>2157</v>
      </c>
      <c r="Q1858">
        <v>12.3</v>
      </c>
      <c r="R1858" s="1" t="s">
        <v>1839</v>
      </c>
      <c r="S1858">
        <v>1082.92</v>
      </c>
      <c r="T1858">
        <v>13320</v>
      </c>
    </row>
    <row r="1859" spans="1:20" hidden="1" x14ac:dyDescent="0.4">
      <c r="A1859" s="1" t="s">
        <v>633</v>
      </c>
      <c r="B1859" s="1" t="s">
        <v>1460</v>
      </c>
      <c r="C1859" s="1" t="s">
        <v>1845</v>
      </c>
      <c r="D1859" s="1" t="s">
        <v>1731</v>
      </c>
      <c r="E1859">
        <v>20251223</v>
      </c>
      <c r="F1859" s="1" t="s">
        <v>1470</v>
      </c>
      <c r="G1859">
        <v>4</v>
      </c>
      <c r="H1859" s="1" t="s">
        <v>1494</v>
      </c>
      <c r="I1859" t="s">
        <v>1874</v>
      </c>
      <c r="J1859" s="1" t="s">
        <v>1456</v>
      </c>
      <c r="K1859" s="1" t="s">
        <v>1612</v>
      </c>
      <c r="L1859" s="1" t="s">
        <v>1729</v>
      </c>
      <c r="M1859" s="1" t="s">
        <v>1737</v>
      </c>
      <c r="N1859" t="s">
        <v>1986</v>
      </c>
      <c r="O1859" t="s">
        <v>2157</v>
      </c>
      <c r="P1859" t="s">
        <v>2157</v>
      </c>
      <c r="Q1859">
        <v>12.3</v>
      </c>
      <c r="R1859" s="1" t="s">
        <v>1839</v>
      </c>
      <c r="S1859">
        <v>1082.92</v>
      </c>
      <c r="T1859">
        <v>13320</v>
      </c>
    </row>
    <row r="1860" spans="1:20" hidden="1" x14ac:dyDescent="0.4">
      <c r="A1860" s="1" t="s">
        <v>633</v>
      </c>
      <c r="B1860" s="1" t="s">
        <v>1461</v>
      </c>
      <c r="C1860" s="1" t="s">
        <v>1845</v>
      </c>
      <c r="D1860" s="1" t="s">
        <v>1731</v>
      </c>
      <c r="E1860">
        <v>20251223</v>
      </c>
      <c r="F1860" s="1" t="s">
        <v>1470</v>
      </c>
      <c r="G1860">
        <v>4</v>
      </c>
      <c r="H1860" s="1" t="s">
        <v>1494</v>
      </c>
      <c r="I1860" t="s">
        <v>1874</v>
      </c>
      <c r="J1860" s="1" t="s">
        <v>1456</v>
      </c>
      <c r="K1860" s="1" t="s">
        <v>1612</v>
      </c>
      <c r="L1860" s="1" t="s">
        <v>1729</v>
      </c>
      <c r="M1860" s="1" t="s">
        <v>1737</v>
      </c>
      <c r="N1860" t="s">
        <v>1986</v>
      </c>
      <c r="O1860" t="s">
        <v>2157</v>
      </c>
      <c r="P1860" t="s">
        <v>2157</v>
      </c>
      <c r="Q1860">
        <v>12.3</v>
      </c>
      <c r="R1860" s="1" t="s">
        <v>1839</v>
      </c>
      <c r="S1860">
        <v>1082.92</v>
      </c>
      <c r="T1860">
        <v>13320</v>
      </c>
    </row>
    <row r="1861" spans="1:20" hidden="1" x14ac:dyDescent="0.4">
      <c r="A1861" s="1" t="s">
        <v>633</v>
      </c>
      <c r="B1861" s="1" t="s">
        <v>1462</v>
      </c>
      <c r="C1861" s="1" t="s">
        <v>1845</v>
      </c>
      <c r="D1861" s="1" t="s">
        <v>1731</v>
      </c>
      <c r="E1861">
        <v>20251223</v>
      </c>
      <c r="F1861" s="1" t="s">
        <v>1470</v>
      </c>
      <c r="G1861">
        <v>4</v>
      </c>
      <c r="H1861" s="1" t="s">
        <v>1494</v>
      </c>
      <c r="I1861" t="s">
        <v>1874</v>
      </c>
      <c r="J1861" s="1" t="s">
        <v>1456</v>
      </c>
      <c r="K1861" s="1" t="s">
        <v>1612</v>
      </c>
      <c r="L1861" s="1" t="s">
        <v>1729</v>
      </c>
      <c r="M1861" s="1" t="s">
        <v>1737</v>
      </c>
      <c r="N1861" t="s">
        <v>1986</v>
      </c>
      <c r="O1861" t="s">
        <v>2157</v>
      </c>
      <c r="P1861" t="s">
        <v>2157</v>
      </c>
      <c r="Q1861">
        <v>12.3</v>
      </c>
      <c r="R1861" s="1" t="s">
        <v>1839</v>
      </c>
      <c r="S1861">
        <v>1082.92</v>
      </c>
      <c r="T1861">
        <v>13320</v>
      </c>
    </row>
    <row r="1862" spans="1:20" hidden="1" x14ac:dyDescent="0.4">
      <c r="A1862" s="1" t="s">
        <v>634</v>
      </c>
      <c r="B1862" s="1" t="s">
        <v>1453</v>
      </c>
      <c r="C1862" s="1" t="s">
        <v>1845</v>
      </c>
      <c r="D1862" s="1" t="s">
        <v>1731</v>
      </c>
      <c r="E1862">
        <v>20251223</v>
      </c>
      <c r="F1862" s="1" t="s">
        <v>1470</v>
      </c>
      <c r="G1862">
        <v>4</v>
      </c>
      <c r="H1862" s="1" t="s">
        <v>1494</v>
      </c>
      <c r="I1862" t="s">
        <v>1874</v>
      </c>
      <c r="J1862" s="1" t="s">
        <v>1456</v>
      </c>
      <c r="K1862" s="1" t="s">
        <v>1612</v>
      </c>
      <c r="L1862" s="1" t="s">
        <v>1729</v>
      </c>
      <c r="M1862" s="1" t="s">
        <v>1737</v>
      </c>
      <c r="N1862" t="s">
        <v>1986</v>
      </c>
      <c r="O1862" t="s">
        <v>2157</v>
      </c>
      <c r="P1862" t="s">
        <v>2157</v>
      </c>
      <c r="Q1862">
        <v>12.3</v>
      </c>
      <c r="R1862" s="1" t="s">
        <v>1839</v>
      </c>
      <c r="S1862">
        <v>1082.92</v>
      </c>
      <c r="T1862">
        <v>13320</v>
      </c>
    </row>
    <row r="1863" spans="1:20" hidden="1" x14ac:dyDescent="0.4">
      <c r="A1863" s="1" t="s">
        <v>634</v>
      </c>
      <c r="B1863" s="1" t="s">
        <v>1454</v>
      </c>
      <c r="C1863" s="1" t="s">
        <v>1845</v>
      </c>
      <c r="D1863" s="1" t="s">
        <v>1731</v>
      </c>
      <c r="E1863">
        <v>20251223</v>
      </c>
      <c r="F1863" s="1" t="s">
        <v>1470</v>
      </c>
      <c r="G1863">
        <v>4</v>
      </c>
      <c r="H1863" s="1" t="s">
        <v>1494</v>
      </c>
      <c r="I1863" t="s">
        <v>1874</v>
      </c>
      <c r="J1863" s="1" t="s">
        <v>1456</v>
      </c>
      <c r="K1863" s="1" t="s">
        <v>1612</v>
      </c>
      <c r="L1863" s="1" t="s">
        <v>1729</v>
      </c>
      <c r="M1863" s="1" t="s">
        <v>1737</v>
      </c>
      <c r="N1863" t="s">
        <v>1986</v>
      </c>
      <c r="O1863" t="s">
        <v>2157</v>
      </c>
      <c r="P1863" t="s">
        <v>2157</v>
      </c>
      <c r="Q1863">
        <v>12.3</v>
      </c>
      <c r="R1863" s="1" t="s">
        <v>1839</v>
      </c>
      <c r="S1863">
        <v>1082.92</v>
      </c>
      <c r="T1863">
        <v>13320</v>
      </c>
    </row>
    <row r="1864" spans="1:20" hidden="1" x14ac:dyDescent="0.4">
      <c r="A1864" s="1" t="s">
        <v>634</v>
      </c>
      <c r="B1864" s="1" t="s">
        <v>1455</v>
      </c>
      <c r="C1864" s="1" t="s">
        <v>1845</v>
      </c>
      <c r="D1864" s="1" t="s">
        <v>1731</v>
      </c>
      <c r="E1864">
        <v>20251223</v>
      </c>
      <c r="F1864" s="1" t="s">
        <v>1470</v>
      </c>
      <c r="G1864">
        <v>4</v>
      </c>
      <c r="H1864" s="1" t="s">
        <v>1494</v>
      </c>
      <c r="I1864" t="s">
        <v>1874</v>
      </c>
      <c r="J1864" s="1" t="s">
        <v>1456</v>
      </c>
      <c r="K1864" s="1" t="s">
        <v>1612</v>
      </c>
      <c r="L1864" s="1" t="s">
        <v>1729</v>
      </c>
      <c r="M1864" s="1" t="s">
        <v>1737</v>
      </c>
      <c r="N1864" t="s">
        <v>1986</v>
      </c>
      <c r="O1864" t="s">
        <v>2157</v>
      </c>
      <c r="P1864" t="s">
        <v>2157</v>
      </c>
      <c r="Q1864">
        <v>12.3</v>
      </c>
      <c r="R1864" s="1" t="s">
        <v>1839</v>
      </c>
      <c r="S1864">
        <v>1082.92</v>
      </c>
      <c r="T1864">
        <v>13320</v>
      </c>
    </row>
    <row r="1865" spans="1:20" hidden="1" x14ac:dyDescent="0.4">
      <c r="A1865" s="1" t="s">
        <v>634</v>
      </c>
      <c r="B1865" s="1" t="s">
        <v>1456</v>
      </c>
      <c r="C1865" s="1" t="s">
        <v>1845</v>
      </c>
      <c r="D1865" s="1" t="s">
        <v>1731</v>
      </c>
      <c r="E1865">
        <v>20251223</v>
      </c>
      <c r="F1865" s="1" t="s">
        <v>1470</v>
      </c>
      <c r="G1865">
        <v>4</v>
      </c>
      <c r="H1865" s="1" t="s">
        <v>1494</v>
      </c>
      <c r="I1865" t="s">
        <v>1874</v>
      </c>
      <c r="J1865" s="1" t="s">
        <v>1456</v>
      </c>
      <c r="K1865" s="1" t="s">
        <v>1612</v>
      </c>
      <c r="L1865" s="1" t="s">
        <v>1729</v>
      </c>
      <c r="M1865" s="1" t="s">
        <v>1737</v>
      </c>
      <c r="N1865" t="s">
        <v>1986</v>
      </c>
      <c r="O1865" t="s">
        <v>2157</v>
      </c>
      <c r="P1865" t="s">
        <v>2157</v>
      </c>
      <c r="Q1865">
        <v>12.3</v>
      </c>
      <c r="R1865" s="1" t="s">
        <v>1839</v>
      </c>
      <c r="S1865">
        <v>1082.92</v>
      </c>
      <c r="T1865">
        <v>13320</v>
      </c>
    </row>
    <row r="1866" spans="1:20" hidden="1" x14ac:dyDescent="0.4">
      <c r="A1866" s="1" t="s">
        <v>634</v>
      </c>
      <c r="B1866" s="1" t="s">
        <v>1457</v>
      </c>
      <c r="C1866" s="1" t="s">
        <v>1845</v>
      </c>
      <c r="D1866" s="1" t="s">
        <v>1731</v>
      </c>
      <c r="E1866">
        <v>20251223</v>
      </c>
      <c r="F1866" s="1" t="s">
        <v>1470</v>
      </c>
      <c r="G1866">
        <v>4</v>
      </c>
      <c r="H1866" s="1" t="s">
        <v>1494</v>
      </c>
      <c r="I1866" t="s">
        <v>1874</v>
      </c>
      <c r="J1866" s="1" t="s">
        <v>1456</v>
      </c>
      <c r="K1866" s="1" t="s">
        <v>1612</v>
      </c>
      <c r="L1866" s="1" t="s">
        <v>1729</v>
      </c>
      <c r="M1866" s="1" t="s">
        <v>1737</v>
      </c>
      <c r="N1866" t="s">
        <v>1986</v>
      </c>
      <c r="O1866" t="s">
        <v>2157</v>
      </c>
      <c r="P1866" t="s">
        <v>2157</v>
      </c>
      <c r="Q1866">
        <v>12.3</v>
      </c>
      <c r="R1866" s="1" t="s">
        <v>1839</v>
      </c>
      <c r="S1866">
        <v>1082.92</v>
      </c>
      <c r="T1866">
        <v>13320</v>
      </c>
    </row>
    <row r="1867" spans="1:20" hidden="1" x14ac:dyDescent="0.4">
      <c r="A1867" s="1" t="s">
        <v>634</v>
      </c>
      <c r="B1867" s="1" t="s">
        <v>1458</v>
      </c>
      <c r="C1867" s="1" t="s">
        <v>1845</v>
      </c>
      <c r="D1867" s="1" t="s">
        <v>1731</v>
      </c>
      <c r="E1867">
        <v>20251223</v>
      </c>
      <c r="F1867" s="1" t="s">
        <v>1470</v>
      </c>
      <c r="G1867">
        <v>4</v>
      </c>
      <c r="H1867" s="1" t="s">
        <v>1494</v>
      </c>
      <c r="I1867" t="s">
        <v>1874</v>
      </c>
      <c r="J1867" s="1" t="s">
        <v>1456</v>
      </c>
      <c r="K1867" s="1" t="s">
        <v>1612</v>
      </c>
      <c r="L1867" s="1" t="s">
        <v>1729</v>
      </c>
      <c r="M1867" s="1" t="s">
        <v>1737</v>
      </c>
      <c r="N1867" t="s">
        <v>1986</v>
      </c>
      <c r="O1867" t="s">
        <v>2157</v>
      </c>
      <c r="P1867" t="s">
        <v>2157</v>
      </c>
      <c r="Q1867">
        <v>12.3</v>
      </c>
      <c r="R1867" s="1" t="s">
        <v>1839</v>
      </c>
      <c r="S1867">
        <v>1082.92</v>
      </c>
      <c r="T1867">
        <v>13320</v>
      </c>
    </row>
    <row r="1868" spans="1:20" hidden="1" x14ac:dyDescent="0.4">
      <c r="A1868" s="1" t="s">
        <v>634</v>
      </c>
      <c r="B1868" s="1" t="s">
        <v>1459</v>
      </c>
      <c r="C1868" s="1" t="s">
        <v>1845</v>
      </c>
      <c r="D1868" s="1" t="s">
        <v>1731</v>
      </c>
      <c r="E1868">
        <v>20251223</v>
      </c>
      <c r="F1868" s="1" t="s">
        <v>1470</v>
      </c>
      <c r="G1868">
        <v>4</v>
      </c>
      <c r="H1868" s="1" t="s">
        <v>1494</v>
      </c>
      <c r="I1868" t="s">
        <v>1874</v>
      </c>
      <c r="J1868" s="1" t="s">
        <v>1456</v>
      </c>
      <c r="K1868" s="1" t="s">
        <v>1612</v>
      </c>
      <c r="L1868" s="1" t="s">
        <v>1729</v>
      </c>
      <c r="M1868" s="1" t="s">
        <v>1737</v>
      </c>
      <c r="N1868" t="s">
        <v>1986</v>
      </c>
      <c r="O1868" t="s">
        <v>2157</v>
      </c>
      <c r="P1868" t="s">
        <v>2157</v>
      </c>
      <c r="Q1868">
        <v>12.3</v>
      </c>
      <c r="R1868" s="1" t="s">
        <v>1839</v>
      </c>
      <c r="S1868">
        <v>1082.92</v>
      </c>
      <c r="T1868">
        <v>13320</v>
      </c>
    </row>
    <row r="1869" spans="1:20" hidden="1" x14ac:dyDescent="0.4">
      <c r="A1869" s="1" t="s">
        <v>634</v>
      </c>
      <c r="B1869" s="1" t="s">
        <v>1460</v>
      </c>
      <c r="C1869" s="1" t="s">
        <v>1845</v>
      </c>
      <c r="D1869" s="1" t="s">
        <v>1731</v>
      </c>
      <c r="E1869">
        <v>20251223</v>
      </c>
      <c r="F1869" s="1" t="s">
        <v>1470</v>
      </c>
      <c r="G1869">
        <v>4</v>
      </c>
      <c r="H1869" s="1" t="s">
        <v>1494</v>
      </c>
      <c r="I1869" t="s">
        <v>1874</v>
      </c>
      <c r="J1869" s="1" t="s">
        <v>1456</v>
      </c>
      <c r="K1869" s="1" t="s">
        <v>1612</v>
      </c>
      <c r="L1869" s="1" t="s">
        <v>1729</v>
      </c>
      <c r="M1869" s="1" t="s">
        <v>1737</v>
      </c>
      <c r="N1869" t="s">
        <v>1986</v>
      </c>
      <c r="O1869" t="s">
        <v>2157</v>
      </c>
      <c r="P1869" t="s">
        <v>2157</v>
      </c>
      <c r="Q1869">
        <v>12.3</v>
      </c>
      <c r="R1869" s="1" t="s">
        <v>1839</v>
      </c>
      <c r="S1869">
        <v>1082.92</v>
      </c>
      <c r="T1869">
        <v>13320</v>
      </c>
    </row>
    <row r="1870" spans="1:20" hidden="1" x14ac:dyDescent="0.4">
      <c r="A1870" s="1" t="s">
        <v>634</v>
      </c>
      <c r="B1870" s="1" t="s">
        <v>1461</v>
      </c>
      <c r="C1870" s="1" t="s">
        <v>1845</v>
      </c>
      <c r="D1870" s="1" t="s">
        <v>1731</v>
      </c>
      <c r="E1870">
        <v>20251223</v>
      </c>
      <c r="F1870" s="1" t="s">
        <v>1470</v>
      </c>
      <c r="G1870">
        <v>4</v>
      </c>
      <c r="H1870" s="1" t="s">
        <v>1494</v>
      </c>
      <c r="I1870" t="s">
        <v>1874</v>
      </c>
      <c r="J1870" s="1" t="s">
        <v>1456</v>
      </c>
      <c r="K1870" s="1" t="s">
        <v>1612</v>
      </c>
      <c r="L1870" s="1" t="s">
        <v>1729</v>
      </c>
      <c r="M1870" s="1" t="s">
        <v>1737</v>
      </c>
      <c r="N1870" t="s">
        <v>1986</v>
      </c>
      <c r="O1870" t="s">
        <v>2157</v>
      </c>
      <c r="P1870" t="s">
        <v>2157</v>
      </c>
      <c r="Q1870">
        <v>12.3</v>
      </c>
      <c r="R1870" s="1" t="s">
        <v>1839</v>
      </c>
      <c r="S1870">
        <v>1082.92</v>
      </c>
      <c r="T1870">
        <v>13320</v>
      </c>
    </row>
    <row r="1871" spans="1:20" hidden="1" x14ac:dyDescent="0.4">
      <c r="A1871" s="1" t="s">
        <v>635</v>
      </c>
      <c r="B1871" s="1" t="s">
        <v>1453</v>
      </c>
      <c r="C1871" s="1" t="s">
        <v>1845</v>
      </c>
      <c r="D1871" s="1" t="s">
        <v>1731</v>
      </c>
      <c r="E1871">
        <v>20251224</v>
      </c>
      <c r="F1871" s="1" t="s">
        <v>1470</v>
      </c>
      <c r="G1871">
        <v>4</v>
      </c>
      <c r="H1871" s="1" t="s">
        <v>1490</v>
      </c>
      <c r="I1871" t="s">
        <v>1870</v>
      </c>
      <c r="J1871" s="1" t="s">
        <v>1456</v>
      </c>
      <c r="K1871" s="1" t="s">
        <v>1553</v>
      </c>
      <c r="L1871" s="1" t="s">
        <v>1729</v>
      </c>
      <c r="M1871" s="1" t="s">
        <v>1736</v>
      </c>
      <c r="N1871" t="s">
        <v>1925</v>
      </c>
      <c r="O1871" t="s">
        <v>2157</v>
      </c>
      <c r="P1871" t="s">
        <v>3038</v>
      </c>
      <c r="Q1871">
        <v>6</v>
      </c>
      <c r="R1871" s="1" t="s">
        <v>1718</v>
      </c>
      <c r="S1871">
        <v>10583.33</v>
      </c>
      <c r="T1871">
        <v>63500</v>
      </c>
    </row>
    <row r="1872" spans="1:20" hidden="1" x14ac:dyDescent="0.4">
      <c r="A1872" s="1" t="s">
        <v>635</v>
      </c>
      <c r="B1872" s="1" t="s">
        <v>1454</v>
      </c>
      <c r="C1872" s="1" t="s">
        <v>1845</v>
      </c>
      <c r="D1872" s="1" t="s">
        <v>1731</v>
      </c>
      <c r="E1872">
        <v>20251224</v>
      </c>
      <c r="F1872" s="1" t="s">
        <v>1470</v>
      </c>
      <c r="G1872">
        <v>4</v>
      </c>
      <c r="H1872" s="1" t="s">
        <v>1490</v>
      </c>
      <c r="I1872" t="s">
        <v>1870</v>
      </c>
      <c r="J1872" s="1" t="s">
        <v>1456</v>
      </c>
      <c r="K1872" s="1" t="s">
        <v>1554</v>
      </c>
      <c r="L1872" s="1" t="s">
        <v>1729</v>
      </c>
      <c r="M1872" s="1" t="s">
        <v>1737</v>
      </c>
      <c r="N1872" t="s">
        <v>1926</v>
      </c>
      <c r="O1872" t="s">
        <v>2157</v>
      </c>
      <c r="P1872" t="s">
        <v>2157</v>
      </c>
      <c r="Q1872">
        <v>14</v>
      </c>
      <c r="R1872" s="1" t="s">
        <v>1718</v>
      </c>
      <c r="S1872">
        <v>17999.28</v>
      </c>
      <c r="T1872">
        <v>251990</v>
      </c>
    </row>
    <row r="1873" spans="1:20" hidden="1" x14ac:dyDescent="0.4">
      <c r="A1873" s="1" t="s">
        <v>636</v>
      </c>
      <c r="B1873" s="1" t="s">
        <v>1453</v>
      </c>
      <c r="C1873" s="1" t="s">
        <v>1845</v>
      </c>
      <c r="D1873" s="1" t="s">
        <v>1731</v>
      </c>
      <c r="E1873">
        <v>20251224</v>
      </c>
      <c r="F1873" s="1" t="s">
        <v>1470</v>
      </c>
      <c r="G1873">
        <v>4</v>
      </c>
      <c r="H1873" s="1" t="s">
        <v>1490</v>
      </c>
      <c r="I1873" t="s">
        <v>1870</v>
      </c>
      <c r="J1873" s="1" t="s">
        <v>1456</v>
      </c>
      <c r="K1873" s="1" t="s">
        <v>1561</v>
      </c>
      <c r="L1873" s="1" t="s">
        <v>1729</v>
      </c>
      <c r="M1873" s="1" t="s">
        <v>1737</v>
      </c>
      <c r="N1873" t="s">
        <v>1954</v>
      </c>
      <c r="O1873" t="s">
        <v>2157</v>
      </c>
      <c r="P1873" t="s">
        <v>2157</v>
      </c>
      <c r="Q1873">
        <v>4</v>
      </c>
      <c r="R1873" s="1" t="s">
        <v>1718</v>
      </c>
      <c r="S1873">
        <v>20821</v>
      </c>
      <c r="T1873">
        <v>83284</v>
      </c>
    </row>
    <row r="1874" spans="1:20" hidden="1" x14ac:dyDescent="0.4">
      <c r="A1874" s="1" t="s">
        <v>637</v>
      </c>
      <c r="B1874" s="1" t="s">
        <v>1453</v>
      </c>
      <c r="C1874" s="1" t="s">
        <v>1845</v>
      </c>
      <c r="D1874" s="1" t="s">
        <v>1731</v>
      </c>
      <c r="E1874">
        <v>20251224</v>
      </c>
      <c r="F1874" s="1" t="s">
        <v>1470</v>
      </c>
      <c r="G1874">
        <v>4</v>
      </c>
      <c r="H1874" s="1" t="s">
        <v>1490</v>
      </c>
      <c r="I1874" t="s">
        <v>1870</v>
      </c>
      <c r="J1874" s="1" t="s">
        <v>1456</v>
      </c>
      <c r="K1874" s="1" t="s">
        <v>1557</v>
      </c>
      <c r="L1874" s="1" t="s">
        <v>1729</v>
      </c>
      <c r="M1874" s="1" t="s">
        <v>1737</v>
      </c>
      <c r="N1874" t="s">
        <v>1929</v>
      </c>
      <c r="O1874" t="s">
        <v>2157</v>
      </c>
      <c r="P1874" t="s">
        <v>2157</v>
      </c>
      <c r="Q1874">
        <v>2</v>
      </c>
      <c r="R1874" s="1" t="s">
        <v>1718</v>
      </c>
      <c r="S1874">
        <v>12308</v>
      </c>
      <c r="T1874">
        <v>24616</v>
      </c>
    </row>
    <row r="1875" spans="1:20" hidden="1" x14ac:dyDescent="0.4">
      <c r="A1875" s="1" t="s">
        <v>638</v>
      </c>
      <c r="B1875" s="1" t="s">
        <v>1453</v>
      </c>
      <c r="C1875" s="1" t="s">
        <v>1845</v>
      </c>
      <c r="D1875" s="1" t="s">
        <v>1731</v>
      </c>
      <c r="E1875">
        <v>20251224</v>
      </c>
      <c r="F1875" s="1" t="s">
        <v>1470</v>
      </c>
      <c r="G1875">
        <v>4</v>
      </c>
      <c r="H1875" s="1" t="s">
        <v>1490</v>
      </c>
      <c r="I1875" t="s">
        <v>1870</v>
      </c>
      <c r="J1875" s="1" t="s">
        <v>1456</v>
      </c>
      <c r="K1875" s="1" t="s">
        <v>1558</v>
      </c>
      <c r="L1875" s="1" t="s">
        <v>1729</v>
      </c>
      <c r="M1875" s="1" t="s">
        <v>1737</v>
      </c>
      <c r="N1875" t="s">
        <v>1930</v>
      </c>
      <c r="O1875" t="s">
        <v>2157</v>
      </c>
      <c r="P1875" t="s">
        <v>2157</v>
      </c>
      <c r="Q1875">
        <v>11</v>
      </c>
      <c r="R1875" s="1" t="s">
        <v>1718</v>
      </c>
      <c r="S1875">
        <v>13047.72</v>
      </c>
      <c r="T1875">
        <v>143525</v>
      </c>
    </row>
    <row r="1876" spans="1:20" hidden="1" x14ac:dyDescent="0.4">
      <c r="A1876" s="1" t="s">
        <v>639</v>
      </c>
      <c r="B1876" s="1" t="s">
        <v>1453</v>
      </c>
      <c r="C1876" s="1" t="s">
        <v>1845</v>
      </c>
      <c r="D1876" s="1" t="s">
        <v>1731</v>
      </c>
      <c r="E1876">
        <v>20251224</v>
      </c>
      <c r="F1876" s="1" t="s">
        <v>1470</v>
      </c>
      <c r="G1876">
        <v>4</v>
      </c>
      <c r="H1876" s="1" t="s">
        <v>1490</v>
      </c>
      <c r="I1876" t="s">
        <v>1870</v>
      </c>
      <c r="J1876" s="1" t="s">
        <v>1456</v>
      </c>
      <c r="K1876" s="1" t="s">
        <v>1574</v>
      </c>
      <c r="L1876" s="1" t="s">
        <v>1729</v>
      </c>
      <c r="M1876" s="1" t="s">
        <v>1737</v>
      </c>
      <c r="N1876" t="s">
        <v>1947</v>
      </c>
      <c r="O1876" t="s">
        <v>2157</v>
      </c>
      <c r="P1876" t="s">
        <v>2157</v>
      </c>
      <c r="Q1876">
        <v>3</v>
      </c>
      <c r="R1876" s="1" t="s">
        <v>1718</v>
      </c>
      <c r="S1876">
        <v>2280</v>
      </c>
      <c r="T1876">
        <v>6840</v>
      </c>
    </row>
    <row r="1877" spans="1:20" hidden="1" x14ac:dyDescent="0.4">
      <c r="A1877" s="1" t="s">
        <v>639</v>
      </c>
      <c r="B1877" s="1" t="s">
        <v>1454</v>
      </c>
      <c r="C1877" s="1" t="s">
        <v>1845</v>
      </c>
      <c r="D1877" s="1" t="s">
        <v>1731</v>
      </c>
      <c r="E1877">
        <v>20251224</v>
      </c>
      <c r="F1877" s="1" t="s">
        <v>1470</v>
      </c>
      <c r="G1877">
        <v>4</v>
      </c>
      <c r="H1877" s="1" t="s">
        <v>1490</v>
      </c>
      <c r="I1877" t="s">
        <v>1870</v>
      </c>
      <c r="J1877" s="1" t="s">
        <v>1456</v>
      </c>
      <c r="K1877" s="1" t="s">
        <v>1574</v>
      </c>
      <c r="L1877" s="1" t="s">
        <v>1729</v>
      </c>
      <c r="M1877" s="1" t="s">
        <v>1737</v>
      </c>
      <c r="N1877" t="s">
        <v>1947</v>
      </c>
      <c r="O1877" t="s">
        <v>2157</v>
      </c>
      <c r="P1877" t="s">
        <v>2157</v>
      </c>
      <c r="Q1877">
        <v>3</v>
      </c>
      <c r="R1877" s="1" t="s">
        <v>1718</v>
      </c>
      <c r="S1877">
        <v>2280</v>
      </c>
      <c r="T1877">
        <v>6840</v>
      </c>
    </row>
    <row r="1878" spans="1:20" hidden="1" x14ac:dyDescent="0.4">
      <c r="A1878" s="1" t="s">
        <v>639</v>
      </c>
      <c r="B1878" s="1" t="s">
        <v>1455</v>
      </c>
      <c r="C1878" s="1" t="s">
        <v>1845</v>
      </c>
      <c r="D1878" s="1" t="s">
        <v>1731</v>
      </c>
      <c r="E1878">
        <v>20251224</v>
      </c>
      <c r="F1878" s="1" t="s">
        <v>1470</v>
      </c>
      <c r="G1878">
        <v>4</v>
      </c>
      <c r="H1878" s="1" t="s">
        <v>1490</v>
      </c>
      <c r="I1878" t="s">
        <v>1870</v>
      </c>
      <c r="J1878" s="1" t="s">
        <v>1456</v>
      </c>
      <c r="K1878" s="1" t="s">
        <v>1574</v>
      </c>
      <c r="L1878" s="1" t="s">
        <v>1729</v>
      </c>
      <c r="M1878" s="1" t="s">
        <v>1737</v>
      </c>
      <c r="N1878" t="s">
        <v>1947</v>
      </c>
      <c r="O1878" t="s">
        <v>2157</v>
      </c>
      <c r="P1878" t="s">
        <v>2157</v>
      </c>
      <c r="Q1878">
        <v>3</v>
      </c>
      <c r="R1878" s="1" t="s">
        <v>1718</v>
      </c>
      <c r="S1878">
        <v>5760</v>
      </c>
      <c r="T1878">
        <v>17280</v>
      </c>
    </row>
    <row r="1879" spans="1:20" hidden="1" x14ac:dyDescent="0.4">
      <c r="A1879" s="1" t="s">
        <v>640</v>
      </c>
      <c r="B1879" s="1" t="s">
        <v>1453</v>
      </c>
      <c r="C1879" s="1" t="s">
        <v>1845</v>
      </c>
      <c r="D1879" s="1" t="s">
        <v>1462</v>
      </c>
      <c r="E1879">
        <v>20251223</v>
      </c>
      <c r="F1879" s="1" t="s">
        <v>1470</v>
      </c>
      <c r="G1879">
        <v>1</v>
      </c>
      <c r="H1879" s="1" t="s">
        <v>1499</v>
      </c>
      <c r="I1879" t="s">
        <v>1879</v>
      </c>
      <c r="J1879" s="1" t="s">
        <v>1456</v>
      </c>
      <c r="K1879" s="1" t="s">
        <v>1561</v>
      </c>
      <c r="L1879" s="1" t="s">
        <v>1716</v>
      </c>
      <c r="M1879" s="1" t="s">
        <v>1735</v>
      </c>
      <c r="N1879" t="s">
        <v>1954</v>
      </c>
      <c r="O1879" t="s">
        <v>2162</v>
      </c>
      <c r="P1879" t="s">
        <v>3060</v>
      </c>
      <c r="Q1879">
        <v>1031</v>
      </c>
      <c r="R1879" s="1" t="s">
        <v>1463</v>
      </c>
      <c r="S1879">
        <v>1845</v>
      </c>
      <c r="T1879">
        <v>1902195</v>
      </c>
    </row>
    <row r="1880" spans="1:20" hidden="1" x14ac:dyDescent="0.4">
      <c r="A1880" s="1" t="s">
        <v>641</v>
      </c>
      <c r="B1880" s="1" t="s">
        <v>1453</v>
      </c>
      <c r="C1880" s="1" t="s">
        <v>1845</v>
      </c>
      <c r="D1880" s="1" t="s">
        <v>1848</v>
      </c>
      <c r="E1880">
        <v>20251225</v>
      </c>
      <c r="F1880" s="1" t="s">
        <v>1473</v>
      </c>
      <c r="G1880">
        <v>4</v>
      </c>
      <c r="H1880" s="1" t="s">
        <v>1494</v>
      </c>
      <c r="I1880" t="s">
        <v>1874</v>
      </c>
      <c r="J1880" s="1" t="s">
        <v>1453</v>
      </c>
      <c r="K1880" s="1" t="s">
        <v>1608</v>
      </c>
      <c r="L1880" s="1" t="s">
        <v>1718</v>
      </c>
      <c r="M1880" s="1" t="s">
        <v>1769</v>
      </c>
      <c r="N1880" t="s">
        <v>1982</v>
      </c>
      <c r="O1880" t="s">
        <v>2164</v>
      </c>
      <c r="P1880" t="s">
        <v>3093</v>
      </c>
      <c r="Q1880">
        <v>-94.64</v>
      </c>
      <c r="R1880" s="1" t="s">
        <v>1839</v>
      </c>
      <c r="S1880">
        <v>2286.9899999999998</v>
      </c>
      <c r="T1880">
        <v>-216441</v>
      </c>
    </row>
    <row r="1881" spans="1:20" hidden="1" x14ac:dyDescent="0.4">
      <c r="A1881" s="1" t="s">
        <v>641</v>
      </c>
      <c r="B1881" s="1" t="s">
        <v>1454</v>
      </c>
      <c r="C1881" s="1" t="s">
        <v>1845</v>
      </c>
      <c r="D1881" s="1" t="s">
        <v>1848</v>
      </c>
      <c r="E1881">
        <v>20251225</v>
      </c>
      <c r="F1881" s="1" t="s">
        <v>1473</v>
      </c>
      <c r="G1881">
        <v>4</v>
      </c>
      <c r="H1881" s="1" t="s">
        <v>1494</v>
      </c>
      <c r="I1881" t="s">
        <v>1874</v>
      </c>
      <c r="J1881" s="1" t="s">
        <v>1453</v>
      </c>
      <c r="K1881" s="1" t="s">
        <v>1608</v>
      </c>
      <c r="L1881" s="1" t="s">
        <v>1718</v>
      </c>
      <c r="M1881" s="1" t="s">
        <v>1769</v>
      </c>
      <c r="N1881" t="s">
        <v>1982</v>
      </c>
      <c r="O1881" t="s">
        <v>2164</v>
      </c>
      <c r="P1881" t="s">
        <v>3093</v>
      </c>
      <c r="Q1881">
        <v>-80.08</v>
      </c>
      <c r="R1881" s="1" t="s">
        <v>1839</v>
      </c>
      <c r="S1881">
        <v>2286.98</v>
      </c>
      <c r="T1881">
        <v>-183142</v>
      </c>
    </row>
    <row r="1882" spans="1:20" hidden="1" x14ac:dyDescent="0.4">
      <c r="A1882" s="1" t="s">
        <v>641</v>
      </c>
      <c r="B1882" s="1" t="s">
        <v>1455</v>
      </c>
      <c r="C1882" s="1" t="s">
        <v>1845</v>
      </c>
      <c r="D1882" s="1" t="s">
        <v>1848</v>
      </c>
      <c r="E1882">
        <v>20251225</v>
      </c>
      <c r="F1882" s="1" t="s">
        <v>1473</v>
      </c>
      <c r="G1882">
        <v>4</v>
      </c>
      <c r="H1882" s="1" t="s">
        <v>1494</v>
      </c>
      <c r="I1882" t="s">
        <v>1874</v>
      </c>
      <c r="J1882" s="1" t="s">
        <v>1453</v>
      </c>
      <c r="K1882" s="1" t="s">
        <v>1608</v>
      </c>
      <c r="L1882" s="1" t="s">
        <v>1718</v>
      </c>
      <c r="M1882" s="1" t="s">
        <v>1769</v>
      </c>
      <c r="N1882" t="s">
        <v>1982</v>
      </c>
      <c r="O1882" t="s">
        <v>2164</v>
      </c>
      <c r="P1882" t="s">
        <v>3093</v>
      </c>
      <c r="Q1882">
        <v>-80.08</v>
      </c>
      <c r="R1882" s="1" t="s">
        <v>1839</v>
      </c>
      <c r="S1882">
        <v>2286.98</v>
      </c>
      <c r="T1882">
        <v>-183142</v>
      </c>
    </row>
    <row r="1883" spans="1:20" hidden="1" x14ac:dyDescent="0.4">
      <c r="A1883" s="1" t="s">
        <v>641</v>
      </c>
      <c r="B1883" s="1" t="s">
        <v>1456</v>
      </c>
      <c r="C1883" s="1" t="s">
        <v>1845</v>
      </c>
      <c r="D1883" s="1" t="s">
        <v>1848</v>
      </c>
      <c r="E1883">
        <v>20251225</v>
      </c>
      <c r="F1883" s="1" t="s">
        <v>1473</v>
      </c>
      <c r="G1883">
        <v>4</v>
      </c>
      <c r="H1883" s="1" t="s">
        <v>1494</v>
      </c>
      <c r="I1883" t="s">
        <v>1874</v>
      </c>
      <c r="J1883" s="1" t="s">
        <v>1453</v>
      </c>
      <c r="K1883" s="1" t="s">
        <v>1608</v>
      </c>
      <c r="L1883" s="1" t="s">
        <v>1718</v>
      </c>
      <c r="M1883" s="1" t="s">
        <v>1769</v>
      </c>
      <c r="N1883" t="s">
        <v>1982</v>
      </c>
      <c r="O1883" t="s">
        <v>2164</v>
      </c>
      <c r="P1883" t="s">
        <v>3093</v>
      </c>
      <c r="Q1883">
        <v>-80.08</v>
      </c>
      <c r="R1883" s="1" t="s">
        <v>1839</v>
      </c>
      <c r="S1883">
        <v>2286.98</v>
      </c>
      <c r="T1883">
        <v>-183142</v>
      </c>
    </row>
    <row r="1884" spans="1:20" hidden="1" x14ac:dyDescent="0.4">
      <c r="A1884" s="1" t="s">
        <v>642</v>
      </c>
      <c r="B1884" s="1" t="s">
        <v>1453</v>
      </c>
      <c r="C1884" s="1" t="s">
        <v>1845</v>
      </c>
      <c r="D1884" s="1" t="s">
        <v>1731</v>
      </c>
      <c r="E1884">
        <v>20251223</v>
      </c>
      <c r="F1884" s="1" t="s">
        <v>1470</v>
      </c>
      <c r="G1884">
        <v>4</v>
      </c>
      <c r="H1884" s="1" t="s">
        <v>1494</v>
      </c>
      <c r="I1884" t="s">
        <v>1874</v>
      </c>
      <c r="J1884" s="1" t="s">
        <v>1456</v>
      </c>
      <c r="K1884" s="1" t="s">
        <v>1606</v>
      </c>
      <c r="L1884" s="1" t="s">
        <v>1729</v>
      </c>
      <c r="M1884" s="1" t="s">
        <v>1735</v>
      </c>
      <c r="N1884" t="s">
        <v>1981</v>
      </c>
      <c r="O1884" t="s">
        <v>2157</v>
      </c>
      <c r="P1884" t="s">
        <v>3037</v>
      </c>
      <c r="Q1884">
        <v>45.5</v>
      </c>
      <c r="R1884" s="1" t="s">
        <v>1839</v>
      </c>
      <c r="S1884">
        <v>2538.98</v>
      </c>
      <c r="T1884">
        <v>115524</v>
      </c>
    </row>
    <row r="1885" spans="1:20" hidden="1" x14ac:dyDescent="0.4">
      <c r="A1885" s="1" t="s">
        <v>642</v>
      </c>
      <c r="B1885" s="1" t="s">
        <v>1454</v>
      </c>
      <c r="C1885" s="1" t="s">
        <v>1845</v>
      </c>
      <c r="D1885" s="1" t="s">
        <v>1731</v>
      </c>
      <c r="E1885">
        <v>20251223</v>
      </c>
      <c r="F1885" s="1" t="s">
        <v>1470</v>
      </c>
      <c r="G1885">
        <v>4</v>
      </c>
      <c r="H1885" s="1" t="s">
        <v>1494</v>
      </c>
      <c r="I1885" t="s">
        <v>1874</v>
      </c>
      <c r="J1885" s="1" t="s">
        <v>1456</v>
      </c>
      <c r="K1885" s="1" t="s">
        <v>1606</v>
      </c>
      <c r="L1885" s="1" t="s">
        <v>1729</v>
      </c>
      <c r="M1885" s="1" t="s">
        <v>1735</v>
      </c>
      <c r="N1885" t="s">
        <v>1981</v>
      </c>
      <c r="O1885" t="s">
        <v>2157</v>
      </c>
      <c r="P1885" t="s">
        <v>3037</v>
      </c>
      <c r="Q1885">
        <v>45.5</v>
      </c>
      <c r="R1885" s="1" t="s">
        <v>1839</v>
      </c>
      <c r="S1885">
        <v>2538.98</v>
      </c>
      <c r="T1885">
        <v>115524</v>
      </c>
    </row>
    <row r="1886" spans="1:20" hidden="1" x14ac:dyDescent="0.4">
      <c r="A1886" s="1" t="s">
        <v>642</v>
      </c>
      <c r="B1886" s="1" t="s">
        <v>1455</v>
      </c>
      <c r="C1886" s="1" t="s">
        <v>1845</v>
      </c>
      <c r="D1886" s="1" t="s">
        <v>1731</v>
      </c>
      <c r="E1886">
        <v>20251223</v>
      </c>
      <c r="F1886" s="1" t="s">
        <v>1470</v>
      </c>
      <c r="G1886">
        <v>4</v>
      </c>
      <c r="H1886" s="1" t="s">
        <v>1494</v>
      </c>
      <c r="I1886" t="s">
        <v>1874</v>
      </c>
      <c r="J1886" s="1" t="s">
        <v>1456</v>
      </c>
      <c r="K1886" s="1" t="s">
        <v>1606</v>
      </c>
      <c r="L1886" s="1" t="s">
        <v>1729</v>
      </c>
      <c r="M1886" s="1" t="s">
        <v>1735</v>
      </c>
      <c r="N1886" t="s">
        <v>1981</v>
      </c>
      <c r="O1886" t="s">
        <v>2157</v>
      </c>
      <c r="P1886" t="s">
        <v>3037</v>
      </c>
      <c r="Q1886">
        <v>45.5</v>
      </c>
      <c r="R1886" s="1" t="s">
        <v>1839</v>
      </c>
      <c r="S1886">
        <v>2538.98</v>
      </c>
      <c r="T1886">
        <v>115524</v>
      </c>
    </row>
    <row r="1887" spans="1:20" hidden="1" x14ac:dyDescent="0.4">
      <c r="A1887" s="1" t="s">
        <v>642</v>
      </c>
      <c r="B1887" s="1" t="s">
        <v>1456</v>
      </c>
      <c r="C1887" s="1" t="s">
        <v>1845</v>
      </c>
      <c r="D1887" s="1" t="s">
        <v>1731</v>
      </c>
      <c r="E1887">
        <v>20251223</v>
      </c>
      <c r="F1887" s="1" t="s">
        <v>1470</v>
      </c>
      <c r="G1887">
        <v>4</v>
      </c>
      <c r="H1887" s="1" t="s">
        <v>1494</v>
      </c>
      <c r="I1887" t="s">
        <v>1874</v>
      </c>
      <c r="J1887" s="1" t="s">
        <v>1456</v>
      </c>
      <c r="K1887" s="1" t="s">
        <v>1606</v>
      </c>
      <c r="L1887" s="1" t="s">
        <v>1729</v>
      </c>
      <c r="M1887" s="1" t="s">
        <v>1735</v>
      </c>
      <c r="N1887" t="s">
        <v>1981</v>
      </c>
      <c r="O1887" t="s">
        <v>2157</v>
      </c>
      <c r="P1887" t="s">
        <v>3037</v>
      </c>
      <c r="Q1887">
        <v>45.5</v>
      </c>
      <c r="R1887" s="1" t="s">
        <v>1839</v>
      </c>
      <c r="S1887">
        <v>2538.98</v>
      </c>
      <c r="T1887">
        <v>115524</v>
      </c>
    </row>
    <row r="1888" spans="1:20" hidden="1" x14ac:dyDescent="0.4">
      <c r="A1888" s="1" t="s">
        <v>642</v>
      </c>
      <c r="B1888" s="1" t="s">
        <v>1457</v>
      </c>
      <c r="C1888" s="1" t="s">
        <v>1845</v>
      </c>
      <c r="D1888" s="1" t="s">
        <v>1731</v>
      </c>
      <c r="E1888">
        <v>20251223</v>
      </c>
      <c r="F1888" s="1" t="s">
        <v>1470</v>
      </c>
      <c r="G1888">
        <v>4</v>
      </c>
      <c r="H1888" s="1" t="s">
        <v>1494</v>
      </c>
      <c r="I1888" t="s">
        <v>1874</v>
      </c>
      <c r="J1888" s="1" t="s">
        <v>1456</v>
      </c>
      <c r="K1888" s="1" t="s">
        <v>1606</v>
      </c>
      <c r="L1888" s="1" t="s">
        <v>1729</v>
      </c>
      <c r="M1888" s="1" t="s">
        <v>1735</v>
      </c>
      <c r="N1888" t="s">
        <v>1981</v>
      </c>
      <c r="O1888" t="s">
        <v>2157</v>
      </c>
      <c r="P1888" t="s">
        <v>3037</v>
      </c>
      <c r="Q1888">
        <v>45.5</v>
      </c>
      <c r="R1888" s="1" t="s">
        <v>1839</v>
      </c>
      <c r="S1888">
        <v>2538.98</v>
      </c>
      <c r="T1888">
        <v>115524</v>
      </c>
    </row>
    <row r="1889" spans="1:20" hidden="1" x14ac:dyDescent="0.4">
      <c r="A1889" s="1" t="s">
        <v>642</v>
      </c>
      <c r="B1889" s="1" t="s">
        <v>1458</v>
      </c>
      <c r="C1889" s="1" t="s">
        <v>1845</v>
      </c>
      <c r="D1889" s="1" t="s">
        <v>1731</v>
      </c>
      <c r="E1889">
        <v>20251223</v>
      </c>
      <c r="F1889" s="1" t="s">
        <v>1470</v>
      </c>
      <c r="G1889">
        <v>4</v>
      </c>
      <c r="H1889" s="1" t="s">
        <v>1494</v>
      </c>
      <c r="I1889" t="s">
        <v>1874</v>
      </c>
      <c r="J1889" s="1" t="s">
        <v>1456</v>
      </c>
      <c r="K1889" s="1" t="s">
        <v>1606</v>
      </c>
      <c r="L1889" s="1" t="s">
        <v>1729</v>
      </c>
      <c r="M1889" s="1" t="s">
        <v>1735</v>
      </c>
      <c r="N1889" t="s">
        <v>1981</v>
      </c>
      <c r="O1889" t="s">
        <v>2157</v>
      </c>
      <c r="P1889" t="s">
        <v>3037</v>
      </c>
      <c r="Q1889">
        <v>45.5</v>
      </c>
      <c r="R1889" s="1" t="s">
        <v>1839</v>
      </c>
      <c r="S1889">
        <v>2538.98</v>
      </c>
      <c r="T1889">
        <v>115524</v>
      </c>
    </row>
    <row r="1890" spans="1:20" hidden="1" x14ac:dyDescent="0.4">
      <c r="A1890" s="1" t="s">
        <v>642</v>
      </c>
      <c r="B1890" s="1" t="s">
        <v>1459</v>
      </c>
      <c r="C1890" s="1" t="s">
        <v>1845</v>
      </c>
      <c r="D1890" s="1" t="s">
        <v>1731</v>
      </c>
      <c r="E1890">
        <v>20251223</v>
      </c>
      <c r="F1890" s="1" t="s">
        <v>1470</v>
      </c>
      <c r="G1890">
        <v>4</v>
      </c>
      <c r="H1890" s="1" t="s">
        <v>1494</v>
      </c>
      <c r="I1890" t="s">
        <v>1874</v>
      </c>
      <c r="J1890" s="1" t="s">
        <v>1456</v>
      </c>
      <c r="K1890" s="1" t="s">
        <v>1606</v>
      </c>
      <c r="L1890" s="1" t="s">
        <v>1729</v>
      </c>
      <c r="M1890" s="1" t="s">
        <v>1735</v>
      </c>
      <c r="N1890" t="s">
        <v>1981</v>
      </c>
      <c r="O1890" t="s">
        <v>2157</v>
      </c>
      <c r="P1890" t="s">
        <v>3037</v>
      </c>
      <c r="Q1890">
        <v>45.5</v>
      </c>
      <c r="R1890" s="1" t="s">
        <v>1839</v>
      </c>
      <c r="S1890">
        <v>2538.98</v>
      </c>
      <c r="T1890">
        <v>115524</v>
      </c>
    </row>
    <row r="1891" spans="1:20" hidden="1" x14ac:dyDescent="0.4">
      <c r="A1891" s="1" t="s">
        <v>642</v>
      </c>
      <c r="B1891" s="1" t="s">
        <v>1460</v>
      </c>
      <c r="C1891" s="1" t="s">
        <v>1845</v>
      </c>
      <c r="D1891" s="1" t="s">
        <v>1731</v>
      </c>
      <c r="E1891">
        <v>20251223</v>
      </c>
      <c r="F1891" s="1" t="s">
        <v>1470</v>
      </c>
      <c r="G1891">
        <v>4</v>
      </c>
      <c r="H1891" s="1" t="s">
        <v>1494</v>
      </c>
      <c r="I1891" t="s">
        <v>1874</v>
      </c>
      <c r="J1891" s="1" t="s">
        <v>1456</v>
      </c>
      <c r="K1891" s="1" t="s">
        <v>1606</v>
      </c>
      <c r="L1891" s="1" t="s">
        <v>1729</v>
      </c>
      <c r="M1891" s="1" t="s">
        <v>1735</v>
      </c>
      <c r="N1891" t="s">
        <v>1981</v>
      </c>
      <c r="O1891" t="s">
        <v>2157</v>
      </c>
      <c r="P1891" t="s">
        <v>3037</v>
      </c>
      <c r="Q1891">
        <v>48.23</v>
      </c>
      <c r="R1891" s="1" t="s">
        <v>1839</v>
      </c>
      <c r="S1891">
        <v>2538.9699999999998</v>
      </c>
      <c r="T1891">
        <v>122455</v>
      </c>
    </row>
    <row r="1892" spans="1:20" hidden="1" x14ac:dyDescent="0.4">
      <c r="A1892" s="1" t="s">
        <v>642</v>
      </c>
      <c r="B1892" s="1" t="s">
        <v>1461</v>
      </c>
      <c r="C1892" s="1" t="s">
        <v>1845</v>
      </c>
      <c r="D1892" s="1" t="s">
        <v>1731</v>
      </c>
      <c r="E1892">
        <v>20251223</v>
      </c>
      <c r="F1892" s="1" t="s">
        <v>1470</v>
      </c>
      <c r="G1892">
        <v>4</v>
      </c>
      <c r="H1892" s="1" t="s">
        <v>1494</v>
      </c>
      <c r="I1892" t="s">
        <v>1874</v>
      </c>
      <c r="J1892" s="1" t="s">
        <v>1456</v>
      </c>
      <c r="K1892" s="1" t="s">
        <v>1606</v>
      </c>
      <c r="L1892" s="1" t="s">
        <v>1729</v>
      </c>
      <c r="M1892" s="1" t="s">
        <v>1735</v>
      </c>
      <c r="N1892" t="s">
        <v>1981</v>
      </c>
      <c r="O1892" t="s">
        <v>2157</v>
      </c>
      <c r="P1892" t="s">
        <v>3037</v>
      </c>
      <c r="Q1892">
        <v>45.5</v>
      </c>
      <c r="R1892" s="1" t="s">
        <v>1839</v>
      </c>
      <c r="S1892">
        <v>2538.98</v>
      </c>
      <c r="T1892">
        <v>115524</v>
      </c>
    </row>
    <row r="1893" spans="1:20" hidden="1" x14ac:dyDescent="0.4">
      <c r="A1893" s="1" t="s">
        <v>642</v>
      </c>
      <c r="B1893" s="1" t="s">
        <v>1462</v>
      </c>
      <c r="C1893" s="1" t="s">
        <v>1845</v>
      </c>
      <c r="D1893" s="1" t="s">
        <v>1731</v>
      </c>
      <c r="E1893">
        <v>20251223</v>
      </c>
      <c r="F1893" s="1" t="s">
        <v>1470</v>
      </c>
      <c r="G1893">
        <v>4</v>
      </c>
      <c r="H1893" s="1" t="s">
        <v>1494</v>
      </c>
      <c r="I1893" t="s">
        <v>1874</v>
      </c>
      <c r="J1893" s="1" t="s">
        <v>1456</v>
      </c>
      <c r="K1893" s="1" t="s">
        <v>1606</v>
      </c>
      <c r="L1893" s="1" t="s">
        <v>1729</v>
      </c>
      <c r="M1893" s="1" t="s">
        <v>1735</v>
      </c>
      <c r="N1893" t="s">
        <v>1981</v>
      </c>
      <c r="O1893" t="s">
        <v>2157</v>
      </c>
      <c r="P1893" t="s">
        <v>3037</v>
      </c>
      <c r="Q1893">
        <v>45.5</v>
      </c>
      <c r="R1893" s="1" t="s">
        <v>1839</v>
      </c>
      <c r="S1893">
        <v>2538.98</v>
      </c>
      <c r="T1893">
        <v>115524</v>
      </c>
    </row>
    <row r="1894" spans="1:20" hidden="1" x14ac:dyDescent="0.4">
      <c r="A1894" s="1" t="s">
        <v>643</v>
      </c>
      <c r="B1894" s="1" t="s">
        <v>1453</v>
      </c>
      <c r="C1894" s="1" t="s">
        <v>1845</v>
      </c>
      <c r="D1894" s="1" t="s">
        <v>1731</v>
      </c>
      <c r="E1894">
        <v>20251223</v>
      </c>
      <c r="F1894" s="1" t="s">
        <v>1470</v>
      </c>
      <c r="G1894">
        <v>4</v>
      </c>
      <c r="H1894" s="1" t="s">
        <v>1494</v>
      </c>
      <c r="I1894" t="s">
        <v>1874</v>
      </c>
      <c r="J1894" s="1" t="s">
        <v>1456</v>
      </c>
      <c r="K1894" s="1" t="s">
        <v>1606</v>
      </c>
      <c r="L1894" s="1" t="s">
        <v>1729</v>
      </c>
      <c r="M1894" s="1" t="s">
        <v>1735</v>
      </c>
      <c r="N1894" t="s">
        <v>1981</v>
      </c>
      <c r="O1894" t="s">
        <v>2157</v>
      </c>
      <c r="P1894" t="s">
        <v>3037</v>
      </c>
      <c r="Q1894">
        <v>45.5</v>
      </c>
      <c r="R1894" s="1" t="s">
        <v>1839</v>
      </c>
      <c r="S1894">
        <v>2538.98</v>
      </c>
      <c r="T1894">
        <v>115524</v>
      </c>
    </row>
    <row r="1895" spans="1:20" hidden="1" x14ac:dyDescent="0.4">
      <c r="A1895" s="1" t="s">
        <v>643</v>
      </c>
      <c r="B1895" s="1" t="s">
        <v>1454</v>
      </c>
      <c r="C1895" s="1" t="s">
        <v>1845</v>
      </c>
      <c r="D1895" s="1" t="s">
        <v>1731</v>
      </c>
      <c r="E1895">
        <v>20251223</v>
      </c>
      <c r="F1895" s="1" t="s">
        <v>1470</v>
      </c>
      <c r="G1895">
        <v>4</v>
      </c>
      <c r="H1895" s="1" t="s">
        <v>1494</v>
      </c>
      <c r="I1895" t="s">
        <v>1874</v>
      </c>
      <c r="J1895" s="1" t="s">
        <v>1456</v>
      </c>
      <c r="K1895" s="1" t="s">
        <v>1606</v>
      </c>
      <c r="L1895" s="1" t="s">
        <v>1729</v>
      </c>
      <c r="M1895" s="1" t="s">
        <v>1735</v>
      </c>
      <c r="N1895" t="s">
        <v>1981</v>
      </c>
      <c r="O1895" t="s">
        <v>2157</v>
      </c>
      <c r="P1895" t="s">
        <v>3037</v>
      </c>
      <c r="Q1895">
        <v>45.5</v>
      </c>
      <c r="R1895" s="1" t="s">
        <v>1839</v>
      </c>
      <c r="S1895">
        <v>2538.98</v>
      </c>
      <c r="T1895">
        <v>115524</v>
      </c>
    </row>
    <row r="1896" spans="1:20" hidden="1" x14ac:dyDescent="0.4">
      <c r="A1896" s="1" t="s">
        <v>643</v>
      </c>
      <c r="B1896" s="1" t="s">
        <v>1455</v>
      </c>
      <c r="C1896" s="1" t="s">
        <v>1845</v>
      </c>
      <c r="D1896" s="1" t="s">
        <v>1731</v>
      </c>
      <c r="E1896">
        <v>20251223</v>
      </c>
      <c r="F1896" s="1" t="s">
        <v>1470</v>
      </c>
      <c r="G1896">
        <v>4</v>
      </c>
      <c r="H1896" s="1" t="s">
        <v>1494</v>
      </c>
      <c r="I1896" t="s">
        <v>1874</v>
      </c>
      <c r="J1896" s="1" t="s">
        <v>1456</v>
      </c>
      <c r="K1896" s="1" t="s">
        <v>1606</v>
      </c>
      <c r="L1896" s="1" t="s">
        <v>1729</v>
      </c>
      <c r="M1896" s="1" t="s">
        <v>1735</v>
      </c>
      <c r="N1896" t="s">
        <v>1981</v>
      </c>
      <c r="O1896" t="s">
        <v>2157</v>
      </c>
      <c r="P1896" t="s">
        <v>3037</v>
      </c>
      <c r="Q1896">
        <v>45.5</v>
      </c>
      <c r="R1896" s="1" t="s">
        <v>1839</v>
      </c>
      <c r="S1896">
        <v>2538.98</v>
      </c>
      <c r="T1896">
        <v>115524</v>
      </c>
    </row>
    <row r="1897" spans="1:20" hidden="1" x14ac:dyDescent="0.4">
      <c r="A1897" s="1" t="s">
        <v>643</v>
      </c>
      <c r="B1897" s="1" t="s">
        <v>1456</v>
      </c>
      <c r="C1897" s="1" t="s">
        <v>1845</v>
      </c>
      <c r="D1897" s="1" t="s">
        <v>1731</v>
      </c>
      <c r="E1897">
        <v>20251223</v>
      </c>
      <c r="F1897" s="1" t="s">
        <v>1470</v>
      </c>
      <c r="G1897">
        <v>4</v>
      </c>
      <c r="H1897" s="1" t="s">
        <v>1494</v>
      </c>
      <c r="I1897" t="s">
        <v>1874</v>
      </c>
      <c r="J1897" s="1" t="s">
        <v>1456</v>
      </c>
      <c r="K1897" s="1" t="s">
        <v>1606</v>
      </c>
      <c r="L1897" s="1" t="s">
        <v>1729</v>
      </c>
      <c r="M1897" s="1" t="s">
        <v>1735</v>
      </c>
      <c r="N1897" t="s">
        <v>1981</v>
      </c>
      <c r="O1897" t="s">
        <v>2157</v>
      </c>
      <c r="P1897" t="s">
        <v>3037</v>
      </c>
      <c r="Q1897">
        <v>45.5</v>
      </c>
      <c r="R1897" s="1" t="s">
        <v>1839</v>
      </c>
      <c r="S1897">
        <v>2538.98</v>
      </c>
      <c r="T1897">
        <v>115524</v>
      </c>
    </row>
    <row r="1898" spans="1:20" hidden="1" x14ac:dyDescent="0.4">
      <c r="A1898" s="1" t="s">
        <v>643</v>
      </c>
      <c r="B1898" s="1" t="s">
        <v>1457</v>
      </c>
      <c r="C1898" s="1" t="s">
        <v>1845</v>
      </c>
      <c r="D1898" s="1" t="s">
        <v>1731</v>
      </c>
      <c r="E1898">
        <v>20251223</v>
      </c>
      <c r="F1898" s="1" t="s">
        <v>1470</v>
      </c>
      <c r="G1898">
        <v>4</v>
      </c>
      <c r="H1898" s="1" t="s">
        <v>1494</v>
      </c>
      <c r="I1898" t="s">
        <v>1874</v>
      </c>
      <c r="J1898" s="1" t="s">
        <v>1456</v>
      </c>
      <c r="K1898" s="1" t="s">
        <v>1606</v>
      </c>
      <c r="L1898" s="1" t="s">
        <v>1729</v>
      </c>
      <c r="M1898" s="1" t="s">
        <v>1735</v>
      </c>
      <c r="N1898" t="s">
        <v>1981</v>
      </c>
      <c r="O1898" t="s">
        <v>2157</v>
      </c>
      <c r="P1898" t="s">
        <v>3037</v>
      </c>
      <c r="Q1898">
        <v>45.5</v>
      </c>
      <c r="R1898" s="1" t="s">
        <v>1839</v>
      </c>
      <c r="S1898">
        <v>2538.98</v>
      </c>
      <c r="T1898">
        <v>115524</v>
      </c>
    </row>
    <row r="1899" spans="1:20" hidden="1" x14ac:dyDescent="0.4">
      <c r="A1899" s="1" t="s">
        <v>643</v>
      </c>
      <c r="B1899" s="1" t="s">
        <v>1458</v>
      </c>
      <c r="C1899" s="1" t="s">
        <v>1845</v>
      </c>
      <c r="D1899" s="1" t="s">
        <v>1731</v>
      </c>
      <c r="E1899">
        <v>20251223</v>
      </c>
      <c r="F1899" s="1" t="s">
        <v>1470</v>
      </c>
      <c r="G1899">
        <v>4</v>
      </c>
      <c r="H1899" s="1" t="s">
        <v>1494</v>
      </c>
      <c r="I1899" t="s">
        <v>1874</v>
      </c>
      <c r="J1899" s="1" t="s">
        <v>1456</v>
      </c>
      <c r="K1899" s="1" t="s">
        <v>1606</v>
      </c>
      <c r="L1899" s="1" t="s">
        <v>1729</v>
      </c>
      <c r="M1899" s="1" t="s">
        <v>1735</v>
      </c>
      <c r="N1899" t="s">
        <v>1981</v>
      </c>
      <c r="O1899" t="s">
        <v>2157</v>
      </c>
      <c r="P1899" t="s">
        <v>3037</v>
      </c>
      <c r="Q1899">
        <v>48.77</v>
      </c>
      <c r="R1899" s="1" t="s">
        <v>1839</v>
      </c>
      <c r="S1899">
        <v>2538.9899999999998</v>
      </c>
      <c r="T1899">
        <v>123827</v>
      </c>
    </row>
    <row r="1900" spans="1:20" hidden="1" x14ac:dyDescent="0.4">
      <c r="A1900" s="1" t="s">
        <v>643</v>
      </c>
      <c r="B1900" s="1" t="s">
        <v>1459</v>
      </c>
      <c r="C1900" s="1" t="s">
        <v>1845</v>
      </c>
      <c r="D1900" s="1" t="s">
        <v>1731</v>
      </c>
      <c r="E1900">
        <v>20251223</v>
      </c>
      <c r="F1900" s="1" t="s">
        <v>1470</v>
      </c>
      <c r="G1900">
        <v>4</v>
      </c>
      <c r="H1900" s="1" t="s">
        <v>1494</v>
      </c>
      <c r="I1900" t="s">
        <v>1874</v>
      </c>
      <c r="J1900" s="1" t="s">
        <v>1456</v>
      </c>
      <c r="K1900" s="1" t="s">
        <v>1606</v>
      </c>
      <c r="L1900" s="1" t="s">
        <v>1729</v>
      </c>
      <c r="M1900" s="1" t="s">
        <v>1735</v>
      </c>
      <c r="N1900" t="s">
        <v>1981</v>
      </c>
      <c r="O1900" t="s">
        <v>2157</v>
      </c>
      <c r="P1900" t="s">
        <v>3037</v>
      </c>
      <c r="Q1900">
        <v>45.5</v>
      </c>
      <c r="R1900" s="1" t="s">
        <v>1839</v>
      </c>
      <c r="S1900">
        <v>2538.98</v>
      </c>
      <c r="T1900">
        <v>115524</v>
      </c>
    </row>
    <row r="1901" spans="1:20" hidden="1" x14ac:dyDescent="0.4">
      <c r="A1901" s="1" t="s">
        <v>643</v>
      </c>
      <c r="B1901" s="1" t="s">
        <v>1460</v>
      </c>
      <c r="C1901" s="1" t="s">
        <v>1845</v>
      </c>
      <c r="D1901" s="1" t="s">
        <v>1731</v>
      </c>
      <c r="E1901">
        <v>20251223</v>
      </c>
      <c r="F1901" s="1" t="s">
        <v>1470</v>
      </c>
      <c r="G1901">
        <v>4</v>
      </c>
      <c r="H1901" s="1" t="s">
        <v>1494</v>
      </c>
      <c r="I1901" t="s">
        <v>1874</v>
      </c>
      <c r="J1901" s="1" t="s">
        <v>1456</v>
      </c>
      <c r="K1901" s="1" t="s">
        <v>1606</v>
      </c>
      <c r="L1901" s="1" t="s">
        <v>1729</v>
      </c>
      <c r="M1901" s="1" t="s">
        <v>1735</v>
      </c>
      <c r="N1901" t="s">
        <v>1981</v>
      </c>
      <c r="O1901" t="s">
        <v>2157</v>
      </c>
      <c r="P1901" t="s">
        <v>3037</v>
      </c>
      <c r="Q1901">
        <v>45.86</v>
      </c>
      <c r="R1901" s="1" t="s">
        <v>1839</v>
      </c>
      <c r="S1901">
        <v>2538.98</v>
      </c>
      <c r="T1901">
        <v>116438</v>
      </c>
    </row>
    <row r="1902" spans="1:20" hidden="1" x14ac:dyDescent="0.4">
      <c r="A1902" s="1" t="s">
        <v>643</v>
      </c>
      <c r="B1902" s="1" t="s">
        <v>1461</v>
      </c>
      <c r="C1902" s="1" t="s">
        <v>1845</v>
      </c>
      <c r="D1902" s="1" t="s">
        <v>1731</v>
      </c>
      <c r="E1902">
        <v>20251223</v>
      </c>
      <c r="F1902" s="1" t="s">
        <v>1470</v>
      </c>
      <c r="G1902">
        <v>4</v>
      </c>
      <c r="H1902" s="1" t="s">
        <v>1494</v>
      </c>
      <c r="I1902" t="s">
        <v>1874</v>
      </c>
      <c r="J1902" s="1" t="s">
        <v>1456</v>
      </c>
      <c r="K1902" s="1" t="s">
        <v>1606</v>
      </c>
      <c r="L1902" s="1" t="s">
        <v>1729</v>
      </c>
      <c r="M1902" s="1" t="s">
        <v>1735</v>
      </c>
      <c r="N1902" t="s">
        <v>1981</v>
      </c>
      <c r="O1902" t="s">
        <v>2157</v>
      </c>
      <c r="P1902" t="s">
        <v>3037</v>
      </c>
      <c r="Q1902">
        <v>45.5</v>
      </c>
      <c r="R1902" s="1" t="s">
        <v>1839</v>
      </c>
      <c r="S1902">
        <v>2538.98</v>
      </c>
      <c r="T1902">
        <v>115524</v>
      </c>
    </row>
    <row r="1903" spans="1:20" hidden="1" x14ac:dyDescent="0.4">
      <c r="A1903" s="1" t="s">
        <v>643</v>
      </c>
      <c r="B1903" s="1" t="s">
        <v>1462</v>
      </c>
      <c r="C1903" s="1" t="s">
        <v>1845</v>
      </c>
      <c r="D1903" s="1" t="s">
        <v>1731</v>
      </c>
      <c r="E1903">
        <v>20251223</v>
      </c>
      <c r="F1903" s="1" t="s">
        <v>1470</v>
      </c>
      <c r="G1903">
        <v>4</v>
      </c>
      <c r="H1903" s="1" t="s">
        <v>1494</v>
      </c>
      <c r="I1903" t="s">
        <v>1874</v>
      </c>
      <c r="J1903" s="1" t="s">
        <v>1456</v>
      </c>
      <c r="K1903" s="1" t="s">
        <v>1606</v>
      </c>
      <c r="L1903" s="1" t="s">
        <v>1729</v>
      </c>
      <c r="M1903" s="1" t="s">
        <v>1735</v>
      </c>
      <c r="N1903" t="s">
        <v>1981</v>
      </c>
      <c r="O1903" t="s">
        <v>2157</v>
      </c>
      <c r="P1903" t="s">
        <v>3037</v>
      </c>
      <c r="Q1903">
        <v>45.5</v>
      </c>
      <c r="R1903" s="1" t="s">
        <v>1839</v>
      </c>
      <c r="S1903">
        <v>2538.98</v>
      </c>
      <c r="T1903">
        <v>115524</v>
      </c>
    </row>
    <row r="1904" spans="1:20" hidden="1" x14ac:dyDescent="0.4">
      <c r="A1904" s="1" t="s">
        <v>644</v>
      </c>
      <c r="B1904" s="1" t="s">
        <v>1453</v>
      </c>
      <c r="C1904" s="1" t="s">
        <v>1845</v>
      </c>
      <c r="D1904" s="1" t="s">
        <v>1731</v>
      </c>
      <c r="E1904">
        <v>20251223</v>
      </c>
      <c r="F1904" s="1" t="s">
        <v>1470</v>
      </c>
      <c r="G1904">
        <v>4</v>
      </c>
      <c r="H1904" s="1" t="s">
        <v>1494</v>
      </c>
      <c r="I1904" t="s">
        <v>1874</v>
      </c>
      <c r="J1904" s="1" t="s">
        <v>1456</v>
      </c>
      <c r="K1904" s="1" t="s">
        <v>1606</v>
      </c>
      <c r="L1904" s="1" t="s">
        <v>1729</v>
      </c>
      <c r="M1904" s="1" t="s">
        <v>1735</v>
      </c>
      <c r="N1904" t="s">
        <v>1981</v>
      </c>
      <c r="O1904" t="s">
        <v>2157</v>
      </c>
      <c r="P1904" t="s">
        <v>3037</v>
      </c>
      <c r="Q1904">
        <v>45.5</v>
      </c>
      <c r="R1904" s="1" t="s">
        <v>1839</v>
      </c>
      <c r="S1904">
        <v>2538.98</v>
      </c>
      <c r="T1904">
        <v>115524</v>
      </c>
    </row>
    <row r="1905" spans="1:20" hidden="1" x14ac:dyDescent="0.4">
      <c r="A1905" s="1" t="s">
        <v>644</v>
      </c>
      <c r="B1905" s="1" t="s">
        <v>1454</v>
      </c>
      <c r="C1905" s="1" t="s">
        <v>1845</v>
      </c>
      <c r="D1905" s="1" t="s">
        <v>1731</v>
      </c>
      <c r="E1905">
        <v>20251223</v>
      </c>
      <c r="F1905" s="1" t="s">
        <v>1470</v>
      </c>
      <c r="G1905">
        <v>4</v>
      </c>
      <c r="H1905" s="1" t="s">
        <v>1494</v>
      </c>
      <c r="I1905" t="s">
        <v>1874</v>
      </c>
      <c r="J1905" s="1" t="s">
        <v>1456</v>
      </c>
      <c r="K1905" s="1" t="s">
        <v>1606</v>
      </c>
      <c r="L1905" s="1" t="s">
        <v>1729</v>
      </c>
      <c r="M1905" s="1" t="s">
        <v>1735</v>
      </c>
      <c r="N1905" t="s">
        <v>1981</v>
      </c>
      <c r="O1905" t="s">
        <v>2157</v>
      </c>
      <c r="P1905" t="s">
        <v>3037</v>
      </c>
      <c r="Q1905">
        <v>45.5</v>
      </c>
      <c r="R1905" s="1" t="s">
        <v>1839</v>
      </c>
      <c r="S1905">
        <v>2538.98</v>
      </c>
      <c r="T1905">
        <v>115524</v>
      </c>
    </row>
    <row r="1906" spans="1:20" hidden="1" x14ac:dyDescent="0.4">
      <c r="A1906" s="1" t="s">
        <v>644</v>
      </c>
      <c r="B1906" s="1" t="s">
        <v>1455</v>
      </c>
      <c r="C1906" s="1" t="s">
        <v>1845</v>
      </c>
      <c r="D1906" s="1" t="s">
        <v>1731</v>
      </c>
      <c r="E1906">
        <v>20251223</v>
      </c>
      <c r="F1906" s="1" t="s">
        <v>1470</v>
      </c>
      <c r="G1906">
        <v>4</v>
      </c>
      <c r="H1906" s="1" t="s">
        <v>1494</v>
      </c>
      <c r="I1906" t="s">
        <v>1874</v>
      </c>
      <c r="J1906" s="1" t="s">
        <v>1456</v>
      </c>
      <c r="K1906" s="1" t="s">
        <v>1606</v>
      </c>
      <c r="L1906" s="1" t="s">
        <v>1729</v>
      </c>
      <c r="M1906" s="1" t="s">
        <v>1735</v>
      </c>
      <c r="N1906" t="s">
        <v>1981</v>
      </c>
      <c r="O1906" t="s">
        <v>2157</v>
      </c>
      <c r="P1906" t="s">
        <v>3037</v>
      </c>
      <c r="Q1906">
        <v>48.04</v>
      </c>
      <c r="R1906" s="1" t="s">
        <v>1839</v>
      </c>
      <c r="S1906">
        <v>2538.98</v>
      </c>
      <c r="T1906">
        <v>121973</v>
      </c>
    </row>
    <row r="1907" spans="1:20" hidden="1" x14ac:dyDescent="0.4">
      <c r="A1907" s="1" t="s">
        <v>644</v>
      </c>
      <c r="B1907" s="1" t="s">
        <v>1456</v>
      </c>
      <c r="C1907" s="1" t="s">
        <v>1845</v>
      </c>
      <c r="D1907" s="1" t="s">
        <v>1731</v>
      </c>
      <c r="E1907">
        <v>20251223</v>
      </c>
      <c r="F1907" s="1" t="s">
        <v>1470</v>
      </c>
      <c r="G1907">
        <v>4</v>
      </c>
      <c r="H1907" s="1" t="s">
        <v>1494</v>
      </c>
      <c r="I1907" t="s">
        <v>1874</v>
      </c>
      <c r="J1907" s="1" t="s">
        <v>1456</v>
      </c>
      <c r="K1907" s="1" t="s">
        <v>1606</v>
      </c>
      <c r="L1907" s="1" t="s">
        <v>1729</v>
      </c>
      <c r="M1907" s="1" t="s">
        <v>1735</v>
      </c>
      <c r="N1907" t="s">
        <v>1981</v>
      </c>
      <c r="O1907" t="s">
        <v>2157</v>
      </c>
      <c r="P1907" t="s">
        <v>3037</v>
      </c>
      <c r="Q1907">
        <v>42.22</v>
      </c>
      <c r="R1907" s="1" t="s">
        <v>1839</v>
      </c>
      <c r="S1907">
        <v>2538.98</v>
      </c>
      <c r="T1907">
        <v>107196</v>
      </c>
    </row>
    <row r="1908" spans="1:20" hidden="1" x14ac:dyDescent="0.4">
      <c r="A1908" s="1" t="s">
        <v>644</v>
      </c>
      <c r="B1908" s="1" t="s">
        <v>1457</v>
      </c>
      <c r="C1908" s="1" t="s">
        <v>1845</v>
      </c>
      <c r="D1908" s="1" t="s">
        <v>1731</v>
      </c>
      <c r="E1908">
        <v>20251223</v>
      </c>
      <c r="F1908" s="1" t="s">
        <v>1470</v>
      </c>
      <c r="G1908">
        <v>4</v>
      </c>
      <c r="H1908" s="1" t="s">
        <v>1494</v>
      </c>
      <c r="I1908" t="s">
        <v>1874</v>
      </c>
      <c r="J1908" s="1" t="s">
        <v>1456</v>
      </c>
      <c r="K1908" s="1" t="s">
        <v>1606</v>
      </c>
      <c r="L1908" s="1" t="s">
        <v>1729</v>
      </c>
      <c r="M1908" s="1" t="s">
        <v>1735</v>
      </c>
      <c r="N1908" t="s">
        <v>1981</v>
      </c>
      <c r="O1908" t="s">
        <v>2157</v>
      </c>
      <c r="P1908" t="s">
        <v>3037</v>
      </c>
      <c r="Q1908">
        <v>45.5</v>
      </c>
      <c r="R1908" s="1" t="s">
        <v>1839</v>
      </c>
      <c r="S1908">
        <v>2538.98</v>
      </c>
      <c r="T1908">
        <v>115524</v>
      </c>
    </row>
    <row r="1909" spans="1:20" hidden="1" x14ac:dyDescent="0.4">
      <c r="A1909" s="1" t="s">
        <v>644</v>
      </c>
      <c r="B1909" s="1" t="s">
        <v>1458</v>
      </c>
      <c r="C1909" s="1" t="s">
        <v>1845</v>
      </c>
      <c r="D1909" s="1" t="s">
        <v>1731</v>
      </c>
      <c r="E1909">
        <v>20251223</v>
      </c>
      <c r="F1909" s="1" t="s">
        <v>1470</v>
      </c>
      <c r="G1909">
        <v>4</v>
      </c>
      <c r="H1909" s="1" t="s">
        <v>1494</v>
      </c>
      <c r="I1909" t="s">
        <v>1874</v>
      </c>
      <c r="J1909" s="1" t="s">
        <v>1456</v>
      </c>
      <c r="K1909" s="1" t="s">
        <v>1606</v>
      </c>
      <c r="L1909" s="1" t="s">
        <v>1729</v>
      </c>
      <c r="M1909" s="1" t="s">
        <v>1735</v>
      </c>
      <c r="N1909" t="s">
        <v>1981</v>
      </c>
      <c r="O1909" t="s">
        <v>2157</v>
      </c>
      <c r="P1909" t="s">
        <v>3037</v>
      </c>
      <c r="Q1909">
        <v>45.86</v>
      </c>
      <c r="R1909" s="1" t="s">
        <v>1839</v>
      </c>
      <c r="S1909">
        <v>2538.98</v>
      </c>
      <c r="T1909">
        <v>116438</v>
      </c>
    </row>
    <row r="1910" spans="1:20" hidden="1" x14ac:dyDescent="0.4">
      <c r="A1910" s="1" t="s">
        <v>644</v>
      </c>
      <c r="B1910" s="1" t="s">
        <v>1459</v>
      </c>
      <c r="C1910" s="1" t="s">
        <v>1845</v>
      </c>
      <c r="D1910" s="1" t="s">
        <v>1731</v>
      </c>
      <c r="E1910">
        <v>20251223</v>
      </c>
      <c r="F1910" s="1" t="s">
        <v>1470</v>
      </c>
      <c r="G1910">
        <v>4</v>
      </c>
      <c r="H1910" s="1" t="s">
        <v>1494</v>
      </c>
      <c r="I1910" t="s">
        <v>1874</v>
      </c>
      <c r="J1910" s="1" t="s">
        <v>1456</v>
      </c>
      <c r="K1910" s="1" t="s">
        <v>1606</v>
      </c>
      <c r="L1910" s="1" t="s">
        <v>1729</v>
      </c>
      <c r="M1910" s="1" t="s">
        <v>1735</v>
      </c>
      <c r="N1910" t="s">
        <v>1981</v>
      </c>
      <c r="O1910" t="s">
        <v>2157</v>
      </c>
      <c r="P1910" t="s">
        <v>3037</v>
      </c>
      <c r="Q1910">
        <v>45.5</v>
      </c>
      <c r="R1910" s="1" t="s">
        <v>1839</v>
      </c>
      <c r="S1910">
        <v>2538.98</v>
      </c>
      <c r="T1910">
        <v>115524</v>
      </c>
    </row>
    <row r="1911" spans="1:20" hidden="1" x14ac:dyDescent="0.4">
      <c r="A1911" s="1" t="s">
        <v>644</v>
      </c>
      <c r="B1911" s="1" t="s">
        <v>1460</v>
      </c>
      <c r="C1911" s="1" t="s">
        <v>1845</v>
      </c>
      <c r="D1911" s="1" t="s">
        <v>1731</v>
      </c>
      <c r="E1911">
        <v>20251223</v>
      </c>
      <c r="F1911" s="1" t="s">
        <v>1470</v>
      </c>
      <c r="G1911">
        <v>4</v>
      </c>
      <c r="H1911" s="1" t="s">
        <v>1494</v>
      </c>
      <c r="I1911" t="s">
        <v>1874</v>
      </c>
      <c r="J1911" s="1" t="s">
        <v>1456</v>
      </c>
      <c r="K1911" s="1" t="s">
        <v>1606</v>
      </c>
      <c r="L1911" s="1" t="s">
        <v>1729</v>
      </c>
      <c r="M1911" s="1" t="s">
        <v>1735</v>
      </c>
      <c r="N1911" t="s">
        <v>1981</v>
      </c>
      <c r="O1911" t="s">
        <v>2157</v>
      </c>
      <c r="P1911" t="s">
        <v>3037</v>
      </c>
      <c r="Q1911">
        <v>45.5</v>
      </c>
      <c r="R1911" s="1" t="s">
        <v>1839</v>
      </c>
      <c r="S1911">
        <v>2538.98</v>
      </c>
      <c r="T1911">
        <v>115524</v>
      </c>
    </row>
    <row r="1912" spans="1:20" hidden="1" x14ac:dyDescent="0.4">
      <c r="A1912" s="1" t="s">
        <v>644</v>
      </c>
      <c r="B1912" s="1" t="s">
        <v>1461</v>
      </c>
      <c r="C1912" s="1" t="s">
        <v>1845</v>
      </c>
      <c r="D1912" s="1" t="s">
        <v>1731</v>
      </c>
      <c r="E1912">
        <v>20251223</v>
      </c>
      <c r="F1912" s="1" t="s">
        <v>1470</v>
      </c>
      <c r="G1912">
        <v>4</v>
      </c>
      <c r="H1912" s="1" t="s">
        <v>1494</v>
      </c>
      <c r="I1912" t="s">
        <v>1874</v>
      </c>
      <c r="J1912" s="1" t="s">
        <v>1456</v>
      </c>
      <c r="K1912" s="1" t="s">
        <v>1606</v>
      </c>
      <c r="L1912" s="1" t="s">
        <v>1729</v>
      </c>
      <c r="M1912" s="1" t="s">
        <v>1735</v>
      </c>
      <c r="N1912" t="s">
        <v>1981</v>
      </c>
      <c r="O1912" t="s">
        <v>2157</v>
      </c>
      <c r="P1912" t="s">
        <v>3037</v>
      </c>
      <c r="Q1912">
        <v>45.5</v>
      </c>
      <c r="R1912" s="1" t="s">
        <v>1839</v>
      </c>
      <c r="S1912">
        <v>2538.98</v>
      </c>
      <c r="T1912">
        <v>115524</v>
      </c>
    </row>
    <row r="1913" spans="1:20" hidden="1" x14ac:dyDescent="0.4">
      <c r="A1913" s="1" t="s">
        <v>644</v>
      </c>
      <c r="B1913" s="1" t="s">
        <v>1462</v>
      </c>
      <c r="C1913" s="1" t="s">
        <v>1845</v>
      </c>
      <c r="D1913" s="1" t="s">
        <v>1731</v>
      </c>
      <c r="E1913">
        <v>20251223</v>
      </c>
      <c r="F1913" s="1" t="s">
        <v>1470</v>
      </c>
      <c r="G1913">
        <v>4</v>
      </c>
      <c r="H1913" s="1" t="s">
        <v>1494</v>
      </c>
      <c r="I1913" t="s">
        <v>1874</v>
      </c>
      <c r="J1913" s="1" t="s">
        <v>1456</v>
      </c>
      <c r="K1913" s="1" t="s">
        <v>1606</v>
      </c>
      <c r="L1913" s="1" t="s">
        <v>1729</v>
      </c>
      <c r="M1913" s="1" t="s">
        <v>1735</v>
      </c>
      <c r="N1913" t="s">
        <v>1981</v>
      </c>
      <c r="O1913" t="s">
        <v>2157</v>
      </c>
      <c r="P1913" t="s">
        <v>3037</v>
      </c>
      <c r="Q1913">
        <v>45.5</v>
      </c>
      <c r="R1913" s="1" t="s">
        <v>1839</v>
      </c>
      <c r="S1913">
        <v>2538.98</v>
      </c>
      <c r="T1913">
        <v>115524</v>
      </c>
    </row>
    <row r="1914" spans="1:20" hidden="1" x14ac:dyDescent="0.4">
      <c r="A1914" s="1" t="s">
        <v>645</v>
      </c>
      <c r="B1914" s="1" t="s">
        <v>1453</v>
      </c>
      <c r="C1914" s="1" t="s">
        <v>1845</v>
      </c>
      <c r="D1914" s="1" t="s">
        <v>1731</v>
      </c>
      <c r="E1914">
        <v>20251223</v>
      </c>
      <c r="F1914" s="1" t="s">
        <v>1470</v>
      </c>
      <c r="G1914">
        <v>4</v>
      </c>
      <c r="H1914" s="1" t="s">
        <v>1494</v>
      </c>
      <c r="I1914" t="s">
        <v>1874</v>
      </c>
      <c r="J1914" s="1" t="s">
        <v>1456</v>
      </c>
      <c r="K1914" s="1" t="s">
        <v>1606</v>
      </c>
      <c r="L1914" s="1" t="s">
        <v>1729</v>
      </c>
      <c r="M1914" s="1" t="s">
        <v>1735</v>
      </c>
      <c r="N1914" t="s">
        <v>1981</v>
      </c>
      <c r="O1914" t="s">
        <v>2157</v>
      </c>
      <c r="P1914" t="s">
        <v>3037</v>
      </c>
      <c r="Q1914">
        <v>48.04</v>
      </c>
      <c r="R1914" s="1" t="s">
        <v>1839</v>
      </c>
      <c r="S1914">
        <v>2538.98</v>
      </c>
      <c r="T1914">
        <v>121973</v>
      </c>
    </row>
    <row r="1915" spans="1:20" hidden="1" x14ac:dyDescent="0.4">
      <c r="A1915" s="1" t="s">
        <v>645</v>
      </c>
      <c r="B1915" s="1" t="s">
        <v>1454</v>
      </c>
      <c r="C1915" s="1" t="s">
        <v>1845</v>
      </c>
      <c r="D1915" s="1" t="s">
        <v>1731</v>
      </c>
      <c r="E1915">
        <v>20251223</v>
      </c>
      <c r="F1915" s="1" t="s">
        <v>1470</v>
      </c>
      <c r="G1915">
        <v>4</v>
      </c>
      <c r="H1915" s="1" t="s">
        <v>1494</v>
      </c>
      <c r="I1915" t="s">
        <v>1874</v>
      </c>
      <c r="J1915" s="1" t="s">
        <v>1456</v>
      </c>
      <c r="K1915" s="1" t="s">
        <v>1606</v>
      </c>
      <c r="L1915" s="1" t="s">
        <v>1729</v>
      </c>
      <c r="M1915" s="1" t="s">
        <v>1735</v>
      </c>
      <c r="N1915" t="s">
        <v>1981</v>
      </c>
      <c r="O1915" t="s">
        <v>2157</v>
      </c>
      <c r="P1915" t="s">
        <v>3037</v>
      </c>
      <c r="Q1915">
        <v>42.22</v>
      </c>
      <c r="R1915" s="1" t="s">
        <v>1839</v>
      </c>
      <c r="S1915">
        <v>2538.98</v>
      </c>
      <c r="T1915">
        <v>107196</v>
      </c>
    </row>
    <row r="1916" spans="1:20" hidden="1" x14ac:dyDescent="0.4">
      <c r="A1916" s="1" t="s">
        <v>645</v>
      </c>
      <c r="B1916" s="1" t="s">
        <v>1455</v>
      </c>
      <c r="C1916" s="1" t="s">
        <v>1845</v>
      </c>
      <c r="D1916" s="1" t="s">
        <v>1731</v>
      </c>
      <c r="E1916">
        <v>20251223</v>
      </c>
      <c r="F1916" s="1" t="s">
        <v>1470</v>
      </c>
      <c r="G1916">
        <v>4</v>
      </c>
      <c r="H1916" s="1" t="s">
        <v>1494</v>
      </c>
      <c r="I1916" t="s">
        <v>1874</v>
      </c>
      <c r="J1916" s="1" t="s">
        <v>1456</v>
      </c>
      <c r="K1916" s="1" t="s">
        <v>1606</v>
      </c>
      <c r="L1916" s="1" t="s">
        <v>1729</v>
      </c>
      <c r="M1916" s="1" t="s">
        <v>1735</v>
      </c>
      <c r="N1916" t="s">
        <v>1981</v>
      </c>
      <c r="O1916" t="s">
        <v>2157</v>
      </c>
      <c r="P1916" t="s">
        <v>3037</v>
      </c>
      <c r="Q1916">
        <v>43.68</v>
      </c>
      <c r="R1916" s="1" t="s">
        <v>1839</v>
      </c>
      <c r="S1916">
        <v>2538.98</v>
      </c>
      <c r="T1916">
        <v>110903</v>
      </c>
    </row>
    <row r="1917" spans="1:20" hidden="1" x14ac:dyDescent="0.4">
      <c r="A1917" s="1" t="s">
        <v>645</v>
      </c>
      <c r="B1917" s="1" t="s">
        <v>1456</v>
      </c>
      <c r="C1917" s="1" t="s">
        <v>1845</v>
      </c>
      <c r="D1917" s="1" t="s">
        <v>1731</v>
      </c>
      <c r="E1917">
        <v>20251223</v>
      </c>
      <c r="F1917" s="1" t="s">
        <v>1470</v>
      </c>
      <c r="G1917">
        <v>4</v>
      </c>
      <c r="H1917" s="1" t="s">
        <v>1494</v>
      </c>
      <c r="I1917" t="s">
        <v>1874</v>
      </c>
      <c r="J1917" s="1" t="s">
        <v>1456</v>
      </c>
      <c r="K1917" s="1" t="s">
        <v>1606</v>
      </c>
      <c r="L1917" s="1" t="s">
        <v>1729</v>
      </c>
      <c r="M1917" s="1" t="s">
        <v>1735</v>
      </c>
      <c r="N1917" t="s">
        <v>1981</v>
      </c>
      <c r="O1917" t="s">
        <v>2157</v>
      </c>
      <c r="P1917" t="s">
        <v>3037</v>
      </c>
      <c r="Q1917">
        <v>43.68</v>
      </c>
      <c r="R1917" s="1" t="s">
        <v>1839</v>
      </c>
      <c r="S1917">
        <v>2538.98</v>
      </c>
      <c r="T1917">
        <v>110903</v>
      </c>
    </row>
    <row r="1918" spans="1:20" hidden="1" x14ac:dyDescent="0.4">
      <c r="A1918" s="1" t="s">
        <v>645</v>
      </c>
      <c r="B1918" s="1" t="s">
        <v>1457</v>
      </c>
      <c r="C1918" s="1" t="s">
        <v>1845</v>
      </c>
      <c r="D1918" s="1" t="s">
        <v>1731</v>
      </c>
      <c r="E1918">
        <v>20251223</v>
      </c>
      <c r="F1918" s="1" t="s">
        <v>1470</v>
      </c>
      <c r="G1918">
        <v>4</v>
      </c>
      <c r="H1918" s="1" t="s">
        <v>1494</v>
      </c>
      <c r="I1918" t="s">
        <v>1874</v>
      </c>
      <c r="J1918" s="1" t="s">
        <v>1456</v>
      </c>
      <c r="K1918" s="1" t="s">
        <v>1606</v>
      </c>
      <c r="L1918" s="1" t="s">
        <v>1729</v>
      </c>
      <c r="M1918" s="1" t="s">
        <v>1735</v>
      </c>
      <c r="N1918" t="s">
        <v>1981</v>
      </c>
      <c r="O1918" t="s">
        <v>2157</v>
      </c>
      <c r="P1918" t="s">
        <v>3037</v>
      </c>
      <c r="Q1918">
        <v>42.77</v>
      </c>
      <c r="R1918" s="1" t="s">
        <v>1839</v>
      </c>
      <c r="S1918">
        <v>2538.9899999999998</v>
      </c>
      <c r="T1918">
        <v>108593</v>
      </c>
    </row>
    <row r="1919" spans="1:20" hidden="1" x14ac:dyDescent="0.4">
      <c r="A1919" s="1" t="s">
        <v>645</v>
      </c>
      <c r="B1919" s="1" t="s">
        <v>1458</v>
      </c>
      <c r="C1919" s="1" t="s">
        <v>1845</v>
      </c>
      <c r="D1919" s="1" t="s">
        <v>1731</v>
      </c>
      <c r="E1919">
        <v>20251223</v>
      </c>
      <c r="F1919" s="1" t="s">
        <v>1470</v>
      </c>
      <c r="G1919">
        <v>4</v>
      </c>
      <c r="H1919" s="1" t="s">
        <v>1494</v>
      </c>
      <c r="I1919" t="s">
        <v>1874</v>
      </c>
      <c r="J1919" s="1" t="s">
        <v>1456</v>
      </c>
      <c r="K1919" s="1" t="s">
        <v>1606</v>
      </c>
      <c r="L1919" s="1" t="s">
        <v>1729</v>
      </c>
      <c r="M1919" s="1" t="s">
        <v>1735</v>
      </c>
      <c r="N1919" t="s">
        <v>1981</v>
      </c>
      <c r="O1919" t="s">
        <v>2157</v>
      </c>
      <c r="P1919" t="s">
        <v>3037</v>
      </c>
      <c r="Q1919">
        <v>40.04</v>
      </c>
      <c r="R1919" s="1" t="s">
        <v>1839</v>
      </c>
      <c r="S1919">
        <v>2538.98</v>
      </c>
      <c r="T1919">
        <v>101661</v>
      </c>
    </row>
    <row r="1920" spans="1:20" hidden="1" x14ac:dyDescent="0.4">
      <c r="A1920" s="1" t="s">
        <v>645</v>
      </c>
      <c r="B1920" s="1" t="s">
        <v>1459</v>
      </c>
      <c r="C1920" s="1" t="s">
        <v>1845</v>
      </c>
      <c r="D1920" s="1" t="s">
        <v>1731</v>
      </c>
      <c r="E1920">
        <v>20251223</v>
      </c>
      <c r="F1920" s="1" t="s">
        <v>1470</v>
      </c>
      <c r="G1920">
        <v>4</v>
      </c>
      <c r="H1920" s="1" t="s">
        <v>1494</v>
      </c>
      <c r="I1920" t="s">
        <v>1874</v>
      </c>
      <c r="J1920" s="1" t="s">
        <v>1456</v>
      </c>
      <c r="K1920" s="1" t="s">
        <v>1606</v>
      </c>
      <c r="L1920" s="1" t="s">
        <v>1729</v>
      </c>
      <c r="M1920" s="1" t="s">
        <v>1735</v>
      </c>
      <c r="N1920" t="s">
        <v>1981</v>
      </c>
      <c r="O1920" t="s">
        <v>2157</v>
      </c>
      <c r="P1920" t="s">
        <v>3037</v>
      </c>
      <c r="Q1920">
        <v>40.04</v>
      </c>
      <c r="R1920" s="1" t="s">
        <v>1839</v>
      </c>
      <c r="S1920">
        <v>2538.98</v>
      </c>
      <c r="T1920">
        <v>101661</v>
      </c>
    </row>
    <row r="1921" spans="1:20" hidden="1" x14ac:dyDescent="0.4">
      <c r="A1921" s="1" t="s">
        <v>645</v>
      </c>
      <c r="B1921" s="1" t="s">
        <v>1460</v>
      </c>
      <c r="C1921" s="1" t="s">
        <v>1845</v>
      </c>
      <c r="D1921" s="1" t="s">
        <v>1731</v>
      </c>
      <c r="E1921">
        <v>20251223</v>
      </c>
      <c r="F1921" s="1" t="s">
        <v>1470</v>
      </c>
      <c r="G1921">
        <v>4</v>
      </c>
      <c r="H1921" s="1" t="s">
        <v>1494</v>
      </c>
      <c r="I1921" t="s">
        <v>1874</v>
      </c>
      <c r="J1921" s="1" t="s">
        <v>1456</v>
      </c>
      <c r="K1921" s="1" t="s">
        <v>1606</v>
      </c>
      <c r="L1921" s="1" t="s">
        <v>1729</v>
      </c>
      <c r="M1921" s="1" t="s">
        <v>1735</v>
      </c>
      <c r="N1921" t="s">
        <v>1981</v>
      </c>
      <c r="O1921" t="s">
        <v>2157</v>
      </c>
      <c r="P1921" t="s">
        <v>3037</v>
      </c>
      <c r="Q1921">
        <v>40.04</v>
      </c>
      <c r="R1921" s="1" t="s">
        <v>1839</v>
      </c>
      <c r="S1921">
        <v>2538.98</v>
      </c>
      <c r="T1921">
        <v>101661</v>
      </c>
    </row>
    <row r="1922" spans="1:20" hidden="1" x14ac:dyDescent="0.4">
      <c r="A1922" s="1" t="s">
        <v>645</v>
      </c>
      <c r="B1922" s="1" t="s">
        <v>1461</v>
      </c>
      <c r="C1922" s="1" t="s">
        <v>1845</v>
      </c>
      <c r="D1922" s="1" t="s">
        <v>1731</v>
      </c>
      <c r="E1922">
        <v>20251223</v>
      </c>
      <c r="F1922" s="1" t="s">
        <v>1470</v>
      </c>
      <c r="G1922">
        <v>4</v>
      </c>
      <c r="H1922" s="1" t="s">
        <v>1494</v>
      </c>
      <c r="I1922" t="s">
        <v>1874</v>
      </c>
      <c r="J1922" s="1" t="s">
        <v>1456</v>
      </c>
      <c r="K1922" s="1" t="s">
        <v>1606</v>
      </c>
      <c r="L1922" s="1" t="s">
        <v>1729</v>
      </c>
      <c r="M1922" s="1" t="s">
        <v>1735</v>
      </c>
      <c r="N1922" t="s">
        <v>1981</v>
      </c>
      <c r="O1922" t="s">
        <v>2157</v>
      </c>
      <c r="P1922" t="s">
        <v>3037</v>
      </c>
      <c r="Q1922">
        <v>40.04</v>
      </c>
      <c r="R1922" s="1" t="s">
        <v>1839</v>
      </c>
      <c r="S1922">
        <v>2538.98</v>
      </c>
      <c r="T1922">
        <v>101661</v>
      </c>
    </row>
    <row r="1923" spans="1:20" hidden="1" x14ac:dyDescent="0.4">
      <c r="A1923" s="1" t="s">
        <v>645</v>
      </c>
      <c r="B1923" s="1" t="s">
        <v>1462</v>
      </c>
      <c r="C1923" s="1" t="s">
        <v>1845</v>
      </c>
      <c r="D1923" s="1" t="s">
        <v>1731</v>
      </c>
      <c r="E1923">
        <v>20251223</v>
      </c>
      <c r="F1923" s="1" t="s">
        <v>1470</v>
      </c>
      <c r="G1923">
        <v>4</v>
      </c>
      <c r="H1923" s="1" t="s">
        <v>1494</v>
      </c>
      <c r="I1923" t="s">
        <v>1874</v>
      </c>
      <c r="J1923" s="1" t="s">
        <v>1456</v>
      </c>
      <c r="K1923" s="1" t="s">
        <v>1606</v>
      </c>
      <c r="L1923" s="1" t="s">
        <v>1729</v>
      </c>
      <c r="M1923" s="1" t="s">
        <v>1735</v>
      </c>
      <c r="N1923" t="s">
        <v>1981</v>
      </c>
      <c r="O1923" t="s">
        <v>2157</v>
      </c>
      <c r="P1923" t="s">
        <v>3037</v>
      </c>
      <c r="Q1923">
        <v>43.49</v>
      </c>
      <c r="R1923" s="1" t="s">
        <v>1839</v>
      </c>
      <c r="S1923">
        <v>2538.9899999999998</v>
      </c>
      <c r="T1923">
        <v>110421</v>
      </c>
    </row>
    <row r="1924" spans="1:20" hidden="1" x14ac:dyDescent="0.4">
      <c r="A1924" s="1" t="s">
        <v>646</v>
      </c>
      <c r="B1924" s="1" t="s">
        <v>1453</v>
      </c>
      <c r="C1924" s="1" t="s">
        <v>1845</v>
      </c>
      <c r="D1924" s="1" t="s">
        <v>1731</v>
      </c>
      <c r="E1924">
        <v>20251223</v>
      </c>
      <c r="F1924" s="1" t="s">
        <v>1470</v>
      </c>
      <c r="G1924">
        <v>4</v>
      </c>
      <c r="H1924" s="1" t="s">
        <v>1494</v>
      </c>
      <c r="I1924" t="s">
        <v>1874</v>
      </c>
      <c r="J1924" s="1" t="s">
        <v>1456</v>
      </c>
      <c r="K1924" s="1" t="s">
        <v>1606</v>
      </c>
      <c r="L1924" s="1" t="s">
        <v>1729</v>
      </c>
      <c r="M1924" s="1" t="s">
        <v>1735</v>
      </c>
      <c r="N1924" t="s">
        <v>1981</v>
      </c>
      <c r="O1924" t="s">
        <v>2157</v>
      </c>
      <c r="P1924" t="s">
        <v>3037</v>
      </c>
      <c r="Q1924">
        <v>43.68</v>
      </c>
      <c r="R1924" s="1" t="s">
        <v>1839</v>
      </c>
      <c r="S1924">
        <v>2538.98</v>
      </c>
      <c r="T1924">
        <v>110903</v>
      </c>
    </row>
    <row r="1925" spans="1:20" hidden="1" x14ac:dyDescent="0.4">
      <c r="A1925" s="1" t="s">
        <v>646</v>
      </c>
      <c r="B1925" s="1" t="s">
        <v>1454</v>
      </c>
      <c r="C1925" s="1" t="s">
        <v>1845</v>
      </c>
      <c r="D1925" s="1" t="s">
        <v>1731</v>
      </c>
      <c r="E1925">
        <v>20251223</v>
      </c>
      <c r="F1925" s="1" t="s">
        <v>1470</v>
      </c>
      <c r="G1925">
        <v>4</v>
      </c>
      <c r="H1925" s="1" t="s">
        <v>1494</v>
      </c>
      <c r="I1925" t="s">
        <v>1874</v>
      </c>
      <c r="J1925" s="1" t="s">
        <v>1456</v>
      </c>
      <c r="K1925" s="1" t="s">
        <v>1606</v>
      </c>
      <c r="L1925" s="1" t="s">
        <v>1729</v>
      </c>
      <c r="M1925" s="1" t="s">
        <v>1735</v>
      </c>
      <c r="N1925" t="s">
        <v>1981</v>
      </c>
      <c r="O1925" t="s">
        <v>2157</v>
      </c>
      <c r="P1925" t="s">
        <v>3037</v>
      </c>
      <c r="Q1925">
        <v>43.68</v>
      </c>
      <c r="R1925" s="1" t="s">
        <v>1839</v>
      </c>
      <c r="S1925">
        <v>2538.98</v>
      </c>
      <c r="T1925">
        <v>110903</v>
      </c>
    </row>
    <row r="1926" spans="1:20" hidden="1" x14ac:dyDescent="0.4">
      <c r="A1926" s="1" t="s">
        <v>646</v>
      </c>
      <c r="B1926" s="1" t="s">
        <v>1455</v>
      </c>
      <c r="C1926" s="1" t="s">
        <v>1845</v>
      </c>
      <c r="D1926" s="1" t="s">
        <v>1731</v>
      </c>
      <c r="E1926">
        <v>20251223</v>
      </c>
      <c r="F1926" s="1" t="s">
        <v>1470</v>
      </c>
      <c r="G1926">
        <v>4</v>
      </c>
      <c r="H1926" s="1" t="s">
        <v>1494</v>
      </c>
      <c r="I1926" t="s">
        <v>1874</v>
      </c>
      <c r="J1926" s="1" t="s">
        <v>1456</v>
      </c>
      <c r="K1926" s="1" t="s">
        <v>1606</v>
      </c>
      <c r="L1926" s="1" t="s">
        <v>1729</v>
      </c>
      <c r="M1926" s="1" t="s">
        <v>1735</v>
      </c>
      <c r="N1926" t="s">
        <v>1981</v>
      </c>
      <c r="O1926" t="s">
        <v>2157</v>
      </c>
      <c r="P1926" t="s">
        <v>3037</v>
      </c>
      <c r="Q1926">
        <v>42.77</v>
      </c>
      <c r="R1926" s="1" t="s">
        <v>1839</v>
      </c>
      <c r="S1926">
        <v>2538.9899999999998</v>
      </c>
      <c r="T1926">
        <v>108593</v>
      </c>
    </row>
    <row r="1927" spans="1:20" hidden="1" x14ac:dyDescent="0.4">
      <c r="A1927" s="1" t="s">
        <v>646</v>
      </c>
      <c r="B1927" s="1" t="s">
        <v>1456</v>
      </c>
      <c r="C1927" s="1" t="s">
        <v>1845</v>
      </c>
      <c r="D1927" s="1" t="s">
        <v>1731</v>
      </c>
      <c r="E1927">
        <v>20251223</v>
      </c>
      <c r="F1927" s="1" t="s">
        <v>1470</v>
      </c>
      <c r="G1927">
        <v>4</v>
      </c>
      <c r="H1927" s="1" t="s">
        <v>1494</v>
      </c>
      <c r="I1927" t="s">
        <v>1874</v>
      </c>
      <c r="J1927" s="1" t="s">
        <v>1456</v>
      </c>
      <c r="K1927" s="1" t="s">
        <v>1606</v>
      </c>
      <c r="L1927" s="1" t="s">
        <v>1729</v>
      </c>
      <c r="M1927" s="1" t="s">
        <v>1735</v>
      </c>
      <c r="N1927" t="s">
        <v>1981</v>
      </c>
      <c r="O1927" t="s">
        <v>2157</v>
      </c>
      <c r="P1927" t="s">
        <v>3037</v>
      </c>
      <c r="Q1927">
        <v>40.04</v>
      </c>
      <c r="R1927" s="1" t="s">
        <v>1839</v>
      </c>
      <c r="S1927">
        <v>2538.98</v>
      </c>
      <c r="T1927">
        <v>101661</v>
      </c>
    </row>
    <row r="1928" spans="1:20" hidden="1" x14ac:dyDescent="0.4">
      <c r="A1928" s="1" t="s">
        <v>646</v>
      </c>
      <c r="B1928" s="1" t="s">
        <v>1457</v>
      </c>
      <c r="C1928" s="1" t="s">
        <v>1845</v>
      </c>
      <c r="D1928" s="1" t="s">
        <v>1731</v>
      </c>
      <c r="E1928">
        <v>20251223</v>
      </c>
      <c r="F1928" s="1" t="s">
        <v>1470</v>
      </c>
      <c r="G1928">
        <v>4</v>
      </c>
      <c r="H1928" s="1" t="s">
        <v>1494</v>
      </c>
      <c r="I1928" t="s">
        <v>1874</v>
      </c>
      <c r="J1928" s="1" t="s">
        <v>1456</v>
      </c>
      <c r="K1928" s="1" t="s">
        <v>1606</v>
      </c>
      <c r="L1928" s="1" t="s">
        <v>1729</v>
      </c>
      <c r="M1928" s="1" t="s">
        <v>1735</v>
      </c>
      <c r="N1928" t="s">
        <v>1981</v>
      </c>
      <c r="O1928" t="s">
        <v>2157</v>
      </c>
      <c r="P1928" t="s">
        <v>3037</v>
      </c>
      <c r="Q1928">
        <v>40.04</v>
      </c>
      <c r="R1928" s="1" t="s">
        <v>1839</v>
      </c>
      <c r="S1928">
        <v>2538.98</v>
      </c>
      <c r="T1928">
        <v>101661</v>
      </c>
    </row>
    <row r="1929" spans="1:20" hidden="1" x14ac:dyDescent="0.4">
      <c r="A1929" s="1" t="s">
        <v>646</v>
      </c>
      <c r="B1929" s="1" t="s">
        <v>1458</v>
      </c>
      <c r="C1929" s="1" t="s">
        <v>1845</v>
      </c>
      <c r="D1929" s="1" t="s">
        <v>1731</v>
      </c>
      <c r="E1929">
        <v>20251223</v>
      </c>
      <c r="F1929" s="1" t="s">
        <v>1470</v>
      </c>
      <c r="G1929">
        <v>4</v>
      </c>
      <c r="H1929" s="1" t="s">
        <v>1494</v>
      </c>
      <c r="I1929" t="s">
        <v>1874</v>
      </c>
      <c r="J1929" s="1" t="s">
        <v>1456</v>
      </c>
      <c r="K1929" s="1" t="s">
        <v>1606</v>
      </c>
      <c r="L1929" s="1" t="s">
        <v>1729</v>
      </c>
      <c r="M1929" s="1" t="s">
        <v>1735</v>
      </c>
      <c r="N1929" t="s">
        <v>1981</v>
      </c>
      <c r="O1929" t="s">
        <v>2157</v>
      </c>
      <c r="P1929" t="s">
        <v>3037</v>
      </c>
      <c r="Q1929">
        <v>37.31</v>
      </c>
      <c r="R1929" s="1" t="s">
        <v>1839</v>
      </c>
      <c r="S1929">
        <v>2538.9899999999998</v>
      </c>
      <c r="T1929">
        <v>94730</v>
      </c>
    </row>
    <row r="1930" spans="1:20" hidden="1" x14ac:dyDescent="0.4">
      <c r="A1930" s="1" t="s">
        <v>646</v>
      </c>
      <c r="B1930" s="1" t="s">
        <v>1459</v>
      </c>
      <c r="C1930" s="1" t="s">
        <v>1845</v>
      </c>
      <c r="D1930" s="1" t="s">
        <v>1731</v>
      </c>
      <c r="E1930">
        <v>20251223</v>
      </c>
      <c r="F1930" s="1" t="s">
        <v>1470</v>
      </c>
      <c r="G1930">
        <v>4</v>
      </c>
      <c r="H1930" s="1" t="s">
        <v>1494</v>
      </c>
      <c r="I1930" t="s">
        <v>1874</v>
      </c>
      <c r="J1930" s="1" t="s">
        <v>1456</v>
      </c>
      <c r="K1930" s="1" t="s">
        <v>1606</v>
      </c>
      <c r="L1930" s="1" t="s">
        <v>1729</v>
      </c>
      <c r="M1930" s="1" t="s">
        <v>1735</v>
      </c>
      <c r="N1930" t="s">
        <v>1981</v>
      </c>
      <c r="O1930" t="s">
        <v>2157</v>
      </c>
      <c r="P1930" t="s">
        <v>3037</v>
      </c>
      <c r="Q1930">
        <v>40.04</v>
      </c>
      <c r="R1930" s="1" t="s">
        <v>1839</v>
      </c>
      <c r="S1930">
        <v>2538.98</v>
      </c>
      <c r="T1930">
        <v>101661</v>
      </c>
    </row>
    <row r="1931" spans="1:20" hidden="1" x14ac:dyDescent="0.4">
      <c r="A1931" s="1" t="s">
        <v>646</v>
      </c>
      <c r="B1931" s="1" t="s">
        <v>1460</v>
      </c>
      <c r="C1931" s="1" t="s">
        <v>1845</v>
      </c>
      <c r="D1931" s="1" t="s">
        <v>1731</v>
      </c>
      <c r="E1931">
        <v>20251223</v>
      </c>
      <c r="F1931" s="1" t="s">
        <v>1470</v>
      </c>
      <c r="G1931">
        <v>4</v>
      </c>
      <c r="H1931" s="1" t="s">
        <v>1494</v>
      </c>
      <c r="I1931" t="s">
        <v>1874</v>
      </c>
      <c r="J1931" s="1" t="s">
        <v>1456</v>
      </c>
      <c r="K1931" s="1" t="s">
        <v>1606</v>
      </c>
      <c r="L1931" s="1" t="s">
        <v>1729</v>
      </c>
      <c r="M1931" s="1" t="s">
        <v>1735</v>
      </c>
      <c r="N1931" t="s">
        <v>1981</v>
      </c>
      <c r="O1931" t="s">
        <v>2157</v>
      </c>
      <c r="P1931" t="s">
        <v>3037</v>
      </c>
      <c r="Q1931">
        <v>43.49</v>
      </c>
      <c r="R1931" s="1" t="s">
        <v>1839</v>
      </c>
      <c r="S1931">
        <v>2538.9899999999998</v>
      </c>
      <c r="T1931">
        <v>110421</v>
      </c>
    </row>
    <row r="1932" spans="1:20" hidden="1" x14ac:dyDescent="0.4">
      <c r="A1932" s="1" t="s">
        <v>647</v>
      </c>
      <c r="B1932" s="1" t="s">
        <v>1453</v>
      </c>
      <c r="C1932" s="1" t="s">
        <v>1845</v>
      </c>
      <c r="D1932" s="1" t="s">
        <v>1462</v>
      </c>
      <c r="E1932">
        <v>20251219</v>
      </c>
      <c r="F1932" s="1" t="s">
        <v>1471</v>
      </c>
      <c r="G1932">
        <v>4</v>
      </c>
      <c r="H1932" s="1" t="s">
        <v>1498</v>
      </c>
      <c r="I1932" t="s">
        <v>1878</v>
      </c>
      <c r="J1932" s="1" t="s">
        <v>1460</v>
      </c>
      <c r="K1932" s="1" t="s">
        <v>1649</v>
      </c>
      <c r="L1932" s="1" t="s">
        <v>1731</v>
      </c>
      <c r="M1932" s="1" t="s">
        <v>1761</v>
      </c>
      <c r="N1932" t="s">
        <v>2031</v>
      </c>
      <c r="O1932" t="s">
        <v>2178</v>
      </c>
      <c r="P1932" t="s">
        <v>3156</v>
      </c>
      <c r="Q1932">
        <v>250</v>
      </c>
      <c r="R1932" s="1" t="s">
        <v>1463</v>
      </c>
      <c r="S1932">
        <v>1450</v>
      </c>
      <c r="T1932">
        <v>362500</v>
      </c>
    </row>
    <row r="1933" spans="1:20" hidden="1" x14ac:dyDescent="0.4">
      <c r="A1933" s="1" t="s">
        <v>648</v>
      </c>
      <c r="B1933" s="1" t="s">
        <v>1453</v>
      </c>
      <c r="C1933" s="1" t="s">
        <v>1845</v>
      </c>
      <c r="D1933" s="1" t="s">
        <v>1462</v>
      </c>
      <c r="E1933">
        <v>20251222</v>
      </c>
      <c r="F1933" s="1" t="s">
        <v>1471</v>
      </c>
      <c r="G1933">
        <v>4</v>
      </c>
      <c r="H1933" s="1" t="s">
        <v>1498</v>
      </c>
      <c r="I1933" t="s">
        <v>1878</v>
      </c>
      <c r="J1933" s="1" t="s">
        <v>1460</v>
      </c>
      <c r="K1933" s="1" t="s">
        <v>1647</v>
      </c>
      <c r="L1933" s="1" t="s">
        <v>1731</v>
      </c>
      <c r="M1933" s="1" t="s">
        <v>1798</v>
      </c>
      <c r="N1933" t="s">
        <v>2029</v>
      </c>
      <c r="O1933" t="s">
        <v>2178</v>
      </c>
      <c r="P1933" t="s">
        <v>3157</v>
      </c>
      <c r="Q1933">
        <v>500</v>
      </c>
      <c r="R1933" s="1" t="s">
        <v>1463</v>
      </c>
      <c r="S1933">
        <v>578</v>
      </c>
      <c r="T1933">
        <v>289000</v>
      </c>
    </row>
    <row r="1934" spans="1:20" hidden="1" x14ac:dyDescent="0.4">
      <c r="A1934" s="1" t="s">
        <v>649</v>
      </c>
      <c r="B1934" s="1" t="s">
        <v>1453</v>
      </c>
      <c r="C1934" s="1" t="s">
        <v>1845</v>
      </c>
      <c r="D1934" s="1" t="s">
        <v>1462</v>
      </c>
      <c r="E1934">
        <v>20251222</v>
      </c>
      <c r="F1934" s="1" t="s">
        <v>1471</v>
      </c>
      <c r="G1934">
        <v>4</v>
      </c>
      <c r="H1934" s="1" t="s">
        <v>1498</v>
      </c>
      <c r="I1934" t="s">
        <v>1878</v>
      </c>
      <c r="J1934" s="1" t="s">
        <v>1460</v>
      </c>
      <c r="K1934" s="1" t="s">
        <v>1649</v>
      </c>
      <c r="L1934" s="1" t="s">
        <v>1731</v>
      </c>
      <c r="M1934" s="1" t="s">
        <v>1799</v>
      </c>
      <c r="N1934" t="s">
        <v>2031</v>
      </c>
      <c r="O1934" t="s">
        <v>2178</v>
      </c>
      <c r="P1934" t="s">
        <v>3159</v>
      </c>
      <c r="Q1934">
        <v>2500</v>
      </c>
      <c r="R1934" s="1" t="s">
        <v>1463</v>
      </c>
      <c r="S1934">
        <v>1258</v>
      </c>
      <c r="T1934">
        <v>3145000</v>
      </c>
    </row>
    <row r="1935" spans="1:20" hidden="1" x14ac:dyDescent="0.4">
      <c r="A1935" s="1" t="s">
        <v>650</v>
      </c>
      <c r="B1935" s="1" t="s">
        <v>1453</v>
      </c>
      <c r="C1935" s="1" t="s">
        <v>1845</v>
      </c>
      <c r="D1935" s="1" t="s">
        <v>1731</v>
      </c>
      <c r="E1935">
        <v>20251223</v>
      </c>
      <c r="F1935" s="1" t="s">
        <v>1472</v>
      </c>
      <c r="G1935">
        <v>4</v>
      </c>
      <c r="H1935" s="1" t="s">
        <v>1494</v>
      </c>
      <c r="I1935" t="s">
        <v>1874</v>
      </c>
      <c r="J1935" s="1" t="s">
        <v>1457</v>
      </c>
      <c r="K1935" s="1" t="s">
        <v>1590</v>
      </c>
      <c r="L1935" s="1" t="s">
        <v>1719</v>
      </c>
      <c r="M1935" s="1" t="s">
        <v>1739</v>
      </c>
      <c r="N1935" t="s">
        <v>1965</v>
      </c>
      <c r="O1935" t="s">
        <v>2165</v>
      </c>
      <c r="P1935" t="s">
        <v>3097</v>
      </c>
      <c r="Q1935">
        <v>979.44</v>
      </c>
      <c r="R1935" s="1" t="s">
        <v>1839</v>
      </c>
      <c r="S1935">
        <v>4636.99</v>
      </c>
      <c r="T1935">
        <v>4541663</v>
      </c>
    </row>
    <row r="1936" spans="1:20" hidden="1" x14ac:dyDescent="0.4">
      <c r="A1936" s="1" t="s">
        <v>651</v>
      </c>
      <c r="B1936" s="1" t="s">
        <v>1453</v>
      </c>
      <c r="C1936" s="1" t="s">
        <v>1845</v>
      </c>
      <c r="D1936" s="1" t="s">
        <v>1731</v>
      </c>
      <c r="E1936">
        <v>20251223</v>
      </c>
      <c r="F1936" s="1" t="s">
        <v>1472</v>
      </c>
      <c r="G1936">
        <v>4</v>
      </c>
      <c r="H1936" s="1" t="s">
        <v>1494</v>
      </c>
      <c r="I1936" t="s">
        <v>1874</v>
      </c>
      <c r="J1936" s="1" t="s">
        <v>1457</v>
      </c>
      <c r="K1936" s="1" t="s">
        <v>1613</v>
      </c>
      <c r="L1936" s="1" t="s">
        <v>1719</v>
      </c>
      <c r="M1936" s="1" t="s">
        <v>1739</v>
      </c>
      <c r="N1936" t="s">
        <v>1987</v>
      </c>
      <c r="O1936" t="s">
        <v>2165</v>
      </c>
      <c r="P1936" t="s">
        <v>3097</v>
      </c>
      <c r="Q1936">
        <v>121.89</v>
      </c>
      <c r="R1936" s="1" t="s">
        <v>1839</v>
      </c>
      <c r="S1936">
        <v>5280.99</v>
      </c>
      <c r="T1936">
        <v>643701</v>
      </c>
    </row>
    <row r="1937" spans="1:20" hidden="1" x14ac:dyDescent="0.4">
      <c r="A1937" s="1" t="s">
        <v>652</v>
      </c>
      <c r="B1937" s="1" t="s">
        <v>1453</v>
      </c>
      <c r="C1937" s="1" t="s">
        <v>1845</v>
      </c>
      <c r="D1937" s="1" t="s">
        <v>1731</v>
      </c>
      <c r="E1937">
        <v>20251224</v>
      </c>
      <c r="F1937" s="1" t="s">
        <v>1470</v>
      </c>
      <c r="G1937">
        <v>4</v>
      </c>
      <c r="H1937" s="1" t="s">
        <v>1490</v>
      </c>
      <c r="I1937" t="s">
        <v>1870</v>
      </c>
      <c r="J1937" s="1" t="s">
        <v>1456</v>
      </c>
      <c r="K1937" s="1" t="s">
        <v>1566</v>
      </c>
      <c r="L1937" s="1" t="s">
        <v>1729</v>
      </c>
      <c r="M1937" s="1" t="s">
        <v>1737</v>
      </c>
      <c r="N1937" t="s">
        <v>1938</v>
      </c>
      <c r="O1937" t="s">
        <v>2157</v>
      </c>
      <c r="P1937" t="s">
        <v>2157</v>
      </c>
      <c r="Q1937">
        <v>256</v>
      </c>
      <c r="R1937" s="1" t="s">
        <v>1718</v>
      </c>
      <c r="S1937">
        <v>6107</v>
      </c>
      <c r="T1937">
        <v>1563392</v>
      </c>
    </row>
    <row r="1938" spans="1:20" hidden="1" x14ac:dyDescent="0.4">
      <c r="A1938" s="1" t="s">
        <v>653</v>
      </c>
      <c r="B1938" s="1" t="s">
        <v>1453</v>
      </c>
      <c r="C1938" s="1" t="s">
        <v>1845</v>
      </c>
      <c r="D1938" s="1" t="s">
        <v>1731</v>
      </c>
      <c r="E1938">
        <v>20251224</v>
      </c>
      <c r="F1938" s="1" t="s">
        <v>1470</v>
      </c>
      <c r="G1938">
        <v>4</v>
      </c>
      <c r="H1938" s="1" t="s">
        <v>1490</v>
      </c>
      <c r="I1938" t="s">
        <v>1870</v>
      </c>
      <c r="J1938" s="1" t="s">
        <v>1456</v>
      </c>
      <c r="K1938" s="1" t="s">
        <v>1578</v>
      </c>
      <c r="L1938" s="1" t="s">
        <v>1729</v>
      </c>
      <c r="M1938" s="1" t="s">
        <v>1748</v>
      </c>
      <c r="N1938" t="s">
        <v>1951</v>
      </c>
      <c r="O1938" t="s">
        <v>2159</v>
      </c>
      <c r="P1938" t="s">
        <v>3049</v>
      </c>
      <c r="Q1938">
        <v>3</v>
      </c>
      <c r="R1938" s="1" t="s">
        <v>1718</v>
      </c>
      <c r="S1938">
        <v>1418</v>
      </c>
      <c r="T1938">
        <v>4254</v>
      </c>
    </row>
    <row r="1939" spans="1:20" hidden="1" x14ac:dyDescent="0.4">
      <c r="A1939" s="1" t="s">
        <v>654</v>
      </c>
      <c r="B1939" s="1" t="s">
        <v>1453</v>
      </c>
      <c r="C1939" s="1" t="s">
        <v>1845</v>
      </c>
      <c r="D1939" s="1" t="s">
        <v>1462</v>
      </c>
      <c r="E1939">
        <v>20251222</v>
      </c>
      <c r="F1939" s="1" t="s">
        <v>1473</v>
      </c>
      <c r="G1939">
        <v>1</v>
      </c>
      <c r="H1939" s="1" t="s">
        <v>1493</v>
      </c>
      <c r="I1939" t="s">
        <v>1873</v>
      </c>
      <c r="J1939" s="1" t="s">
        <v>1453</v>
      </c>
      <c r="K1939" s="1" t="s">
        <v>1611</v>
      </c>
      <c r="L1939" s="1" t="s">
        <v>1716</v>
      </c>
      <c r="M1939" s="1" t="s">
        <v>1793</v>
      </c>
      <c r="N1939" t="s">
        <v>1985</v>
      </c>
      <c r="O1939" t="s">
        <v>2162</v>
      </c>
      <c r="P1939" t="s">
        <v>3148</v>
      </c>
      <c r="Q1939">
        <v>1024.5</v>
      </c>
      <c r="R1939" s="1" t="s">
        <v>1463</v>
      </c>
      <c r="S1939">
        <v>1350</v>
      </c>
      <c r="T1939">
        <v>1383075</v>
      </c>
    </row>
    <row r="1940" spans="1:20" hidden="1" x14ac:dyDescent="0.4">
      <c r="A1940" s="1" t="s">
        <v>655</v>
      </c>
      <c r="B1940" s="1" t="s">
        <v>1453</v>
      </c>
      <c r="C1940" s="1" t="s">
        <v>1845</v>
      </c>
      <c r="D1940" s="1" t="s">
        <v>1462</v>
      </c>
      <c r="E1940">
        <v>20251224</v>
      </c>
      <c r="F1940" s="1" t="s">
        <v>1470</v>
      </c>
      <c r="G1940">
        <v>1</v>
      </c>
      <c r="H1940" s="1" t="s">
        <v>1496</v>
      </c>
      <c r="I1940" t="s">
        <v>1876</v>
      </c>
      <c r="J1940" s="1" t="s">
        <v>1459</v>
      </c>
      <c r="K1940" s="1" t="s">
        <v>1579</v>
      </c>
      <c r="L1940" s="1" t="s">
        <v>1715</v>
      </c>
      <c r="M1940" s="1" t="s">
        <v>1794</v>
      </c>
      <c r="N1940" t="s">
        <v>1953</v>
      </c>
      <c r="O1940" t="s">
        <v>2161</v>
      </c>
      <c r="P1940" t="s">
        <v>3050</v>
      </c>
      <c r="Q1940">
        <v>508</v>
      </c>
      <c r="R1940" s="1" t="s">
        <v>1463</v>
      </c>
      <c r="S1940">
        <v>793</v>
      </c>
      <c r="T1940">
        <v>402844</v>
      </c>
    </row>
    <row r="1941" spans="1:20" hidden="1" x14ac:dyDescent="0.4">
      <c r="A1941" s="1" t="s">
        <v>655</v>
      </c>
      <c r="B1941" s="1" t="s">
        <v>1454</v>
      </c>
      <c r="C1941" s="1" t="s">
        <v>1845</v>
      </c>
      <c r="D1941" s="1" t="s">
        <v>1462</v>
      </c>
      <c r="E1941">
        <v>20251224</v>
      </c>
      <c r="F1941" s="1" t="s">
        <v>1470</v>
      </c>
      <c r="G1941">
        <v>1</v>
      </c>
      <c r="H1941" s="1" t="s">
        <v>1496</v>
      </c>
      <c r="I1941" t="s">
        <v>1876</v>
      </c>
      <c r="J1941" s="1" t="s">
        <v>1459</v>
      </c>
      <c r="K1941" s="1" t="s">
        <v>1579</v>
      </c>
      <c r="L1941" s="1" t="s">
        <v>1715</v>
      </c>
      <c r="M1941" s="1" t="s">
        <v>1795</v>
      </c>
      <c r="N1941" t="s">
        <v>1953</v>
      </c>
      <c r="O1941" t="s">
        <v>2161</v>
      </c>
      <c r="P1941" t="s">
        <v>3051</v>
      </c>
      <c r="Q1941">
        <v>2362</v>
      </c>
      <c r="R1941" s="1" t="s">
        <v>1463</v>
      </c>
      <c r="S1941">
        <v>793</v>
      </c>
      <c r="T1941">
        <v>1873066</v>
      </c>
    </row>
    <row r="1942" spans="1:20" hidden="1" x14ac:dyDescent="0.4">
      <c r="A1942" s="1" t="s">
        <v>655</v>
      </c>
      <c r="B1942" s="1" t="s">
        <v>1455</v>
      </c>
      <c r="C1942" s="1" t="s">
        <v>1845</v>
      </c>
      <c r="D1942" s="1" t="s">
        <v>1462</v>
      </c>
      <c r="E1942">
        <v>20251224</v>
      </c>
      <c r="F1942" s="1" t="s">
        <v>1470</v>
      </c>
      <c r="G1942">
        <v>1</v>
      </c>
      <c r="H1942" s="1" t="s">
        <v>1496</v>
      </c>
      <c r="I1942" t="s">
        <v>1876</v>
      </c>
      <c r="J1942" s="1" t="s">
        <v>1459</v>
      </c>
      <c r="K1942" s="1" t="s">
        <v>1579</v>
      </c>
      <c r="L1942" s="1" t="s">
        <v>1715</v>
      </c>
      <c r="M1942" s="1" t="s">
        <v>1796</v>
      </c>
      <c r="N1942" t="s">
        <v>1953</v>
      </c>
      <c r="O1942" t="s">
        <v>2161</v>
      </c>
      <c r="P1942" t="s">
        <v>3052</v>
      </c>
      <c r="Q1942">
        <v>372</v>
      </c>
      <c r="R1942" s="1" t="s">
        <v>1463</v>
      </c>
      <c r="S1942">
        <v>793</v>
      </c>
      <c r="T1942">
        <v>294996</v>
      </c>
    </row>
    <row r="1943" spans="1:20" hidden="1" x14ac:dyDescent="0.4">
      <c r="A1943" s="1" t="s">
        <v>655</v>
      </c>
      <c r="B1943" s="1" t="s">
        <v>1456</v>
      </c>
      <c r="C1943" s="1" t="s">
        <v>1845</v>
      </c>
      <c r="D1943" s="1" t="s">
        <v>1462</v>
      </c>
      <c r="E1943">
        <v>20251224</v>
      </c>
      <c r="F1943" s="1" t="s">
        <v>1470</v>
      </c>
      <c r="G1943">
        <v>1</v>
      </c>
      <c r="H1943" s="1" t="s">
        <v>1496</v>
      </c>
      <c r="I1943" t="s">
        <v>1876</v>
      </c>
      <c r="J1943" s="1" t="s">
        <v>1459</v>
      </c>
      <c r="K1943" s="1" t="s">
        <v>1579</v>
      </c>
      <c r="L1943" s="1" t="s">
        <v>1715</v>
      </c>
      <c r="M1943" s="1" t="s">
        <v>1797</v>
      </c>
      <c r="N1943" t="s">
        <v>1953</v>
      </c>
      <c r="O1943" t="s">
        <v>2161</v>
      </c>
      <c r="P1943" t="s">
        <v>3053</v>
      </c>
      <c r="Q1943">
        <v>1075</v>
      </c>
      <c r="R1943" s="1" t="s">
        <v>1463</v>
      </c>
      <c r="S1943">
        <v>793</v>
      </c>
      <c r="T1943">
        <v>852475</v>
      </c>
    </row>
    <row r="1944" spans="1:20" hidden="1" x14ac:dyDescent="0.4">
      <c r="A1944" s="1" t="s">
        <v>656</v>
      </c>
      <c r="B1944" s="1" t="s">
        <v>1453</v>
      </c>
      <c r="C1944" s="1" t="s">
        <v>1845</v>
      </c>
      <c r="D1944" s="1" t="s">
        <v>1462</v>
      </c>
      <c r="E1944">
        <v>20251212</v>
      </c>
      <c r="F1944" s="1" t="s">
        <v>1474</v>
      </c>
      <c r="G1944">
        <v>4</v>
      </c>
      <c r="H1944" s="1" t="s">
        <v>1505</v>
      </c>
      <c r="I1944" t="s">
        <v>1885</v>
      </c>
      <c r="J1944" s="1" t="s">
        <v>1455</v>
      </c>
      <c r="K1944" s="1" t="s">
        <v>1670</v>
      </c>
      <c r="L1944" s="1" t="s">
        <v>1720</v>
      </c>
      <c r="M1944" s="1" t="s">
        <v>1762</v>
      </c>
      <c r="N1944" t="s">
        <v>2058</v>
      </c>
      <c r="O1944" t="s">
        <v>2166</v>
      </c>
      <c r="P1944" t="s">
        <v>3172</v>
      </c>
      <c r="Q1944">
        <v>646.29999999999995</v>
      </c>
      <c r="R1944" s="1" t="s">
        <v>1839</v>
      </c>
      <c r="S1944">
        <v>730.86</v>
      </c>
      <c r="T1944">
        <v>472354</v>
      </c>
    </row>
    <row r="1945" spans="1:20" hidden="1" x14ac:dyDescent="0.4">
      <c r="A1945" s="1" t="s">
        <v>656</v>
      </c>
      <c r="B1945" s="1" t="s">
        <v>1454</v>
      </c>
      <c r="C1945" s="1" t="s">
        <v>1845</v>
      </c>
      <c r="D1945" s="1" t="s">
        <v>1462</v>
      </c>
      <c r="E1945">
        <v>20251212</v>
      </c>
      <c r="F1945" s="1" t="s">
        <v>1474</v>
      </c>
      <c r="G1945">
        <v>4</v>
      </c>
      <c r="H1945" s="1" t="s">
        <v>1505</v>
      </c>
      <c r="I1945" t="s">
        <v>1885</v>
      </c>
      <c r="J1945" s="1" t="s">
        <v>1455</v>
      </c>
      <c r="K1945" s="1" t="s">
        <v>1670</v>
      </c>
      <c r="L1945" s="1" t="s">
        <v>1720</v>
      </c>
      <c r="M1945" s="1" t="s">
        <v>1762</v>
      </c>
      <c r="N1945" t="s">
        <v>2058</v>
      </c>
      <c r="O1945" t="s">
        <v>2166</v>
      </c>
      <c r="P1945" t="s">
        <v>3172</v>
      </c>
      <c r="Q1945">
        <v>3967.56</v>
      </c>
      <c r="R1945" s="1" t="s">
        <v>1839</v>
      </c>
      <c r="S1945">
        <v>730.85</v>
      </c>
      <c r="T1945">
        <v>2899691</v>
      </c>
    </row>
    <row r="1946" spans="1:20" hidden="1" x14ac:dyDescent="0.4">
      <c r="A1946" s="1" t="s">
        <v>656</v>
      </c>
      <c r="B1946" s="1" t="s">
        <v>1455</v>
      </c>
      <c r="C1946" s="1" t="s">
        <v>1845</v>
      </c>
      <c r="D1946" s="1" t="s">
        <v>1462</v>
      </c>
      <c r="E1946">
        <v>20251212</v>
      </c>
      <c r="F1946" s="1" t="s">
        <v>1474</v>
      </c>
      <c r="G1946">
        <v>4</v>
      </c>
      <c r="H1946" s="1" t="s">
        <v>1505</v>
      </c>
      <c r="I1946" t="s">
        <v>1885</v>
      </c>
      <c r="J1946" s="1" t="s">
        <v>1455</v>
      </c>
      <c r="K1946" s="1" t="s">
        <v>1670</v>
      </c>
      <c r="L1946" s="1" t="s">
        <v>1720</v>
      </c>
      <c r="M1946" s="1" t="s">
        <v>1762</v>
      </c>
      <c r="N1946" t="s">
        <v>2058</v>
      </c>
      <c r="O1946" t="s">
        <v>2166</v>
      </c>
      <c r="P1946" t="s">
        <v>3172</v>
      </c>
      <c r="Q1946">
        <v>1949.96</v>
      </c>
      <c r="R1946" s="1" t="s">
        <v>1839</v>
      </c>
      <c r="S1946">
        <v>730.85</v>
      </c>
      <c r="T1946">
        <v>1425128</v>
      </c>
    </row>
    <row r="1947" spans="1:20" hidden="1" x14ac:dyDescent="0.4">
      <c r="A1947" s="1" t="s">
        <v>656</v>
      </c>
      <c r="B1947" s="1" t="s">
        <v>1456</v>
      </c>
      <c r="C1947" s="1" t="s">
        <v>1845</v>
      </c>
      <c r="D1947" s="1" t="s">
        <v>1462</v>
      </c>
      <c r="E1947">
        <v>20251212</v>
      </c>
      <c r="F1947" s="1" t="s">
        <v>1474</v>
      </c>
      <c r="G1947">
        <v>4</v>
      </c>
      <c r="H1947" s="1" t="s">
        <v>1505</v>
      </c>
      <c r="I1947" t="s">
        <v>1885</v>
      </c>
      <c r="J1947" s="1" t="s">
        <v>1455</v>
      </c>
      <c r="K1947" s="1" t="s">
        <v>1670</v>
      </c>
      <c r="L1947" s="1" t="s">
        <v>1720</v>
      </c>
      <c r="M1947" s="1" t="s">
        <v>1762</v>
      </c>
      <c r="N1947" t="s">
        <v>2058</v>
      </c>
      <c r="O1947" t="s">
        <v>2166</v>
      </c>
      <c r="P1947" t="s">
        <v>3172</v>
      </c>
      <c r="Q1947">
        <v>1028.26</v>
      </c>
      <c r="R1947" s="1" t="s">
        <v>1839</v>
      </c>
      <c r="S1947">
        <v>730.85</v>
      </c>
      <c r="T1947">
        <v>751503</v>
      </c>
    </row>
    <row r="1948" spans="1:20" hidden="1" x14ac:dyDescent="0.4">
      <c r="A1948" s="1" t="s">
        <v>656</v>
      </c>
      <c r="B1948" s="1" t="s">
        <v>1457</v>
      </c>
      <c r="C1948" s="1" t="s">
        <v>1845</v>
      </c>
      <c r="D1948" s="1" t="s">
        <v>1462</v>
      </c>
      <c r="E1948">
        <v>20251212</v>
      </c>
      <c r="F1948" s="1" t="s">
        <v>1474</v>
      </c>
      <c r="G1948">
        <v>4</v>
      </c>
      <c r="H1948" s="1" t="s">
        <v>1505</v>
      </c>
      <c r="I1948" t="s">
        <v>1885</v>
      </c>
      <c r="J1948" s="1" t="s">
        <v>1455</v>
      </c>
      <c r="K1948" s="1" t="s">
        <v>1670</v>
      </c>
      <c r="L1948" s="1" t="s">
        <v>1720</v>
      </c>
      <c r="M1948" s="1" t="s">
        <v>1762</v>
      </c>
      <c r="N1948" t="s">
        <v>2058</v>
      </c>
      <c r="O1948" t="s">
        <v>2166</v>
      </c>
      <c r="P1948" t="s">
        <v>3172</v>
      </c>
      <c r="Q1948">
        <v>553.19000000000005</v>
      </c>
      <c r="R1948" s="1" t="s">
        <v>1839</v>
      </c>
      <c r="S1948">
        <v>730.85</v>
      </c>
      <c r="T1948">
        <v>404298</v>
      </c>
    </row>
    <row r="1949" spans="1:20" hidden="1" x14ac:dyDescent="0.4">
      <c r="A1949" s="1" t="s">
        <v>656</v>
      </c>
      <c r="B1949" s="1" t="s">
        <v>1458</v>
      </c>
      <c r="C1949" s="1" t="s">
        <v>1845</v>
      </c>
      <c r="D1949" s="1" t="s">
        <v>1462</v>
      </c>
      <c r="E1949">
        <v>20251212</v>
      </c>
      <c r="F1949" s="1" t="s">
        <v>1474</v>
      </c>
      <c r="G1949">
        <v>4</v>
      </c>
      <c r="H1949" s="1" t="s">
        <v>1505</v>
      </c>
      <c r="I1949" t="s">
        <v>1885</v>
      </c>
      <c r="J1949" s="1" t="s">
        <v>1455</v>
      </c>
      <c r="K1949" s="1" t="s">
        <v>1670</v>
      </c>
      <c r="L1949" s="1" t="s">
        <v>1720</v>
      </c>
      <c r="M1949" s="1" t="s">
        <v>1762</v>
      </c>
      <c r="N1949" t="s">
        <v>2058</v>
      </c>
      <c r="O1949" t="s">
        <v>2166</v>
      </c>
      <c r="P1949" t="s">
        <v>3172</v>
      </c>
      <c r="Q1949">
        <v>1480.02</v>
      </c>
      <c r="R1949" s="1" t="s">
        <v>1839</v>
      </c>
      <c r="S1949">
        <v>730.85</v>
      </c>
      <c r="T1949">
        <v>1081672</v>
      </c>
    </row>
    <row r="1950" spans="1:20" hidden="1" x14ac:dyDescent="0.4">
      <c r="A1950" s="1" t="s">
        <v>657</v>
      </c>
      <c r="B1950" s="1" t="s">
        <v>1453</v>
      </c>
      <c r="C1950" s="1" t="s">
        <v>1845</v>
      </c>
      <c r="D1950" s="1" t="s">
        <v>1462</v>
      </c>
      <c r="E1950">
        <v>20251220</v>
      </c>
      <c r="F1950" s="1" t="s">
        <v>1474</v>
      </c>
      <c r="G1950">
        <v>4</v>
      </c>
      <c r="H1950" s="1" t="s">
        <v>1505</v>
      </c>
      <c r="I1950" t="s">
        <v>1885</v>
      </c>
      <c r="J1950" s="1" t="s">
        <v>1455</v>
      </c>
      <c r="K1950" s="1" t="s">
        <v>1670</v>
      </c>
      <c r="L1950" s="1" t="s">
        <v>1720</v>
      </c>
      <c r="M1950" s="1" t="s">
        <v>1762</v>
      </c>
      <c r="N1950" t="s">
        <v>2058</v>
      </c>
      <c r="O1950" t="s">
        <v>2166</v>
      </c>
      <c r="P1950" t="s">
        <v>3172</v>
      </c>
      <c r="Q1950">
        <v>1011.43</v>
      </c>
      <c r="R1950" s="1" t="s">
        <v>1839</v>
      </c>
      <c r="S1950">
        <v>730.85</v>
      </c>
      <c r="T1950">
        <v>739203</v>
      </c>
    </row>
    <row r="1951" spans="1:20" hidden="1" x14ac:dyDescent="0.4">
      <c r="A1951" s="1" t="s">
        <v>657</v>
      </c>
      <c r="B1951" s="1" t="s">
        <v>1454</v>
      </c>
      <c r="C1951" s="1" t="s">
        <v>1845</v>
      </c>
      <c r="D1951" s="1" t="s">
        <v>1462</v>
      </c>
      <c r="E1951">
        <v>20251220</v>
      </c>
      <c r="F1951" s="1" t="s">
        <v>1474</v>
      </c>
      <c r="G1951">
        <v>4</v>
      </c>
      <c r="H1951" s="1" t="s">
        <v>1505</v>
      </c>
      <c r="I1951" t="s">
        <v>1885</v>
      </c>
      <c r="J1951" s="1" t="s">
        <v>1455</v>
      </c>
      <c r="K1951" s="1" t="s">
        <v>1670</v>
      </c>
      <c r="L1951" s="1" t="s">
        <v>1720</v>
      </c>
      <c r="M1951" s="1" t="s">
        <v>1762</v>
      </c>
      <c r="N1951" t="s">
        <v>2058</v>
      </c>
      <c r="O1951" t="s">
        <v>2166</v>
      </c>
      <c r="P1951" t="s">
        <v>3172</v>
      </c>
      <c r="Q1951">
        <v>1618.94</v>
      </c>
      <c r="R1951" s="1" t="s">
        <v>1839</v>
      </c>
      <c r="S1951">
        <v>730.85</v>
      </c>
      <c r="T1951">
        <v>1183202</v>
      </c>
    </row>
    <row r="1952" spans="1:20" hidden="1" x14ac:dyDescent="0.4">
      <c r="A1952" s="1" t="s">
        <v>657</v>
      </c>
      <c r="B1952" s="1" t="s">
        <v>1455</v>
      </c>
      <c r="C1952" s="1" t="s">
        <v>1845</v>
      </c>
      <c r="D1952" s="1" t="s">
        <v>1462</v>
      </c>
      <c r="E1952">
        <v>20251220</v>
      </c>
      <c r="F1952" s="1" t="s">
        <v>1474</v>
      </c>
      <c r="G1952">
        <v>4</v>
      </c>
      <c r="H1952" s="1" t="s">
        <v>1505</v>
      </c>
      <c r="I1952" t="s">
        <v>1885</v>
      </c>
      <c r="J1952" s="1" t="s">
        <v>1455</v>
      </c>
      <c r="K1952" s="1" t="s">
        <v>1670</v>
      </c>
      <c r="L1952" s="1" t="s">
        <v>1720</v>
      </c>
      <c r="M1952" s="1" t="s">
        <v>1762</v>
      </c>
      <c r="N1952" t="s">
        <v>2058</v>
      </c>
      <c r="O1952" t="s">
        <v>2166</v>
      </c>
      <c r="P1952" t="s">
        <v>3172</v>
      </c>
      <c r="Q1952">
        <v>1196.1400000000001</v>
      </c>
      <c r="R1952" s="1" t="s">
        <v>1839</v>
      </c>
      <c r="S1952">
        <v>730.85</v>
      </c>
      <c r="T1952">
        <v>874198</v>
      </c>
    </row>
    <row r="1953" spans="1:20" hidden="1" x14ac:dyDescent="0.4">
      <c r="A1953" s="1" t="s">
        <v>658</v>
      </c>
      <c r="B1953" s="1" t="s">
        <v>1453</v>
      </c>
      <c r="C1953" s="1" t="s">
        <v>1845</v>
      </c>
      <c r="D1953" s="1" t="s">
        <v>1462</v>
      </c>
      <c r="E1953">
        <v>20251220</v>
      </c>
      <c r="F1953" s="1" t="s">
        <v>1474</v>
      </c>
      <c r="G1953">
        <v>4</v>
      </c>
      <c r="H1953" s="1" t="s">
        <v>1501</v>
      </c>
      <c r="I1953" t="s">
        <v>1881</v>
      </c>
      <c r="J1953" s="1" t="s">
        <v>1455</v>
      </c>
      <c r="K1953" s="1" t="s">
        <v>1685</v>
      </c>
      <c r="L1953" s="1" t="s">
        <v>1734</v>
      </c>
      <c r="M1953" s="1" t="s">
        <v>1816</v>
      </c>
      <c r="N1953" t="s">
        <v>2077</v>
      </c>
      <c r="O1953" t="s">
        <v>2179</v>
      </c>
      <c r="P1953" t="s">
        <v>3202</v>
      </c>
      <c r="Q1953">
        <v>1000.96</v>
      </c>
      <c r="R1953" s="1" t="s">
        <v>1463</v>
      </c>
      <c r="S1953">
        <v>625.11</v>
      </c>
      <c r="T1953">
        <v>625710</v>
      </c>
    </row>
    <row r="1954" spans="1:20" hidden="1" x14ac:dyDescent="0.4">
      <c r="A1954" s="1" t="s">
        <v>658</v>
      </c>
      <c r="B1954" s="1" t="s">
        <v>1454</v>
      </c>
      <c r="C1954" s="1" t="s">
        <v>1845</v>
      </c>
      <c r="D1954" s="1" t="s">
        <v>1462</v>
      </c>
      <c r="E1954">
        <v>20251220</v>
      </c>
      <c r="F1954" s="1" t="s">
        <v>1474</v>
      </c>
      <c r="G1954">
        <v>4</v>
      </c>
      <c r="H1954" s="1" t="s">
        <v>1501</v>
      </c>
      <c r="I1954" t="s">
        <v>1881</v>
      </c>
      <c r="J1954" s="1" t="s">
        <v>1455</v>
      </c>
      <c r="K1954" s="1" t="s">
        <v>1664</v>
      </c>
      <c r="L1954" s="1" t="s">
        <v>1720</v>
      </c>
      <c r="M1954" s="1" t="s">
        <v>1762</v>
      </c>
      <c r="N1954" t="s">
        <v>2052</v>
      </c>
      <c r="O1954" t="s">
        <v>2166</v>
      </c>
      <c r="P1954" t="s">
        <v>3172</v>
      </c>
      <c r="Q1954">
        <v>2295.5</v>
      </c>
      <c r="R1954" s="1" t="s">
        <v>1842</v>
      </c>
      <c r="S1954">
        <v>715.3</v>
      </c>
      <c r="T1954">
        <v>1641971</v>
      </c>
    </row>
    <row r="1955" spans="1:20" hidden="1" x14ac:dyDescent="0.4">
      <c r="A1955" s="1" t="s">
        <v>658</v>
      </c>
      <c r="B1955" s="1" t="s">
        <v>1455</v>
      </c>
      <c r="C1955" s="1" t="s">
        <v>1845</v>
      </c>
      <c r="D1955" s="1" t="s">
        <v>1462</v>
      </c>
      <c r="E1955">
        <v>20251220</v>
      </c>
      <c r="F1955" s="1" t="s">
        <v>1474</v>
      </c>
      <c r="G1955">
        <v>4</v>
      </c>
      <c r="H1955" s="1" t="s">
        <v>1501</v>
      </c>
      <c r="I1955" t="s">
        <v>1881</v>
      </c>
      <c r="J1955" s="1" t="s">
        <v>1455</v>
      </c>
      <c r="K1955" s="1" t="s">
        <v>1665</v>
      </c>
      <c r="L1955" s="1" t="s">
        <v>1720</v>
      </c>
      <c r="M1955" s="1" t="s">
        <v>1762</v>
      </c>
      <c r="N1955" t="s">
        <v>2053</v>
      </c>
      <c r="O1955" t="s">
        <v>2166</v>
      </c>
      <c r="P1955" t="s">
        <v>3172</v>
      </c>
      <c r="Q1955">
        <v>178.7</v>
      </c>
      <c r="R1955" s="1" t="s">
        <v>1839</v>
      </c>
      <c r="S1955">
        <v>1194.24</v>
      </c>
      <c r="T1955">
        <v>213410</v>
      </c>
    </row>
    <row r="1956" spans="1:20" hidden="1" x14ac:dyDescent="0.4">
      <c r="A1956" s="1" t="s">
        <v>658</v>
      </c>
      <c r="B1956" s="1" t="s">
        <v>1456</v>
      </c>
      <c r="C1956" s="1" t="s">
        <v>1845</v>
      </c>
      <c r="D1956" s="1" t="s">
        <v>1462</v>
      </c>
      <c r="E1956">
        <v>20251220</v>
      </c>
      <c r="F1956" s="1" t="s">
        <v>1474</v>
      </c>
      <c r="G1956">
        <v>4</v>
      </c>
      <c r="H1956" s="1" t="s">
        <v>1501</v>
      </c>
      <c r="I1956" t="s">
        <v>1881</v>
      </c>
      <c r="J1956" s="1" t="s">
        <v>1455</v>
      </c>
      <c r="K1956" s="1" t="s">
        <v>1665</v>
      </c>
      <c r="L1956" s="1" t="s">
        <v>1720</v>
      </c>
      <c r="M1956" s="1" t="s">
        <v>1762</v>
      </c>
      <c r="N1956" t="s">
        <v>2053</v>
      </c>
      <c r="O1956" t="s">
        <v>2166</v>
      </c>
      <c r="P1956" t="s">
        <v>3172</v>
      </c>
      <c r="Q1956">
        <v>70.88</v>
      </c>
      <c r="R1956" s="1" t="s">
        <v>1842</v>
      </c>
      <c r="S1956">
        <v>1194.24</v>
      </c>
      <c r="T1956">
        <v>84647</v>
      </c>
    </row>
    <row r="1957" spans="1:20" hidden="1" x14ac:dyDescent="0.4">
      <c r="A1957" s="1" t="s">
        <v>658</v>
      </c>
      <c r="B1957" s="1" t="s">
        <v>1457</v>
      </c>
      <c r="C1957" s="1" t="s">
        <v>1845</v>
      </c>
      <c r="D1957" s="1" t="s">
        <v>1462</v>
      </c>
      <c r="E1957">
        <v>20251220</v>
      </c>
      <c r="F1957" s="1" t="s">
        <v>1474</v>
      </c>
      <c r="G1957">
        <v>4</v>
      </c>
      <c r="H1957" s="1" t="s">
        <v>1501</v>
      </c>
      <c r="I1957" t="s">
        <v>1881</v>
      </c>
      <c r="J1957" s="1" t="s">
        <v>1455</v>
      </c>
      <c r="K1957" s="1" t="s">
        <v>1665</v>
      </c>
      <c r="L1957" s="1" t="s">
        <v>1720</v>
      </c>
      <c r="M1957" s="1" t="s">
        <v>1762</v>
      </c>
      <c r="N1957" t="s">
        <v>2053</v>
      </c>
      <c r="O1957" t="s">
        <v>2166</v>
      </c>
      <c r="P1957" t="s">
        <v>3172</v>
      </c>
      <c r="Q1957">
        <v>1888.5</v>
      </c>
      <c r="R1957" s="1" t="s">
        <v>1839</v>
      </c>
      <c r="S1957">
        <v>1194.24</v>
      </c>
      <c r="T1957">
        <v>2255322</v>
      </c>
    </row>
    <row r="1958" spans="1:20" hidden="1" x14ac:dyDescent="0.4">
      <c r="A1958" s="1" t="s">
        <v>658</v>
      </c>
      <c r="B1958" s="1" t="s">
        <v>1458</v>
      </c>
      <c r="C1958" s="1" t="s">
        <v>1845</v>
      </c>
      <c r="D1958" s="1" t="s">
        <v>1462</v>
      </c>
      <c r="E1958">
        <v>20251220</v>
      </c>
      <c r="F1958" s="1" t="s">
        <v>1474</v>
      </c>
      <c r="G1958">
        <v>4</v>
      </c>
      <c r="H1958" s="1" t="s">
        <v>1501</v>
      </c>
      <c r="I1958" t="s">
        <v>1881</v>
      </c>
      <c r="J1958" s="1" t="s">
        <v>1455</v>
      </c>
      <c r="K1958" s="1" t="s">
        <v>1665</v>
      </c>
      <c r="L1958" s="1" t="s">
        <v>1720</v>
      </c>
      <c r="M1958" s="1" t="s">
        <v>1762</v>
      </c>
      <c r="N1958" t="s">
        <v>2053</v>
      </c>
      <c r="O1958" t="s">
        <v>2166</v>
      </c>
      <c r="P1958" t="s">
        <v>3172</v>
      </c>
      <c r="Q1958">
        <v>686.56</v>
      </c>
      <c r="R1958" s="1" t="s">
        <v>1839</v>
      </c>
      <c r="S1958">
        <v>1194.24</v>
      </c>
      <c r="T1958">
        <v>819917</v>
      </c>
    </row>
    <row r="1959" spans="1:20" hidden="1" x14ac:dyDescent="0.4">
      <c r="A1959" s="1" t="s">
        <v>658</v>
      </c>
      <c r="B1959" s="1" t="s">
        <v>1459</v>
      </c>
      <c r="C1959" s="1" t="s">
        <v>1845</v>
      </c>
      <c r="D1959" s="1" t="s">
        <v>1462</v>
      </c>
      <c r="E1959">
        <v>20251220</v>
      </c>
      <c r="F1959" s="1" t="s">
        <v>1474</v>
      </c>
      <c r="G1959">
        <v>4</v>
      </c>
      <c r="H1959" s="1" t="s">
        <v>1501</v>
      </c>
      <c r="I1959" t="s">
        <v>1881</v>
      </c>
      <c r="J1959" s="1" t="s">
        <v>1455</v>
      </c>
      <c r="K1959" s="1" t="s">
        <v>1665</v>
      </c>
      <c r="L1959" s="1" t="s">
        <v>1720</v>
      </c>
      <c r="M1959" s="1" t="s">
        <v>1762</v>
      </c>
      <c r="N1959" t="s">
        <v>2053</v>
      </c>
      <c r="O1959" t="s">
        <v>2166</v>
      </c>
      <c r="P1959" t="s">
        <v>3172</v>
      </c>
      <c r="Q1959">
        <v>2062.29</v>
      </c>
      <c r="R1959" s="1" t="s">
        <v>1839</v>
      </c>
      <c r="S1959">
        <v>1194.24</v>
      </c>
      <c r="T1959">
        <v>2462869</v>
      </c>
    </row>
    <row r="1960" spans="1:20" hidden="1" x14ac:dyDescent="0.4">
      <c r="A1960" s="1" t="s">
        <v>658</v>
      </c>
      <c r="B1960" s="1" t="s">
        <v>1460</v>
      </c>
      <c r="C1960" s="1" t="s">
        <v>1845</v>
      </c>
      <c r="D1960" s="1" t="s">
        <v>1462</v>
      </c>
      <c r="E1960">
        <v>20251220</v>
      </c>
      <c r="F1960" s="1" t="s">
        <v>1474</v>
      </c>
      <c r="G1960">
        <v>4</v>
      </c>
      <c r="H1960" s="1" t="s">
        <v>1501</v>
      </c>
      <c r="I1960" t="s">
        <v>1881</v>
      </c>
      <c r="J1960" s="1" t="s">
        <v>1455</v>
      </c>
      <c r="K1960" s="1" t="s">
        <v>1662</v>
      </c>
      <c r="L1960" s="1" t="s">
        <v>1720</v>
      </c>
      <c r="M1960" s="1" t="s">
        <v>1762</v>
      </c>
      <c r="N1960" t="s">
        <v>2050</v>
      </c>
      <c r="O1960" t="s">
        <v>2166</v>
      </c>
      <c r="P1960" t="s">
        <v>3172</v>
      </c>
      <c r="Q1960">
        <v>1272.32</v>
      </c>
      <c r="R1960" s="1" t="s">
        <v>1842</v>
      </c>
      <c r="S1960">
        <v>1021.64</v>
      </c>
      <c r="T1960">
        <v>1299853</v>
      </c>
    </row>
    <row r="1961" spans="1:20" hidden="1" x14ac:dyDescent="0.4">
      <c r="A1961" s="1" t="s">
        <v>659</v>
      </c>
      <c r="B1961" s="1" t="s">
        <v>1453</v>
      </c>
      <c r="C1961" s="1" t="s">
        <v>1845</v>
      </c>
      <c r="D1961" s="1" t="s">
        <v>1462</v>
      </c>
      <c r="E1961">
        <v>20251223</v>
      </c>
      <c r="F1961" s="1" t="s">
        <v>1471</v>
      </c>
      <c r="G1961">
        <v>4</v>
      </c>
      <c r="H1961" s="1" t="s">
        <v>1498</v>
      </c>
      <c r="I1961" t="s">
        <v>1878</v>
      </c>
      <c r="J1961" s="1" t="s">
        <v>1460</v>
      </c>
      <c r="K1961" s="1" t="s">
        <v>1649</v>
      </c>
      <c r="L1961" s="1" t="s">
        <v>1731</v>
      </c>
      <c r="M1961" s="1" t="s">
        <v>1761</v>
      </c>
      <c r="N1961" t="s">
        <v>2031</v>
      </c>
      <c r="O1961" t="s">
        <v>2178</v>
      </c>
      <c r="P1961" t="s">
        <v>3156</v>
      </c>
      <c r="Q1961">
        <v>750</v>
      </c>
      <c r="R1961" s="1" t="s">
        <v>1463</v>
      </c>
      <c r="S1961">
        <v>1450</v>
      </c>
      <c r="T1961">
        <v>1087500</v>
      </c>
    </row>
    <row r="1962" spans="1:20" hidden="1" x14ac:dyDescent="0.4">
      <c r="A1962" s="1" t="s">
        <v>660</v>
      </c>
      <c r="B1962" s="1" t="s">
        <v>1453</v>
      </c>
      <c r="C1962" s="1" t="s">
        <v>1845</v>
      </c>
      <c r="D1962" s="1" t="s">
        <v>1462</v>
      </c>
      <c r="E1962">
        <v>20251223</v>
      </c>
      <c r="F1962" s="1" t="s">
        <v>1471</v>
      </c>
      <c r="G1962">
        <v>4</v>
      </c>
      <c r="H1962" s="1" t="s">
        <v>1498</v>
      </c>
      <c r="I1962" t="s">
        <v>1878</v>
      </c>
      <c r="J1962" s="1" t="s">
        <v>1460</v>
      </c>
      <c r="K1962" s="1" t="s">
        <v>1649</v>
      </c>
      <c r="L1962" s="1" t="s">
        <v>1731</v>
      </c>
      <c r="M1962" s="1" t="s">
        <v>1799</v>
      </c>
      <c r="N1962" t="s">
        <v>2031</v>
      </c>
      <c r="O1962" t="s">
        <v>2178</v>
      </c>
      <c r="P1962" t="s">
        <v>3159</v>
      </c>
      <c r="Q1962">
        <v>1500</v>
      </c>
      <c r="R1962" s="1" t="s">
        <v>1463</v>
      </c>
      <c r="S1962">
        <v>1450</v>
      </c>
      <c r="T1962">
        <v>2175000</v>
      </c>
    </row>
    <row r="1963" spans="1:20" hidden="1" x14ac:dyDescent="0.4">
      <c r="A1963" s="1" t="s">
        <v>661</v>
      </c>
      <c r="B1963" s="1" t="s">
        <v>1453</v>
      </c>
      <c r="C1963" s="1" t="s">
        <v>1845</v>
      </c>
      <c r="D1963" s="1" t="s">
        <v>1733</v>
      </c>
      <c r="E1963">
        <v>20251224</v>
      </c>
      <c r="F1963" s="1" t="s">
        <v>1470</v>
      </c>
      <c r="G1963">
        <v>4</v>
      </c>
      <c r="H1963" s="1" t="s">
        <v>1490</v>
      </c>
      <c r="I1963" t="s">
        <v>1870</v>
      </c>
      <c r="J1963" s="1" t="s">
        <v>1456</v>
      </c>
      <c r="K1963" s="1" t="s">
        <v>1578</v>
      </c>
      <c r="L1963" s="1" t="s">
        <v>1729</v>
      </c>
      <c r="M1963" s="1" t="s">
        <v>1748</v>
      </c>
      <c r="N1963" t="s">
        <v>1951</v>
      </c>
      <c r="O1963" t="s">
        <v>2159</v>
      </c>
      <c r="P1963" t="s">
        <v>3049</v>
      </c>
      <c r="Q1963">
        <v>-3</v>
      </c>
      <c r="R1963" s="1" t="s">
        <v>1718</v>
      </c>
      <c r="S1963">
        <v>1418</v>
      </c>
      <c r="T1963">
        <v>-4254</v>
      </c>
    </row>
    <row r="1964" spans="1:20" hidden="1" x14ac:dyDescent="0.4">
      <c r="A1964" s="1" t="s">
        <v>662</v>
      </c>
      <c r="B1964" s="1" t="s">
        <v>1453</v>
      </c>
      <c r="C1964" s="1" t="s">
        <v>1845</v>
      </c>
      <c r="D1964" s="1" t="s">
        <v>1731</v>
      </c>
      <c r="E1964">
        <v>20251224</v>
      </c>
      <c r="F1964" s="1" t="s">
        <v>1470</v>
      </c>
      <c r="G1964">
        <v>4</v>
      </c>
      <c r="H1964" s="1" t="s">
        <v>1490</v>
      </c>
      <c r="I1964" t="s">
        <v>1870</v>
      </c>
      <c r="J1964" s="1" t="s">
        <v>1456</v>
      </c>
      <c r="K1964" s="1" t="s">
        <v>1578</v>
      </c>
      <c r="L1964" s="1" t="s">
        <v>1729</v>
      </c>
      <c r="M1964" s="1" t="s">
        <v>1748</v>
      </c>
      <c r="N1964" t="s">
        <v>1951</v>
      </c>
      <c r="O1964" t="s">
        <v>2160</v>
      </c>
      <c r="P1964" t="s">
        <v>3049</v>
      </c>
      <c r="Q1964">
        <v>3</v>
      </c>
      <c r="R1964" s="1" t="s">
        <v>1718</v>
      </c>
      <c r="S1964">
        <v>1418</v>
      </c>
      <c r="T1964">
        <v>4254</v>
      </c>
    </row>
    <row r="1965" spans="1:20" hidden="1" x14ac:dyDescent="0.4">
      <c r="A1965" s="1" t="s">
        <v>663</v>
      </c>
      <c r="B1965" s="1" t="s">
        <v>1453</v>
      </c>
      <c r="C1965" s="1" t="s">
        <v>1845</v>
      </c>
      <c r="D1965" s="1" t="s">
        <v>1462</v>
      </c>
      <c r="E1965">
        <v>20251202</v>
      </c>
      <c r="F1965" s="1" t="s">
        <v>1474</v>
      </c>
      <c r="G1965">
        <v>4</v>
      </c>
      <c r="H1965" s="1" t="s">
        <v>1508</v>
      </c>
      <c r="I1965" t="s">
        <v>1888</v>
      </c>
      <c r="J1965" s="1" t="s">
        <v>1455</v>
      </c>
      <c r="K1965" s="1" t="s">
        <v>1683</v>
      </c>
      <c r="L1965" s="1" t="s">
        <v>1734</v>
      </c>
      <c r="M1965" s="1" t="s">
        <v>1735</v>
      </c>
      <c r="N1965" t="s">
        <v>2075</v>
      </c>
      <c r="O1965" t="s">
        <v>2179</v>
      </c>
      <c r="P1965" t="s">
        <v>3203</v>
      </c>
      <c r="Q1965">
        <v>591</v>
      </c>
      <c r="R1965" s="1" t="s">
        <v>1463</v>
      </c>
      <c r="S1965">
        <v>590.91999999999996</v>
      </c>
      <c r="T1965">
        <v>349233</v>
      </c>
    </row>
    <row r="1966" spans="1:20" hidden="1" x14ac:dyDescent="0.4">
      <c r="A1966" s="1" t="s">
        <v>663</v>
      </c>
      <c r="B1966" s="1" t="s">
        <v>1454</v>
      </c>
      <c r="C1966" s="1" t="s">
        <v>1845</v>
      </c>
      <c r="D1966" s="1" t="s">
        <v>1462</v>
      </c>
      <c r="E1966">
        <v>20251202</v>
      </c>
      <c r="F1966" s="1" t="s">
        <v>1474</v>
      </c>
      <c r="G1966">
        <v>4</v>
      </c>
      <c r="H1966" s="1" t="s">
        <v>1508</v>
      </c>
      <c r="I1966" t="s">
        <v>1888</v>
      </c>
      <c r="J1966" s="1" t="s">
        <v>1455</v>
      </c>
      <c r="K1966" s="1" t="s">
        <v>1683</v>
      </c>
      <c r="L1966" s="1" t="s">
        <v>1734</v>
      </c>
      <c r="M1966" s="1" t="s">
        <v>1768</v>
      </c>
      <c r="N1966" t="s">
        <v>2075</v>
      </c>
      <c r="O1966" t="s">
        <v>2179</v>
      </c>
      <c r="P1966" t="s">
        <v>3199</v>
      </c>
      <c r="Q1966">
        <v>335</v>
      </c>
      <c r="R1966" s="1" t="s">
        <v>1463</v>
      </c>
      <c r="S1966">
        <v>590.91999999999996</v>
      </c>
      <c r="T1966">
        <v>197958</v>
      </c>
    </row>
    <row r="1967" spans="1:20" hidden="1" x14ac:dyDescent="0.4">
      <c r="A1967" s="1" t="s">
        <v>663</v>
      </c>
      <c r="B1967" s="1" t="s">
        <v>1455</v>
      </c>
      <c r="C1967" s="1" t="s">
        <v>1845</v>
      </c>
      <c r="D1967" s="1" t="s">
        <v>1462</v>
      </c>
      <c r="E1967">
        <v>20251202</v>
      </c>
      <c r="F1967" s="1" t="s">
        <v>1474</v>
      </c>
      <c r="G1967">
        <v>4</v>
      </c>
      <c r="H1967" s="1" t="s">
        <v>1508</v>
      </c>
      <c r="I1967" t="s">
        <v>1888</v>
      </c>
      <c r="J1967" s="1" t="s">
        <v>1455</v>
      </c>
      <c r="K1967" s="1" t="s">
        <v>1683</v>
      </c>
      <c r="L1967" s="1" t="s">
        <v>1734</v>
      </c>
      <c r="M1967" s="1" t="s">
        <v>1761</v>
      </c>
      <c r="N1967" t="s">
        <v>2075</v>
      </c>
      <c r="O1967" t="s">
        <v>2179</v>
      </c>
      <c r="P1967" t="s">
        <v>3204</v>
      </c>
      <c r="Q1967">
        <v>47</v>
      </c>
      <c r="R1967" s="1" t="s">
        <v>1463</v>
      </c>
      <c r="S1967">
        <v>631.52</v>
      </c>
      <c r="T1967">
        <v>29681</v>
      </c>
    </row>
    <row r="1968" spans="1:20" hidden="1" x14ac:dyDescent="0.4">
      <c r="A1968" s="1" t="s">
        <v>663</v>
      </c>
      <c r="B1968" s="1" t="s">
        <v>1456</v>
      </c>
      <c r="C1968" s="1" t="s">
        <v>1845</v>
      </c>
      <c r="D1968" s="1" t="s">
        <v>1462</v>
      </c>
      <c r="E1968">
        <v>20251202</v>
      </c>
      <c r="F1968" s="1" t="s">
        <v>1474</v>
      </c>
      <c r="G1968">
        <v>4</v>
      </c>
      <c r="H1968" s="1" t="s">
        <v>1508</v>
      </c>
      <c r="I1968" t="s">
        <v>1888</v>
      </c>
      <c r="J1968" s="1" t="s">
        <v>1455</v>
      </c>
      <c r="K1968" s="1" t="s">
        <v>1684</v>
      </c>
      <c r="L1968" s="1" t="s">
        <v>1734</v>
      </c>
      <c r="M1968" s="1" t="s">
        <v>1768</v>
      </c>
      <c r="N1968" t="s">
        <v>2076</v>
      </c>
      <c r="O1968" t="s">
        <v>2179</v>
      </c>
      <c r="P1968" t="s">
        <v>3200</v>
      </c>
      <c r="Q1968">
        <v>987</v>
      </c>
      <c r="R1968" s="1" t="s">
        <v>1463</v>
      </c>
      <c r="S1968">
        <v>574.67999999999995</v>
      </c>
      <c r="T1968">
        <v>567209</v>
      </c>
    </row>
    <row r="1969" spans="1:20" hidden="1" x14ac:dyDescent="0.4">
      <c r="A1969" s="1" t="s">
        <v>664</v>
      </c>
      <c r="B1969" s="1" t="s">
        <v>1453</v>
      </c>
      <c r="C1969" s="1" t="s">
        <v>1845</v>
      </c>
      <c r="D1969" s="1" t="s">
        <v>1731</v>
      </c>
      <c r="E1969">
        <v>20251225</v>
      </c>
      <c r="F1969" s="1" t="s">
        <v>1470</v>
      </c>
      <c r="G1969">
        <v>4</v>
      </c>
      <c r="H1969" s="1" t="s">
        <v>1490</v>
      </c>
      <c r="I1969" t="s">
        <v>1870</v>
      </c>
      <c r="J1969" s="1" t="s">
        <v>1456</v>
      </c>
      <c r="K1969" s="1" t="s">
        <v>1553</v>
      </c>
      <c r="L1969" s="1" t="s">
        <v>1729</v>
      </c>
      <c r="M1969" s="1" t="s">
        <v>1736</v>
      </c>
      <c r="N1969" t="s">
        <v>1925</v>
      </c>
      <c r="O1969" t="s">
        <v>2157</v>
      </c>
      <c r="P1969" t="s">
        <v>3038</v>
      </c>
      <c r="Q1969">
        <v>2</v>
      </c>
      <c r="R1969" s="1" t="s">
        <v>1718</v>
      </c>
      <c r="S1969">
        <v>2859</v>
      </c>
      <c r="T1969">
        <v>5718</v>
      </c>
    </row>
    <row r="1970" spans="1:20" hidden="1" x14ac:dyDescent="0.4">
      <c r="A1970" s="1" t="s">
        <v>664</v>
      </c>
      <c r="B1970" s="1" t="s">
        <v>1454</v>
      </c>
      <c r="C1970" s="1" t="s">
        <v>1845</v>
      </c>
      <c r="D1970" s="1" t="s">
        <v>1731</v>
      </c>
      <c r="E1970">
        <v>20251225</v>
      </c>
      <c r="F1970" s="1" t="s">
        <v>1470</v>
      </c>
      <c r="G1970">
        <v>4</v>
      </c>
      <c r="H1970" s="1" t="s">
        <v>1490</v>
      </c>
      <c r="I1970" t="s">
        <v>1870</v>
      </c>
      <c r="J1970" s="1" t="s">
        <v>1456</v>
      </c>
      <c r="K1970" s="1" t="s">
        <v>1553</v>
      </c>
      <c r="L1970" s="1" t="s">
        <v>1729</v>
      </c>
      <c r="M1970" s="1" t="s">
        <v>1740</v>
      </c>
      <c r="N1970" t="s">
        <v>1925</v>
      </c>
      <c r="O1970" t="s">
        <v>2157</v>
      </c>
      <c r="P1970" t="s">
        <v>3041</v>
      </c>
      <c r="Q1970">
        <v>2</v>
      </c>
      <c r="R1970" s="1" t="s">
        <v>1718</v>
      </c>
      <c r="S1970">
        <v>6520</v>
      </c>
      <c r="T1970">
        <v>13040</v>
      </c>
    </row>
    <row r="1971" spans="1:20" hidden="1" x14ac:dyDescent="0.4">
      <c r="A1971" s="1" t="s">
        <v>664</v>
      </c>
      <c r="B1971" s="1" t="s">
        <v>1455</v>
      </c>
      <c r="C1971" s="1" t="s">
        <v>1845</v>
      </c>
      <c r="D1971" s="1" t="s">
        <v>1731</v>
      </c>
      <c r="E1971">
        <v>20251225</v>
      </c>
      <c r="F1971" s="1" t="s">
        <v>1470</v>
      </c>
      <c r="G1971">
        <v>4</v>
      </c>
      <c r="H1971" s="1" t="s">
        <v>1490</v>
      </c>
      <c r="I1971" t="s">
        <v>1870</v>
      </c>
      <c r="J1971" s="1" t="s">
        <v>1456</v>
      </c>
      <c r="K1971" s="1" t="s">
        <v>1554</v>
      </c>
      <c r="L1971" s="1" t="s">
        <v>1729</v>
      </c>
      <c r="M1971" s="1" t="s">
        <v>1737</v>
      </c>
      <c r="N1971" t="s">
        <v>1926</v>
      </c>
      <c r="O1971" t="s">
        <v>2157</v>
      </c>
      <c r="P1971" t="s">
        <v>2157</v>
      </c>
      <c r="Q1971">
        <v>2</v>
      </c>
      <c r="R1971" s="1" t="s">
        <v>1718</v>
      </c>
      <c r="S1971">
        <v>14171</v>
      </c>
      <c r="T1971">
        <v>28342</v>
      </c>
    </row>
    <row r="1972" spans="1:20" hidden="1" x14ac:dyDescent="0.4">
      <c r="A1972" s="1" t="s">
        <v>665</v>
      </c>
      <c r="B1972" s="1" t="s">
        <v>1453</v>
      </c>
      <c r="C1972" s="1" t="s">
        <v>1845</v>
      </c>
      <c r="D1972" s="1" t="s">
        <v>1731</v>
      </c>
      <c r="E1972">
        <v>20251225</v>
      </c>
      <c r="F1972" s="1" t="s">
        <v>1470</v>
      </c>
      <c r="G1972">
        <v>4</v>
      </c>
      <c r="H1972" s="1" t="s">
        <v>1490</v>
      </c>
      <c r="I1972" t="s">
        <v>1870</v>
      </c>
      <c r="J1972" s="1" t="s">
        <v>1456</v>
      </c>
      <c r="K1972" s="1" t="s">
        <v>1561</v>
      </c>
      <c r="L1972" s="1" t="s">
        <v>1729</v>
      </c>
      <c r="M1972" s="1" t="s">
        <v>1737</v>
      </c>
      <c r="N1972" t="s">
        <v>1954</v>
      </c>
      <c r="O1972" t="s">
        <v>2157</v>
      </c>
      <c r="P1972" t="s">
        <v>2157</v>
      </c>
      <c r="Q1972">
        <v>4</v>
      </c>
      <c r="R1972" s="1" t="s">
        <v>1718</v>
      </c>
      <c r="S1972">
        <v>10070</v>
      </c>
      <c r="T1972">
        <v>40280</v>
      </c>
    </row>
    <row r="1973" spans="1:20" hidden="1" x14ac:dyDescent="0.4">
      <c r="A1973" s="1" t="s">
        <v>666</v>
      </c>
      <c r="B1973" s="1" t="s">
        <v>1453</v>
      </c>
      <c r="C1973" s="1" t="s">
        <v>1845</v>
      </c>
      <c r="D1973" s="1" t="s">
        <v>1731</v>
      </c>
      <c r="E1973">
        <v>20251225</v>
      </c>
      <c r="F1973" s="1" t="s">
        <v>1470</v>
      </c>
      <c r="G1973">
        <v>4</v>
      </c>
      <c r="H1973" s="1" t="s">
        <v>1490</v>
      </c>
      <c r="I1973" t="s">
        <v>1870</v>
      </c>
      <c r="J1973" s="1" t="s">
        <v>1456</v>
      </c>
      <c r="K1973" s="1" t="s">
        <v>1558</v>
      </c>
      <c r="L1973" s="1" t="s">
        <v>1729</v>
      </c>
      <c r="M1973" s="1" t="s">
        <v>1737</v>
      </c>
      <c r="N1973" t="s">
        <v>1930</v>
      </c>
      <c r="O1973" t="s">
        <v>2157</v>
      </c>
      <c r="P1973" t="s">
        <v>2157</v>
      </c>
      <c r="Q1973">
        <v>6</v>
      </c>
      <c r="R1973" s="1" t="s">
        <v>1718</v>
      </c>
      <c r="S1973">
        <v>21180.66</v>
      </c>
      <c r="T1973">
        <v>127084</v>
      </c>
    </row>
    <row r="1974" spans="1:20" hidden="1" x14ac:dyDescent="0.4">
      <c r="A1974" s="1" t="s">
        <v>667</v>
      </c>
      <c r="B1974" s="1" t="s">
        <v>1453</v>
      </c>
      <c r="C1974" s="1" t="s">
        <v>1845</v>
      </c>
      <c r="D1974" s="1" t="s">
        <v>1731</v>
      </c>
      <c r="E1974">
        <v>20251225</v>
      </c>
      <c r="F1974" s="1" t="s">
        <v>1470</v>
      </c>
      <c r="G1974">
        <v>4</v>
      </c>
      <c r="H1974" s="1" t="s">
        <v>1490</v>
      </c>
      <c r="I1974" t="s">
        <v>1870</v>
      </c>
      <c r="J1974" s="1" t="s">
        <v>1456</v>
      </c>
      <c r="K1974" s="1" t="s">
        <v>1571</v>
      </c>
      <c r="L1974" s="1" t="s">
        <v>1729</v>
      </c>
      <c r="M1974" s="1" t="s">
        <v>1741</v>
      </c>
      <c r="N1974" t="s">
        <v>1944</v>
      </c>
      <c r="O1974" t="s">
        <v>2157</v>
      </c>
      <c r="P1974" t="s">
        <v>3042</v>
      </c>
      <c r="Q1974">
        <v>200</v>
      </c>
      <c r="R1974" s="1" t="s">
        <v>1718</v>
      </c>
      <c r="S1974">
        <v>2226</v>
      </c>
      <c r="T1974">
        <v>445200</v>
      </c>
    </row>
    <row r="1975" spans="1:20" hidden="1" x14ac:dyDescent="0.4">
      <c r="A1975" s="1" t="s">
        <v>667</v>
      </c>
      <c r="B1975" s="1" t="s">
        <v>1454</v>
      </c>
      <c r="C1975" s="1" t="s">
        <v>1845</v>
      </c>
      <c r="D1975" s="1" t="s">
        <v>1731</v>
      </c>
      <c r="E1975">
        <v>20251225</v>
      </c>
      <c r="F1975" s="1" t="s">
        <v>1470</v>
      </c>
      <c r="G1975">
        <v>4</v>
      </c>
      <c r="H1975" s="1" t="s">
        <v>1490</v>
      </c>
      <c r="I1975" t="s">
        <v>1870</v>
      </c>
      <c r="J1975" s="1" t="s">
        <v>1456</v>
      </c>
      <c r="K1975" s="1" t="s">
        <v>1570</v>
      </c>
      <c r="L1975" s="1" t="s">
        <v>1729</v>
      </c>
      <c r="M1975" s="1" t="s">
        <v>1742</v>
      </c>
      <c r="N1975" t="s">
        <v>1943</v>
      </c>
      <c r="O1975" t="s">
        <v>2157</v>
      </c>
      <c r="P1975" t="s">
        <v>3043</v>
      </c>
      <c r="Q1975">
        <v>4</v>
      </c>
      <c r="R1975" s="1" t="s">
        <v>1718</v>
      </c>
      <c r="S1975">
        <v>11036</v>
      </c>
      <c r="T1975">
        <v>44144</v>
      </c>
    </row>
    <row r="1976" spans="1:20" hidden="1" x14ac:dyDescent="0.4">
      <c r="A1976" s="1" t="s">
        <v>668</v>
      </c>
      <c r="B1976" s="1" t="s">
        <v>1453</v>
      </c>
      <c r="C1976" s="1" t="s">
        <v>1845</v>
      </c>
      <c r="D1976" s="1" t="s">
        <v>1462</v>
      </c>
      <c r="E1976">
        <v>20251202</v>
      </c>
      <c r="F1976" s="1" t="s">
        <v>1474</v>
      </c>
      <c r="G1976">
        <v>4</v>
      </c>
      <c r="H1976" s="1" t="s">
        <v>1509</v>
      </c>
      <c r="I1976" t="s">
        <v>1889</v>
      </c>
      <c r="J1976" s="1" t="s">
        <v>1455</v>
      </c>
      <c r="K1976" s="1" t="s">
        <v>1686</v>
      </c>
      <c r="L1976" s="1" t="s">
        <v>1734</v>
      </c>
      <c r="M1976" s="1" t="s">
        <v>1735</v>
      </c>
      <c r="N1976" t="s">
        <v>2078</v>
      </c>
      <c r="O1976" t="s">
        <v>2179</v>
      </c>
      <c r="P1976" t="s">
        <v>3205</v>
      </c>
      <c r="Q1976">
        <v>1903.7</v>
      </c>
      <c r="R1976" s="1" t="s">
        <v>1463</v>
      </c>
      <c r="S1976">
        <v>0</v>
      </c>
      <c r="T1976">
        <v>990658</v>
      </c>
    </row>
    <row r="1977" spans="1:20" hidden="1" x14ac:dyDescent="0.4">
      <c r="A1977" s="1" t="s">
        <v>668</v>
      </c>
      <c r="B1977" s="1" t="s">
        <v>1454</v>
      </c>
      <c r="C1977" s="1" t="s">
        <v>1845</v>
      </c>
      <c r="D1977" s="1" t="s">
        <v>1462</v>
      </c>
      <c r="E1977">
        <v>20251202</v>
      </c>
      <c r="F1977" s="1" t="s">
        <v>1474</v>
      </c>
      <c r="G1977">
        <v>4</v>
      </c>
      <c r="H1977" s="1" t="s">
        <v>1509</v>
      </c>
      <c r="I1977" t="s">
        <v>1889</v>
      </c>
      <c r="J1977" s="1" t="s">
        <v>1455</v>
      </c>
      <c r="K1977" s="1" t="s">
        <v>1687</v>
      </c>
      <c r="L1977" s="1" t="s">
        <v>1734</v>
      </c>
      <c r="M1977" s="1" t="s">
        <v>1735</v>
      </c>
      <c r="N1977" t="s">
        <v>2079</v>
      </c>
      <c r="O1977" t="s">
        <v>2179</v>
      </c>
      <c r="P1977" t="s">
        <v>3206</v>
      </c>
      <c r="Q1977">
        <v>645.9</v>
      </c>
      <c r="R1977" s="1" t="s">
        <v>1463</v>
      </c>
      <c r="S1977">
        <v>0</v>
      </c>
      <c r="T1977">
        <v>345806</v>
      </c>
    </row>
    <row r="1978" spans="1:20" hidden="1" x14ac:dyDescent="0.4">
      <c r="A1978" s="1" t="s">
        <v>668</v>
      </c>
      <c r="B1978" s="1" t="s">
        <v>1455</v>
      </c>
      <c r="C1978" s="1" t="s">
        <v>1845</v>
      </c>
      <c r="D1978" s="1" t="s">
        <v>1462</v>
      </c>
      <c r="E1978">
        <v>20251202</v>
      </c>
      <c r="F1978" s="1" t="s">
        <v>1474</v>
      </c>
      <c r="G1978">
        <v>4</v>
      </c>
      <c r="H1978" s="1" t="s">
        <v>1509</v>
      </c>
      <c r="I1978" t="s">
        <v>1889</v>
      </c>
      <c r="J1978" s="1" t="s">
        <v>1455</v>
      </c>
      <c r="K1978" s="1" t="s">
        <v>1687</v>
      </c>
      <c r="L1978" s="1" t="s">
        <v>1734</v>
      </c>
      <c r="M1978" s="1" t="s">
        <v>1735</v>
      </c>
      <c r="N1978" t="s">
        <v>2079</v>
      </c>
      <c r="O1978" t="s">
        <v>2179</v>
      </c>
      <c r="P1978" t="s">
        <v>3207</v>
      </c>
      <c r="Q1978">
        <v>1712.2</v>
      </c>
      <c r="R1978" s="1" t="s">
        <v>1463</v>
      </c>
      <c r="S1978">
        <v>0</v>
      </c>
      <c r="T1978">
        <v>916687</v>
      </c>
    </row>
    <row r="1979" spans="1:20" hidden="1" x14ac:dyDescent="0.4">
      <c r="A1979" s="1" t="s">
        <v>669</v>
      </c>
      <c r="B1979" s="1" t="s">
        <v>1453</v>
      </c>
      <c r="C1979" s="1" t="s">
        <v>1845</v>
      </c>
      <c r="D1979" s="1" t="s">
        <v>1731</v>
      </c>
      <c r="E1979">
        <v>20251219</v>
      </c>
      <c r="F1979" s="1" t="s">
        <v>1473</v>
      </c>
      <c r="G1979">
        <v>4</v>
      </c>
      <c r="H1979" s="1" t="s">
        <v>1494</v>
      </c>
      <c r="I1979" t="s">
        <v>1874</v>
      </c>
      <c r="J1979" s="1" t="s">
        <v>1454</v>
      </c>
      <c r="K1979" s="1" t="s">
        <v>1614</v>
      </c>
      <c r="L1979" s="1" t="s">
        <v>1723</v>
      </c>
      <c r="M1979" s="1" t="s">
        <v>1737</v>
      </c>
      <c r="N1979" t="s">
        <v>1988</v>
      </c>
      <c r="O1979" t="s">
        <v>2169</v>
      </c>
      <c r="P1979" t="s">
        <v>3098</v>
      </c>
      <c r="Q1979">
        <v>32.18</v>
      </c>
      <c r="R1979" s="1" t="s">
        <v>1840</v>
      </c>
      <c r="S1979">
        <v>450</v>
      </c>
      <c r="T1979">
        <v>14481</v>
      </c>
    </row>
    <row r="1980" spans="1:20" hidden="1" x14ac:dyDescent="0.4">
      <c r="A1980" s="1" t="s">
        <v>670</v>
      </c>
      <c r="B1980" s="1" t="s">
        <v>1453</v>
      </c>
      <c r="C1980" s="1" t="s">
        <v>1845</v>
      </c>
      <c r="D1980" s="1" t="s">
        <v>1731</v>
      </c>
      <c r="E1980">
        <v>20251225</v>
      </c>
      <c r="F1980" s="1" t="s">
        <v>1470</v>
      </c>
      <c r="G1980">
        <v>4</v>
      </c>
      <c r="H1980" s="1" t="s">
        <v>1490</v>
      </c>
      <c r="I1980" t="s">
        <v>1870</v>
      </c>
      <c r="J1980" s="1" t="s">
        <v>1456</v>
      </c>
      <c r="K1980" s="1" t="s">
        <v>1573</v>
      </c>
      <c r="L1980" s="1" t="s">
        <v>1729</v>
      </c>
      <c r="M1980" s="1" t="s">
        <v>1741</v>
      </c>
      <c r="N1980" t="s">
        <v>1946</v>
      </c>
      <c r="O1980" t="s">
        <v>2157</v>
      </c>
      <c r="P1980" t="s">
        <v>3042</v>
      </c>
      <c r="Q1980">
        <v>84</v>
      </c>
      <c r="R1980" s="1" t="s">
        <v>1718</v>
      </c>
      <c r="S1980">
        <v>16251</v>
      </c>
      <c r="T1980">
        <v>1365084</v>
      </c>
    </row>
    <row r="1981" spans="1:20" hidden="1" x14ac:dyDescent="0.4">
      <c r="A1981" s="1" t="s">
        <v>671</v>
      </c>
      <c r="B1981" s="1" t="s">
        <v>1453</v>
      </c>
      <c r="C1981" s="1" t="s">
        <v>1845</v>
      </c>
      <c r="D1981" s="1" t="s">
        <v>1731</v>
      </c>
      <c r="E1981">
        <v>20251224</v>
      </c>
      <c r="F1981" s="1" t="s">
        <v>1473</v>
      </c>
      <c r="G1981">
        <v>4</v>
      </c>
      <c r="H1981" s="1" t="s">
        <v>1494</v>
      </c>
      <c r="I1981" t="s">
        <v>1874</v>
      </c>
      <c r="J1981" s="1" t="s">
        <v>1453</v>
      </c>
      <c r="K1981" s="1" t="s">
        <v>1615</v>
      </c>
      <c r="L1981" s="1" t="s">
        <v>1718</v>
      </c>
      <c r="M1981" s="1" t="s">
        <v>1773</v>
      </c>
      <c r="N1981" t="s">
        <v>1989</v>
      </c>
      <c r="O1981" t="s">
        <v>2164</v>
      </c>
      <c r="P1981" t="s">
        <v>3099</v>
      </c>
      <c r="Q1981">
        <v>70.61</v>
      </c>
      <c r="R1981" s="1" t="s">
        <v>1839</v>
      </c>
      <c r="S1981">
        <v>2247.9899999999998</v>
      </c>
      <c r="T1981">
        <v>158731</v>
      </c>
    </row>
    <row r="1982" spans="1:20" hidden="1" x14ac:dyDescent="0.4">
      <c r="A1982" s="1" t="s">
        <v>671</v>
      </c>
      <c r="B1982" s="1" t="s">
        <v>1454</v>
      </c>
      <c r="C1982" s="1" t="s">
        <v>1845</v>
      </c>
      <c r="D1982" s="1" t="s">
        <v>1731</v>
      </c>
      <c r="E1982">
        <v>20251224</v>
      </c>
      <c r="F1982" s="1" t="s">
        <v>1473</v>
      </c>
      <c r="G1982">
        <v>4</v>
      </c>
      <c r="H1982" s="1" t="s">
        <v>1494</v>
      </c>
      <c r="I1982" t="s">
        <v>1874</v>
      </c>
      <c r="J1982" s="1" t="s">
        <v>1453</v>
      </c>
      <c r="K1982" s="1" t="s">
        <v>1615</v>
      </c>
      <c r="L1982" s="1" t="s">
        <v>1718</v>
      </c>
      <c r="M1982" s="1" t="s">
        <v>1773</v>
      </c>
      <c r="N1982" t="s">
        <v>1989</v>
      </c>
      <c r="O1982" t="s">
        <v>2164</v>
      </c>
      <c r="P1982" t="s">
        <v>3099</v>
      </c>
      <c r="Q1982">
        <v>127.4</v>
      </c>
      <c r="R1982" s="1" t="s">
        <v>1839</v>
      </c>
      <c r="S1982">
        <v>2247.9899999999998</v>
      </c>
      <c r="T1982">
        <v>286395</v>
      </c>
    </row>
    <row r="1983" spans="1:20" hidden="1" x14ac:dyDescent="0.4">
      <c r="A1983" s="1" t="s">
        <v>671</v>
      </c>
      <c r="B1983" s="1" t="s">
        <v>1455</v>
      </c>
      <c r="C1983" s="1" t="s">
        <v>1845</v>
      </c>
      <c r="D1983" s="1" t="s">
        <v>1731</v>
      </c>
      <c r="E1983">
        <v>20251224</v>
      </c>
      <c r="F1983" s="1" t="s">
        <v>1473</v>
      </c>
      <c r="G1983">
        <v>4</v>
      </c>
      <c r="H1983" s="1" t="s">
        <v>1494</v>
      </c>
      <c r="I1983" t="s">
        <v>1874</v>
      </c>
      <c r="J1983" s="1" t="s">
        <v>1453</v>
      </c>
      <c r="K1983" s="1" t="s">
        <v>1615</v>
      </c>
      <c r="L1983" s="1" t="s">
        <v>1718</v>
      </c>
      <c r="M1983" s="1" t="s">
        <v>1773</v>
      </c>
      <c r="N1983" t="s">
        <v>1989</v>
      </c>
      <c r="O1983" t="s">
        <v>2164</v>
      </c>
      <c r="P1983" t="s">
        <v>3099</v>
      </c>
      <c r="Q1983">
        <v>127.4</v>
      </c>
      <c r="R1983" s="1" t="s">
        <v>1839</v>
      </c>
      <c r="S1983">
        <v>2247.9899999999998</v>
      </c>
      <c r="T1983">
        <v>286395</v>
      </c>
    </row>
    <row r="1984" spans="1:20" hidden="1" x14ac:dyDescent="0.4">
      <c r="A1984" s="1" t="s">
        <v>671</v>
      </c>
      <c r="B1984" s="1" t="s">
        <v>1456</v>
      </c>
      <c r="C1984" s="1" t="s">
        <v>1845</v>
      </c>
      <c r="D1984" s="1" t="s">
        <v>1731</v>
      </c>
      <c r="E1984">
        <v>20251224</v>
      </c>
      <c r="F1984" s="1" t="s">
        <v>1473</v>
      </c>
      <c r="G1984">
        <v>4</v>
      </c>
      <c r="H1984" s="1" t="s">
        <v>1494</v>
      </c>
      <c r="I1984" t="s">
        <v>1874</v>
      </c>
      <c r="J1984" s="1" t="s">
        <v>1453</v>
      </c>
      <c r="K1984" s="1" t="s">
        <v>1615</v>
      </c>
      <c r="L1984" s="1" t="s">
        <v>1718</v>
      </c>
      <c r="M1984" s="1" t="s">
        <v>1773</v>
      </c>
      <c r="N1984" t="s">
        <v>1989</v>
      </c>
      <c r="O1984" t="s">
        <v>2164</v>
      </c>
      <c r="P1984" t="s">
        <v>3099</v>
      </c>
      <c r="Q1984">
        <v>127.4</v>
      </c>
      <c r="R1984" s="1" t="s">
        <v>1839</v>
      </c>
      <c r="S1984">
        <v>2247.9899999999998</v>
      </c>
      <c r="T1984">
        <v>286395</v>
      </c>
    </row>
    <row r="1985" spans="1:20" hidden="1" x14ac:dyDescent="0.4">
      <c r="A1985" s="1" t="s">
        <v>671</v>
      </c>
      <c r="B1985" s="1" t="s">
        <v>1457</v>
      </c>
      <c r="C1985" s="1" t="s">
        <v>1845</v>
      </c>
      <c r="D1985" s="1" t="s">
        <v>1731</v>
      </c>
      <c r="E1985">
        <v>20251224</v>
      </c>
      <c r="F1985" s="1" t="s">
        <v>1473</v>
      </c>
      <c r="G1985">
        <v>4</v>
      </c>
      <c r="H1985" s="1" t="s">
        <v>1494</v>
      </c>
      <c r="I1985" t="s">
        <v>1874</v>
      </c>
      <c r="J1985" s="1" t="s">
        <v>1453</v>
      </c>
      <c r="K1985" s="1" t="s">
        <v>1615</v>
      </c>
      <c r="L1985" s="1" t="s">
        <v>1718</v>
      </c>
      <c r="M1985" s="1" t="s">
        <v>1773</v>
      </c>
      <c r="N1985" t="s">
        <v>1989</v>
      </c>
      <c r="O1985" t="s">
        <v>2164</v>
      </c>
      <c r="P1985" t="s">
        <v>3099</v>
      </c>
      <c r="Q1985">
        <v>123.76</v>
      </c>
      <c r="R1985" s="1" t="s">
        <v>1839</v>
      </c>
      <c r="S1985">
        <v>2247.9899999999998</v>
      </c>
      <c r="T1985">
        <v>278212</v>
      </c>
    </row>
    <row r="1986" spans="1:20" hidden="1" x14ac:dyDescent="0.4">
      <c r="A1986" s="1" t="s">
        <v>671</v>
      </c>
      <c r="B1986" s="1" t="s">
        <v>1458</v>
      </c>
      <c r="C1986" s="1" t="s">
        <v>1845</v>
      </c>
      <c r="D1986" s="1" t="s">
        <v>1731</v>
      </c>
      <c r="E1986">
        <v>20251224</v>
      </c>
      <c r="F1986" s="1" t="s">
        <v>1473</v>
      </c>
      <c r="G1986">
        <v>4</v>
      </c>
      <c r="H1986" s="1" t="s">
        <v>1494</v>
      </c>
      <c r="I1986" t="s">
        <v>1874</v>
      </c>
      <c r="J1986" s="1" t="s">
        <v>1453</v>
      </c>
      <c r="K1986" s="1" t="s">
        <v>1615</v>
      </c>
      <c r="L1986" s="1" t="s">
        <v>1718</v>
      </c>
      <c r="M1986" s="1" t="s">
        <v>1773</v>
      </c>
      <c r="N1986" t="s">
        <v>1989</v>
      </c>
      <c r="O1986" t="s">
        <v>2164</v>
      </c>
      <c r="P1986" t="s">
        <v>3099</v>
      </c>
      <c r="Q1986">
        <v>121.21</v>
      </c>
      <c r="R1986" s="1" t="s">
        <v>1839</v>
      </c>
      <c r="S1986">
        <v>2247.9899999999998</v>
      </c>
      <c r="T1986">
        <v>272480</v>
      </c>
    </row>
    <row r="1987" spans="1:20" hidden="1" x14ac:dyDescent="0.4">
      <c r="A1987" s="1" t="s">
        <v>671</v>
      </c>
      <c r="B1987" s="1" t="s">
        <v>1459</v>
      </c>
      <c r="C1987" s="1" t="s">
        <v>1845</v>
      </c>
      <c r="D1987" s="1" t="s">
        <v>1731</v>
      </c>
      <c r="E1987">
        <v>20251224</v>
      </c>
      <c r="F1987" s="1" t="s">
        <v>1473</v>
      </c>
      <c r="G1987">
        <v>4</v>
      </c>
      <c r="H1987" s="1" t="s">
        <v>1494</v>
      </c>
      <c r="I1987" t="s">
        <v>1874</v>
      </c>
      <c r="J1987" s="1" t="s">
        <v>1453</v>
      </c>
      <c r="K1987" s="1" t="s">
        <v>1615</v>
      </c>
      <c r="L1987" s="1" t="s">
        <v>1718</v>
      </c>
      <c r="M1987" s="1" t="s">
        <v>1773</v>
      </c>
      <c r="N1987" t="s">
        <v>1989</v>
      </c>
      <c r="O1987" t="s">
        <v>2164</v>
      </c>
      <c r="P1987" t="s">
        <v>3099</v>
      </c>
      <c r="Q1987">
        <v>109.2</v>
      </c>
      <c r="R1987" s="1" t="s">
        <v>1839</v>
      </c>
      <c r="S1987">
        <v>2247.9899999999998</v>
      </c>
      <c r="T1987">
        <v>245481</v>
      </c>
    </row>
    <row r="1988" spans="1:20" hidden="1" x14ac:dyDescent="0.4">
      <c r="A1988" s="1" t="s">
        <v>671</v>
      </c>
      <c r="B1988" s="1" t="s">
        <v>1460</v>
      </c>
      <c r="C1988" s="1" t="s">
        <v>1845</v>
      </c>
      <c r="D1988" s="1" t="s">
        <v>1731</v>
      </c>
      <c r="E1988">
        <v>20251224</v>
      </c>
      <c r="F1988" s="1" t="s">
        <v>1473</v>
      </c>
      <c r="G1988">
        <v>4</v>
      </c>
      <c r="H1988" s="1" t="s">
        <v>1494</v>
      </c>
      <c r="I1988" t="s">
        <v>1874</v>
      </c>
      <c r="J1988" s="1" t="s">
        <v>1453</v>
      </c>
      <c r="K1988" s="1" t="s">
        <v>1615</v>
      </c>
      <c r="L1988" s="1" t="s">
        <v>1718</v>
      </c>
      <c r="M1988" s="1" t="s">
        <v>1773</v>
      </c>
      <c r="N1988" t="s">
        <v>1989</v>
      </c>
      <c r="O1988" t="s">
        <v>2164</v>
      </c>
      <c r="P1988" t="s">
        <v>3099</v>
      </c>
      <c r="Q1988">
        <v>110.29</v>
      </c>
      <c r="R1988" s="1" t="s">
        <v>1839</v>
      </c>
      <c r="S1988">
        <v>2247.9899999999998</v>
      </c>
      <c r="T1988">
        <v>247931</v>
      </c>
    </row>
    <row r="1989" spans="1:20" hidden="1" x14ac:dyDescent="0.4">
      <c r="A1989" s="1" t="s">
        <v>671</v>
      </c>
      <c r="B1989" s="1" t="s">
        <v>1461</v>
      </c>
      <c r="C1989" s="1" t="s">
        <v>1845</v>
      </c>
      <c r="D1989" s="1" t="s">
        <v>1731</v>
      </c>
      <c r="E1989">
        <v>20251224</v>
      </c>
      <c r="F1989" s="1" t="s">
        <v>1473</v>
      </c>
      <c r="G1989">
        <v>4</v>
      </c>
      <c r="H1989" s="1" t="s">
        <v>1494</v>
      </c>
      <c r="I1989" t="s">
        <v>1874</v>
      </c>
      <c r="J1989" s="1" t="s">
        <v>1453</v>
      </c>
      <c r="K1989" s="1" t="s">
        <v>1615</v>
      </c>
      <c r="L1989" s="1" t="s">
        <v>1718</v>
      </c>
      <c r="M1989" s="1" t="s">
        <v>1773</v>
      </c>
      <c r="N1989" t="s">
        <v>1989</v>
      </c>
      <c r="O1989" t="s">
        <v>2164</v>
      </c>
      <c r="P1989" t="s">
        <v>3099</v>
      </c>
      <c r="Q1989">
        <v>109.2</v>
      </c>
      <c r="R1989" s="1" t="s">
        <v>1839</v>
      </c>
      <c r="S1989">
        <v>2247.9899999999998</v>
      </c>
      <c r="T1989">
        <v>245481</v>
      </c>
    </row>
    <row r="1990" spans="1:20" hidden="1" x14ac:dyDescent="0.4">
      <c r="A1990" s="1" t="s">
        <v>671</v>
      </c>
      <c r="B1990" s="1" t="s">
        <v>1462</v>
      </c>
      <c r="C1990" s="1" t="s">
        <v>1845</v>
      </c>
      <c r="D1990" s="1" t="s">
        <v>1731</v>
      </c>
      <c r="E1990">
        <v>20251224</v>
      </c>
      <c r="F1990" s="1" t="s">
        <v>1473</v>
      </c>
      <c r="G1990">
        <v>4</v>
      </c>
      <c r="H1990" s="1" t="s">
        <v>1494</v>
      </c>
      <c r="I1990" t="s">
        <v>1874</v>
      </c>
      <c r="J1990" s="1" t="s">
        <v>1453</v>
      </c>
      <c r="K1990" s="1" t="s">
        <v>1615</v>
      </c>
      <c r="L1990" s="1" t="s">
        <v>1718</v>
      </c>
      <c r="M1990" s="1" t="s">
        <v>1773</v>
      </c>
      <c r="N1990" t="s">
        <v>1989</v>
      </c>
      <c r="O1990" t="s">
        <v>2164</v>
      </c>
      <c r="P1990" t="s">
        <v>3099</v>
      </c>
      <c r="Q1990">
        <v>109.2</v>
      </c>
      <c r="R1990" s="1" t="s">
        <v>1839</v>
      </c>
      <c r="S1990">
        <v>2247.9899999999998</v>
      </c>
      <c r="T1990">
        <v>245481</v>
      </c>
    </row>
    <row r="1991" spans="1:20" hidden="1" x14ac:dyDescent="0.4">
      <c r="A1991" s="1" t="s">
        <v>672</v>
      </c>
      <c r="B1991" s="1" t="s">
        <v>1453</v>
      </c>
      <c r="C1991" s="1" t="s">
        <v>1845</v>
      </c>
      <c r="D1991" s="1" t="s">
        <v>1731</v>
      </c>
      <c r="E1991">
        <v>20251224</v>
      </c>
      <c r="F1991" s="1" t="s">
        <v>1472</v>
      </c>
      <c r="G1991">
        <v>4</v>
      </c>
      <c r="H1991" s="1" t="s">
        <v>1494</v>
      </c>
      <c r="I1991" t="s">
        <v>1874</v>
      </c>
      <c r="J1991" s="1" t="s">
        <v>1457</v>
      </c>
      <c r="K1991" s="1" t="s">
        <v>1616</v>
      </c>
      <c r="L1991" s="1" t="s">
        <v>1719</v>
      </c>
      <c r="M1991" s="1" t="s">
        <v>1761</v>
      </c>
      <c r="N1991" t="s">
        <v>2080</v>
      </c>
      <c r="O1991" t="s">
        <v>2165</v>
      </c>
      <c r="P1991" t="s">
        <v>3116</v>
      </c>
      <c r="Q1991">
        <v>463.2</v>
      </c>
      <c r="R1991" s="1" t="s">
        <v>1839</v>
      </c>
      <c r="S1991">
        <v>2932.99</v>
      </c>
      <c r="T1991">
        <v>1358565</v>
      </c>
    </row>
    <row r="1992" spans="1:20" hidden="1" x14ac:dyDescent="0.4">
      <c r="A1992" s="1" t="s">
        <v>673</v>
      </c>
      <c r="B1992" s="1" t="s">
        <v>1453</v>
      </c>
      <c r="C1992" s="1" t="s">
        <v>1845</v>
      </c>
      <c r="D1992" s="1" t="s">
        <v>1731</v>
      </c>
      <c r="E1992">
        <v>20251224</v>
      </c>
      <c r="F1992" s="1" t="s">
        <v>1473</v>
      </c>
      <c r="G1992">
        <v>4</v>
      </c>
      <c r="H1992" s="1" t="s">
        <v>1494</v>
      </c>
      <c r="I1992" t="s">
        <v>1874</v>
      </c>
      <c r="J1992" s="1" t="s">
        <v>1453</v>
      </c>
      <c r="K1992" s="1" t="s">
        <v>1615</v>
      </c>
      <c r="L1992" s="1" t="s">
        <v>1718</v>
      </c>
      <c r="M1992" s="1" t="s">
        <v>1773</v>
      </c>
      <c r="N1992" t="s">
        <v>1989</v>
      </c>
      <c r="O1992" t="s">
        <v>2164</v>
      </c>
      <c r="P1992" t="s">
        <v>3099</v>
      </c>
      <c r="Q1992">
        <v>109.2</v>
      </c>
      <c r="R1992" s="1" t="s">
        <v>1839</v>
      </c>
      <c r="S1992">
        <v>2247.9899999999998</v>
      </c>
      <c r="T1992">
        <v>245481</v>
      </c>
    </row>
    <row r="1993" spans="1:20" hidden="1" x14ac:dyDescent="0.4">
      <c r="A1993" s="1" t="s">
        <v>673</v>
      </c>
      <c r="B1993" s="1" t="s">
        <v>1454</v>
      </c>
      <c r="C1993" s="1" t="s">
        <v>1845</v>
      </c>
      <c r="D1993" s="1" t="s">
        <v>1731</v>
      </c>
      <c r="E1993">
        <v>20251224</v>
      </c>
      <c r="F1993" s="1" t="s">
        <v>1473</v>
      </c>
      <c r="G1993">
        <v>4</v>
      </c>
      <c r="H1993" s="1" t="s">
        <v>1494</v>
      </c>
      <c r="I1993" t="s">
        <v>1874</v>
      </c>
      <c r="J1993" s="1" t="s">
        <v>1453</v>
      </c>
      <c r="K1993" s="1" t="s">
        <v>1615</v>
      </c>
      <c r="L1993" s="1" t="s">
        <v>1718</v>
      </c>
      <c r="M1993" s="1" t="s">
        <v>1773</v>
      </c>
      <c r="N1993" t="s">
        <v>1989</v>
      </c>
      <c r="O1993" t="s">
        <v>2164</v>
      </c>
      <c r="P1993" t="s">
        <v>3099</v>
      </c>
      <c r="Q1993">
        <v>114.66</v>
      </c>
      <c r="R1993" s="1" t="s">
        <v>1839</v>
      </c>
      <c r="S1993">
        <v>2247.9899999999998</v>
      </c>
      <c r="T1993">
        <v>257755</v>
      </c>
    </row>
    <row r="1994" spans="1:20" hidden="1" x14ac:dyDescent="0.4">
      <c r="A1994" s="1" t="s">
        <v>674</v>
      </c>
      <c r="B1994" s="1" t="s">
        <v>1453</v>
      </c>
      <c r="C1994" s="1" t="s">
        <v>1845</v>
      </c>
      <c r="D1994" s="1" t="s">
        <v>1462</v>
      </c>
      <c r="E1994">
        <v>20251225</v>
      </c>
      <c r="F1994" s="1" t="s">
        <v>1470</v>
      </c>
      <c r="G1994">
        <v>1</v>
      </c>
      <c r="H1994" s="1" t="s">
        <v>1499</v>
      </c>
      <c r="I1994" t="s">
        <v>1879</v>
      </c>
      <c r="J1994" s="1" t="s">
        <v>1456</v>
      </c>
      <c r="K1994" s="1" t="s">
        <v>1561</v>
      </c>
      <c r="L1994" s="1" t="s">
        <v>1716</v>
      </c>
      <c r="M1994" s="1" t="s">
        <v>1786</v>
      </c>
      <c r="N1994" t="s">
        <v>1954</v>
      </c>
      <c r="O1994" t="s">
        <v>2162</v>
      </c>
      <c r="P1994" t="s">
        <v>3061</v>
      </c>
      <c r="Q1994">
        <v>998</v>
      </c>
      <c r="R1994" s="1" t="s">
        <v>1463</v>
      </c>
      <c r="S1994">
        <v>1435</v>
      </c>
      <c r="T1994">
        <v>1432130</v>
      </c>
    </row>
    <row r="1995" spans="1:20" hidden="1" x14ac:dyDescent="0.4">
      <c r="A1995" s="1" t="s">
        <v>674</v>
      </c>
      <c r="B1995" s="1" t="s">
        <v>1454</v>
      </c>
      <c r="C1995" s="1" t="s">
        <v>1845</v>
      </c>
      <c r="D1995" s="1" t="s">
        <v>1462</v>
      </c>
      <c r="E1995">
        <v>20251225</v>
      </c>
      <c r="F1995" s="1" t="s">
        <v>1470</v>
      </c>
      <c r="G1995">
        <v>1</v>
      </c>
      <c r="H1995" s="1" t="s">
        <v>1499</v>
      </c>
      <c r="I1995" t="s">
        <v>1879</v>
      </c>
      <c r="J1995" s="1" t="s">
        <v>1456</v>
      </c>
      <c r="K1995" s="1" t="s">
        <v>1561</v>
      </c>
      <c r="L1995" s="1" t="s">
        <v>1716</v>
      </c>
      <c r="M1995" s="1" t="s">
        <v>1817</v>
      </c>
      <c r="N1995" t="s">
        <v>1954</v>
      </c>
      <c r="O1995" t="s">
        <v>2162</v>
      </c>
      <c r="P1995" t="s">
        <v>3062</v>
      </c>
      <c r="Q1995">
        <v>520</v>
      </c>
      <c r="R1995" s="1" t="s">
        <v>1463</v>
      </c>
      <c r="S1995">
        <v>1435</v>
      </c>
      <c r="T1995">
        <v>746200</v>
      </c>
    </row>
    <row r="1996" spans="1:20" hidden="1" x14ac:dyDescent="0.4">
      <c r="A1996" s="1" t="s">
        <v>675</v>
      </c>
      <c r="B1996" s="1" t="s">
        <v>1453</v>
      </c>
      <c r="C1996" s="1" t="s">
        <v>1845</v>
      </c>
      <c r="D1996" s="1" t="s">
        <v>1851</v>
      </c>
      <c r="E1996">
        <v>20251231</v>
      </c>
      <c r="F1996" s="1" t="s">
        <v>1470</v>
      </c>
      <c r="G1996">
        <v>1</v>
      </c>
      <c r="H1996" s="1" t="s">
        <v>1496</v>
      </c>
      <c r="I1996" t="s">
        <v>1876</v>
      </c>
      <c r="J1996" s="1" t="s">
        <v>1458</v>
      </c>
      <c r="K1996" s="1" t="s">
        <v>1688</v>
      </c>
      <c r="L1996" s="1" t="s">
        <v>1716</v>
      </c>
      <c r="M1996" s="1" t="s">
        <v>1737</v>
      </c>
      <c r="N1996" t="s">
        <v>2081</v>
      </c>
      <c r="O1996" t="s">
        <v>2183</v>
      </c>
      <c r="P1996" t="s">
        <v>3208</v>
      </c>
      <c r="Q1996">
        <v>1</v>
      </c>
      <c r="R1996" s="1" t="s">
        <v>1463</v>
      </c>
      <c r="S1996">
        <v>0</v>
      </c>
      <c r="T1996">
        <v>-1030</v>
      </c>
    </row>
    <row r="1997" spans="1:20" hidden="1" x14ac:dyDescent="0.4">
      <c r="A1997" s="1" t="s">
        <v>676</v>
      </c>
      <c r="B1997" s="1" t="s">
        <v>1453</v>
      </c>
      <c r="C1997" s="1" t="s">
        <v>1845</v>
      </c>
      <c r="D1997" s="1" t="s">
        <v>1462</v>
      </c>
      <c r="E1997">
        <v>20251224</v>
      </c>
      <c r="F1997" s="1" t="s">
        <v>1471</v>
      </c>
      <c r="G1997">
        <v>4</v>
      </c>
      <c r="H1997" s="1" t="s">
        <v>1498</v>
      </c>
      <c r="I1997" t="s">
        <v>1878</v>
      </c>
      <c r="J1997" s="1" t="s">
        <v>1460</v>
      </c>
      <c r="K1997" s="1" t="s">
        <v>1647</v>
      </c>
      <c r="L1997" s="1" t="s">
        <v>1731</v>
      </c>
      <c r="M1997" s="1" t="s">
        <v>1798</v>
      </c>
      <c r="N1997" t="s">
        <v>2029</v>
      </c>
      <c r="O1997" t="s">
        <v>2178</v>
      </c>
      <c r="P1997" t="s">
        <v>3157</v>
      </c>
      <c r="Q1997">
        <v>750</v>
      </c>
      <c r="R1997" s="1" t="s">
        <v>1463</v>
      </c>
      <c r="S1997">
        <v>578</v>
      </c>
      <c r="T1997">
        <v>433500</v>
      </c>
    </row>
    <row r="1998" spans="1:20" hidden="1" x14ac:dyDescent="0.4">
      <c r="A1998" s="1" t="s">
        <v>677</v>
      </c>
      <c r="B1998" s="1" t="s">
        <v>1453</v>
      </c>
      <c r="C1998" s="1" t="s">
        <v>1845</v>
      </c>
      <c r="D1998" s="1" t="s">
        <v>1731</v>
      </c>
      <c r="E1998">
        <v>20251225</v>
      </c>
      <c r="F1998" s="1" t="s">
        <v>1470</v>
      </c>
      <c r="G1998">
        <v>4</v>
      </c>
      <c r="H1998" s="1" t="s">
        <v>1490</v>
      </c>
      <c r="I1998" t="s">
        <v>1870</v>
      </c>
      <c r="J1998" s="1" t="s">
        <v>1456</v>
      </c>
      <c r="K1998" s="1" t="s">
        <v>1562</v>
      </c>
      <c r="L1998" s="1" t="s">
        <v>1729</v>
      </c>
      <c r="M1998" s="1" t="s">
        <v>1735</v>
      </c>
      <c r="N1998" t="s">
        <v>1939</v>
      </c>
      <c r="O1998" t="s">
        <v>2157</v>
      </c>
      <c r="P1998" t="s">
        <v>3037</v>
      </c>
      <c r="Q1998">
        <v>100</v>
      </c>
      <c r="R1998" s="1" t="s">
        <v>1718</v>
      </c>
      <c r="S1998">
        <v>5504</v>
      </c>
      <c r="T1998">
        <v>550400</v>
      </c>
    </row>
    <row r="1999" spans="1:20" hidden="1" x14ac:dyDescent="0.4">
      <c r="A1999" s="1" t="s">
        <v>677</v>
      </c>
      <c r="B1999" s="1" t="s">
        <v>1454</v>
      </c>
      <c r="C1999" s="1" t="s">
        <v>1845</v>
      </c>
      <c r="D1999" s="1" t="s">
        <v>1731</v>
      </c>
      <c r="E1999">
        <v>20251225</v>
      </c>
      <c r="F1999" s="1" t="s">
        <v>1470</v>
      </c>
      <c r="G1999">
        <v>4</v>
      </c>
      <c r="H1999" s="1" t="s">
        <v>1490</v>
      </c>
      <c r="I1999" t="s">
        <v>1870</v>
      </c>
      <c r="J1999" s="1" t="s">
        <v>1456</v>
      </c>
      <c r="K1999" s="1" t="s">
        <v>1573</v>
      </c>
      <c r="L1999" s="1" t="s">
        <v>1729</v>
      </c>
      <c r="M1999" s="1" t="s">
        <v>1741</v>
      </c>
      <c r="N1999" t="s">
        <v>1946</v>
      </c>
      <c r="O1999" t="s">
        <v>2157</v>
      </c>
      <c r="P1999" t="s">
        <v>3042</v>
      </c>
      <c r="Q1999">
        <v>90</v>
      </c>
      <c r="R1999" s="1" t="s">
        <v>1718</v>
      </c>
      <c r="S1999">
        <v>8168</v>
      </c>
      <c r="T1999">
        <v>735120</v>
      </c>
    </row>
    <row r="2000" spans="1:20" hidden="1" x14ac:dyDescent="0.4">
      <c r="A2000" s="1" t="s">
        <v>678</v>
      </c>
      <c r="B2000" s="1" t="s">
        <v>1453</v>
      </c>
      <c r="C2000" s="1" t="s">
        <v>1845</v>
      </c>
      <c r="D2000" s="1" t="s">
        <v>1462</v>
      </c>
      <c r="E2000">
        <v>20251201</v>
      </c>
      <c r="F2000" s="1" t="s">
        <v>1474</v>
      </c>
      <c r="G2000">
        <v>4</v>
      </c>
      <c r="H2000" s="1" t="s">
        <v>1510</v>
      </c>
      <c r="I2000" t="s">
        <v>1890</v>
      </c>
      <c r="J2000" s="1" t="s">
        <v>1455</v>
      </c>
      <c r="K2000" s="1" t="s">
        <v>1689</v>
      </c>
      <c r="L2000" s="1" t="s">
        <v>1734</v>
      </c>
      <c r="M2000" s="1" t="s">
        <v>1737</v>
      </c>
      <c r="N2000" t="s">
        <v>2082</v>
      </c>
      <c r="O2000" t="s">
        <v>2179</v>
      </c>
      <c r="P2000" t="s">
        <v>2157</v>
      </c>
      <c r="Q2000">
        <v>4725.76</v>
      </c>
      <c r="R2000" s="1" t="s">
        <v>1839</v>
      </c>
      <c r="S2000">
        <v>0</v>
      </c>
      <c r="T2000">
        <v>2337975</v>
      </c>
    </row>
    <row r="2001" spans="1:20" hidden="1" x14ac:dyDescent="0.4">
      <c r="A2001" s="1" t="s">
        <v>679</v>
      </c>
      <c r="B2001" s="1" t="s">
        <v>1453</v>
      </c>
      <c r="C2001" s="1" t="s">
        <v>1845</v>
      </c>
      <c r="D2001" s="1" t="s">
        <v>1731</v>
      </c>
      <c r="E2001">
        <v>20251225</v>
      </c>
      <c r="F2001" s="1" t="s">
        <v>1473</v>
      </c>
      <c r="G2001">
        <v>4</v>
      </c>
      <c r="H2001" s="1" t="s">
        <v>1494</v>
      </c>
      <c r="I2001" t="s">
        <v>1874</v>
      </c>
      <c r="J2001" s="1" t="s">
        <v>1453</v>
      </c>
      <c r="K2001" s="1" t="s">
        <v>1615</v>
      </c>
      <c r="L2001" s="1" t="s">
        <v>1718</v>
      </c>
      <c r="M2001" s="1" t="s">
        <v>1773</v>
      </c>
      <c r="N2001" t="s">
        <v>1989</v>
      </c>
      <c r="O2001" t="s">
        <v>2164</v>
      </c>
      <c r="P2001" t="s">
        <v>3099</v>
      </c>
      <c r="Q2001">
        <v>109.2</v>
      </c>
      <c r="R2001" s="1" t="s">
        <v>1839</v>
      </c>
      <c r="S2001">
        <v>2247.9899999999998</v>
      </c>
      <c r="T2001">
        <v>245481</v>
      </c>
    </row>
    <row r="2002" spans="1:20" hidden="1" x14ac:dyDescent="0.4">
      <c r="A2002" s="1" t="s">
        <v>679</v>
      </c>
      <c r="B2002" s="1" t="s">
        <v>1454</v>
      </c>
      <c r="C2002" s="1" t="s">
        <v>1845</v>
      </c>
      <c r="D2002" s="1" t="s">
        <v>1731</v>
      </c>
      <c r="E2002">
        <v>20251225</v>
      </c>
      <c r="F2002" s="1" t="s">
        <v>1473</v>
      </c>
      <c r="G2002">
        <v>4</v>
      </c>
      <c r="H2002" s="1" t="s">
        <v>1494</v>
      </c>
      <c r="I2002" t="s">
        <v>1874</v>
      </c>
      <c r="J2002" s="1" t="s">
        <v>1453</v>
      </c>
      <c r="K2002" s="1" t="s">
        <v>1615</v>
      </c>
      <c r="L2002" s="1" t="s">
        <v>1718</v>
      </c>
      <c r="M2002" s="1" t="s">
        <v>1773</v>
      </c>
      <c r="N2002" t="s">
        <v>1989</v>
      </c>
      <c r="O2002" t="s">
        <v>2164</v>
      </c>
      <c r="P2002" t="s">
        <v>3099</v>
      </c>
      <c r="Q2002">
        <v>109.2</v>
      </c>
      <c r="R2002" s="1" t="s">
        <v>1839</v>
      </c>
      <c r="S2002">
        <v>2247.9899999999998</v>
      </c>
      <c r="T2002">
        <v>245481</v>
      </c>
    </row>
    <row r="2003" spans="1:20" hidden="1" x14ac:dyDescent="0.4">
      <c r="A2003" s="1" t="s">
        <v>679</v>
      </c>
      <c r="B2003" s="1" t="s">
        <v>1455</v>
      </c>
      <c r="C2003" s="1" t="s">
        <v>1845</v>
      </c>
      <c r="D2003" s="1" t="s">
        <v>1731</v>
      </c>
      <c r="E2003">
        <v>20251225</v>
      </c>
      <c r="F2003" s="1" t="s">
        <v>1473</v>
      </c>
      <c r="G2003">
        <v>4</v>
      </c>
      <c r="H2003" s="1" t="s">
        <v>1494</v>
      </c>
      <c r="I2003" t="s">
        <v>1874</v>
      </c>
      <c r="J2003" s="1" t="s">
        <v>1453</v>
      </c>
      <c r="K2003" s="1" t="s">
        <v>1615</v>
      </c>
      <c r="L2003" s="1" t="s">
        <v>1718</v>
      </c>
      <c r="M2003" s="1" t="s">
        <v>1773</v>
      </c>
      <c r="N2003" t="s">
        <v>1989</v>
      </c>
      <c r="O2003" t="s">
        <v>2164</v>
      </c>
      <c r="P2003" t="s">
        <v>3099</v>
      </c>
      <c r="Q2003">
        <v>106.65</v>
      </c>
      <c r="R2003" s="1" t="s">
        <v>1839</v>
      </c>
      <c r="S2003">
        <v>2247.9899999999998</v>
      </c>
      <c r="T2003">
        <v>239749</v>
      </c>
    </row>
    <row r="2004" spans="1:20" hidden="1" x14ac:dyDescent="0.4">
      <c r="A2004" s="1" t="s">
        <v>679</v>
      </c>
      <c r="B2004" s="1" t="s">
        <v>1456</v>
      </c>
      <c r="C2004" s="1" t="s">
        <v>1845</v>
      </c>
      <c r="D2004" s="1" t="s">
        <v>1731</v>
      </c>
      <c r="E2004">
        <v>20251225</v>
      </c>
      <c r="F2004" s="1" t="s">
        <v>1473</v>
      </c>
      <c r="G2004">
        <v>4</v>
      </c>
      <c r="H2004" s="1" t="s">
        <v>1494</v>
      </c>
      <c r="I2004" t="s">
        <v>1874</v>
      </c>
      <c r="J2004" s="1" t="s">
        <v>1453</v>
      </c>
      <c r="K2004" s="1" t="s">
        <v>1615</v>
      </c>
      <c r="L2004" s="1" t="s">
        <v>1718</v>
      </c>
      <c r="M2004" s="1" t="s">
        <v>1773</v>
      </c>
      <c r="N2004" t="s">
        <v>1989</v>
      </c>
      <c r="O2004" t="s">
        <v>2164</v>
      </c>
      <c r="P2004" t="s">
        <v>3099</v>
      </c>
      <c r="Q2004">
        <v>98.28</v>
      </c>
      <c r="R2004" s="1" t="s">
        <v>1839</v>
      </c>
      <c r="S2004">
        <v>2247.9899999999998</v>
      </c>
      <c r="T2004">
        <v>220933</v>
      </c>
    </row>
    <row r="2005" spans="1:20" hidden="1" x14ac:dyDescent="0.4">
      <c r="A2005" s="1" t="s">
        <v>679</v>
      </c>
      <c r="B2005" s="1" t="s">
        <v>1457</v>
      </c>
      <c r="C2005" s="1" t="s">
        <v>1845</v>
      </c>
      <c r="D2005" s="1" t="s">
        <v>1731</v>
      </c>
      <c r="E2005">
        <v>20251225</v>
      </c>
      <c r="F2005" s="1" t="s">
        <v>1473</v>
      </c>
      <c r="G2005">
        <v>4</v>
      </c>
      <c r="H2005" s="1" t="s">
        <v>1494</v>
      </c>
      <c r="I2005" t="s">
        <v>1874</v>
      </c>
      <c r="J2005" s="1" t="s">
        <v>1453</v>
      </c>
      <c r="K2005" s="1" t="s">
        <v>1615</v>
      </c>
      <c r="L2005" s="1" t="s">
        <v>1718</v>
      </c>
      <c r="M2005" s="1" t="s">
        <v>1773</v>
      </c>
      <c r="N2005" t="s">
        <v>1989</v>
      </c>
      <c r="O2005" t="s">
        <v>2164</v>
      </c>
      <c r="P2005" t="s">
        <v>3099</v>
      </c>
      <c r="Q2005">
        <v>98.28</v>
      </c>
      <c r="R2005" s="1" t="s">
        <v>1839</v>
      </c>
      <c r="S2005">
        <v>2247.9899999999998</v>
      </c>
      <c r="T2005">
        <v>220933</v>
      </c>
    </row>
    <row r="2006" spans="1:20" hidden="1" x14ac:dyDescent="0.4">
      <c r="A2006" s="1" t="s">
        <v>679</v>
      </c>
      <c r="B2006" s="1" t="s">
        <v>1458</v>
      </c>
      <c r="C2006" s="1" t="s">
        <v>1845</v>
      </c>
      <c r="D2006" s="1" t="s">
        <v>1731</v>
      </c>
      <c r="E2006">
        <v>20251225</v>
      </c>
      <c r="F2006" s="1" t="s">
        <v>1473</v>
      </c>
      <c r="G2006">
        <v>4</v>
      </c>
      <c r="H2006" s="1" t="s">
        <v>1494</v>
      </c>
      <c r="I2006" t="s">
        <v>1874</v>
      </c>
      <c r="J2006" s="1" t="s">
        <v>1453</v>
      </c>
      <c r="K2006" s="1" t="s">
        <v>1615</v>
      </c>
      <c r="L2006" s="1" t="s">
        <v>1718</v>
      </c>
      <c r="M2006" s="1" t="s">
        <v>1773</v>
      </c>
      <c r="N2006" t="s">
        <v>1989</v>
      </c>
      <c r="O2006" t="s">
        <v>2164</v>
      </c>
      <c r="P2006" t="s">
        <v>3099</v>
      </c>
      <c r="Q2006">
        <v>96.82</v>
      </c>
      <c r="R2006" s="1" t="s">
        <v>1839</v>
      </c>
      <c r="S2006">
        <v>2247.9899999999998</v>
      </c>
      <c r="T2006">
        <v>217651</v>
      </c>
    </row>
    <row r="2007" spans="1:20" hidden="1" x14ac:dyDescent="0.4">
      <c r="A2007" s="1" t="s">
        <v>680</v>
      </c>
      <c r="B2007" s="1" t="s">
        <v>1453</v>
      </c>
      <c r="C2007" s="1" t="s">
        <v>1845</v>
      </c>
      <c r="D2007" s="1" t="s">
        <v>1731</v>
      </c>
      <c r="E2007">
        <v>20251225</v>
      </c>
      <c r="F2007" s="1" t="s">
        <v>1473</v>
      </c>
      <c r="G2007">
        <v>4</v>
      </c>
      <c r="H2007" s="1" t="s">
        <v>1494</v>
      </c>
      <c r="I2007" t="s">
        <v>1874</v>
      </c>
      <c r="J2007" s="1" t="s">
        <v>1453</v>
      </c>
      <c r="K2007" s="1" t="s">
        <v>1601</v>
      </c>
      <c r="L2007" s="1" t="s">
        <v>1718</v>
      </c>
      <c r="M2007" s="1" t="s">
        <v>1763</v>
      </c>
      <c r="N2007" t="s">
        <v>1976</v>
      </c>
      <c r="O2007" t="s">
        <v>2164</v>
      </c>
      <c r="P2007" t="s">
        <v>3101</v>
      </c>
      <c r="Q2007">
        <v>127.4</v>
      </c>
      <c r="R2007" s="1" t="s">
        <v>1839</v>
      </c>
      <c r="S2007">
        <v>856.99</v>
      </c>
      <c r="T2007">
        <v>109181</v>
      </c>
    </row>
    <row r="2008" spans="1:20" hidden="1" x14ac:dyDescent="0.4">
      <c r="A2008" s="1" t="s">
        <v>680</v>
      </c>
      <c r="B2008" s="1" t="s">
        <v>1454</v>
      </c>
      <c r="C2008" s="1" t="s">
        <v>1845</v>
      </c>
      <c r="D2008" s="1" t="s">
        <v>1731</v>
      </c>
      <c r="E2008">
        <v>20251225</v>
      </c>
      <c r="F2008" s="1" t="s">
        <v>1473</v>
      </c>
      <c r="G2008">
        <v>4</v>
      </c>
      <c r="H2008" s="1" t="s">
        <v>1494</v>
      </c>
      <c r="I2008" t="s">
        <v>1874</v>
      </c>
      <c r="J2008" s="1" t="s">
        <v>1453</v>
      </c>
      <c r="K2008" s="1" t="s">
        <v>1601</v>
      </c>
      <c r="L2008" s="1" t="s">
        <v>1718</v>
      </c>
      <c r="M2008" s="1" t="s">
        <v>1763</v>
      </c>
      <c r="N2008" t="s">
        <v>1976</v>
      </c>
      <c r="O2008" t="s">
        <v>2164</v>
      </c>
      <c r="P2008" t="s">
        <v>3101</v>
      </c>
      <c r="Q2008">
        <v>124.48</v>
      </c>
      <c r="R2008" s="1" t="s">
        <v>1839</v>
      </c>
      <c r="S2008">
        <v>856.99</v>
      </c>
      <c r="T2008">
        <v>106679</v>
      </c>
    </row>
    <row r="2009" spans="1:20" hidden="1" x14ac:dyDescent="0.4">
      <c r="A2009" s="1" t="s">
        <v>680</v>
      </c>
      <c r="B2009" s="1" t="s">
        <v>1455</v>
      </c>
      <c r="C2009" s="1" t="s">
        <v>1845</v>
      </c>
      <c r="D2009" s="1" t="s">
        <v>1731</v>
      </c>
      <c r="E2009">
        <v>20251225</v>
      </c>
      <c r="F2009" s="1" t="s">
        <v>1473</v>
      </c>
      <c r="G2009">
        <v>4</v>
      </c>
      <c r="H2009" s="1" t="s">
        <v>1494</v>
      </c>
      <c r="I2009" t="s">
        <v>1874</v>
      </c>
      <c r="J2009" s="1" t="s">
        <v>1453</v>
      </c>
      <c r="K2009" s="1" t="s">
        <v>1601</v>
      </c>
      <c r="L2009" s="1" t="s">
        <v>1718</v>
      </c>
      <c r="M2009" s="1" t="s">
        <v>1763</v>
      </c>
      <c r="N2009" t="s">
        <v>1976</v>
      </c>
      <c r="O2009" t="s">
        <v>2164</v>
      </c>
      <c r="P2009" t="s">
        <v>3101</v>
      </c>
      <c r="Q2009">
        <v>109.2</v>
      </c>
      <c r="R2009" s="1" t="s">
        <v>1839</v>
      </c>
      <c r="S2009">
        <v>856.99</v>
      </c>
      <c r="T2009">
        <v>93584</v>
      </c>
    </row>
    <row r="2010" spans="1:20" hidden="1" x14ac:dyDescent="0.4">
      <c r="A2010" s="1" t="s">
        <v>680</v>
      </c>
      <c r="B2010" s="1" t="s">
        <v>1456</v>
      </c>
      <c r="C2010" s="1" t="s">
        <v>1845</v>
      </c>
      <c r="D2010" s="1" t="s">
        <v>1731</v>
      </c>
      <c r="E2010">
        <v>20251225</v>
      </c>
      <c r="F2010" s="1" t="s">
        <v>1473</v>
      </c>
      <c r="G2010">
        <v>4</v>
      </c>
      <c r="H2010" s="1" t="s">
        <v>1494</v>
      </c>
      <c r="I2010" t="s">
        <v>1874</v>
      </c>
      <c r="J2010" s="1" t="s">
        <v>1453</v>
      </c>
      <c r="K2010" s="1" t="s">
        <v>1601</v>
      </c>
      <c r="L2010" s="1" t="s">
        <v>1718</v>
      </c>
      <c r="M2010" s="1" t="s">
        <v>1763</v>
      </c>
      <c r="N2010" t="s">
        <v>1976</v>
      </c>
      <c r="O2010" t="s">
        <v>2164</v>
      </c>
      <c r="P2010" t="s">
        <v>3101</v>
      </c>
      <c r="Q2010">
        <v>109.2</v>
      </c>
      <c r="R2010" s="1" t="s">
        <v>1839</v>
      </c>
      <c r="S2010">
        <v>856.99</v>
      </c>
      <c r="T2010">
        <v>93584</v>
      </c>
    </row>
    <row r="2011" spans="1:20" hidden="1" x14ac:dyDescent="0.4">
      <c r="A2011" s="1" t="s">
        <v>680</v>
      </c>
      <c r="B2011" s="1" t="s">
        <v>1457</v>
      </c>
      <c r="C2011" s="1" t="s">
        <v>1845</v>
      </c>
      <c r="D2011" s="1" t="s">
        <v>1731</v>
      </c>
      <c r="E2011">
        <v>20251225</v>
      </c>
      <c r="F2011" s="1" t="s">
        <v>1473</v>
      </c>
      <c r="G2011">
        <v>4</v>
      </c>
      <c r="H2011" s="1" t="s">
        <v>1494</v>
      </c>
      <c r="I2011" t="s">
        <v>1874</v>
      </c>
      <c r="J2011" s="1" t="s">
        <v>1453</v>
      </c>
      <c r="K2011" s="1" t="s">
        <v>1601</v>
      </c>
      <c r="L2011" s="1" t="s">
        <v>1718</v>
      </c>
      <c r="M2011" s="1" t="s">
        <v>1763</v>
      </c>
      <c r="N2011" t="s">
        <v>1976</v>
      </c>
      <c r="O2011" t="s">
        <v>2164</v>
      </c>
      <c r="P2011" t="s">
        <v>3101</v>
      </c>
      <c r="Q2011">
        <v>109.2</v>
      </c>
      <c r="R2011" s="1" t="s">
        <v>1839</v>
      </c>
      <c r="S2011">
        <v>856.99</v>
      </c>
      <c r="T2011">
        <v>93584</v>
      </c>
    </row>
    <row r="2012" spans="1:20" hidden="1" x14ac:dyDescent="0.4">
      <c r="A2012" s="1" t="s">
        <v>680</v>
      </c>
      <c r="B2012" s="1" t="s">
        <v>1458</v>
      </c>
      <c r="C2012" s="1" t="s">
        <v>1845</v>
      </c>
      <c r="D2012" s="1" t="s">
        <v>1731</v>
      </c>
      <c r="E2012">
        <v>20251225</v>
      </c>
      <c r="F2012" s="1" t="s">
        <v>1473</v>
      </c>
      <c r="G2012">
        <v>4</v>
      </c>
      <c r="H2012" s="1" t="s">
        <v>1494</v>
      </c>
      <c r="I2012" t="s">
        <v>1874</v>
      </c>
      <c r="J2012" s="1" t="s">
        <v>1453</v>
      </c>
      <c r="K2012" s="1" t="s">
        <v>1601</v>
      </c>
      <c r="L2012" s="1" t="s">
        <v>1718</v>
      </c>
      <c r="M2012" s="1" t="s">
        <v>1763</v>
      </c>
      <c r="N2012" t="s">
        <v>1976</v>
      </c>
      <c r="O2012" t="s">
        <v>2164</v>
      </c>
      <c r="P2012" t="s">
        <v>3101</v>
      </c>
      <c r="Q2012">
        <v>77.16</v>
      </c>
      <c r="R2012" s="1" t="s">
        <v>1839</v>
      </c>
      <c r="S2012">
        <v>856.99</v>
      </c>
      <c r="T2012">
        <v>66126</v>
      </c>
    </row>
    <row r="2013" spans="1:20" hidden="1" x14ac:dyDescent="0.4">
      <c r="A2013" s="1" t="s">
        <v>680</v>
      </c>
      <c r="B2013" s="1" t="s">
        <v>1459</v>
      </c>
      <c r="C2013" s="1" t="s">
        <v>1845</v>
      </c>
      <c r="D2013" s="1" t="s">
        <v>1731</v>
      </c>
      <c r="E2013">
        <v>20251225</v>
      </c>
      <c r="F2013" s="1" t="s">
        <v>1473</v>
      </c>
      <c r="G2013">
        <v>4</v>
      </c>
      <c r="H2013" s="1" t="s">
        <v>1494</v>
      </c>
      <c r="I2013" t="s">
        <v>1874</v>
      </c>
      <c r="J2013" s="1" t="s">
        <v>1453</v>
      </c>
      <c r="K2013" s="1" t="s">
        <v>1601</v>
      </c>
      <c r="L2013" s="1" t="s">
        <v>1718</v>
      </c>
      <c r="M2013" s="1" t="s">
        <v>1763</v>
      </c>
      <c r="N2013" t="s">
        <v>1976</v>
      </c>
      <c r="O2013" t="s">
        <v>2164</v>
      </c>
      <c r="P2013" t="s">
        <v>3101</v>
      </c>
      <c r="Q2013">
        <v>109.2</v>
      </c>
      <c r="R2013" s="1" t="s">
        <v>1839</v>
      </c>
      <c r="S2013">
        <v>856.99</v>
      </c>
      <c r="T2013">
        <v>93584</v>
      </c>
    </row>
    <row r="2014" spans="1:20" hidden="1" x14ac:dyDescent="0.4">
      <c r="A2014" s="1" t="s">
        <v>680</v>
      </c>
      <c r="B2014" s="1" t="s">
        <v>1460</v>
      </c>
      <c r="C2014" s="1" t="s">
        <v>1845</v>
      </c>
      <c r="D2014" s="1" t="s">
        <v>1731</v>
      </c>
      <c r="E2014">
        <v>20251225</v>
      </c>
      <c r="F2014" s="1" t="s">
        <v>1473</v>
      </c>
      <c r="G2014">
        <v>4</v>
      </c>
      <c r="H2014" s="1" t="s">
        <v>1494</v>
      </c>
      <c r="I2014" t="s">
        <v>1874</v>
      </c>
      <c r="J2014" s="1" t="s">
        <v>1453</v>
      </c>
      <c r="K2014" s="1" t="s">
        <v>1601</v>
      </c>
      <c r="L2014" s="1" t="s">
        <v>1718</v>
      </c>
      <c r="M2014" s="1" t="s">
        <v>1763</v>
      </c>
      <c r="N2014" t="s">
        <v>1976</v>
      </c>
      <c r="O2014" t="s">
        <v>2164</v>
      </c>
      <c r="P2014" t="s">
        <v>3101</v>
      </c>
      <c r="Q2014">
        <v>109.2</v>
      </c>
      <c r="R2014" s="1" t="s">
        <v>1839</v>
      </c>
      <c r="S2014">
        <v>856.99</v>
      </c>
      <c r="T2014">
        <v>93584</v>
      </c>
    </row>
    <row r="2015" spans="1:20" hidden="1" x14ac:dyDescent="0.4">
      <c r="A2015" s="1" t="s">
        <v>680</v>
      </c>
      <c r="B2015" s="1" t="s">
        <v>1461</v>
      </c>
      <c r="C2015" s="1" t="s">
        <v>1845</v>
      </c>
      <c r="D2015" s="1" t="s">
        <v>1731</v>
      </c>
      <c r="E2015">
        <v>20251225</v>
      </c>
      <c r="F2015" s="1" t="s">
        <v>1473</v>
      </c>
      <c r="G2015">
        <v>4</v>
      </c>
      <c r="H2015" s="1" t="s">
        <v>1494</v>
      </c>
      <c r="I2015" t="s">
        <v>1874</v>
      </c>
      <c r="J2015" s="1" t="s">
        <v>1453</v>
      </c>
      <c r="K2015" s="1" t="s">
        <v>1601</v>
      </c>
      <c r="L2015" s="1" t="s">
        <v>1718</v>
      </c>
      <c r="M2015" s="1" t="s">
        <v>1763</v>
      </c>
      <c r="N2015" t="s">
        <v>1976</v>
      </c>
      <c r="O2015" t="s">
        <v>2164</v>
      </c>
      <c r="P2015" t="s">
        <v>3101</v>
      </c>
      <c r="Q2015">
        <v>109.2</v>
      </c>
      <c r="R2015" s="1" t="s">
        <v>1839</v>
      </c>
      <c r="S2015">
        <v>856.99</v>
      </c>
      <c r="T2015">
        <v>93584</v>
      </c>
    </row>
    <row r="2016" spans="1:20" hidden="1" x14ac:dyDescent="0.4">
      <c r="A2016" s="1" t="s">
        <v>680</v>
      </c>
      <c r="B2016" s="1" t="s">
        <v>1462</v>
      </c>
      <c r="C2016" s="1" t="s">
        <v>1845</v>
      </c>
      <c r="D2016" s="1" t="s">
        <v>1731</v>
      </c>
      <c r="E2016">
        <v>20251225</v>
      </c>
      <c r="F2016" s="1" t="s">
        <v>1473</v>
      </c>
      <c r="G2016">
        <v>4</v>
      </c>
      <c r="H2016" s="1" t="s">
        <v>1494</v>
      </c>
      <c r="I2016" t="s">
        <v>1874</v>
      </c>
      <c r="J2016" s="1" t="s">
        <v>1453</v>
      </c>
      <c r="K2016" s="1" t="s">
        <v>1601</v>
      </c>
      <c r="L2016" s="1" t="s">
        <v>1718</v>
      </c>
      <c r="M2016" s="1" t="s">
        <v>1763</v>
      </c>
      <c r="N2016" t="s">
        <v>1976</v>
      </c>
      <c r="O2016" t="s">
        <v>2164</v>
      </c>
      <c r="P2016" t="s">
        <v>3101</v>
      </c>
      <c r="Q2016">
        <v>109.2</v>
      </c>
      <c r="R2016" s="1" t="s">
        <v>1839</v>
      </c>
      <c r="S2016">
        <v>856.99</v>
      </c>
      <c r="T2016">
        <v>93584</v>
      </c>
    </row>
    <row r="2017" spans="1:20" hidden="1" x14ac:dyDescent="0.4">
      <c r="A2017" s="1" t="s">
        <v>680</v>
      </c>
      <c r="B2017" s="1" t="s">
        <v>1463</v>
      </c>
      <c r="C2017" s="1" t="s">
        <v>1845</v>
      </c>
      <c r="D2017" s="1" t="s">
        <v>1731</v>
      </c>
      <c r="E2017">
        <v>20251225</v>
      </c>
      <c r="F2017" s="1" t="s">
        <v>1473</v>
      </c>
      <c r="G2017">
        <v>4</v>
      </c>
      <c r="H2017" s="1" t="s">
        <v>1494</v>
      </c>
      <c r="I2017" t="s">
        <v>1874</v>
      </c>
      <c r="J2017" s="1" t="s">
        <v>1453</v>
      </c>
      <c r="K2017" s="1" t="s">
        <v>1601</v>
      </c>
      <c r="L2017" s="1" t="s">
        <v>1718</v>
      </c>
      <c r="M2017" s="1" t="s">
        <v>1763</v>
      </c>
      <c r="N2017" t="s">
        <v>1976</v>
      </c>
      <c r="O2017" t="s">
        <v>2164</v>
      </c>
      <c r="P2017" t="s">
        <v>3101</v>
      </c>
      <c r="Q2017">
        <v>109.2</v>
      </c>
      <c r="R2017" s="1" t="s">
        <v>1839</v>
      </c>
      <c r="S2017">
        <v>856.99</v>
      </c>
      <c r="T2017">
        <v>93584</v>
      </c>
    </row>
    <row r="2018" spans="1:20" hidden="1" x14ac:dyDescent="0.4">
      <c r="A2018" s="1" t="s">
        <v>681</v>
      </c>
      <c r="B2018" s="1" t="s">
        <v>1453</v>
      </c>
      <c r="C2018" s="1" t="s">
        <v>1845</v>
      </c>
      <c r="D2018" s="1" t="s">
        <v>1731</v>
      </c>
      <c r="E2018">
        <v>20251225</v>
      </c>
      <c r="F2018" s="1" t="s">
        <v>1473</v>
      </c>
      <c r="G2018">
        <v>4</v>
      </c>
      <c r="H2018" s="1" t="s">
        <v>1494</v>
      </c>
      <c r="I2018" t="s">
        <v>1874</v>
      </c>
      <c r="J2018" s="1" t="s">
        <v>1453</v>
      </c>
      <c r="K2018" s="1" t="s">
        <v>1601</v>
      </c>
      <c r="L2018" s="1" t="s">
        <v>1718</v>
      </c>
      <c r="M2018" s="1" t="s">
        <v>1763</v>
      </c>
      <c r="N2018" t="s">
        <v>1976</v>
      </c>
      <c r="O2018" t="s">
        <v>2164</v>
      </c>
      <c r="P2018" t="s">
        <v>3101</v>
      </c>
      <c r="Q2018">
        <v>112.47</v>
      </c>
      <c r="R2018" s="1" t="s">
        <v>1839</v>
      </c>
      <c r="S2018">
        <v>856.99</v>
      </c>
      <c r="T2018">
        <v>96386</v>
      </c>
    </row>
    <row r="2019" spans="1:20" hidden="1" x14ac:dyDescent="0.4">
      <c r="A2019" s="1" t="s">
        <v>681</v>
      </c>
      <c r="B2019" s="1" t="s">
        <v>1454</v>
      </c>
      <c r="C2019" s="1" t="s">
        <v>1845</v>
      </c>
      <c r="D2019" s="1" t="s">
        <v>1731</v>
      </c>
      <c r="E2019">
        <v>20251225</v>
      </c>
      <c r="F2019" s="1" t="s">
        <v>1473</v>
      </c>
      <c r="G2019">
        <v>4</v>
      </c>
      <c r="H2019" s="1" t="s">
        <v>1494</v>
      </c>
      <c r="I2019" t="s">
        <v>1874</v>
      </c>
      <c r="J2019" s="1" t="s">
        <v>1453</v>
      </c>
      <c r="K2019" s="1" t="s">
        <v>1601</v>
      </c>
      <c r="L2019" s="1" t="s">
        <v>1718</v>
      </c>
      <c r="M2019" s="1" t="s">
        <v>1763</v>
      </c>
      <c r="N2019" t="s">
        <v>1976</v>
      </c>
      <c r="O2019" t="s">
        <v>2164</v>
      </c>
      <c r="P2019" t="s">
        <v>3101</v>
      </c>
      <c r="Q2019">
        <v>109.2</v>
      </c>
      <c r="R2019" s="1" t="s">
        <v>1839</v>
      </c>
      <c r="S2019">
        <v>856.99</v>
      </c>
      <c r="T2019">
        <v>93584</v>
      </c>
    </row>
    <row r="2020" spans="1:20" hidden="1" x14ac:dyDescent="0.4">
      <c r="A2020" s="1" t="s">
        <v>681</v>
      </c>
      <c r="B2020" s="1" t="s">
        <v>1455</v>
      </c>
      <c r="C2020" s="1" t="s">
        <v>1845</v>
      </c>
      <c r="D2020" s="1" t="s">
        <v>1731</v>
      </c>
      <c r="E2020">
        <v>20251225</v>
      </c>
      <c r="F2020" s="1" t="s">
        <v>1473</v>
      </c>
      <c r="G2020">
        <v>4</v>
      </c>
      <c r="H2020" s="1" t="s">
        <v>1494</v>
      </c>
      <c r="I2020" t="s">
        <v>1874</v>
      </c>
      <c r="J2020" s="1" t="s">
        <v>1453</v>
      </c>
      <c r="K2020" s="1" t="s">
        <v>1601</v>
      </c>
      <c r="L2020" s="1" t="s">
        <v>1718</v>
      </c>
      <c r="M2020" s="1" t="s">
        <v>1763</v>
      </c>
      <c r="N2020" t="s">
        <v>1976</v>
      </c>
      <c r="O2020" t="s">
        <v>2164</v>
      </c>
      <c r="P2020" t="s">
        <v>3101</v>
      </c>
      <c r="Q2020">
        <v>127.4</v>
      </c>
      <c r="R2020" s="1" t="s">
        <v>1839</v>
      </c>
      <c r="S2020">
        <v>856.99</v>
      </c>
      <c r="T2020">
        <v>109181</v>
      </c>
    </row>
    <row r="2021" spans="1:20" hidden="1" x14ac:dyDescent="0.4">
      <c r="A2021" s="1" t="s">
        <v>681</v>
      </c>
      <c r="B2021" s="1" t="s">
        <v>1456</v>
      </c>
      <c r="C2021" s="1" t="s">
        <v>1845</v>
      </c>
      <c r="D2021" s="1" t="s">
        <v>1731</v>
      </c>
      <c r="E2021">
        <v>20251225</v>
      </c>
      <c r="F2021" s="1" t="s">
        <v>1473</v>
      </c>
      <c r="G2021">
        <v>4</v>
      </c>
      <c r="H2021" s="1" t="s">
        <v>1494</v>
      </c>
      <c r="I2021" t="s">
        <v>1874</v>
      </c>
      <c r="J2021" s="1" t="s">
        <v>1453</v>
      </c>
      <c r="K2021" s="1" t="s">
        <v>1601</v>
      </c>
      <c r="L2021" s="1" t="s">
        <v>1718</v>
      </c>
      <c r="M2021" s="1" t="s">
        <v>1763</v>
      </c>
      <c r="N2021" t="s">
        <v>1976</v>
      </c>
      <c r="O2021" t="s">
        <v>2164</v>
      </c>
      <c r="P2021" t="s">
        <v>3101</v>
      </c>
      <c r="Q2021">
        <v>127.4</v>
      </c>
      <c r="R2021" s="1" t="s">
        <v>1839</v>
      </c>
      <c r="S2021">
        <v>856.99</v>
      </c>
      <c r="T2021">
        <v>109181</v>
      </c>
    </row>
    <row r="2022" spans="1:20" hidden="1" x14ac:dyDescent="0.4">
      <c r="A2022" s="1" t="s">
        <v>681</v>
      </c>
      <c r="B2022" s="1" t="s">
        <v>1457</v>
      </c>
      <c r="C2022" s="1" t="s">
        <v>1845</v>
      </c>
      <c r="D2022" s="1" t="s">
        <v>1731</v>
      </c>
      <c r="E2022">
        <v>20251225</v>
      </c>
      <c r="F2022" s="1" t="s">
        <v>1473</v>
      </c>
      <c r="G2022">
        <v>4</v>
      </c>
      <c r="H2022" s="1" t="s">
        <v>1494</v>
      </c>
      <c r="I2022" t="s">
        <v>1874</v>
      </c>
      <c r="J2022" s="1" t="s">
        <v>1453</v>
      </c>
      <c r="K2022" s="1" t="s">
        <v>1601</v>
      </c>
      <c r="L2022" s="1" t="s">
        <v>1718</v>
      </c>
      <c r="M2022" s="1" t="s">
        <v>1763</v>
      </c>
      <c r="N2022" t="s">
        <v>1976</v>
      </c>
      <c r="O2022" t="s">
        <v>2164</v>
      </c>
      <c r="P2022" t="s">
        <v>3101</v>
      </c>
      <c r="Q2022">
        <v>124.12</v>
      </c>
      <c r="R2022" s="1" t="s">
        <v>1839</v>
      </c>
      <c r="S2022">
        <v>856.99</v>
      </c>
      <c r="T2022">
        <v>106370</v>
      </c>
    </row>
    <row r="2023" spans="1:20" hidden="1" x14ac:dyDescent="0.4">
      <c r="A2023" s="1" t="s">
        <v>681</v>
      </c>
      <c r="B2023" s="1" t="s">
        <v>1458</v>
      </c>
      <c r="C2023" s="1" t="s">
        <v>1845</v>
      </c>
      <c r="D2023" s="1" t="s">
        <v>1731</v>
      </c>
      <c r="E2023">
        <v>20251225</v>
      </c>
      <c r="F2023" s="1" t="s">
        <v>1473</v>
      </c>
      <c r="G2023">
        <v>4</v>
      </c>
      <c r="H2023" s="1" t="s">
        <v>1494</v>
      </c>
      <c r="I2023" t="s">
        <v>1874</v>
      </c>
      <c r="J2023" s="1" t="s">
        <v>1453</v>
      </c>
      <c r="K2023" s="1" t="s">
        <v>1601</v>
      </c>
      <c r="L2023" s="1" t="s">
        <v>1718</v>
      </c>
      <c r="M2023" s="1" t="s">
        <v>1763</v>
      </c>
      <c r="N2023" t="s">
        <v>1976</v>
      </c>
      <c r="O2023" t="s">
        <v>2164</v>
      </c>
      <c r="P2023" t="s">
        <v>3101</v>
      </c>
      <c r="Q2023">
        <v>127.4</v>
      </c>
      <c r="R2023" s="1" t="s">
        <v>1839</v>
      </c>
      <c r="S2023">
        <v>856.99</v>
      </c>
      <c r="T2023">
        <v>109181</v>
      </c>
    </row>
    <row r="2024" spans="1:20" hidden="1" x14ac:dyDescent="0.4">
      <c r="A2024" s="1" t="s">
        <v>681</v>
      </c>
      <c r="B2024" s="1" t="s">
        <v>1459</v>
      </c>
      <c r="C2024" s="1" t="s">
        <v>1845</v>
      </c>
      <c r="D2024" s="1" t="s">
        <v>1731</v>
      </c>
      <c r="E2024">
        <v>20251225</v>
      </c>
      <c r="F2024" s="1" t="s">
        <v>1473</v>
      </c>
      <c r="G2024">
        <v>4</v>
      </c>
      <c r="H2024" s="1" t="s">
        <v>1494</v>
      </c>
      <c r="I2024" t="s">
        <v>1874</v>
      </c>
      <c r="J2024" s="1" t="s">
        <v>1453</v>
      </c>
      <c r="K2024" s="1" t="s">
        <v>1601</v>
      </c>
      <c r="L2024" s="1" t="s">
        <v>1718</v>
      </c>
      <c r="M2024" s="1" t="s">
        <v>1763</v>
      </c>
      <c r="N2024" t="s">
        <v>1976</v>
      </c>
      <c r="O2024" t="s">
        <v>2164</v>
      </c>
      <c r="P2024" t="s">
        <v>3101</v>
      </c>
      <c r="Q2024">
        <v>40.4</v>
      </c>
      <c r="R2024" s="1" t="s">
        <v>1839</v>
      </c>
      <c r="S2024">
        <v>856.98</v>
      </c>
      <c r="T2024">
        <v>34622</v>
      </c>
    </row>
    <row r="2025" spans="1:20" hidden="1" x14ac:dyDescent="0.4">
      <c r="A2025" s="1" t="s">
        <v>681</v>
      </c>
      <c r="B2025" s="1" t="s">
        <v>1460</v>
      </c>
      <c r="C2025" s="1" t="s">
        <v>1845</v>
      </c>
      <c r="D2025" s="1" t="s">
        <v>1731</v>
      </c>
      <c r="E2025">
        <v>20251225</v>
      </c>
      <c r="F2025" s="1" t="s">
        <v>1473</v>
      </c>
      <c r="G2025">
        <v>4</v>
      </c>
      <c r="H2025" s="1" t="s">
        <v>1494</v>
      </c>
      <c r="I2025" t="s">
        <v>1874</v>
      </c>
      <c r="J2025" s="1" t="s">
        <v>1453</v>
      </c>
      <c r="K2025" s="1" t="s">
        <v>1601</v>
      </c>
      <c r="L2025" s="1" t="s">
        <v>1718</v>
      </c>
      <c r="M2025" s="1" t="s">
        <v>1763</v>
      </c>
      <c r="N2025" t="s">
        <v>1976</v>
      </c>
      <c r="O2025" t="s">
        <v>2164</v>
      </c>
      <c r="P2025" t="s">
        <v>3101</v>
      </c>
      <c r="Q2025">
        <v>83.72</v>
      </c>
      <c r="R2025" s="1" t="s">
        <v>1839</v>
      </c>
      <c r="S2025">
        <v>856.99</v>
      </c>
      <c r="T2025">
        <v>71748</v>
      </c>
    </row>
    <row r="2026" spans="1:20" hidden="1" x14ac:dyDescent="0.4">
      <c r="A2026" s="1" t="s">
        <v>681</v>
      </c>
      <c r="B2026" s="1" t="s">
        <v>1461</v>
      </c>
      <c r="C2026" s="1" t="s">
        <v>1845</v>
      </c>
      <c r="D2026" s="1" t="s">
        <v>1731</v>
      </c>
      <c r="E2026">
        <v>20251225</v>
      </c>
      <c r="F2026" s="1" t="s">
        <v>1473</v>
      </c>
      <c r="G2026">
        <v>4</v>
      </c>
      <c r="H2026" s="1" t="s">
        <v>1494</v>
      </c>
      <c r="I2026" t="s">
        <v>1874</v>
      </c>
      <c r="J2026" s="1" t="s">
        <v>1453</v>
      </c>
      <c r="K2026" s="1" t="s">
        <v>1601</v>
      </c>
      <c r="L2026" s="1" t="s">
        <v>1718</v>
      </c>
      <c r="M2026" s="1" t="s">
        <v>1763</v>
      </c>
      <c r="N2026" t="s">
        <v>1976</v>
      </c>
      <c r="O2026" t="s">
        <v>2164</v>
      </c>
      <c r="P2026" t="s">
        <v>3101</v>
      </c>
      <c r="Q2026">
        <v>80.8</v>
      </c>
      <c r="R2026" s="1" t="s">
        <v>1839</v>
      </c>
      <c r="S2026">
        <v>856.99</v>
      </c>
      <c r="T2026">
        <v>69245</v>
      </c>
    </row>
    <row r="2027" spans="1:20" hidden="1" x14ac:dyDescent="0.4">
      <c r="A2027" s="1" t="s">
        <v>681</v>
      </c>
      <c r="B2027" s="1" t="s">
        <v>1462</v>
      </c>
      <c r="C2027" s="1" t="s">
        <v>1845</v>
      </c>
      <c r="D2027" s="1" t="s">
        <v>1731</v>
      </c>
      <c r="E2027">
        <v>20251225</v>
      </c>
      <c r="F2027" s="1" t="s">
        <v>1473</v>
      </c>
      <c r="G2027">
        <v>4</v>
      </c>
      <c r="H2027" s="1" t="s">
        <v>1494</v>
      </c>
      <c r="I2027" t="s">
        <v>1874</v>
      </c>
      <c r="J2027" s="1" t="s">
        <v>1453</v>
      </c>
      <c r="K2027" s="1" t="s">
        <v>1601</v>
      </c>
      <c r="L2027" s="1" t="s">
        <v>1718</v>
      </c>
      <c r="M2027" s="1" t="s">
        <v>1763</v>
      </c>
      <c r="N2027" t="s">
        <v>1976</v>
      </c>
      <c r="O2027" t="s">
        <v>2164</v>
      </c>
      <c r="P2027" t="s">
        <v>3101</v>
      </c>
      <c r="Q2027">
        <v>127.4</v>
      </c>
      <c r="R2027" s="1" t="s">
        <v>1839</v>
      </c>
      <c r="S2027">
        <v>856.99</v>
      </c>
      <c r="T2027">
        <v>109181</v>
      </c>
    </row>
    <row r="2028" spans="1:20" hidden="1" x14ac:dyDescent="0.4">
      <c r="A2028" s="1" t="s">
        <v>681</v>
      </c>
      <c r="B2028" s="1" t="s">
        <v>1463</v>
      </c>
      <c r="C2028" s="1" t="s">
        <v>1845</v>
      </c>
      <c r="D2028" s="1" t="s">
        <v>1731</v>
      </c>
      <c r="E2028">
        <v>20251225</v>
      </c>
      <c r="F2028" s="1" t="s">
        <v>1473</v>
      </c>
      <c r="G2028">
        <v>4</v>
      </c>
      <c r="H2028" s="1" t="s">
        <v>1494</v>
      </c>
      <c r="I2028" t="s">
        <v>1874</v>
      </c>
      <c r="J2028" s="1" t="s">
        <v>1453</v>
      </c>
      <c r="K2028" s="1" t="s">
        <v>1601</v>
      </c>
      <c r="L2028" s="1" t="s">
        <v>1718</v>
      </c>
      <c r="M2028" s="1" t="s">
        <v>1763</v>
      </c>
      <c r="N2028" t="s">
        <v>1976</v>
      </c>
      <c r="O2028" t="s">
        <v>2164</v>
      </c>
      <c r="P2028" t="s">
        <v>3101</v>
      </c>
      <c r="Q2028">
        <v>127.4</v>
      </c>
      <c r="R2028" s="1" t="s">
        <v>1839</v>
      </c>
      <c r="S2028">
        <v>856.99</v>
      </c>
      <c r="T2028">
        <v>109181</v>
      </c>
    </row>
    <row r="2029" spans="1:20" hidden="1" x14ac:dyDescent="0.4">
      <c r="A2029" s="1" t="s">
        <v>682</v>
      </c>
      <c r="B2029" s="1" t="s">
        <v>1453</v>
      </c>
      <c r="C2029" s="1" t="s">
        <v>1845</v>
      </c>
      <c r="D2029" s="1" t="s">
        <v>1731</v>
      </c>
      <c r="E2029">
        <v>20251225</v>
      </c>
      <c r="F2029" s="1" t="s">
        <v>1473</v>
      </c>
      <c r="G2029">
        <v>4</v>
      </c>
      <c r="H2029" s="1" t="s">
        <v>1494</v>
      </c>
      <c r="I2029" t="s">
        <v>1874</v>
      </c>
      <c r="J2029" s="1" t="s">
        <v>1453</v>
      </c>
      <c r="K2029" s="1" t="s">
        <v>1601</v>
      </c>
      <c r="L2029" s="1" t="s">
        <v>1718</v>
      </c>
      <c r="M2029" s="1" t="s">
        <v>1763</v>
      </c>
      <c r="N2029" t="s">
        <v>1976</v>
      </c>
      <c r="O2029" t="s">
        <v>2164</v>
      </c>
      <c r="P2029" t="s">
        <v>3101</v>
      </c>
      <c r="Q2029">
        <v>36.4</v>
      </c>
      <c r="R2029" s="1" t="s">
        <v>1839</v>
      </c>
      <c r="S2029">
        <v>856.97</v>
      </c>
      <c r="T2029">
        <v>31194</v>
      </c>
    </row>
    <row r="2030" spans="1:20" hidden="1" x14ac:dyDescent="0.4">
      <c r="A2030" s="1" t="s">
        <v>682</v>
      </c>
      <c r="B2030" s="1" t="s">
        <v>1454</v>
      </c>
      <c r="C2030" s="1" t="s">
        <v>1845</v>
      </c>
      <c r="D2030" s="1" t="s">
        <v>1731</v>
      </c>
      <c r="E2030">
        <v>20251225</v>
      </c>
      <c r="F2030" s="1" t="s">
        <v>1473</v>
      </c>
      <c r="G2030">
        <v>4</v>
      </c>
      <c r="H2030" s="1" t="s">
        <v>1494</v>
      </c>
      <c r="I2030" t="s">
        <v>1874</v>
      </c>
      <c r="J2030" s="1" t="s">
        <v>1453</v>
      </c>
      <c r="K2030" s="1" t="s">
        <v>1601</v>
      </c>
      <c r="L2030" s="1" t="s">
        <v>1718</v>
      </c>
      <c r="M2030" s="1" t="s">
        <v>1763</v>
      </c>
      <c r="N2030" t="s">
        <v>1976</v>
      </c>
      <c r="O2030" t="s">
        <v>2164</v>
      </c>
      <c r="P2030" t="s">
        <v>3101</v>
      </c>
      <c r="Q2030">
        <v>21.84</v>
      </c>
      <c r="R2030" s="1" t="s">
        <v>1839</v>
      </c>
      <c r="S2030">
        <v>856.95</v>
      </c>
      <c r="T2030">
        <v>18716</v>
      </c>
    </row>
    <row r="2031" spans="1:20" hidden="1" x14ac:dyDescent="0.4">
      <c r="A2031" s="1" t="s">
        <v>682</v>
      </c>
      <c r="B2031" s="1" t="s">
        <v>1455</v>
      </c>
      <c r="C2031" s="1" t="s">
        <v>1845</v>
      </c>
      <c r="D2031" s="1" t="s">
        <v>1731</v>
      </c>
      <c r="E2031">
        <v>20251225</v>
      </c>
      <c r="F2031" s="1" t="s">
        <v>1473</v>
      </c>
      <c r="G2031">
        <v>4</v>
      </c>
      <c r="H2031" s="1" t="s">
        <v>1494</v>
      </c>
      <c r="I2031" t="s">
        <v>1874</v>
      </c>
      <c r="J2031" s="1" t="s">
        <v>1453</v>
      </c>
      <c r="K2031" s="1" t="s">
        <v>1601</v>
      </c>
      <c r="L2031" s="1" t="s">
        <v>1718</v>
      </c>
      <c r="M2031" s="1" t="s">
        <v>1763</v>
      </c>
      <c r="N2031" t="s">
        <v>1976</v>
      </c>
      <c r="O2031" t="s">
        <v>2164</v>
      </c>
      <c r="P2031" t="s">
        <v>3101</v>
      </c>
      <c r="Q2031">
        <v>21.84</v>
      </c>
      <c r="R2031" s="1" t="s">
        <v>1839</v>
      </c>
      <c r="S2031">
        <v>856.95</v>
      </c>
      <c r="T2031">
        <v>18716</v>
      </c>
    </row>
    <row r="2032" spans="1:20" hidden="1" x14ac:dyDescent="0.4">
      <c r="A2032" s="1" t="s">
        <v>682</v>
      </c>
      <c r="B2032" s="1" t="s">
        <v>1456</v>
      </c>
      <c r="C2032" s="1" t="s">
        <v>1845</v>
      </c>
      <c r="D2032" s="1" t="s">
        <v>1731</v>
      </c>
      <c r="E2032">
        <v>20251225</v>
      </c>
      <c r="F2032" s="1" t="s">
        <v>1473</v>
      </c>
      <c r="G2032">
        <v>4</v>
      </c>
      <c r="H2032" s="1" t="s">
        <v>1494</v>
      </c>
      <c r="I2032" t="s">
        <v>1874</v>
      </c>
      <c r="J2032" s="1" t="s">
        <v>1453</v>
      </c>
      <c r="K2032" s="1" t="s">
        <v>1601</v>
      </c>
      <c r="L2032" s="1" t="s">
        <v>1718</v>
      </c>
      <c r="M2032" s="1" t="s">
        <v>1763</v>
      </c>
      <c r="N2032" t="s">
        <v>1976</v>
      </c>
      <c r="O2032" t="s">
        <v>2164</v>
      </c>
      <c r="P2032" t="s">
        <v>3101</v>
      </c>
      <c r="Q2032">
        <v>142.68</v>
      </c>
      <c r="R2032" s="1" t="s">
        <v>1839</v>
      </c>
      <c r="S2032">
        <v>856.99</v>
      </c>
      <c r="T2032">
        <v>122276</v>
      </c>
    </row>
    <row r="2033" spans="1:20" hidden="1" x14ac:dyDescent="0.4">
      <c r="A2033" s="1" t="s">
        <v>683</v>
      </c>
      <c r="B2033" s="1" t="s">
        <v>1453</v>
      </c>
      <c r="C2033" s="1" t="s">
        <v>1845</v>
      </c>
      <c r="D2033" s="1" t="s">
        <v>1731</v>
      </c>
      <c r="E2033">
        <v>20251225</v>
      </c>
      <c r="F2033" s="1" t="s">
        <v>1470</v>
      </c>
      <c r="G2033">
        <v>4</v>
      </c>
      <c r="H2033" s="1" t="s">
        <v>1490</v>
      </c>
      <c r="I2033" t="s">
        <v>1870</v>
      </c>
      <c r="J2033" s="1" t="s">
        <v>1456</v>
      </c>
      <c r="K2033" s="1" t="s">
        <v>1570</v>
      </c>
      <c r="L2033" s="1" t="s">
        <v>1729</v>
      </c>
      <c r="M2033" s="1" t="s">
        <v>1741</v>
      </c>
      <c r="N2033" t="s">
        <v>1943</v>
      </c>
      <c r="O2033" t="s">
        <v>2157</v>
      </c>
      <c r="P2033" t="s">
        <v>3042</v>
      </c>
      <c r="Q2033">
        <v>25</v>
      </c>
      <c r="R2033" s="1" t="s">
        <v>1718</v>
      </c>
      <c r="S2033">
        <v>5450</v>
      </c>
      <c r="T2033">
        <v>136250</v>
      </c>
    </row>
    <row r="2034" spans="1:20" hidden="1" x14ac:dyDescent="0.4">
      <c r="A2034" s="1" t="s">
        <v>684</v>
      </c>
      <c r="B2034" s="1" t="s">
        <v>1453</v>
      </c>
      <c r="C2034" s="1" t="s">
        <v>1845</v>
      </c>
      <c r="D2034" s="1" t="s">
        <v>1731</v>
      </c>
      <c r="E2034">
        <v>20251225</v>
      </c>
      <c r="F2034" s="1" t="s">
        <v>1473</v>
      </c>
      <c r="G2034">
        <v>4</v>
      </c>
      <c r="H2034" s="1" t="s">
        <v>1494</v>
      </c>
      <c r="I2034" t="s">
        <v>1874</v>
      </c>
      <c r="J2034" s="1" t="s">
        <v>1453</v>
      </c>
      <c r="K2034" s="1" t="s">
        <v>1601</v>
      </c>
      <c r="L2034" s="1" t="s">
        <v>1718</v>
      </c>
      <c r="M2034" s="1" t="s">
        <v>1774</v>
      </c>
      <c r="N2034" t="s">
        <v>1976</v>
      </c>
      <c r="O2034" t="s">
        <v>2164</v>
      </c>
      <c r="P2034" t="s">
        <v>3102</v>
      </c>
      <c r="Q2034">
        <v>131.04</v>
      </c>
      <c r="R2034" s="1" t="s">
        <v>1839</v>
      </c>
      <c r="S2034">
        <v>856.99</v>
      </c>
      <c r="T2034">
        <v>112301</v>
      </c>
    </row>
    <row r="2035" spans="1:20" hidden="1" x14ac:dyDescent="0.4">
      <c r="A2035" s="1" t="s">
        <v>684</v>
      </c>
      <c r="B2035" s="1" t="s">
        <v>1454</v>
      </c>
      <c r="C2035" s="1" t="s">
        <v>1845</v>
      </c>
      <c r="D2035" s="1" t="s">
        <v>1731</v>
      </c>
      <c r="E2035">
        <v>20251225</v>
      </c>
      <c r="F2035" s="1" t="s">
        <v>1473</v>
      </c>
      <c r="G2035">
        <v>4</v>
      </c>
      <c r="H2035" s="1" t="s">
        <v>1494</v>
      </c>
      <c r="I2035" t="s">
        <v>1874</v>
      </c>
      <c r="J2035" s="1" t="s">
        <v>1453</v>
      </c>
      <c r="K2035" s="1" t="s">
        <v>1601</v>
      </c>
      <c r="L2035" s="1" t="s">
        <v>1718</v>
      </c>
      <c r="M2035" s="1" t="s">
        <v>1774</v>
      </c>
      <c r="N2035" t="s">
        <v>1976</v>
      </c>
      <c r="O2035" t="s">
        <v>2164</v>
      </c>
      <c r="P2035" t="s">
        <v>3102</v>
      </c>
      <c r="Q2035">
        <v>131.04</v>
      </c>
      <c r="R2035" s="1" t="s">
        <v>1839</v>
      </c>
      <c r="S2035">
        <v>856.99</v>
      </c>
      <c r="T2035">
        <v>112301</v>
      </c>
    </row>
    <row r="2036" spans="1:20" hidden="1" x14ac:dyDescent="0.4">
      <c r="A2036" s="1" t="s">
        <v>684</v>
      </c>
      <c r="B2036" s="1" t="s">
        <v>1455</v>
      </c>
      <c r="C2036" s="1" t="s">
        <v>1845</v>
      </c>
      <c r="D2036" s="1" t="s">
        <v>1731</v>
      </c>
      <c r="E2036">
        <v>20251225</v>
      </c>
      <c r="F2036" s="1" t="s">
        <v>1473</v>
      </c>
      <c r="G2036">
        <v>4</v>
      </c>
      <c r="H2036" s="1" t="s">
        <v>1494</v>
      </c>
      <c r="I2036" t="s">
        <v>1874</v>
      </c>
      <c r="J2036" s="1" t="s">
        <v>1453</v>
      </c>
      <c r="K2036" s="1" t="s">
        <v>1601</v>
      </c>
      <c r="L2036" s="1" t="s">
        <v>1718</v>
      </c>
      <c r="M2036" s="1" t="s">
        <v>1774</v>
      </c>
      <c r="N2036" t="s">
        <v>1976</v>
      </c>
      <c r="O2036" t="s">
        <v>2164</v>
      </c>
      <c r="P2036" t="s">
        <v>3102</v>
      </c>
      <c r="Q2036">
        <v>115.02</v>
      </c>
      <c r="R2036" s="1" t="s">
        <v>1839</v>
      </c>
      <c r="S2036">
        <v>856.99</v>
      </c>
      <c r="T2036">
        <v>98572</v>
      </c>
    </row>
    <row r="2037" spans="1:20" hidden="1" x14ac:dyDescent="0.4">
      <c r="A2037" s="1" t="s">
        <v>684</v>
      </c>
      <c r="B2037" s="1" t="s">
        <v>1456</v>
      </c>
      <c r="C2037" s="1" t="s">
        <v>1845</v>
      </c>
      <c r="D2037" s="1" t="s">
        <v>1731</v>
      </c>
      <c r="E2037">
        <v>20251225</v>
      </c>
      <c r="F2037" s="1" t="s">
        <v>1473</v>
      </c>
      <c r="G2037">
        <v>4</v>
      </c>
      <c r="H2037" s="1" t="s">
        <v>1494</v>
      </c>
      <c r="I2037" t="s">
        <v>1874</v>
      </c>
      <c r="J2037" s="1" t="s">
        <v>1453</v>
      </c>
      <c r="K2037" s="1" t="s">
        <v>1601</v>
      </c>
      <c r="L2037" s="1" t="s">
        <v>1718</v>
      </c>
      <c r="M2037" s="1" t="s">
        <v>1774</v>
      </c>
      <c r="N2037" t="s">
        <v>1976</v>
      </c>
      <c r="O2037" t="s">
        <v>2164</v>
      </c>
      <c r="P2037" t="s">
        <v>3102</v>
      </c>
      <c r="Q2037">
        <v>88.08</v>
      </c>
      <c r="R2037" s="1" t="s">
        <v>1839</v>
      </c>
      <c r="S2037">
        <v>856.99</v>
      </c>
      <c r="T2037">
        <v>75484</v>
      </c>
    </row>
    <row r="2038" spans="1:20" hidden="1" x14ac:dyDescent="0.4">
      <c r="A2038" s="1" t="s">
        <v>684</v>
      </c>
      <c r="B2038" s="1" t="s">
        <v>1457</v>
      </c>
      <c r="C2038" s="1" t="s">
        <v>1845</v>
      </c>
      <c r="D2038" s="1" t="s">
        <v>1731</v>
      </c>
      <c r="E2038">
        <v>20251225</v>
      </c>
      <c r="F2038" s="1" t="s">
        <v>1473</v>
      </c>
      <c r="G2038">
        <v>4</v>
      </c>
      <c r="H2038" s="1" t="s">
        <v>1494</v>
      </c>
      <c r="I2038" t="s">
        <v>1874</v>
      </c>
      <c r="J2038" s="1" t="s">
        <v>1453</v>
      </c>
      <c r="K2038" s="1" t="s">
        <v>1601</v>
      </c>
      <c r="L2038" s="1" t="s">
        <v>1718</v>
      </c>
      <c r="M2038" s="1" t="s">
        <v>1774</v>
      </c>
      <c r="N2038" t="s">
        <v>1976</v>
      </c>
      <c r="O2038" t="s">
        <v>2164</v>
      </c>
      <c r="P2038" t="s">
        <v>3102</v>
      </c>
      <c r="Q2038">
        <v>127.4</v>
      </c>
      <c r="R2038" s="1" t="s">
        <v>1839</v>
      </c>
      <c r="S2038">
        <v>856.99</v>
      </c>
      <c r="T2038">
        <v>109181</v>
      </c>
    </row>
    <row r="2039" spans="1:20" hidden="1" x14ac:dyDescent="0.4">
      <c r="A2039" s="1" t="s">
        <v>684</v>
      </c>
      <c r="B2039" s="1" t="s">
        <v>1458</v>
      </c>
      <c r="C2039" s="1" t="s">
        <v>1845</v>
      </c>
      <c r="D2039" s="1" t="s">
        <v>1731</v>
      </c>
      <c r="E2039">
        <v>20251225</v>
      </c>
      <c r="F2039" s="1" t="s">
        <v>1473</v>
      </c>
      <c r="G2039">
        <v>4</v>
      </c>
      <c r="H2039" s="1" t="s">
        <v>1494</v>
      </c>
      <c r="I2039" t="s">
        <v>1874</v>
      </c>
      <c r="J2039" s="1" t="s">
        <v>1453</v>
      </c>
      <c r="K2039" s="1" t="s">
        <v>1601</v>
      </c>
      <c r="L2039" s="1" t="s">
        <v>1718</v>
      </c>
      <c r="M2039" s="1" t="s">
        <v>1774</v>
      </c>
      <c r="N2039" t="s">
        <v>1976</v>
      </c>
      <c r="O2039" t="s">
        <v>2164</v>
      </c>
      <c r="P2039" t="s">
        <v>3102</v>
      </c>
      <c r="Q2039">
        <v>78.260000000000005</v>
      </c>
      <c r="R2039" s="1" t="s">
        <v>1839</v>
      </c>
      <c r="S2039">
        <v>856.98</v>
      </c>
      <c r="T2039">
        <v>67068</v>
      </c>
    </row>
    <row r="2040" spans="1:20" hidden="1" x14ac:dyDescent="0.4">
      <c r="A2040" s="1" t="s">
        <v>684</v>
      </c>
      <c r="B2040" s="1" t="s">
        <v>1459</v>
      </c>
      <c r="C2040" s="1" t="s">
        <v>1845</v>
      </c>
      <c r="D2040" s="1" t="s">
        <v>1731</v>
      </c>
      <c r="E2040">
        <v>20251225</v>
      </c>
      <c r="F2040" s="1" t="s">
        <v>1473</v>
      </c>
      <c r="G2040">
        <v>4</v>
      </c>
      <c r="H2040" s="1" t="s">
        <v>1494</v>
      </c>
      <c r="I2040" t="s">
        <v>1874</v>
      </c>
      <c r="J2040" s="1" t="s">
        <v>1453</v>
      </c>
      <c r="K2040" s="1" t="s">
        <v>1601</v>
      </c>
      <c r="L2040" s="1" t="s">
        <v>1718</v>
      </c>
      <c r="M2040" s="1" t="s">
        <v>1774</v>
      </c>
      <c r="N2040" t="s">
        <v>1976</v>
      </c>
      <c r="O2040" t="s">
        <v>2164</v>
      </c>
      <c r="P2040" t="s">
        <v>3102</v>
      </c>
      <c r="Q2040">
        <v>127.4</v>
      </c>
      <c r="R2040" s="1" t="s">
        <v>1839</v>
      </c>
      <c r="S2040">
        <v>856.99</v>
      </c>
      <c r="T2040">
        <v>109181</v>
      </c>
    </row>
    <row r="2041" spans="1:20" hidden="1" x14ac:dyDescent="0.4">
      <c r="A2041" s="1" t="s">
        <v>684</v>
      </c>
      <c r="B2041" s="1" t="s">
        <v>1460</v>
      </c>
      <c r="C2041" s="1" t="s">
        <v>1845</v>
      </c>
      <c r="D2041" s="1" t="s">
        <v>1731</v>
      </c>
      <c r="E2041">
        <v>20251225</v>
      </c>
      <c r="F2041" s="1" t="s">
        <v>1473</v>
      </c>
      <c r="G2041">
        <v>4</v>
      </c>
      <c r="H2041" s="1" t="s">
        <v>1494</v>
      </c>
      <c r="I2041" t="s">
        <v>1874</v>
      </c>
      <c r="J2041" s="1" t="s">
        <v>1453</v>
      </c>
      <c r="K2041" s="1" t="s">
        <v>1601</v>
      </c>
      <c r="L2041" s="1" t="s">
        <v>1718</v>
      </c>
      <c r="M2041" s="1" t="s">
        <v>1774</v>
      </c>
      <c r="N2041" t="s">
        <v>1976</v>
      </c>
      <c r="O2041" t="s">
        <v>2164</v>
      </c>
      <c r="P2041" t="s">
        <v>3102</v>
      </c>
      <c r="Q2041">
        <v>89.9</v>
      </c>
      <c r="R2041" s="1" t="s">
        <v>1839</v>
      </c>
      <c r="S2041">
        <v>856.99</v>
      </c>
      <c r="T2041">
        <v>77044</v>
      </c>
    </row>
    <row r="2042" spans="1:20" hidden="1" x14ac:dyDescent="0.4">
      <c r="A2042" s="1" t="s">
        <v>684</v>
      </c>
      <c r="B2042" s="1" t="s">
        <v>1461</v>
      </c>
      <c r="C2042" s="1" t="s">
        <v>1845</v>
      </c>
      <c r="D2042" s="1" t="s">
        <v>1731</v>
      </c>
      <c r="E2042">
        <v>20251225</v>
      </c>
      <c r="F2042" s="1" t="s">
        <v>1473</v>
      </c>
      <c r="G2042">
        <v>4</v>
      </c>
      <c r="H2042" s="1" t="s">
        <v>1494</v>
      </c>
      <c r="I2042" t="s">
        <v>1874</v>
      </c>
      <c r="J2042" s="1" t="s">
        <v>1453</v>
      </c>
      <c r="K2042" s="1" t="s">
        <v>1601</v>
      </c>
      <c r="L2042" s="1" t="s">
        <v>1718</v>
      </c>
      <c r="M2042" s="1" t="s">
        <v>1774</v>
      </c>
      <c r="N2042" t="s">
        <v>1976</v>
      </c>
      <c r="O2042" t="s">
        <v>2164</v>
      </c>
      <c r="P2042" t="s">
        <v>3102</v>
      </c>
      <c r="Q2042">
        <v>138.32</v>
      </c>
      <c r="R2042" s="1" t="s">
        <v>1839</v>
      </c>
      <c r="S2042">
        <v>856.99</v>
      </c>
      <c r="T2042">
        <v>118540</v>
      </c>
    </row>
    <row r="2043" spans="1:20" hidden="1" x14ac:dyDescent="0.4">
      <c r="A2043" s="1" t="s">
        <v>684</v>
      </c>
      <c r="B2043" s="1" t="s">
        <v>1462</v>
      </c>
      <c r="C2043" s="1" t="s">
        <v>1845</v>
      </c>
      <c r="D2043" s="1" t="s">
        <v>1731</v>
      </c>
      <c r="E2043">
        <v>20251225</v>
      </c>
      <c r="F2043" s="1" t="s">
        <v>1473</v>
      </c>
      <c r="G2043">
        <v>4</v>
      </c>
      <c r="H2043" s="1" t="s">
        <v>1494</v>
      </c>
      <c r="I2043" t="s">
        <v>1874</v>
      </c>
      <c r="J2043" s="1" t="s">
        <v>1453</v>
      </c>
      <c r="K2043" s="1" t="s">
        <v>1601</v>
      </c>
      <c r="L2043" s="1" t="s">
        <v>1718</v>
      </c>
      <c r="M2043" s="1" t="s">
        <v>1774</v>
      </c>
      <c r="N2043" t="s">
        <v>1976</v>
      </c>
      <c r="O2043" t="s">
        <v>2164</v>
      </c>
      <c r="P2043" t="s">
        <v>3102</v>
      </c>
      <c r="Q2043">
        <v>138.32</v>
      </c>
      <c r="R2043" s="1" t="s">
        <v>1839</v>
      </c>
      <c r="S2043">
        <v>856.99</v>
      </c>
      <c r="T2043">
        <v>118540</v>
      </c>
    </row>
    <row r="2044" spans="1:20" hidden="1" x14ac:dyDescent="0.4">
      <c r="A2044" s="1" t="s">
        <v>684</v>
      </c>
      <c r="B2044" s="1" t="s">
        <v>1463</v>
      </c>
      <c r="C2044" s="1" t="s">
        <v>1845</v>
      </c>
      <c r="D2044" s="1" t="s">
        <v>1731</v>
      </c>
      <c r="E2044">
        <v>20251225</v>
      </c>
      <c r="F2044" s="1" t="s">
        <v>1473</v>
      </c>
      <c r="G2044">
        <v>4</v>
      </c>
      <c r="H2044" s="1" t="s">
        <v>1494</v>
      </c>
      <c r="I2044" t="s">
        <v>1874</v>
      </c>
      <c r="J2044" s="1" t="s">
        <v>1453</v>
      </c>
      <c r="K2044" s="1" t="s">
        <v>1601</v>
      </c>
      <c r="L2044" s="1" t="s">
        <v>1718</v>
      </c>
      <c r="M2044" s="1" t="s">
        <v>1774</v>
      </c>
      <c r="N2044" t="s">
        <v>1976</v>
      </c>
      <c r="O2044" t="s">
        <v>2164</v>
      </c>
      <c r="P2044" t="s">
        <v>3102</v>
      </c>
      <c r="Q2044">
        <v>137.59</v>
      </c>
      <c r="R2044" s="1" t="s">
        <v>1839</v>
      </c>
      <c r="S2044">
        <v>856.99</v>
      </c>
      <c r="T2044">
        <v>117914</v>
      </c>
    </row>
    <row r="2045" spans="1:20" hidden="1" x14ac:dyDescent="0.4">
      <c r="A2045" s="1" t="s">
        <v>685</v>
      </c>
      <c r="B2045" s="1" t="s">
        <v>1453</v>
      </c>
      <c r="C2045" s="1" t="s">
        <v>1845</v>
      </c>
      <c r="D2045" s="1" t="s">
        <v>1731</v>
      </c>
      <c r="E2045">
        <v>20251225</v>
      </c>
      <c r="F2045" s="1" t="s">
        <v>1473</v>
      </c>
      <c r="G2045">
        <v>4</v>
      </c>
      <c r="H2045" s="1" t="s">
        <v>1494</v>
      </c>
      <c r="I2045" t="s">
        <v>1874</v>
      </c>
      <c r="J2045" s="1" t="s">
        <v>1453</v>
      </c>
      <c r="K2045" s="1" t="s">
        <v>1601</v>
      </c>
      <c r="L2045" s="1" t="s">
        <v>1718</v>
      </c>
      <c r="M2045" s="1" t="s">
        <v>1763</v>
      </c>
      <c r="N2045" t="s">
        <v>1976</v>
      </c>
      <c r="O2045" t="s">
        <v>2164</v>
      </c>
      <c r="P2045" t="s">
        <v>3101</v>
      </c>
      <c r="Q2045">
        <v>95.55</v>
      </c>
      <c r="R2045" s="1" t="s">
        <v>1839</v>
      </c>
      <c r="S2045">
        <v>856.99</v>
      </c>
      <c r="T2045">
        <v>81886</v>
      </c>
    </row>
    <row r="2046" spans="1:20" hidden="1" x14ac:dyDescent="0.4">
      <c r="A2046" s="1" t="s">
        <v>685</v>
      </c>
      <c r="B2046" s="1" t="s">
        <v>1454</v>
      </c>
      <c r="C2046" s="1" t="s">
        <v>1845</v>
      </c>
      <c r="D2046" s="1" t="s">
        <v>1731</v>
      </c>
      <c r="E2046">
        <v>20251225</v>
      </c>
      <c r="F2046" s="1" t="s">
        <v>1473</v>
      </c>
      <c r="G2046">
        <v>4</v>
      </c>
      <c r="H2046" s="1" t="s">
        <v>1494</v>
      </c>
      <c r="I2046" t="s">
        <v>1874</v>
      </c>
      <c r="J2046" s="1" t="s">
        <v>1453</v>
      </c>
      <c r="K2046" s="1" t="s">
        <v>1601</v>
      </c>
      <c r="L2046" s="1" t="s">
        <v>1718</v>
      </c>
      <c r="M2046" s="1" t="s">
        <v>1763</v>
      </c>
      <c r="N2046" t="s">
        <v>1976</v>
      </c>
      <c r="O2046" t="s">
        <v>2164</v>
      </c>
      <c r="P2046" t="s">
        <v>3101</v>
      </c>
      <c r="Q2046">
        <v>95.55</v>
      </c>
      <c r="R2046" s="1" t="s">
        <v>1839</v>
      </c>
      <c r="S2046">
        <v>856.99</v>
      </c>
      <c r="T2046">
        <v>81886</v>
      </c>
    </row>
    <row r="2047" spans="1:20" hidden="1" x14ac:dyDescent="0.4">
      <c r="A2047" s="1" t="s">
        <v>685</v>
      </c>
      <c r="B2047" s="1" t="s">
        <v>1455</v>
      </c>
      <c r="C2047" s="1" t="s">
        <v>1845</v>
      </c>
      <c r="D2047" s="1" t="s">
        <v>1731</v>
      </c>
      <c r="E2047">
        <v>20251225</v>
      </c>
      <c r="F2047" s="1" t="s">
        <v>1473</v>
      </c>
      <c r="G2047">
        <v>4</v>
      </c>
      <c r="H2047" s="1" t="s">
        <v>1494</v>
      </c>
      <c r="I2047" t="s">
        <v>1874</v>
      </c>
      <c r="J2047" s="1" t="s">
        <v>1453</v>
      </c>
      <c r="K2047" s="1" t="s">
        <v>1601</v>
      </c>
      <c r="L2047" s="1" t="s">
        <v>1718</v>
      </c>
      <c r="M2047" s="1" t="s">
        <v>1763</v>
      </c>
      <c r="N2047" t="s">
        <v>1976</v>
      </c>
      <c r="O2047" t="s">
        <v>2164</v>
      </c>
      <c r="P2047" t="s">
        <v>3101</v>
      </c>
      <c r="Q2047">
        <v>95.55</v>
      </c>
      <c r="R2047" s="1" t="s">
        <v>1839</v>
      </c>
      <c r="S2047">
        <v>856.99</v>
      </c>
      <c r="T2047">
        <v>81886</v>
      </c>
    </row>
    <row r="2048" spans="1:20" hidden="1" x14ac:dyDescent="0.4">
      <c r="A2048" s="1" t="s">
        <v>685</v>
      </c>
      <c r="B2048" s="1" t="s">
        <v>1456</v>
      </c>
      <c r="C2048" s="1" t="s">
        <v>1845</v>
      </c>
      <c r="D2048" s="1" t="s">
        <v>1731</v>
      </c>
      <c r="E2048">
        <v>20251225</v>
      </c>
      <c r="F2048" s="1" t="s">
        <v>1473</v>
      </c>
      <c r="G2048">
        <v>4</v>
      </c>
      <c r="H2048" s="1" t="s">
        <v>1494</v>
      </c>
      <c r="I2048" t="s">
        <v>1874</v>
      </c>
      <c r="J2048" s="1" t="s">
        <v>1453</v>
      </c>
      <c r="K2048" s="1" t="s">
        <v>1601</v>
      </c>
      <c r="L2048" s="1" t="s">
        <v>1718</v>
      </c>
      <c r="M2048" s="1" t="s">
        <v>1763</v>
      </c>
      <c r="N2048" t="s">
        <v>1976</v>
      </c>
      <c r="O2048" t="s">
        <v>2164</v>
      </c>
      <c r="P2048" t="s">
        <v>3101</v>
      </c>
      <c r="Q2048">
        <v>95.55</v>
      </c>
      <c r="R2048" s="1" t="s">
        <v>1839</v>
      </c>
      <c r="S2048">
        <v>856.99</v>
      </c>
      <c r="T2048">
        <v>81886</v>
      </c>
    </row>
    <row r="2049" spans="1:20" hidden="1" x14ac:dyDescent="0.4">
      <c r="A2049" s="1" t="s">
        <v>685</v>
      </c>
      <c r="B2049" s="1" t="s">
        <v>1457</v>
      </c>
      <c r="C2049" s="1" t="s">
        <v>1845</v>
      </c>
      <c r="D2049" s="1" t="s">
        <v>1731</v>
      </c>
      <c r="E2049">
        <v>20251225</v>
      </c>
      <c r="F2049" s="1" t="s">
        <v>1473</v>
      </c>
      <c r="G2049">
        <v>4</v>
      </c>
      <c r="H2049" s="1" t="s">
        <v>1494</v>
      </c>
      <c r="I2049" t="s">
        <v>1874</v>
      </c>
      <c r="J2049" s="1" t="s">
        <v>1453</v>
      </c>
      <c r="K2049" s="1" t="s">
        <v>1601</v>
      </c>
      <c r="L2049" s="1" t="s">
        <v>1718</v>
      </c>
      <c r="M2049" s="1" t="s">
        <v>1763</v>
      </c>
      <c r="N2049" t="s">
        <v>1976</v>
      </c>
      <c r="O2049" t="s">
        <v>2164</v>
      </c>
      <c r="P2049" t="s">
        <v>3101</v>
      </c>
      <c r="Q2049">
        <v>95.55</v>
      </c>
      <c r="R2049" s="1" t="s">
        <v>1839</v>
      </c>
      <c r="S2049">
        <v>856.99</v>
      </c>
      <c r="T2049">
        <v>81886</v>
      </c>
    </row>
    <row r="2050" spans="1:20" hidden="1" x14ac:dyDescent="0.4">
      <c r="A2050" s="1" t="s">
        <v>685</v>
      </c>
      <c r="B2050" s="1" t="s">
        <v>1458</v>
      </c>
      <c r="C2050" s="1" t="s">
        <v>1845</v>
      </c>
      <c r="D2050" s="1" t="s">
        <v>1731</v>
      </c>
      <c r="E2050">
        <v>20251225</v>
      </c>
      <c r="F2050" s="1" t="s">
        <v>1473</v>
      </c>
      <c r="G2050">
        <v>4</v>
      </c>
      <c r="H2050" s="1" t="s">
        <v>1494</v>
      </c>
      <c r="I2050" t="s">
        <v>1874</v>
      </c>
      <c r="J2050" s="1" t="s">
        <v>1453</v>
      </c>
      <c r="K2050" s="1" t="s">
        <v>1601</v>
      </c>
      <c r="L2050" s="1" t="s">
        <v>1718</v>
      </c>
      <c r="M2050" s="1" t="s">
        <v>1763</v>
      </c>
      <c r="N2050" t="s">
        <v>1976</v>
      </c>
      <c r="O2050" t="s">
        <v>2164</v>
      </c>
      <c r="P2050" t="s">
        <v>3101</v>
      </c>
      <c r="Q2050">
        <v>95.55</v>
      </c>
      <c r="R2050" s="1" t="s">
        <v>1839</v>
      </c>
      <c r="S2050">
        <v>856.99</v>
      </c>
      <c r="T2050">
        <v>81886</v>
      </c>
    </row>
    <row r="2051" spans="1:20" hidden="1" x14ac:dyDescent="0.4">
      <c r="A2051" s="1" t="s">
        <v>685</v>
      </c>
      <c r="B2051" s="1" t="s">
        <v>1459</v>
      </c>
      <c r="C2051" s="1" t="s">
        <v>1845</v>
      </c>
      <c r="D2051" s="1" t="s">
        <v>1731</v>
      </c>
      <c r="E2051">
        <v>20251225</v>
      </c>
      <c r="F2051" s="1" t="s">
        <v>1473</v>
      </c>
      <c r="G2051">
        <v>4</v>
      </c>
      <c r="H2051" s="1" t="s">
        <v>1494</v>
      </c>
      <c r="I2051" t="s">
        <v>1874</v>
      </c>
      <c r="J2051" s="1" t="s">
        <v>1453</v>
      </c>
      <c r="K2051" s="1" t="s">
        <v>1601</v>
      </c>
      <c r="L2051" s="1" t="s">
        <v>1718</v>
      </c>
      <c r="M2051" s="1" t="s">
        <v>1763</v>
      </c>
      <c r="N2051" t="s">
        <v>1976</v>
      </c>
      <c r="O2051" t="s">
        <v>2164</v>
      </c>
      <c r="P2051" t="s">
        <v>3101</v>
      </c>
      <c r="Q2051">
        <v>73.709999999999994</v>
      </c>
      <c r="R2051" s="1" t="s">
        <v>1839</v>
      </c>
      <c r="S2051">
        <v>856.99</v>
      </c>
      <c r="T2051">
        <v>63169</v>
      </c>
    </row>
    <row r="2052" spans="1:20" hidden="1" x14ac:dyDescent="0.4">
      <c r="A2052" s="1" t="s">
        <v>685</v>
      </c>
      <c r="B2052" s="1" t="s">
        <v>1460</v>
      </c>
      <c r="C2052" s="1" t="s">
        <v>1845</v>
      </c>
      <c r="D2052" s="1" t="s">
        <v>1731</v>
      </c>
      <c r="E2052">
        <v>20251225</v>
      </c>
      <c r="F2052" s="1" t="s">
        <v>1473</v>
      </c>
      <c r="G2052">
        <v>4</v>
      </c>
      <c r="H2052" s="1" t="s">
        <v>1494</v>
      </c>
      <c r="I2052" t="s">
        <v>1874</v>
      </c>
      <c r="J2052" s="1" t="s">
        <v>1453</v>
      </c>
      <c r="K2052" s="1" t="s">
        <v>1601</v>
      </c>
      <c r="L2052" s="1" t="s">
        <v>1718</v>
      </c>
      <c r="M2052" s="1" t="s">
        <v>1763</v>
      </c>
      <c r="N2052" t="s">
        <v>1976</v>
      </c>
      <c r="O2052" t="s">
        <v>2164</v>
      </c>
      <c r="P2052" t="s">
        <v>3101</v>
      </c>
      <c r="Q2052">
        <v>95.55</v>
      </c>
      <c r="R2052" s="1" t="s">
        <v>1839</v>
      </c>
      <c r="S2052">
        <v>856.99</v>
      </c>
      <c r="T2052">
        <v>81886</v>
      </c>
    </row>
    <row r="2053" spans="1:20" hidden="1" x14ac:dyDescent="0.4">
      <c r="A2053" s="1" t="s">
        <v>685</v>
      </c>
      <c r="B2053" s="1" t="s">
        <v>1461</v>
      </c>
      <c r="C2053" s="1" t="s">
        <v>1845</v>
      </c>
      <c r="D2053" s="1" t="s">
        <v>1731</v>
      </c>
      <c r="E2053">
        <v>20251225</v>
      </c>
      <c r="F2053" s="1" t="s">
        <v>1473</v>
      </c>
      <c r="G2053">
        <v>4</v>
      </c>
      <c r="H2053" s="1" t="s">
        <v>1494</v>
      </c>
      <c r="I2053" t="s">
        <v>1874</v>
      </c>
      <c r="J2053" s="1" t="s">
        <v>1453</v>
      </c>
      <c r="K2053" s="1" t="s">
        <v>1601</v>
      </c>
      <c r="L2053" s="1" t="s">
        <v>1718</v>
      </c>
      <c r="M2053" s="1" t="s">
        <v>1763</v>
      </c>
      <c r="N2053" t="s">
        <v>1976</v>
      </c>
      <c r="O2053" t="s">
        <v>2164</v>
      </c>
      <c r="P2053" t="s">
        <v>3101</v>
      </c>
      <c r="Q2053">
        <v>95.55</v>
      </c>
      <c r="R2053" s="1" t="s">
        <v>1839</v>
      </c>
      <c r="S2053">
        <v>856.99</v>
      </c>
      <c r="T2053">
        <v>81886</v>
      </c>
    </row>
    <row r="2054" spans="1:20" hidden="1" x14ac:dyDescent="0.4">
      <c r="A2054" s="1" t="s">
        <v>685</v>
      </c>
      <c r="B2054" s="1" t="s">
        <v>1462</v>
      </c>
      <c r="C2054" s="1" t="s">
        <v>1845</v>
      </c>
      <c r="D2054" s="1" t="s">
        <v>1731</v>
      </c>
      <c r="E2054">
        <v>20251225</v>
      </c>
      <c r="F2054" s="1" t="s">
        <v>1473</v>
      </c>
      <c r="G2054">
        <v>4</v>
      </c>
      <c r="H2054" s="1" t="s">
        <v>1494</v>
      </c>
      <c r="I2054" t="s">
        <v>1874</v>
      </c>
      <c r="J2054" s="1" t="s">
        <v>1453</v>
      </c>
      <c r="K2054" s="1" t="s">
        <v>1601</v>
      </c>
      <c r="L2054" s="1" t="s">
        <v>1718</v>
      </c>
      <c r="M2054" s="1" t="s">
        <v>1763</v>
      </c>
      <c r="N2054" t="s">
        <v>1976</v>
      </c>
      <c r="O2054" t="s">
        <v>2164</v>
      </c>
      <c r="P2054" t="s">
        <v>3101</v>
      </c>
      <c r="Q2054">
        <v>95.55</v>
      </c>
      <c r="R2054" s="1" t="s">
        <v>1839</v>
      </c>
      <c r="S2054">
        <v>856.99</v>
      </c>
      <c r="T2054">
        <v>81886</v>
      </c>
    </row>
    <row r="2055" spans="1:20" hidden="1" x14ac:dyDescent="0.4">
      <c r="A2055" s="1" t="s">
        <v>685</v>
      </c>
      <c r="B2055" s="1" t="s">
        <v>1463</v>
      </c>
      <c r="C2055" s="1" t="s">
        <v>1845</v>
      </c>
      <c r="D2055" s="1" t="s">
        <v>1731</v>
      </c>
      <c r="E2055">
        <v>20251225</v>
      </c>
      <c r="F2055" s="1" t="s">
        <v>1473</v>
      </c>
      <c r="G2055">
        <v>4</v>
      </c>
      <c r="H2055" s="1" t="s">
        <v>1494</v>
      </c>
      <c r="I2055" t="s">
        <v>1874</v>
      </c>
      <c r="J2055" s="1" t="s">
        <v>1453</v>
      </c>
      <c r="K2055" s="1" t="s">
        <v>1601</v>
      </c>
      <c r="L2055" s="1" t="s">
        <v>1718</v>
      </c>
      <c r="M2055" s="1" t="s">
        <v>1763</v>
      </c>
      <c r="N2055" t="s">
        <v>1976</v>
      </c>
      <c r="O2055" t="s">
        <v>2164</v>
      </c>
      <c r="P2055" t="s">
        <v>3101</v>
      </c>
      <c r="Q2055">
        <v>95.55</v>
      </c>
      <c r="R2055" s="1" t="s">
        <v>1839</v>
      </c>
      <c r="S2055">
        <v>856.99</v>
      </c>
      <c r="T2055">
        <v>81886</v>
      </c>
    </row>
    <row r="2056" spans="1:20" hidden="1" x14ac:dyDescent="0.4">
      <c r="A2056" s="1" t="s">
        <v>686</v>
      </c>
      <c r="B2056" s="1" t="s">
        <v>1453</v>
      </c>
      <c r="C2056" s="1" t="s">
        <v>1845</v>
      </c>
      <c r="D2056" s="1" t="s">
        <v>1731</v>
      </c>
      <c r="E2056">
        <v>20251225</v>
      </c>
      <c r="F2056" s="1" t="s">
        <v>1473</v>
      </c>
      <c r="G2056">
        <v>4</v>
      </c>
      <c r="H2056" s="1" t="s">
        <v>1494</v>
      </c>
      <c r="I2056" t="s">
        <v>1874</v>
      </c>
      <c r="J2056" s="1" t="s">
        <v>1453</v>
      </c>
      <c r="K2056" s="1" t="s">
        <v>1601</v>
      </c>
      <c r="L2056" s="1" t="s">
        <v>1718</v>
      </c>
      <c r="M2056" s="1" t="s">
        <v>1763</v>
      </c>
      <c r="N2056" t="s">
        <v>1976</v>
      </c>
      <c r="O2056" t="s">
        <v>2164</v>
      </c>
      <c r="P2056" t="s">
        <v>3101</v>
      </c>
      <c r="Q2056">
        <v>73.16</v>
      </c>
      <c r="R2056" s="1" t="s">
        <v>1839</v>
      </c>
      <c r="S2056">
        <v>856.99</v>
      </c>
      <c r="T2056">
        <v>62698</v>
      </c>
    </row>
    <row r="2057" spans="1:20" hidden="1" x14ac:dyDescent="0.4">
      <c r="A2057" s="1" t="s">
        <v>687</v>
      </c>
      <c r="B2057" s="1" t="s">
        <v>1453</v>
      </c>
      <c r="C2057" s="1" t="s">
        <v>1845</v>
      </c>
      <c r="D2057" s="1" t="s">
        <v>1462</v>
      </c>
      <c r="E2057">
        <v>20251225</v>
      </c>
      <c r="F2057" s="1" t="s">
        <v>1474</v>
      </c>
      <c r="G2057">
        <v>4</v>
      </c>
      <c r="H2057" s="1" t="s">
        <v>1501</v>
      </c>
      <c r="I2057" t="s">
        <v>1881</v>
      </c>
      <c r="J2057" s="1" t="s">
        <v>1455</v>
      </c>
      <c r="K2057" s="1" t="s">
        <v>1665</v>
      </c>
      <c r="L2057" s="1" t="s">
        <v>1720</v>
      </c>
      <c r="M2057" s="1" t="s">
        <v>1762</v>
      </c>
      <c r="N2057" t="s">
        <v>2053</v>
      </c>
      <c r="O2057" t="s">
        <v>2166</v>
      </c>
      <c r="P2057" t="s">
        <v>3172</v>
      </c>
      <c r="Q2057">
        <v>2693.14</v>
      </c>
      <c r="R2057" s="1" t="s">
        <v>1839</v>
      </c>
      <c r="S2057">
        <v>1194.24</v>
      </c>
      <c r="T2057">
        <v>3216255</v>
      </c>
    </row>
    <row r="2058" spans="1:20" hidden="1" x14ac:dyDescent="0.4">
      <c r="A2058" s="1" t="s">
        <v>687</v>
      </c>
      <c r="B2058" s="1" t="s">
        <v>1454</v>
      </c>
      <c r="C2058" s="1" t="s">
        <v>1845</v>
      </c>
      <c r="D2058" s="1" t="s">
        <v>1462</v>
      </c>
      <c r="E2058">
        <v>20251225</v>
      </c>
      <c r="F2058" s="1" t="s">
        <v>1474</v>
      </c>
      <c r="G2058">
        <v>4</v>
      </c>
      <c r="H2058" s="1" t="s">
        <v>1501</v>
      </c>
      <c r="I2058" t="s">
        <v>1881</v>
      </c>
      <c r="J2058" s="1" t="s">
        <v>1455</v>
      </c>
      <c r="K2058" s="1" t="s">
        <v>1665</v>
      </c>
      <c r="L2058" s="1" t="s">
        <v>1720</v>
      </c>
      <c r="M2058" s="1" t="s">
        <v>1762</v>
      </c>
      <c r="N2058" t="s">
        <v>2053</v>
      </c>
      <c r="O2058" t="s">
        <v>2166</v>
      </c>
      <c r="P2058" t="s">
        <v>3172</v>
      </c>
      <c r="Q2058">
        <v>729</v>
      </c>
      <c r="R2058" s="1" t="s">
        <v>1839</v>
      </c>
      <c r="S2058">
        <v>1194.24</v>
      </c>
      <c r="T2058">
        <v>870600</v>
      </c>
    </row>
    <row r="2059" spans="1:20" hidden="1" x14ac:dyDescent="0.4">
      <c r="A2059" s="1" t="s">
        <v>687</v>
      </c>
      <c r="B2059" s="1" t="s">
        <v>1455</v>
      </c>
      <c r="C2059" s="1" t="s">
        <v>1845</v>
      </c>
      <c r="D2059" s="1" t="s">
        <v>1462</v>
      </c>
      <c r="E2059">
        <v>20251225</v>
      </c>
      <c r="F2059" s="1" t="s">
        <v>1474</v>
      </c>
      <c r="G2059">
        <v>4</v>
      </c>
      <c r="H2059" s="1" t="s">
        <v>1501</v>
      </c>
      <c r="I2059" t="s">
        <v>1881</v>
      </c>
      <c r="J2059" s="1" t="s">
        <v>1455</v>
      </c>
      <c r="K2059" s="1" t="s">
        <v>1665</v>
      </c>
      <c r="L2059" s="1" t="s">
        <v>1720</v>
      </c>
      <c r="M2059" s="1" t="s">
        <v>1762</v>
      </c>
      <c r="N2059" t="s">
        <v>2053</v>
      </c>
      <c r="O2059" t="s">
        <v>2166</v>
      </c>
      <c r="P2059" t="s">
        <v>3172</v>
      </c>
      <c r="Q2059">
        <v>491.03</v>
      </c>
      <c r="R2059" s="1" t="s">
        <v>1839</v>
      </c>
      <c r="S2059">
        <v>1194.24</v>
      </c>
      <c r="T2059">
        <v>586407</v>
      </c>
    </row>
    <row r="2060" spans="1:20" hidden="1" x14ac:dyDescent="0.4">
      <c r="A2060" s="1" t="s">
        <v>687</v>
      </c>
      <c r="B2060" s="1" t="s">
        <v>1456</v>
      </c>
      <c r="C2060" s="1" t="s">
        <v>1845</v>
      </c>
      <c r="D2060" s="1" t="s">
        <v>1462</v>
      </c>
      <c r="E2060">
        <v>20251225</v>
      </c>
      <c r="F2060" s="1" t="s">
        <v>1474</v>
      </c>
      <c r="G2060">
        <v>4</v>
      </c>
      <c r="H2060" s="1" t="s">
        <v>1501</v>
      </c>
      <c r="I2060" t="s">
        <v>1881</v>
      </c>
      <c r="J2060" s="1" t="s">
        <v>1455</v>
      </c>
      <c r="K2060" s="1" t="s">
        <v>1665</v>
      </c>
      <c r="L2060" s="1" t="s">
        <v>1720</v>
      </c>
      <c r="M2060" s="1" t="s">
        <v>1762</v>
      </c>
      <c r="N2060" t="s">
        <v>2053</v>
      </c>
      <c r="O2060" t="s">
        <v>2166</v>
      </c>
      <c r="P2060" t="s">
        <v>3172</v>
      </c>
      <c r="Q2060">
        <v>800.94</v>
      </c>
      <c r="R2060" s="1" t="s">
        <v>1839</v>
      </c>
      <c r="S2060">
        <v>1194.24</v>
      </c>
      <c r="T2060">
        <v>956514</v>
      </c>
    </row>
    <row r="2061" spans="1:20" hidden="1" x14ac:dyDescent="0.4">
      <c r="A2061" s="1" t="s">
        <v>687</v>
      </c>
      <c r="B2061" s="1" t="s">
        <v>1457</v>
      </c>
      <c r="C2061" s="1" t="s">
        <v>1845</v>
      </c>
      <c r="D2061" s="1" t="s">
        <v>1462</v>
      </c>
      <c r="E2061">
        <v>20251225</v>
      </c>
      <c r="F2061" s="1" t="s">
        <v>1474</v>
      </c>
      <c r="G2061">
        <v>4</v>
      </c>
      <c r="H2061" s="1" t="s">
        <v>1501</v>
      </c>
      <c r="I2061" t="s">
        <v>1881</v>
      </c>
      <c r="J2061" s="1" t="s">
        <v>1455</v>
      </c>
      <c r="K2061" s="1" t="s">
        <v>1665</v>
      </c>
      <c r="L2061" s="1" t="s">
        <v>1720</v>
      </c>
      <c r="M2061" s="1" t="s">
        <v>1762</v>
      </c>
      <c r="N2061" t="s">
        <v>2053</v>
      </c>
      <c r="O2061" t="s">
        <v>2166</v>
      </c>
      <c r="P2061" t="s">
        <v>3172</v>
      </c>
      <c r="Q2061">
        <v>586.82000000000005</v>
      </c>
      <c r="R2061" s="1" t="s">
        <v>1842</v>
      </c>
      <c r="S2061">
        <v>1194.24</v>
      </c>
      <c r="T2061">
        <v>700803</v>
      </c>
    </row>
    <row r="2062" spans="1:20" hidden="1" x14ac:dyDescent="0.4">
      <c r="A2062" s="1" t="s">
        <v>687</v>
      </c>
      <c r="B2062" s="1" t="s">
        <v>1458</v>
      </c>
      <c r="C2062" s="1" t="s">
        <v>1845</v>
      </c>
      <c r="D2062" s="1" t="s">
        <v>1462</v>
      </c>
      <c r="E2062">
        <v>20251225</v>
      </c>
      <c r="F2062" s="1" t="s">
        <v>1474</v>
      </c>
      <c r="G2062">
        <v>4</v>
      </c>
      <c r="H2062" s="1" t="s">
        <v>1501</v>
      </c>
      <c r="I2062" t="s">
        <v>1881</v>
      </c>
      <c r="J2062" s="1" t="s">
        <v>1455</v>
      </c>
      <c r="K2062" s="1" t="s">
        <v>1665</v>
      </c>
      <c r="L2062" s="1" t="s">
        <v>1720</v>
      </c>
      <c r="M2062" s="1" t="s">
        <v>1762</v>
      </c>
      <c r="N2062" t="s">
        <v>2053</v>
      </c>
      <c r="O2062" t="s">
        <v>2166</v>
      </c>
      <c r="P2062" t="s">
        <v>3172</v>
      </c>
      <c r="Q2062">
        <v>746.69</v>
      </c>
      <c r="R2062" s="1" t="s">
        <v>1839</v>
      </c>
      <c r="S2062">
        <v>1194.25</v>
      </c>
      <c r="T2062">
        <v>891734</v>
      </c>
    </row>
    <row r="2063" spans="1:20" hidden="1" x14ac:dyDescent="0.4">
      <c r="A2063" s="1" t="s">
        <v>688</v>
      </c>
      <c r="B2063" s="1" t="s">
        <v>1453</v>
      </c>
      <c r="C2063" s="1" t="s">
        <v>1845</v>
      </c>
      <c r="D2063" s="1" t="s">
        <v>1731</v>
      </c>
      <c r="E2063">
        <v>20251225</v>
      </c>
      <c r="F2063" s="1" t="s">
        <v>1473</v>
      </c>
      <c r="G2063">
        <v>4</v>
      </c>
      <c r="H2063" s="1" t="s">
        <v>1494</v>
      </c>
      <c r="I2063" t="s">
        <v>1874</v>
      </c>
      <c r="J2063" s="1" t="s">
        <v>1453</v>
      </c>
      <c r="K2063" s="1" t="s">
        <v>1601</v>
      </c>
      <c r="L2063" s="1" t="s">
        <v>1718</v>
      </c>
      <c r="M2063" s="1" t="s">
        <v>1774</v>
      </c>
      <c r="N2063" t="s">
        <v>1976</v>
      </c>
      <c r="O2063" t="s">
        <v>2164</v>
      </c>
      <c r="P2063" t="s">
        <v>3102</v>
      </c>
      <c r="Q2063">
        <v>95.55</v>
      </c>
      <c r="R2063" s="1" t="s">
        <v>1839</v>
      </c>
      <c r="S2063">
        <v>856.99</v>
      </c>
      <c r="T2063">
        <v>81886</v>
      </c>
    </row>
    <row r="2064" spans="1:20" hidden="1" x14ac:dyDescent="0.4">
      <c r="A2064" s="1" t="s">
        <v>688</v>
      </c>
      <c r="B2064" s="1" t="s">
        <v>1454</v>
      </c>
      <c r="C2064" s="1" t="s">
        <v>1845</v>
      </c>
      <c r="D2064" s="1" t="s">
        <v>1731</v>
      </c>
      <c r="E2064">
        <v>20251225</v>
      </c>
      <c r="F2064" s="1" t="s">
        <v>1473</v>
      </c>
      <c r="G2064">
        <v>4</v>
      </c>
      <c r="H2064" s="1" t="s">
        <v>1494</v>
      </c>
      <c r="I2064" t="s">
        <v>1874</v>
      </c>
      <c r="J2064" s="1" t="s">
        <v>1453</v>
      </c>
      <c r="K2064" s="1" t="s">
        <v>1601</v>
      </c>
      <c r="L2064" s="1" t="s">
        <v>1718</v>
      </c>
      <c r="M2064" s="1" t="s">
        <v>1774</v>
      </c>
      <c r="N2064" t="s">
        <v>1976</v>
      </c>
      <c r="O2064" t="s">
        <v>2164</v>
      </c>
      <c r="P2064" t="s">
        <v>3102</v>
      </c>
      <c r="Q2064">
        <v>95.55</v>
      </c>
      <c r="R2064" s="1" t="s">
        <v>1839</v>
      </c>
      <c r="S2064">
        <v>856.99</v>
      </c>
      <c r="T2064">
        <v>81886</v>
      </c>
    </row>
    <row r="2065" spans="1:20" hidden="1" x14ac:dyDescent="0.4">
      <c r="A2065" s="1" t="s">
        <v>688</v>
      </c>
      <c r="B2065" s="1" t="s">
        <v>1455</v>
      </c>
      <c r="C2065" s="1" t="s">
        <v>1845</v>
      </c>
      <c r="D2065" s="1" t="s">
        <v>1731</v>
      </c>
      <c r="E2065">
        <v>20251225</v>
      </c>
      <c r="F2065" s="1" t="s">
        <v>1473</v>
      </c>
      <c r="G2065">
        <v>4</v>
      </c>
      <c r="H2065" s="1" t="s">
        <v>1494</v>
      </c>
      <c r="I2065" t="s">
        <v>1874</v>
      </c>
      <c r="J2065" s="1" t="s">
        <v>1453</v>
      </c>
      <c r="K2065" s="1" t="s">
        <v>1601</v>
      </c>
      <c r="L2065" s="1" t="s">
        <v>1718</v>
      </c>
      <c r="M2065" s="1" t="s">
        <v>1774</v>
      </c>
      <c r="N2065" t="s">
        <v>1976</v>
      </c>
      <c r="O2065" t="s">
        <v>2164</v>
      </c>
      <c r="P2065" t="s">
        <v>3102</v>
      </c>
      <c r="Q2065">
        <v>95.55</v>
      </c>
      <c r="R2065" s="1" t="s">
        <v>1839</v>
      </c>
      <c r="S2065">
        <v>856.99</v>
      </c>
      <c r="T2065">
        <v>81886</v>
      </c>
    </row>
    <row r="2066" spans="1:20" hidden="1" x14ac:dyDescent="0.4">
      <c r="A2066" s="1" t="s">
        <v>688</v>
      </c>
      <c r="B2066" s="1" t="s">
        <v>1456</v>
      </c>
      <c r="C2066" s="1" t="s">
        <v>1845</v>
      </c>
      <c r="D2066" s="1" t="s">
        <v>1731</v>
      </c>
      <c r="E2066">
        <v>20251225</v>
      </c>
      <c r="F2066" s="1" t="s">
        <v>1473</v>
      </c>
      <c r="G2066">
        <v>4</v>
      </c>
      <c r="H2066" s="1" t="s">
        <v>1494</v>
      </c>
      <c r="I2066" t="s">
        <v>1874</v>
      </c>
      <c r="J2066" s="1" t="s">
        <v>1453</v>
      </c>
      <c r="K2066" s="1" t="s">
        <v>1601</v>
      </c>
      <c r="L2066" s="1" t="s">
        <v>1718</v>
      </c>
      <c r="M2066" s="1" t="s">
        <v>1774</v>
      </c>
      <c r="N2066" t="s">
        <v>1976</v>
      </c>
      <c r="O2066" t="s">
        <v>2164</v>
      </c>
      <c r="P2066" t="s">
        <v>3102</v>
      </c>
      <c r="Q2066">
        <v>95.55</v>
      </c>
      <c r="R2066" s="1" t="s">
        <v>1839</v>
      </c>
      <c r="S2066">
        <v>856.99</v>
      </c>
      <c r="T2066">
        <v>81886</v>
      </c>
    </row>
    <row r="2067" spans="1:20" hidden="1" x14ac:dyDescent="0.4">
      <c r="A2067" s="1" t="s">
        <v>688</v>
      </c>
      <c r="B2067" s="1" t="s">
        <v>1457</v>
      </c>
      <c r="C2067" s="1" t="s">
        <v>1845</v>
      </c>
      <c r="D2067" s="1" t="s">
        <v>1731</v>
      </c>
      <c r="E2067">
        <v>20251225</v>
      </c>
      <c r="F2067" s="1" t="s">
        <v>1473</v>
      </c>
      <c r="G2067">
        <v>4</v>
      </c>
      <c r="H2067" s="1" t="s">
        <v>1494</v>
      </c>
      <c r="I2067" t="s">
        <v>1874</v>
      </c>
      <c r="J2067" s="1" t="s">
        <v>1453</v>
      </c>
      <c r="K2067" s="1" t="s">
        <v>1601</v>
      </c>
      <c r="L2067" s="1" t="s">
        <v>1718</v>
      </c>
      <c r="M2067" s="1" t="s">
        <v>1774</v>
      </c>
      <c r="N2067" t="s">
        <v>1976</v>
      </c>
      <c r="O2067" t="s">
        <v>2164</v>
      </c>
      <c r="P2067" t="s">
        <v>3102</v>
      </c>
      <c r="Q2067">
        <v>95.55</v>
      </c>
      <c r="R2067" s="1" t="s">
        <v>1839</v>
      </c>
      <c r="S2067">
        <v>856.99</v>
      </c>
      <c r="T2067">
        <v>81886</v>
      </c>
    </row>
    <row r="2068" spans="1:20" hidden="1" x14ac:dyDescent="0.4">
      <c r="A2068" s="1" t="s">
        <v>688</v>
      </c>
      <c r="B2068" s="1" t="s">
        <v>1458</v>
      </c>
      <c r="C2068" s="1" t="s">
        <v>1845</v>
      </c>
      <c r="D2068" s="1" t="s">
        <v>1731</v>
      </c>
      <c r="E2068">
        <v>20251225</v>
      </c>
      <c r="F2068" s="1" t="s">
        <v>1473</v>
      </c>
      <c r="G2068">
        <v>4</v>
      </c>
      <c r="H2068" s="1" t="s">
        <v>1494</v>
      </c>
      <c r="I2068" t="s">
        <v>1874</v>
      </c>
      <c r="J2068" s="1" t="s">
        <v>1453</v>
      </c>
      <c r="K2068" s="1" t="s">
        <v>1601</v>
      </c>
      <c r="L2068" s="1" t="s">
        <v>1718</v>
      </c>
      <c r="M2068" s="1" t="s">
        <v>1774</v>
      </c>
      <c r="N2068" t="s">
        <v>1976</v>
      </c>
      <c r="O2068" t="s">
        <v>2164</v>
      </c>
      <c r="P2068" t="s">
        <v>3102</v>
      </c>
      <c r="Q2068">
        <v>70.7</v>
      </c>
      <c r="R2068" s="1" t="s">
        <v>1839</v>
      </c>
      <c r="S2068">
        <v>856.98</v>
      </c>
      <c r="T2068">
        <v>60589</v>
      </c>
    </row>
    <row r="2069" spans="1:20" hidden="1" x14ac:dyDescent="0.4">
      <c r="A2069" s="1" t="s">
        <v>689</v>
      </c>
      <c r="B2069" s="1" t="s">
        <v>1453</v>
      </c>
      <c r="C2069" s="1" t="s">
        <v>1845</v>
      </c>
      <c r="D2069" s="1" t="s">
        <v>1850</v>
      </c>
      <c r="E2069">
        <v>20251208</v>
      </c>
      <c r="F2069" s="1" t="s">
        <v>1470</v>
      </c>
      <c r="G2069">
        <v>1</v>
      </c>
      <c r="H2069" s="1" t="s">
        <v>1499</v>
      </c>
      <c r="I2069" t="s">
        <v>1879</v>
      </c>
      <c r="J2069" s="1" t="s">
        <v>1456</v>
      </c>
      <c r="K2069" s="1" t="s">
        <v>1561</v>
      </c>
      <c r="L2069" s="1" t="s">
        <v>1716</v>
      </c>
      <c r="M2069" s="1" t="s">
        <v>1778</v>
      </c>
      <c r="N2069" t="s">
        <v>1954</v>
      </c>
      <c r="O2069" t="s">
        <v>2162</v>
      </c>
      <c r="P2069" t="s">
        <v>3054</v>
      </c>
      <c r="Q2069">
        <v>-10</v>
      </c>
      <c r="R2069" s="1" t="s">
        <v>1463</v>
      </c>
      <c r="S2069">
        <v>1845</v>
      </c>
      <c r="T2069">
        <v>-18450</v>
      </c>
    </row>
    <row r="2070" spans="1:20" hidden="1" x14ac:dyDescent="0.4">
      <c r="A2070" s="1" t="s">
        <v>690</v>
      </c>
      <c r="B2070" s="1" t="s">
        <v>1453</v>
      </c>
      <c r="C2070" s="1" t="s">
        <v>1845</v>
      </c>
      <c r="D2070" s="1" t="s">
        <v>1731</v>
      </c>
      <c r="E2070">
        <v>20251226</v>
      </c>
      <c r="F2070" s="1" t="s">
        <v>1472</v>
      </c>
      <c r="G2070">
        <v>4</v>
      </c>
      <c r="H2070" s="1" t="s">
        <v>1494</v>
      </c>
      <c r="I2070" t="s">
        <v>1874</v>
      </c>
      <c r="J2070" s="1" t="s">
        <v>1457</v>
      </c>
      <c r="K2070" s="1" t="s">
        <v>1617</v>
      </c>
      <c r="L2070" s="1" t="s">
        <v>1719</v>
      </c>
      <c r="M2070" s="1" t="s">
        <v>1735</v>
      </c>
      <c r="N2070" t="s">
        <v>1991</v>
      </c>
      <c r="O2070" t="s">
        <v>2165</v>
      </c>
      <c r="P2070" t="s">
        <v>3152</v>
      </c>
      <c r="Q2070">
        <v>364</v>
      </c>
      <c r="R2070" s="1" t="s">
        <v>1839</v>
      </c>
      <c r="S2070">
        <v>4788</v>
      </c>
      <c r="T2070">
        <v>1742832</v>
      </c>
    </row>
    <row r="2071" spans="1:20" hidden="1" x14ac:dyDescent="0.4">
      <c r="A2071" s="1" t="s">
        <v>691</v>
      </c>
      <c r="B2071" s="1" t="s">
        <v>1453</v>
      </c>
      <c r="C2071" s="1" t="s">
        <v>1845</v>
      </c>
      <c r="D2071" s="1" t="s">
        <v>1462</v>
      </c>
      <c r="E2071">
        <v>20251225</v>
      </c>
      <c r="F2071" s="1" t="s">
        <v>1471</v>
      </c>
      <c r="G2071">
        <v>4</v>
      </c>
      <c r="H2071" s="1" t="s">
        <v>1498</v>
      </c>
      <c r="I2071" t="s">
        <v>1878</v>
      </c>
      <c r="J2071" s="1" t="s">
        <v>1460</v>
      </c>
      <c r="K2071" s="1" t="s">
        <v>1650</v>
      </c>
      <c r="L2071" s="1" t="s">
        <v>1731</v>
      </c>
      <c r="M2071" s="1" t="s">
        <v>1747</v>
      </c>
      <c r="N2071" t="s">
        <v>2032</v>
      </c>
      <c r="O2071" t="s">
        <v>2178</v>
      </c>
      <c r="P2071" t="s">
        <v>3186</v>
      </c>
      <c r="Q2071">
        <v>1500</v>
      </c>
      <c r="R2071" s="1" t="s">
        <v>1463</v>
      </c>
      <c r="S2071">
        <v>525</v>
      </c>
      <c r="T2071">
        <v>787500</v>
      </c>
    </row>
    <row r="2072" spans="1:20" hidden="1" x14ac:dyDescent="0.4">
      <c r="A2072" s="1" t="s">
        <v>692</v>
      </c>
      <c r="B2072" s="1" t="s">
        <v>1453</v>
      </c>
      <c r="C2072" s="1" t="s">
        <v>1845</v>
      </c>
      <c r="D2072" s="1" t="s">
        <v>1462</v>
      </c>
      <c r="E2072">
        <v>20251225</v>
      </c>
      <c r="F2072" s="1" t="s">
        <v>1471</v>
      </c>
      <c r="G2072">
        <v>4</v>
      </c>
      <c r="H2072" s="1" t="s">
        <v>1498</v>
      </c>
      <c r="I2072" t="s">
        <v>1878</v>
      </c>
      <c r="J2072" s="1" t="s">
        <v>1460</v>
      </c>
      <c r="K2072" s="1" t="s">
        <v>1690</v>
      </c>
      <c r="L2072" s="1" t="s">
        <v>1731</v>
      </c>
      <c r="M2072" s="1" t="s">
        <v>1818</v>
      </c>
      <c r="N2072" t="s">
        <v>2083</v>
      </c>
      <c r="O2072" t="s">
        <v>2178</v>
      </c>
      <c r="P2072" t="s">
        <v>3186</v>
      </c>
      <c r="Q2072">
        <v>2000</v>
      </c>
      <c r="R2072" s="1" t="s">
        <v>1463</v>
      </c>
      <c r="S2072">
        <v>581</v>
      </c>
      <c r="T2072">
        <v>1162000</v>
      </c>
    </row>
    <row r="2073" spans="1:20" hidden="1" x14ac:dyDescent="0.4">
      <c r="A2073" s="1" t="s">
        <v>693</v>
      </c>
      <c r="B2073" s="1" t="s">
        <v>1453</v>
      </c>
      <c r="C2073" s="1" t="s">
        <v>1845</v>
      </c>
      <c r="D2073" s="1" t="s">
        <v>1731</v>
      </c>
      <c r="E2073">
        <v>20251226</v>
      </c>
      <c r="F2073" s="1" t="s">
        <v>1473</v>
      </c>
      <c r="G2073">
        <v>4</v>
      </c>
      <c r="H2073" s="1" t="s">
        <v>1494</v>
      </c>
      <c r="I2073" t="s">
        <v>1874</v>
      </c>
      <c r="J2073" s="1" t="s">
        <v>1453</v>
      </c>
      <c r="K2073" s="1" t="s">
        <v>1618</v>
      </c>
      <c r="L2073" s="1" t="s">
        <v>1718</v>
      </c>
      <c r="M2073" s="1" t="s">
        <v>1775</v>
      </c>
      <c r="N2073" t="s">
        <v>1992</v>
      </c>
      <c r="O2073" t="s">
        <v>2164</v>
      </c>
      <c r="P2073" t="s">
        <v>3103</v>
      </c>
      <c r="Q2073">
        <v>88.08</v>
      </c>
      <c r="R2073" s="1" t="s">
        <v>1839</v>
      </c>
      <c r="S2073">
        <v>3387.99</v>
      </c>
      <c r="T2073">
        <v>298415</v>
      </c>
    </row>
    <row r="2074" spans="1:20" hidden="1" x14ac:dyDescent="0.4">
      <c r="A2074" s="1" t="s">
        <v>693</v>
      </c>
      <c r="B2074" s="1" t="s">
        <v>1454</v>
      </c>
      <c r="C2074" s="1" t="s">
        <v>1845</v>
      </c>
      <c r="D2074" s="1" t="s">
        <v>1731</v>
      </c>
      <c r="E2074">
        <v>20251226</v>
      </c>
      <c r="F2074" s="1" t="s">
        <v>1473</v>
      </c>
      <c r="G2074">
        <v>4</v>
      </c>
      <c r="H2074" s="1" t="s">
        <v>1494</v>
      </c>
      <c r="I2074" t="s">
        <v>1874</v>
      </c>
      <c r="J2074" s="1" t="s">
        <v>1453</v>
      </c>
      <c r="K2074" s="1" t="s">
        <v>1618</v>
      </c>
      <c r="L2074" s="1" t="s">
        <v>1718</v>
      </c>
      <c r="M2074" s="1" t="s">
        <v>1775</v>
      </c>
      <c r="N2074" t="s">
        <v>1992</v>
      </c>
      <c r="O2074" t="s">
        <v>2164</v>
      </c>
      <c r="P2074" t="s">
        <v>3103</v>
      </c>
      <c r="Q2074">
        <v>112.84</v>
      </c>
      <c r="R2074" s="1" t="s">
        <v>1839</v>
      </c>
      <c r="S2074">
        <v>3387.99</v>
      </c>
      <c r="T2074">
        <v>382301</v>
      </c>
    </row>
    <row r="2075" spans="1:20" hidden="1" x14ac:dyDescent="0.4">
      <c r="A2075" s="1" t="s">
        <v>693</v>
      </c>
      <c r="B2075" s="1" t="s">
        <v>1455</v>
      </c>
      <c r="C2075" s="1" t="s">
        <v>1845</v>
      </c>
      <c r="D2075" s="1" t="s">
        <v>1731</v>
      </c>
      <c r="E2075">
        <v>20251226</v>
      </c>
      <c r="F2075" s="1" t="s">
        <v>1473</v>
      </c>
      <c r="G2075">
        <v>4</v>
      </c>
      <c r="H2075" s="1" t="s">
        <v>1494</v>
      </c>
      <c r="I2075" t="s">
        <v>1874</v>
      </c>
      <c r="J2075" s="1" t="s">
        <v>1453</v>
      </c>
      <c r="K2075" s="1" t="s">
        <v>1618</v>
      </c>
      <c r="L2075" s="1" t="s">
        <v>1718</v>
      </c>
      <c r="M2075" s="1" t="s">
        <v>1775</v>
      </c>
      <c r="N2075" t="s">
        <v>1992</v>
      </c>
      <c r="O2075" t="s">
        <v>2164</v>
      </c>
      <c r="P2075" t="s">
        <v>3103</v>
      </c>
      <c r="Q2075">
        <v>98.64</v>
      </c>
      <c r="R2075" s="1" t="s">
        <v>1839</v>
      </c>
      <c r="S2075">
        <v>3387.99</v>
      </c>
      <c r="T2075">
        <v>334192</v>
      </c>
    </row>
    <row r="2076" spans="1:20" hidden="1" x14ac:dyDescent="0.4">
      <c r="A2076" s="1" t="s">
        <v>693</v>
      </c>
      <c r="B2076" s="1" t="s">
        <v>1456</v>
      </c>
      <c r="C2076" s="1" t="s">
        <v>1845</v>
      </c>
      <c r="D2076" s="1" t="s">
        <v>1731</v>
      </c>
      <c r="E2076">
        <v>20251226</v>
      </c>
      <c r="F2076" s="1" t="s">
        <v>1473</v>
      </c>
      <c r="G2076">
        <v>4</v>
      </c>
      <c r="H2076" s="1" t="s">
        <v>1494</v>
      </c>
      <c r="I2076" t="s">
        <v>1874</v>
      </c>
      <c r="J2076" s="1" t="s">
        <v>1453</v>
      </c>
      <c r="K2076" s="1" t="s">
        <v>1618</v>
      </c>
      <c r="L2076" s="1" t="s">
        <v>1718</v>
      </c>
      <c r="M2076" s="1" t="s">
        <v>1775</v>
      </c>
      <c r="N2076" t="s">
        <v>1992</v>
      </c>
      <c r="O2076" t="s">
        <v>2164</v>
      </c>
      <c r="P2076" t="s">
        <v>3103</v>
      </c>
      <c r="Q2076">
        <v>112.84</v>
      </c>
      <c r="R2076" s="1" t="s">
        <v>1839</v>
      </c>
      <c r="S2076">
        <v>3387.99</v>
      </c>
      <c r="T2076">
        <v>382301</v>
      </c>
    </row>
    <row r="2077" spans="1:20" hidden="1" x14ac:dyDescent="0.4">
      <c r="A2077" s="1" t="s">
        <v>693</v>
      </c>
      <c r="B2077" s="1" t="s">
        <v>1457</v>
      </c>
      <c r="C2077" s="1" t="s">
        <v>1845</v>
      </c>
      <c r="D2077" s="1" t="s">
        <v>1731</v>
      </c>
      <c r="E2077">
        <v>20251226</v>
      </c>
      <c r="F2077" s="1" t="s">
        <v>1473</v>
      </c>
      <c r="G2077">
        <v>4</v>
      </c>
      <c r="H2077" s="1" t="s">
        <v>1494</v>
      </c>
      <c r="I2077" t="s">
        <v>1874</v>
      </c>
      <c r="J2077" s="1" t="s">
        <v>1453</v>
      </c>
      <c r="K2077" s="1" t="s">
        <v>1618</v>
      </c>
      <c r="L2077" s="1" t="s">
        <v>1718</v>
      </c>
      <c r="M2077" s="1" t="s">
        <v>1775</v>
      </c>
      <c r="N2077" t="s">
        <v>1992</v>
      </c>
      <c r="O2077" t="s">
        <v>2164</v>
      </c>
      <c r="P2077" t="s">
        <v>3103</v>
      </c>
      <c r="Q2077">
        <v>112.84</v>
      </c>
      <c r="R2077" s="1" t="s">
        <v>1839</v>
      </c>
      <c r="S2077">
        <v>3387.99</v>
      </c>
      <c r="T2077">
        <v>382301</v>
      </c>
    </row>
    <row r="2078" spans="1:20" hidden="1" x14ac:dyDescent="0.4">
      <c r="A2078" s="1" t="s">
        <v>693</v>
      </c>
      <c r="B2078" s="1" t="s">
        <v>1458</v>
      </c>
      <c r="C2078" s="1" t="s">
        <v>1845</v>
      </c>
      <c r="D2078" s="1" t="s">
        <v>1731</v>
      </c>
      <c r="E2078">
        <v>20251226</v>
      </c>
      <c r="F2078" s="1" t="s">
        <v>1473</v>
      </c>
      <c r="G2078">
        <v>4</v>
      </c>
      <c r="H2078" s="1" t="s">
        <v>1494</v>
      </c>
      <c r="I2078" t="s">
        <v>1874</v>
      </c>
      <c r="J2078" s="1" t="s">
        <v>1453</v>
      </c>
      <c r="K2078" s="1" t="s">
        <v>1618</v>
      </c>
      <c r="L2078" s="1" t="s">
        <v>1718</v>
      </c>
      <c r="M2078" s="1" t="s">
        <v>1775</v>
      </c>
      <c r="N2078" t="s">
        <v>1992</v>
      </c>
      <c r="O2078" t="s">
        <v>2164</v>
      </c>
      <c r="P2078" t="s">
        <v>3103</v>
      </c>
      <c r="Q2078">
        <v>112.47</v>
      </c>
      <c r="R2078" s="1" t="s">
        <v>1839</v>
      </c>
      <c r="S2078">
        <v>3387.99</v>
      </c>
      <c r="T2078">
        <v>381048</v>
      </c>
    </row>
    <row r="2079" spans="1:20" hidden="1" x14ac:dyDescent="0.4">
      <c r="A2079" s="1" t="s">
        <v>694</v>
      </c>
      <c r="B2079" s="1" t="s">
        <v>1453</v>
      </c>
      <c r="C2079" s="1" t="s">
        <v>1845</v>
      </c>
      <c r="D2079" s="1" t="s">
        <v>1463</v>
      </c>
      <c r="E2079">
        <v>20251231</v>
      </c>
      <c r="F2079" s="1" t="s">
        <v>1472</v>
      </c>
      <c r="G2079">
        <v>4</v>
      </c>
      <c r="H2079" s="1" t="s">
        <v>1495</v>
      </c>
      <c r="I2079" t="s">
        <v>1875</v>
      </c>
      <c r="J2079" s="1" t="s">
        <v>1457</v>
      </c>
      <c r="K2079" s="1" t="s">
        <v>1643</v>
      </c>
      <c r="L2079" s="1" t="s">
        <v>1725</v>
      </c>
      <c r="M2079" s="1" t="s">
        <v>1737</v>
      </c>
      <c r="N2079" t="s">
        <v>2024</v>
      </c>
      <c r="O2079" t="s">
        <v>2184</v>
      </c>
      <c r="P2079" t="s">
        <v>3209</v>
      </c>
      <c r="Q2079">
        <v>1</v>
      </c>
      <c r="R2079" s="1" t="s">
        <v>1839</v>
      </c>
      <c r="S2079">
        <v>57237</v>
      </c>
      <c r="T2079">
        <v>57237</v>
      </c>
    </row>
    <row r="2080" spans="1:20" hidden="1" x14ac:dyDescent="0.4">
      <c r="A2080" s="1" t="s">
        <v>694</v>
      </c>
      <c r="B2080" s="1" t="s">
        <v>1454</v>
      </c>
      <c r="C2080" s="1" t="s">
        <v>1845</v>
      </c>
      <c r="D2080" s="1" t="s">
        <v>1463</v>
      </c>
      <c r="E2080">
        <v>20251231</v>
      </c>
      <c r="F2080" s="1" t="s">
        <v>1472</v>
      </c>
      <c r="G2080">
        <v>4</v>
      </c>
      <c r="H2080" s="1" t="s">
        <v>1495</v>
      </c>
      <c r="I2080" t="s">
        <v>1875</v>
      </c>
      <c r="J2080" s="1" t="s">
        <v>1457</v>
      </c>
      <c r="K2080" s="1" t="s">
        <v>1643</v>
      </c>
      <c r="L2080" s="1" t="s">
        <v>1725</v>
      </c>
      <c r="M2080" s="1" t="s">
        <v>1737</v>
      </c>
      <c r="N2080" t="s">
        <v>2073</v>
      </c>
      <c r="O2080" t="s">
        <v>2185</v>
      </c>
      <c r="P2080" t="s">
        <v>3153</v>
      </c>
      <c r="Q2080">
        <v>1</v>
      </c>
      <c r="R2080" s="1" t="s">
        <v>1839</v>
      </c>
      <c r="S2080">
        <v>20474</v>
      </c>
      <c r="T2080">
        <v>20474</v>
      </c>
    </row>
    <row r="2081" spans="1:20" hidden="1" x14ac:dyDescent="0.4">
      <c r="A2081" s="1" t="s">
        <v>694</v>
      </c>
      <c r="B2081" s="1" t="s">
        <v>1455</v>
      </c>
      <c r="C2081" s="1" t="s">
        <v>1845</v>
      </c>
      <c r="D2081" s="1" t="s">
        <v>1463</v>
      </c>
      <c r="E2081">
        <v>20251231</v>
      </c>
      <c r="F2081" s="1" t="s">
        <v>1472</v>
      </c>
      <c r="G2081">
        <v>4</v>
      </c>
      <c r="H2081" s="1" t="s">
        <v>1495</v>
      </c>
      <c r="I2081" t="s">
        <v>1875</v>
      </c>
      <c r="J2081" s="1" t="s">
        <v>1457</v>
      </c>
      <c r="K2081" s="1" t="s">
        <v>1643</v>
      </c>
      <c r="L2081" s="1" t="s">
        <v>1725</v>
      </c>
      <c r="M2081" s="1" t="s">
        <v>1737</v>
      </c>
      <c r="N2081" t="s">
        <v>2084</v>
      </c>
      <c r="O2081" t="s">
        <v>2186</v>
      </c>
      <c r="P2081" t="s">
        <v>3153</v>
      </c>
      <c r="Q2081">
        <v>1</v>
      </c>
      <c r="R2081" s="1" t="s">
        <v>1839</v>
      </c>
      <c r="S2081">
        <v>36323</v>
      </c>
      <c r="T2081">
        <v>36323</v>
      </c>
    </row>
    <row r="2082" spans="1:20" hidden="1" x14ac:dyDescent="0.4">
      <c r="A2082" s="1" t="s">
        <v>694</v>
      </c>
      <c r="B2082" s="1" t="s">
        <v>1456</v>
      </c>
      <c r="C2082" s="1" t="s">
        <v>1845</v>
      </c>
      <c r="D2082" s="1" t="s">
        <v>1463</v>
      </c>
      <c r="E2082">
        <v>20251231</v>
      </c>
      <c r="F2082" s="1" t="s">
        <v>1472</v>
      </c>
      <c r="G2082">
        <v>4</v>
      </c>
      <c r="H2082" s="1" t="s">
        <v>1495</v>
      </c>
      <c r="I2082" t="s">
        <v>1875</v>
      </c>
      <c r="J2082" s="1" t="s">
        <v>1457</v>
      </c>
      <c r="K2082" s="1" t="s">
        <v>1643</v>
      </c>
      <c r="L2082" s="1" t="s">
        <v>1725</v>
      </c>
      <c r="M2082" s="1" t="s">
        <v>1737</v>
      </c>
      <c r="N2082" t="s">
        <v>2025</v>
      </c>
      <c r="O2082" t="s">
        <v>2187</v>
      </c>
      <c r="P2082" t="s">
        <v>3153</v>
      </c>
      <c r="Q2082">
        <v>1</v>
      </c>
      <c r="R2082" s="1" t="s">
        <v>1839</v>
      </c>
      <c r="S2082">
        <v>57360</v>
      </c>
      <c r="T2082">
        <v>57360</v>
      </c>
    </row>
    <row r="2083" spans="1:20" hidden="1" x14ac:dyDescent="0.4">
      <c r="A2083" s="1" t="s">
        <v>694</v>
      </c>
      <c r="B2083" s="1" t="s">
        <v>1457</v>
      </c>
      <c r="C2083" s="1" t="s">
        <v>1845</v>
      </c>
      <c r="D2083" s="1" t="s">
        <v>1463</v>
      </c>
      <c r="E2083">
        <v>20251231</v>
      </c>
      <c r="F2083" s="1" t="s">
        <v>1472</v>
      </c>
      <c r="G2083">
        <v>4</v>
      </c>
      <c r="H2083" s="1" t="s">
        <v>1495</v>
      </c>
      <c r="I2083" t="s">
        <v>1875</v>
      </c>
      <c r="J2083" s="1" t="s">
        <v>1457</v>
      </c>
      <c r="K2083" s="1" t="s">
        <v>1677</v>
      </c>
      <c r="L2083" s="1" t="s">
        <v>1719</v>
      </c>
      <c r="M2083" s="1" t="s">
        <v>1737</v>
      </c>
      <c r="N2083" t="s">
        <v>2068</v>
      </c>
      <c r="O2083" t="s">
        <v>2165</v>
      </c>
      <c r="P2083" t="s">
        <v>3210</v>
      </c>
      <c r="Q2083">
        <v>1</v>
      </c>
      <c r="R2083" s="1" t="s">
        <v>1839</v>
      </c>
      <c r="S2083">
        <v>60800</v>
      </c>
      <c r="T2083">
        <v>60800</v>
      </c>
    </row>
    <row r="2084" spans="1:20" hidden="1" x14ac:dyDescent="0.4">
      <c r="A2084" s="1" t="s">
        <v>695</v>
      </c>
      <c r="B2084" s="1" t="s">
        <v>1453</v>
      </c>
      <c r="C2084" s="1" t="s">
        <v>1845</v>
      </c>
      <c r="D2084" s="1" t="s">
        <v>1851</v>
      </c>
      <c r="E2084">
        <v>20251231</v>
      </c>
      <c r="F2084" s="1" t="s">
        <v>1470</v>
      </c>
      <c r="G2084">
        <v>1</v>
      </c>
      <c r="H2084" s="1" t="s">
        <v>1496</v>
      </c>
      <c r="I2084" t="s">
        <v>1876</v>
      </c>
      <c r="J2084" s="1" t="s">
        <v>1458</v>
      </c>
      <c r="K2084" s="1" t="s">
        <v>1688</v>
      </c>
      <c r="L2084" s="1" t="s">
        <v>1716</v>
      </c>
      <c r="M2084" s="1" t="s">
        <v>1737</v>
      </c>
      <c r="N2084" t="s">
        <v>2081</v>
      </c>
      <c r="O2084" t="s">
        <v>2183</v>
      </c>
      <c r="P2084" t="s">
        <v>3211</v>
      </c>
      <c r="Q2084">
        <v>1</v>
      </c>
      <c r="R2084" s="1" t="s">
        <v>1463</v>
      </c>
      <c r="S2084">
        <v>0</v>
      </c>
      <c r="T2084">
        <v>-52382</v>
      </c>
    </row>
    <row r="2085" spans="1:20" hidden="1" x14ac:dyDescent="0.4">
      <c r="A2085" s="1" t="s">
        <v>696</v>
      </c>
      <c r="B2085" s="1" t="s">
        <v>1453</v>
      </c>
      <c r="C2085" s="1" t="s">
        <v>1845</v>
      </c>
      <c r="D2085" s="1" t="s">
        <v>1850</v>
      </c>
      <c r="E2085">
        <v>20251204</v>
      </c>
      <c r="F2085" s="1" t="s">
        <v>1470</v>
      </c>
      <c r="G2085">
        <v>1</v>
      </c>
      <c r="H2085" s="1" t="s">
        <v>1499</v>
      </c>
      <c r="I2085" t="s">
        <v>1879</v>
      </c>
      <c r="J2085" s="1" t="s">
        <v>1456</v>
      </c>
      <c r="K2085" s="1" t="s">
        <v>1628</v>
      </c>
      <c r="L2085" s="1" t="s">
        <v>1716</v>
      </c>
      <c r="M2085" s="1" t="s">
        <v>1777</v>
      </c>
      <c r="N2085" t="s">
        <v>2033</v>
      </c>
      <c r="O2085" t="s">
        <v>2162</v>
      </c>
      <c r="P2085">
        <v>1403</v>
      </c>
      <c r="Q2085">
        <v>-509</v>
      </c>
      <c r="R2085" s="1" t="s">
        <v>1463</v>
      </c>
      <c r="S2085">
        <v>1305</v>
      </c>
      <c r="T2085">
        <v>-664245</v>
      </c>
    </row>
    <row r="2086" spans="1:20" hidden="1" x14ac:dyDescent="0.4">
      <c r="A2086" s="1" t="s">
        <v>696</v>
      </c>
      <c r="B2086" s="1" t="s">
        <v>1454</v>
      </c>
      <c r="C2086" s="1" t="s">
        <v>1845</v>
      </c>
      <c r="D2086" s="1" t="s">
        <v>1850</v>
      </c>
      <c r="E2086">
        <v>20251204</v>
      </c>
      <c r="F2086" s="1" t="s">
        <v>1470</v>
      </c>
      <c r="G2086">
        <v>1</v>
      </c>
      <c r="H2086" s="1" t="s">
        <v>1499</v>
      </c>
      <c r="I2086" t="s">
        <v>1879</v>
      </c>
      <c r="J2086" s="1" t="s">
        <v>1456</v>
      </c>
      <c r="K2086" s="1" t="s">
        <v>1629</v>
      </c>
      <c r="L2086" s="1" t="s">
        <v>1716</v>
      </c>
      <c r="M2086" s="1" t="s">
        <v>1778</v>
      </c>
      <c r="N2086" t="s">
        <v>2034</v>
      </c>
      <c r="O2086" t="s">
        <v>2162</v>
      </c>
      <c r="P2086">
        <v>1303</v>
      </c>
      <c r="Q2086">
        <v>-509</v>
      </c>
      <c r="R2086" s="1" t="s">
        <v>1463</v>
      </c>
      <c r="S2086">
        <v>1845</v>
      </c>
      <c r="T2086">
        <v>-939105</v>
      </c>
    </row>
    <row r="2087" spans="1:20" hidden="1" x14ac:dyDescent="0.4">
      <c r="A2087" s="1" t="s">
        <v>697</v>
      </c>
      <c r="B2087" s="1" t="s">
        <v>1453</v>
      </c>
      <c r="C2087" s="1" t="s">
        <v>1845</v>
      </c>
      <c r="D2087" s="1" t="s">
        <v>1462</v>
      </c>
      <c r="E2087">
        <v>20251204</v>
      </c>
      <c r="F2087" s="1" t="s">
        <v>1470</v>
      </c>
      <c r="G2087">
        <v>1</v>
      </c>
      <c r="H2087" s="1" t="s">
        <v>1499</v>
      </c>
      <c r="I2087" t="s">
        <v>1879</v>
      </c>
      <c r="J2087" s="1" t="s">
        <v>1456</v>
      </c>
      <c r="K2087" s="1" t="s">
        <v>1628</v>
      </c>
      <c r="L2087" s="1" t="s">
        <v>1716</v>
      </c>
      <c r="M2087" s="1" t="s">
        <v>1777</v>
      </c>
      <c r="N2087" t="s">
        <v>2033</v>
      </c>
      <c r="O2087" t="s">
        <v>2162</v>
      </c>
      <c r="P2087">
        <v>1403</v>
      </c>
      <c r="Q2087">
        <v>509</v>
      </c>
      <c r="R2087" s="1" t="s">
        <v>1463</v>
      </c>
      <c r="S2087">
        <v>1435</v>
      </c>
      <c r="T2087">
        <v>730415</v>
      </c>
    </row>
    <row r="2088" spans="1:20" hidden="1" x14ac:dyDescent="0.4">
      <c r="A2088" s="1" t="s">
        <v>697</v>
      </c>
      <c r="B2088" s="1" t="s">
        <v>1454</v>
      </c>
      <c r="C2088" s="1" t="s">
        <v>1845</v>
      </c>
      <c r="D2088" s="1" t="s">
        <v>1462</v>
      </c>
      <c r="E2088">
        <v>20251204</v>
      </c>
      <c r="F2088" s="1" t="s">
        <v>1470</v>
      </c>
      <c r="G2088">
        <v>1</v>
      </c>
      <c r="H2088" s="1" t="s">
        <v>1499</v>
      </c>
      <c r="I2088" t="s">
        <v>1879</v>
      </c>
      <c r="J2088" s="1" t="s">
        <v>1456</v>
      </c>
      <c r="K2088" s="1" t="s">
        <v>1629</v>
      </c>
      <c r="L2088" s="1" t="s">
        <v>1716</v>
      </c>
      <c r="M2088" s="1" t="s">
        <v>1778</v>
      </c>
      <c r="N2088" t="s">
        <v>2034</v>
      </c>
      <c r="O2088" t="s">
        <v>2162</v>
      </c>
      <c r="P2088">
        <v>1303</v>
      </c>
      <c r="Q2088">
        <v>509</v>
      </c>
      <c r="R2088" s="1" t="s">
        <v>1463</v>
      </c>
      <c r="S2088">
        <v>1845</v>
      </c>
      <c r="T2088">
        <v>939105</v>
      </c>
    </row>
    <row r="2089" spans="1:20" hidden="1" x14ac:dyDescent="0.4">
      <c r="A2089" s="1" t="s">
        <v>698</v>
      </c>
      <c r="B2089" s="1" t="s">
        <v>1453</v>
      </c>
      <c r="C2089" s="1" t="s">
        <v>1845</v>
      </c>
      <c r="D2089" s="1" t="s">
        <v>1731</v>
      </c>
      <c r="E2089">
        <v>20251231</v>
      </c>
      <c r="F2089" s="1" t="s">
        <v>1473</v>
      </c>
      <c r="G2089">
        <v>4</v>
      </c>
      <c r="H2089" s="1" t="s">
        <v>1494</v>
      </c>
      <c r="I2089" t="s">
        <v>1874</v>
      </c>
      <c r="J2089" s="1" t="s">
        <v>1453</v>
      </c>
      <c r="K2089" s="1" t="s">
        <v>1643</v>
      </c>
      <c r="L2089" s="1" t="s">
        <v>1725</v>
      </c>
      <c r="M2089" s="1" t="s">
        <v>1819</v>
      </c>
      <c r="N2089" t="s">
        <v>2085</v>
      </c>
      <c r="O2089" t="s">
        <v>2157</v>
      </c>
      <c r="P2089" t="s">
        <v>3212</v>
      </c>
      <c r="Q2089">
        <v>196.2</v>
      </c>
      <c r="R2089" s="1" t="s">
        <v>1839</v>
      </c>
      <c r="S2089">
        <v>1000</v>
      </c>
      <c r="T2089">
        <v>196200</v>
      </c>
    </row>
    <row r="2090" spans="1:20" hidden="1" x14ac:dyDescent="0.4">
      <c r="A2090" s="1" t="s">
        <v>699</v>
      </c>
      <c r="B2090" s="1" t="s">
        <v>1453</v>
      </c>
      <c r="C2090" s="1" t="s">
        <v>1845</v>
      </c>
      <c r="D2090" s="1" t="s">
        <v>1731</v>
      </c>
      <c r="E2090">
        <v>20251231</v>
      </c>
      <c r="F2090" s="1" t="s">
        <v>1474</v>
      </c>
      <c r="G2090">
        <v>4</v>
      </c>
      <c r="H2090" s="1" t="s">
        <v>1494</v>
      </c>
      <c r="I2090" t="s">
        <v>1874</v>
      </c>
      <c r="J2090" s="1" t="s">
        <v>1455</v>
      </c>
      <c r="K2090" s="1" t="s">
        <v>1691</v>
      </c>
      <c r="L2090" s="1" t="s">
        <v>1734</v>
      </c>
      <c r="M2090" s="1" t="s">
        <v>1737</v>
      </c>
      <c r="N2090" t="s">
        <v>2086</v>
      </c>
      <c r="O2090" t="s">
        <v>2179</v>
      </c>
      <c r="P2090" t="s">
        <v>2157</v>
      </c>
      <c r="Q2090">
        <v>50</v>
      </c>
      <c r="R2090" s="1" t="s">
        <v>1839</v>
      </c>
      <c r="S2090">
        <v>1000</v>
      </c>
      <c r="T2090">
        <v>50000</v>
      </c>
    </row>
    <row r="2091" spans="1:20" hidden="1" x14ac:dyDescent="0.4">
      <c r="A2091" s="1" t="s">
        <v>700</v>
      </c>
      <c r="B2091" s="1" t="s">
        <v>1453</v>
      </c>
      <c r="C2091" s="1" t="s">
        <v>1845</v>
      </c>
      <c r="D2091" s="1" t="s">
        <v>1731</v>
      </c>
      <c r="E2091">
        <v>20251231</v>
      </c>
      <c r="F2091" s="1" t="s">
        <v>1470</v>
      </c>
      <c r="G2091">
        <v>4</v>
      </c>
      <c r="H2091" s="1" t="s">
        <v>1494</v>
      </c>
      <c r="I2091" t="s">
        <v>1874</v>
      </c>
      <c r="J2091" s="1" t="s">
        <v>1456</v>
      </c>
      <c r="K2091" s="1" t="s">
        <v>1578</v>
      </c>
      <c r="L2091" s="1" t="s">
        <v>1729</v>
      </c>
      <c r="M2091" s="1" t="s">
        <v>1737</v>
      </c>
      <c r="N2091" t="s">
        <v>2087</v>
      </c>
      <c r="O2091" t="s">
        <v>2157</v>
      </c>
      <c r="P2091" t="s">
        <v>2157</v>
      </c>
      <c r="Q2091">
        <v>135</v>
      </c>
      <c r="R2091" s="1" t="s">
        <v>1725</v>
      </c>
      <c r="S2091">
        <v>1000</v>
      </c>
      <c r="T2091">
        <v>135000</v>
      </c>
    </row>
    <row r="2092" spans="1:20" hidden="1" x14ac:dyDescent="0.4">
      <c r="A2092" s="1" t="s">
        <v>701</v>
      </c>
      <c r="B2092" s="1" t="s">
        <v>1453</v>
      </c>
      <c r="C2092" s="1" t="s">
        <v>1845</v>
      </c>
      <c r="D2092" s="1" t="s">
        <v>1731</v>
      </c>
      <c r="E2092">
        <v>20251231</v>
      </c>
      <c r="F2092" s="1" t="s">
        <v>1472</v>
      </c>
      <c r="G2092">
        <v>4</v>
      </c>
      <c r="H2092" s="1" t="s">
        <v>1494</v>
      </c>
      <c r="I2092" t="s">
        <v>1874</v>
      </c>
      <c r="J2092" s="1" t="s">
        <v>1457</v>
      </c>
      <c r="K2092" s="1" t="s">
        <v>1643</v>
      </c>
      <c r="L2092" s="1" t="s">
        <v>1725</v>
      </c>
      <c r="M2092" s="1" t="s">
        <v>1819</v>
      </c>
      <c r="N2092" t="s">
        <v>2086</v>
      </c>
      <c r="O2092" t="s">
        <v>2157</v>
      </c>
      <c r="P2092" t="s">
        <v>2157</v>
      </c>
      <c r="Q2092">
        <v>299.2</v>
      </c>
      <c r="R2092" s="1" t="s">
        <v>1839</v>
      </c>
      <c r="S2092">
        <v>1000</v>
      </c>
      <c r="T2092">
        <v>299200</v>
      </c>
    </row>
    <row r="2093" spans="1:20" hidden="1" x14ac:dyDescent="0.4">
      <c r="A2093" s="1" t="s">
        <v>702</v>
      </c>
      <c r="B2093" s="1" t="s">
        <v>1453</v>
      </c>
      <c r="C2093" s="1" t="s">
        <v>1844</v>
      </c>
      <c r="D2093" s="1" t="s">
        <v>1462</v>
      </c>
      <c r="E2093">
        <v>20251201</v>
      </c>
      <c r="F2093" s="1" t="s">
        <v>1470</v>
      </c>
      <c r="G2093">
        <v>4</v>
      </c>
      <c r="H2093" s="1" t="s">
        <v>1511</v>
      </c>
      <c r="I2093" t="s">
        <v>1891</v>
      </c>
      <c r="J2093" s="1" t="s">
        <v>1456</v>
      </c>
      <c r="K2093" s="1" t="s">
        <v>1555</v>
      </c>
      <c r="L2093" s="1" t="s">
        <v>1729</v>
      </c>
      <c r="M2093" s="1" t="s">
        <v>1736</v>
      </c>
      <c r="N2093" t="s">
        <v>2088</v>
      </c>
      <c r="O2093" t="s">
        <v>2188</v>
      </c>
      <c r="P2093" t="s">
        <v>3213</v>
      </c>
      <c r="Q2093">
        <v>2</v>
      </c>
      <c r="R2093" s="1" t="s">
        <v>1718</v>
      </c>
      <c r="S2093">
        <v>7877</v>
      </c>
      <c r="T2093">
        <v>15754</v>
      </c>
    </row>
    <row r="2094" spans="1:20" hidden="1" x14ac:dyDescent="0.4">
      <c r="A2094" s="1" t="s">
        <v>702</v>
      </c>
      <c r="B2094" s="1" t="s">
        <v>1454</v>
      </c>
      <c r="C2094" s="1" t="s">
        <v>1844</v>
      </c>
      <c r="D2094" s="1" t="s">
        <v>1462</v>
      </c>
      <c r="E2094">
        <v>20251201</v>
      </c>
      <c r="F2094" s="1" t="s">
        <v>1470</v>
      </c>
      <c r="G2094">
        <v>4</v>
      </c>
      <c r="H2094" s="1" t="s">
        <v>1511</v>
      </c>
      <c r="I2094" t="s">
        <v>1891</v>
      </c>
      <c r="J2094" s="1" t="s">
        <v>1456</v>
      </c>
      <c r="K2094" s="1" t="s">
        <v>1555</v>
      </c>
      <c r="L2094" s="1" t="s">
        <v>1729</v>
      </c>
      <c r="M2094" s="1" t="s">
        <v>1736</v>
      </c>
      <c r="N2094" t="s">
        <v>2088</v>
      </c>
      <c r="O2094" t="s">
        <v>2188</v>
      </c>
      <c r="P2094" t="s">
        <v>3214</v>
      </c>
      <c r="Q2094">
        <v>2</v>
      </c>
      <c r="R2094" s="1" t="s">
        <v>1718</v>
      </c>
      <c r="S2094">
        <v>7877</v>
      </c>
      <c r="T2094">
        <v>15754</v>
      </c>
    </row>
    <row r="2095" spans="1:20" hidden="1" x14ac:dyDescent="0.4">
      <c r="A2095" s="1" t="s">
        <v>703</v>
      </c>
      <c r="B2095" s="1" t="s">
        <v>1453</v>
      </c>
      <c r="C2095" s="1" t="s">
        <v>1844</v>
      </c>
      <c r="D2095" s="1" t="s">
        <v>1462</v>
      </c>
      <c r="E2095">
        <v>20251201</v>
      </c>
      <c r="F2095" s="1" t="s">
        <v>1470</v>
      </c>
      <c r="G2095">
        <v>4</v>
      </c>
      <c r="H2095" s="1" t="s">
        <v>1511</v>
      </c>
      <c r="I2095" t="s">
        <v>1891</v>
      </c>
      <c r="J2095" s="1" t="s">
        <v>1456</v>
      </c>
      <c r="K2095" s="1" t="s">
        <v>1555</v>
      </c>
      <c r="L2095" s="1" t="s">
        <v>1729</v>
      </c>
      <c r="M2095" s="1" t="s">
        <v>1736</v>
      </c>
      <c r="N2095" t="s">
        <v>2088</v>
      </c>
      <c r="O2095" t="s">
        <v>2189</v>
      </c>
      <c r="P2095" t="s">
        <v>3215</v>
      </c>
      <c r="Q2095">
        <v>2</v>
      </c>
      <c r="R2095" s="1" t="s">
        <v>1718</v>
      </c>
      <c r="S2095">
        <v>5138</v>
      </c>
      <c r="T2095">
        <v>10276</v>
      </c>
    </row>
    <row r="2096" spans="1:20" hidden="1" x14ac:dyDescent="0.4">
      <c r="A2096" s="1" t="s">
        <v>703</v>
      </c>
      <c r="B2096" s="1" t="s">
        <v>1454</v>
      </c>
      <c r="C2096" s="1" t="s">
        <v>1844</v>
      </c>
      <c r="D2096" s="1" t="s">
        <v>1462</v>
      </c>
      <c r="E2096">
        <v>20251201</v>
      </c>
      <c r="F2096" s="1" t="s">
        <v>1470</v>
      </c>
      <c r="G2096">
        <v>4</v>
      </c>
      <c r="H2096" s="1" t="s">
        <v>1511</v>
      </c>
      <c r="I2096" t="s">
        <v>1891</v>
      </c>
      <c r="J2096" s="1" t="s">
        <v>1456</v>
      </c>
      <c r="K2096" s="1" t="s">
        <v>1555</v>
      </c>
      <c r="L2096" s="1" t="s">
        <v>1729</v>
      </c>
      <c r="M2096" s="1" t="s">
        <v>1736</v>
      </c>
      <c r="N2096" t="s">
        <v>2088</v>
      </c>
      <c r="O2096" t="s">
        <v>2189</v>
      </c>
      <c r="P2096" t="s">
        <v>3215</v>
      </c>
      <c r="Q2096">
        <v>2</v>
      </c>
      <c r="R2096" s="1" t="s">
        <v>1718</v>
      </c>
      <c r="S2096">
        <v>9346</v>
      </c>
      <c r="T2096">
        <v>18692</v>
      </c>
    </row>
    <row r="2097" spans="1:20" hidden="1" x14ac:dyDescent="0.4">
      <c r="A2097" s="1" t="s">
        <v>703</v>
      </c>
      <c r="B2097" s="1" t="s">
        <v>1455</v>
      </c>
      <c r="C2097" s="1" t="s">
        <v>1844</v>
      </c>
      <c r="D2097" s="1" t="s">
        <v>1462</v>
      </c>
      <c r="E2097">
        <v>20251201</v>
      </c>
      <c r="F2097" s="1" t="s">
        <v>1470</v>
      </c>
      <c r="G2097">
        <v>4</v>
      </c>
      <c r="H2097" s="1" t="s">
        <v>1511</v>
      </c>
      <c r="I2097" t="s">
        <v>1891</v>
      </c>
      <c r="J2097" s="1" t="s">
        <v>1456</v>
      </c>
      <c r="K2097" s="1" t="s">
        <v>1555</v>
      </c>
      <c r="L2097" s="1" t="s">
        <v>1729</v>
      </c>
      <c r="M2097" s="1" t="s">
        <v>1736</v>
      </c>
      <c r="N2097" t="s">
        <v>2088</v>
      </c>
      <c r="O2097" t="s">
        <v>2189</v>
      </c>
      <c r="P2097" t="s">
        <v>3215</v>
      </c>
      <c r="Q2097">
        <v>2</v>
      </c>
      <c r="R2097" s="1" t="s">
        <v>1718</v>
      </c>
      <c r="S2097">
        <v>16359</v>
      </c>
      <c r="T2097">
        <v>32718</v>
      </c>
    </row>
    <row r="2098" spans="1:20" hidden="1" x14ac:dyDescent="0.4">
      <c r="A2098" s="1" t="s">
        <v>703</v>
      </c>
      <c r="B2098" s="1" t="s">
        <v>1456</v>
      </c>
      <c r="C2098" s="1" t="s">
        <v>1844</v>
      </c>
      <c r="D2098" s="1" t="s">
        <v>1462</v>
      </c>
      <c r="E2098">
        <v>20251201</v>
      </c>
      <c r="F2098" s="1" t="s">
        <v>1470</v>
      </c>
      <c r="G2098">
        <v>4</v>
      </c>
      <c r="H2098" s="1" t="s">
        <v>1511</v>
      </c>
      <c r="I2098" t="s">
        <v>1891</v>
      </c>
      <c r="J2098" s="1" t="s">
        <v>1456</v>
      </c>
      <c r="K2098" s="1" t="s">
        <v>1555</v>
      </c>
      <c r="L2098" s="1" t="s">
        <v>1729</v>
      </c>
      <c r="M2098" s="1" t="s">
        <v>1736</v>
      </c>
      <c r="N2098" t="s">
        <v>2088</v>
      </c>
      <c r="O2098" t="s">
        <v>2189</v>
      </c>
      <c r="P2098" t="s">
        <v>3215</v>
      </c>
      <c r="Q2098">
        <v>2</v>
      </c>
      <c r="R2098" s="1" t="s">
        <v>1718</v>
      </c>
      <c r="S2098">
        <v>4804</v>
      </c>
      <c r="T2098">
        <v>9608</v>
      </c>
    </row>
    <row r="2099" spans="1:20" hidden="1" x14ac:dyDescent="0.4">
      <c r="A2099" s="1" t="s">
        <v>703</v>
      </c>
      <c r="B2099" s="1" t="s">
        <v>1457</v>
      </c>
      <c r="C2099" s="1" t="s">
        <v>1844</v>
      </c>
      <c r="D2099" s="1" t="s">
        <v>1462</v>
      </c>
      <c r="E2099">
        <v>20251201</v>
      </c>
      <c r="F2099" s="1" t="s">
        <v>1470</v>
      </c>
      <c r="G2099">
        <v>4</v>
      </c>
      <c r="H2099" s="1" t="s">
        <v>1511</v>
      </c>
      <c r="I2099" t="s">
        <v>1891</v>
      </c>
      <c r="J2099" s="1" t="s">
        <v>1456</v>
      </c>
      <c r="K2099" s="1" t="s">
        <v>1555</v>
      </c>
      <c r="L2099" s="1" t="s">
        <v>1729</v>
      </c>
      <c r="M2099" s="1" t="s">
        <v>1736</v>
      </c>
      <c r="N2099" t="s">
        <v>2088</v>
      </c>
      <c r="O2099" t="s">
        <v>2189</v>
      </c>
      <c r="P2099" t="s">
        <v>3215</v>
      </c>
      <c r="Q2099">
        <v>2</v>
      </c>
      <c r="R2099" s="1" t="s">
        <v>1718</v>
      </c>
      <c r="S2099">
        <v>7543</v>
      </c>
      <c r="T2099">
        <v>15086</v>
      </c>
    </row>
    <row r="2100" spans="1:20" hidden="1" x14ac:dyDescent="0.4">
      <c r="A2100" s="1" t="s">
        <v>703</v>
      </c>
      <c r="B2100" s="1" t="s">
        <v>1458</v>
      </c>
      <c r="C2100" s="1" t="s">
        <v>1844</v>
      </c>
      <c r="D2100" s="1" t="s">
        <v>1462</v>
      </c>
      <c r="E2100">
        <v>20251201</v>
      </c>
      <c r="F2100" s="1" t="s">
        <v>1470</v>
      </c>
      <c r="G2100">
        <v>4</v>
      </c>
      <c r="H2100" s="1" t="s">
        <v>1511</v>
      </c>
      <c r="I2100" t="s">
        <v>1891</v>
      </c>
      <c r="J2100" s="1" t="s">
        <v>1456</v>
      </c>
      <c r="K2100" s="1" t="s">
        <v>1555</v>
      </c>
      <c r="L2100" s="1" t="s">
        <v>1729</v>
      </c>
      <c r="M2100" s="1" t="s">
        <v>1736</v>
      </c>
      <c r="N2100" t="s">
        <v>2088</v>
      </c>
      <c r="O2100" t="s">
        <v>2190</v>
      </c>
      <c r="P2100" t="s">
        <v>3215</v>
      </c>
      <c r="Q2100">
        <v>2</v>
      </c>
      <c r="R2100" s="1" t="s">
        <v>1718</v>
      </c>
      <c r="S2100">
        <v>7543</v>
      </c>
      <c r="T2100">
        <v>15086</v>
      </c>
    </row>
    <row r="2101" spans="1:20" hidden="1" x14ac:dyDescent="0.4">
      <c r="A2101" s="1" t="s">
        <v>704</v>
      </c>
      <c r="B2101" s="1" t="s">
        <v>1453</v>
      </c>
      <c r="C2101" s="1" t="s">
        <v>1844</v>
      </c>
      <c r="D2101" s="1" t="s">
        <v>1462</v>
      </c>
      <c r="E2101">
        <v>20251201</v>
      </c>
      <c r="F2101" s="1" t="s">
        <v>1470</v>
      </c>
      <c r="G2101">
        <v>4</v>
      </c>
      <c r="H2101" s="1" t="s">
        <v>1511</v>
      </c>
      <c r="I2101" t="s">
        <v>1891</v>
      </c>
      <c r="J2101" s="1" t="s">
        <v>1456</v>
      </c>
      <c r="K2101" s="1" t="s">
        <v>1555</v>
      </c>
      <c r="L2101" s="1" t="s">
        <v>1729</v>
      </c>
      <c r="M2101" s="1" t="s">
        <v>1736</v>
      </c>
      <c r="N2101" t="s">
        <v>2088</v>
      </c>
      <c r="O2101" t="s">
        <v>2191</v>
      </c>
      <c r="P2101" t="s">
        <v>3216</v>
      </c>
      <c r="Q2101">
        <v>2</v>
      </c>
      <c r="R2101" s="1" t="s">
        <v>1718</v>
      </c>
      <c r="S2101">
        <v>15688</v>
      </c>
      <c r="T2101">
        <v>31376</v>
      </c>
    </row>
    <row r="2102" spans="1:20" hidden="1" x14ac:dyDescent="0.4">
      <c r="A2102" s="1" t="s">
        <v>705</v>
      </c>
      <c r="B2102" s="1" t="s">
        <v>1453</v>
      </c>
      <c r="C2102" s="1" t="s">
        <v>1844</v>
      </c>
      <c r="D2102" s="1" t="s">
        <v>1462</v>
      </c>
      <c r="E2102">
        <v>20251201</v>
      </c>
      <c r="F2102" s="1" t="s">
        <v>1470</v>
      </c>
      <c r="G2102">
        <v>4</v>
      </c>
      <c r="H2102" s="1" t="s">
        <v>1511</v>
      </c>
      <c r="I2102" t="s">
        <v>1891</v>
      </c>
      <c r="J2102" s="1" t="s">
        <v>1456</v>
      </c>
      <c r="K2102" s="1" t="s">
        <v>1556</v>
      </c>
      <c r="L2102" s="1" t="s">
        <v>1729</v>
      </c>
      <c r="M2102" s="1" t="s">
        <v>1738</v>
      </c>
      <c r="N2102" t="s">
        <v>2089</v>
      </c>
      <c r="O2102" t="s">
        <v>2192</v>
      </c>
      <c r="P2102" t="s">
        <v>2222</v>
      </c>
      <c r="Q2102">
        <v>2</v>
      </c>
      <c r="R2102" s="1" t="s">
        <v>1718</v>
      </c>
      <c r="S2102">
        <v>2655</v>
      </c>
      <c r="T2102">
        <v>5310</v>
      </c>
    </row>
    <row r="2103" spans="1:20" hidden="1" x14ac:dyDescent="0.4">
      <c r="A2103" s="1" t="s">
        <v>705</v>
      </c>
      <c r="B2103" s="1" t="s">
        <v>1454</v>
      </c>
      <c r="C2103" s="1" t="s">
        <v>1844</v>
      </c>
      <c r="D2103" s="1" t="s">
        <v>1462</v>
      </c>
      <c r="E2103">
        <v>20251201</v>
      </c>
      <c r="F2103" s="1" t="s">
        <v>1470</v>
      </c>
      <c r="G2103">
        <v>4</v>
      </c>
      <c r="H2103" s="1" t="s">
        <v>1511</v>
      </c>
      <c r="I2103" t="s">
        <v>1891</v>
      </c>
      <c r="J2103" s="1" t="s">
        <v>1456</v>
      </c>
      <c r="K2103" s="1" t="s">
        <v>1556</v>
      </c>
      <c r="L2103" s="1" t="s">
        <v>1729</v>
      </c>
      <c r="M2103" s="1" t="s">
        <v>1738</v>
      </c>
      <c r="N2103" t="s">
        <v>2089</v>
      </c>
      <c r="O2103" t="s">
        <v>2192</v>
      </c>
      <c r="P2103" t="s">
        <v>2222</v>
      </c>
      <c r="Q2103">
        <v>2</v>
      </c>
      <c r="R2103" s="1" t="s">
        <v>1718</v>
      </c>
      <c r="S2103">
        <v>6180</v>
      </c>
      <c r="T2103">
        <v>12360</v>
      </c>
    </row>
    <row r="2104" spans="1:20" hidden="1" x14ac:dyDescent="0.4">
      <c r="A2104" s="1" t="s">
        <v>706</v>
      </c>
      <c r="B2104" s="1" t="s">
        <v>1453</v>
      </c>
      <c r="C2104" s="1" t="s">
        <v>1844</v>
      </c>
      <c r="D2104" s="1" t="s">
        <v>1462</v>
      </c>
      <c r="E2104">
        <v>20251201</v>
      </c>
      <c r="F2104" s="1" t="s">
        <v>1470</v>
      </c>
      <c r="G2104">
        <v>4</v>
      </c>
      <c r="H2104" s="1" t="s">
        <v>1503</v>
      </c>
      <c r="I2104" t="s">
        <v>1883</v>
      </c>
      <c r="J2104" s="1" t="s">
        <v>1456</v>
      </c>
      <c r="K2104" s="1" t="s">
        <v>1554</v>
      </c>
      <c r="L2104" s="1" t="s">
        <v>1729</v>
      </c>
      <c r="M2104" s="1" t="s">
        <v>1737</v>
      </c>
      <c r="N2104" t="s">
        <v>2090</v>
      </c>
      <c r="O2104" t="s">
        <v>2193</v>
      </c>
      <c r="P2104">
        <v>82153</v>
      </c>
      <c r="Q2104">
        <v>2</v>
      </c>
      <c r="R2104" s="1" t="s">
        <v>1718</v>
      </c>
      <c r="S2104">
        <v>18640</v>
      </c>
      <c r="T2104">
        <v>37280</v>
      </c>
    </row>
    <row r="2105" spans="1:20" hidden="1" x14ac:dyDescent="0.4">
      <c r="A2105" s="1" t="s">
        <v>707</v>
      </c>
      <c r="B2105" s="1" t="s">
        <v>1453</v>
      </c>
      <c r="C2105" s="1" t="s">
        <v>1844</v>
      </c>
      <c r="D2105" s="1" t="s">
        <v>1462</v>
      </c>
      <c r="E2105">
        <v>20251201</v>
      </c>
      <c r="F2105" s="1" t="s">
        <v>1470</v>
      </c>
      <c r="G2105">
        <v>4</v>
      </c>
      <c r="H2105" s="1" t="s">
        <v>1503</v>
      </c>
      <c r="I2105" t="s">
        <v>1883</v>
      </c>
      <c r="J2105" s="1" t="s">
        <v>1456</v>
      </c>
      <c r="K2105" s="1" t="s">
        <v>1554</v>
      </c>
      <c r="L2105" s="1" t="s">
        <v>1729</v>
      </c>
      <c r="M2105" s="1" t="s">
        <v>1737</v>
      </c>
      <c r="N2105" t="s">
        <v>2091</v>
      </c>
      <c r="O2105" t="s">
        <v>2194</v>
      </c>
      <c r="P2105">
        <v>82152</v>
      </c>
      <c r="Q2105">
        <v>2</v>
      </c>
      <c r="R2105" s="1" t="s">
        <v>1718</v>
      </c>
      <c r="S2105">
        <v>6860</v>
      </c>
      <c r="T2105">
        <v>13720</v>
      </c>
    </row>
    <row r="2106" spans="1:20" hidden="1" x14ac:dyDescent="0.4">
      <c r="A2106" s="1" t="s">
        <v>708</v>
      </c>
      <c r="B2106" s="1" t="s">
        <v>1453</v>
      </c>
      <c r="C2106" s="1" t="s">
        <v>1844</v>
      </c>
      <c r="D2106" s="1" t="s">
        <v>1462</v>
      </c>
      <c r="E2106">
        <v>20251201</v>
      </c>
      <c r="F2106" s="1" t="s">
        <v>1470</v>
      </c>
      <c r="G2106">
        <v>4</v>
      </c>
      <c r="H2106" s="1" t="s">
        <v>1503</v>
      </c>
      <c r="I2106" t="s">
        <v>1883</v>
      </c>
      <c r="J2106" s="1" t="s">
        <v>1456</v>
      </c>
      <c r="K2106" s="1" t="s">
        <v>1554</v>
      </c>
      <c r="L2106" s="1" t="s">
        <v>1729</v>
      </c>
      <c r="M2106" s="1" t="s">
        <v>1737</v>
      </c>
      <c r="N2106" t="s">
        <v>2092</v>
      </c>
      <c r="O2106" t="s">
        <v>2195</v>
      </c>
      <c r="P2106">
        <v>82176</v>
      </c>
      <c r="Q2106">
        <v>2</v>
      </c>
      <c r="R2106" s="1" t="s">
        <v>1718</v>
      </c>
      <c r="S2106">
        <v>15050</v>
      </c>
      <c r="T2106">
        <v>30100</v>
      </c>
    </row>
    <row r="2107" spans="1:20" hidden="1" x14ac:dyDescent="0.4">
      <c r="A2107" s="1" t="s">
        <v>708</v>
      </c>
      <c r="B2107" s="1" t="s">
        <v>1454</v>
      </c>
      <c r="C2107" s="1" t="s">
        <v>1844</v>
      </c>
      <c r="D2107" s="1" t="s">
        <v>1462</v>
      </c>
      <c r="E2107">
        <v>20251201</v>
      </c>
      <c r="F2107" s="1" t="s">
        <v>1470</v>
      </c>
      <c r="G2107">
        <v>4</v>
      </c>
      <c r="H2107" s="1" t="s">
        <v>1503</v>
      </c>
      <c r="I2107" t="s">
        <v>1883</v>
      </c>
      <c r="J2107" s="1" t="s">
        <v>1456</v>
      </c>
      <c r="K2107" s="1" t="s">
        <v>1554</v>
      </c>
      <c r="L2107" s="1" t="s">
        <v>1729</v>
      </c>
      <c r="M2107" s="1" t="s">
        <v>1737</v>
      </c>
      <c r="N2107" t="s">
        <v>2092</v>
      </c>
      <c r="O2107" t="s">
        <v>2196</v>
      </c>
      <c r="P2107">
        <v>82179</v>
      </c>
      <c r="Q2107">
        <v>2</v>
      </c>
      <c r="R2107" s="1" t="s">
        <v>1718</v>
      </c>
      <c r="S2107">
        <v>15050</v>
      </c>
      <c r="T2107">
        <v>30100</v>
      </c>
    </row>
    <row r="2108" spans="1:20" hidden="1" x14ac:dyDescent="0.4">
      <c r="A2108" s="1" t="s">
        <v>709</v>
      </c>
      <c r="B2108" s="1" t="s">
        <v>1453</v>
      </c>
      <c r="C2108" s="1" t="s">
        <v>1844</v>
      </c>
      <c r="D2108" s="1" t="s">
        <v>1462</v>
      </c>
      <c r="E2108">
        <v>20251201</v>
      </c>
      <c r="F2108" s="1" t="s">
        <v>1470</v>
      </c>
      <c r="G2108">
        <v>4</v>
      </c>
      <c r="H2108" s="1" t="s">
        <v>1503</v>
      </c>
      <c r="I2108" t="s">
        <v>1883</v>
      </c>
      <c r="J2108" s="1" t="s">
        <v>1456</v>
      </c>
      <c r="K2108" s="1" t="s">
        <v>1553</v>
      </c>
      <c r="L2108" s="1" t="s">
        <v>1729</v>
      </c>
      <c r="M2108" s="1" t="s">
        <v>1736</v>
      </c>
      <c r="N2108" t="s">
        <v>2093</v>
      </c>
      <c r="O2108">
        <v>15251109</v>
      </c>
      <c r="P2108" t="s">
        <v>3217</v>
      </c>
      <c r="Q2108">
        <v>2</v>
      </c>
      <c r="R2108" s="1" t="s">
        <v>1718</v>
      </c>
      <c r="S2108">
        <v>14840</v>
      </c>
      <c r="T2108">
        <v>29680</v>
      </c>
    </row>
    <row r="2109" spans="1:20" hidden="1" x14ac:dyDescent="0.4">
      <c r="A2109" s="1" t="s">
        <v>710</v>
      </c>
      <c r="B2109" s="1" t="s">
        <v>1453</v>
      </c>
      <c r="C2109" s="1" t="s">
        <v>1844</v>
      </c>
      <c r="D2109" s="1" t="s">
        <v>1462</v>
      </c>
      <c r="E2109">
        <v>20251201</v>
      </c>
      <c r="F2109" s="1" t="s">
        <v>1470</v>
      </c>
      <c r="G2109">
        <v>4</v>
      </c>
      <c r="H2109" s="1" t="s">
        <v>1503</v>
      </c>
      <c r="I2109" t="s">
        <v>1883</v>
      </c>
      <c r="J2109" s="1" t="s">
        <v>1456</v>
      </c>
      <c r="K2109" s="1" t="s">
        <v>1552</v>
      </c>
      <c r="L2109" s="1" t="s">
        <v>1729</v>
      </c>
      <c r="M2109" s="1" t="s">
        <v>1735</v>
      </c>
      <c r="N2109" t="s">
        <v>2094</v>
      </c>
      <c r="O2109" t="s">
        <v>2197</v>
      </c>
      <c r="P2109" t="s">
        <v>3218</v>
      </c>
      <c r="Q2109">
        <v>2</v>
      </c>
      <c r="R2109" s="1" t="s">
        <v>1839</v>
      </c>
      <c r="S2109">
        <v>4910</v>
      </c>
      <c r="T2109">
        <v>9820</v>
      </c>
    </row>
    <row r="2110" spans="1:20" hidden="1" x14ac:dyDescent="0.4">
      <c r="A2110" s="1" t="s">
        <v>711</v>
      </c>
      <c r="B2110" s="1" t="s">
        <v>1453</v>
      </c>
      <c r="C2110" s="1" t="s">
        <v>1844</v>
      </c>
      <c r="D2110" s="1" t="s">
        <v>1462</v>
      </c>
      <c r="E2110">
        <v>20251201</v>
      </c>
      <c r="F2110" s="1" t="s">
        <v>1470</v>
      </c>
      <c r="G2110">
        <v>4</v>
      </c>
      <c r="H2110" s="1" t="s">
        <v>1503</v>
      </c>
      <c r="I2110" t="s">
        <v>1883</v>
      </c>
      <c r="J2110" s="1" t="s">
        <v>1456</v>
      </c>
      <c r="K2110" s="1" t="s">
        <v>1553</v>
      </c>
      <c r="L2110" s="1" t="s">
        <v>1729</v>
      </c>
      <c r="M2110" s="1" t="s">
        <v>1736</v>
      </c>
      <c r="N2110" t="s">
        <v>2095</v>
      </c>
      <c r="O2110" t="s">
        <v>2198</v>
      </c>
      <c r="P2110" t="s">
        <v>3219</v>
      </c>
      <c r="Q2110">
        <v>1</v>
      </c>
      <c r="R2110" s="1" t="s">
        <v>1718</v>
      </c>
      <c r="S2110">
        <v>4381</v>
      </c>
      <c r="T2110">
        <v>4381</v>
      </c>
    </row>
    <row r="2111" spans="1:20" hidden="1" x14ac:dyDescent="0.4">
      <c r="A2111" s="1" t="s">
        <v>712</v>
      </c>
      <c r="B2111" s="1" t="s">
        <v>1453</v>
      </c>
      <c r="C2111" s="1" t="s">
        <v>1844</v>
      </c>
      <c r="D2111" s="1" t="s">
        <v>1462</v>
      </c>
      <c r="E2111">
        <v>20251201</v>
      </c>
      <c r="F2111" s="1" t="s">
        <v>1470</v>
      </c>
      <c r="G2111">
        <v>4</v>
      </c>
      <c r="H2111" s="1" t="s">
        <v>1503</v>
      </c>
      <c r="I2111" t="s">
        <v>1883</v>
      </c>
      <c r="J2111" s="1" t="s">
        <v>1456</v>
      </c>
      <c r="K2111" s="1" t="s">
        <v>1554</v>
      </c>
      <c r="L2111" s="1" t="s">
        <v>1729</v>
      </c>
      <c r="M2111" s="1" t="s">
        <v>1737</v>
      </c>
      <c r="N2111" t="s">
        <v>2091</v>
      </c>
      <c r="O2111" t="s">
        <v>2199</v>
      </c>
      <c r="P2111">
        <v>82108</v>
      </c>
      <c r="Q2111">
        <v>2</v>
      </c>
      <c r="R2111" s="1" t="s">
        <v>1718</v>
      </c>
      <c r="S2111">
        <v>7300</v>
      </c>
      <c r="T2111">
        <v>14600</v>
      </c>
    </row>
    <row r="2112" spans="1:20" hidden="1" x14ac:dyDescent="0.4">
      <c r="A2112" s="1" t="s">
        <v>713</v>
      </c>
      <c r="B2112" s="1" t="s">
        <v>1453</v>
      </c>
      <c r="C2112" s="1" t="s">
        <v>1844</v>
      </c>
      <c r="D2112" s="1" t="s">
        <v>1462</v>
      </c>
      <c r="E2112">
        <v>20251201</v>
      </c>
      <c r="F2112" s="1" t="s">
        <v>1470</v>
      </c>
      <c r="G2112">
        <v>4</v>
      </c>
      <c r="H2112" s="1" t="s">
        <v>1503</v>
      </c>
      <c r="I2112" t="s">
        <v>1883</v>
      </c>
      <c r="J2112" s="1" t="s">
        <v>1456</v>
      </c>
      <c r="K2112" s="1" t="s">
        <v>1554</v>
      </c>
      <c r="L2112" s="1" t="s">
        <v>1729</v>
      </c>
      <c r="M2112" s="1" t="s">
        <v>1737</v>
      </c>
      <c r="N2112" t="s">
        <v>2092</v>
      </c>
      <c r="O2112" t="s">
        <v>2200</v>
      </c>
      <c r="P2112">
        <v>82177</v>
      </c>
      <c r="Q2112">
        <v>2</v>
      </c>
      <c r="R2112" s="1" t="s">
        <v>1718</v>
      </c>
      <c r="S2112">
        <v>15050</v>
      </c>
      <c r="T2112">
        <v>30100</v>
      </c>
    </row>
    <row r="2113" spans="1:20" hidden="1" x14ac:dyDescent="0.4">
      <c r="A2113" s="1" t="s">
        <v>714</v>
      </c>
      <c r="B2113" s="1" t="s">
        <v>1453</v>
      </c>
      <c r="C2113" s="1" t="s">
        <v>1844</v>
      </c>
      <c r="D2113" s="1" t="s">
        <v>1462</v>
      </c>
      <c r="E2113">
        <v>20251201</v>
      </c>
      <c r="F2113" s="1" t="s">
        <v>1470</v>
      </c>
      <c r="G2113">
        <v>4</v>
      </c>
      <c r="H2113" s="1" t="s">
        <v>1496</v>
      </c>
      <c r="I2113" t="s">
        <v>1876</v>
      </c>
      <c r="J2113" s="1" t="s">
        <v>1456</v>
      </c>
      <c r="K2113" s="1" t="s">
        <v>1557</v>
      </c>
      <c r="L2113" s="1" t="s">
        <v>1729</v>
      </c>
      <c r="M2113" s="1" t="s">
        <v>1737</v>
      </c>
      <c r="N2113" t="s">
        <v>1929</v>
      </c>
      <c r="O2113" t="s">
        <v>2201</v>
      </c>
      <c r="P2113" t="s">
        <v>3220</v>
      </c>
      <c r="Q2113">
        <v>2</v>
      </c>
      <c r="R2113" s="1" t="s">
        <v>1718</v>
      </c>
      <c r="S2113">
        <v>8780</v>
      </c>
      <c r="T2113">
        <v>17560</v>
      </c>
    </row>
    <row r="2114" spans="1:20" hidden="1" x14ac:dyDescent="0.4">
      <c r="A2114" s="1" t="s">
        <v>715</v>
      </c>
      <c r="B2114" s="1" t="s">
        <v>1453</v>
      </c>
      <c r="C2114" s="1" t="s">
        <v>1844</v>
      </c>
      <c r="D2114" s="1" t="s">
        <v>1462</v>
      </c>
      <c r="E2114">
        <v>20251201</v>
      </c>
      <c r="F2114" s="1" t="s">
        <v>1470</v>
      </c>
      <c r="G2114">
        <v>4</v>
      </c>
      <c r="H2114" s="1" t="s">
        <v>1496</v>
      </c>
      <c r="I2114" t="s">
        <v>1876</v>
      </c>
      <c r="J2114" s="1" t="s">
        <v>1456</v>
      </c>
      <c r="K2114" s="1" t="s">
        <v>1557</v>
      </c>
      <c r="L2114" s="1" t="s">
        <v>1729</v>
      </c>
      <c r="M2114" s="1" t="s">
        <v>1737</v>
      </c>
      <c r="N2114" t="s">
        <v>1929</v>
      </c>
      <c r="O2114" t="s">
        <v>2202</v>
      </c>
      <c r="P2114" t="s">
        <v>3220</v>
      </c>
      <c r="Q2114">
        <v>2</v>
      </c>
      <c r="R2114" s="1" t="s">
        <v>1718</v>
      </c>
      <c r="S2114">
        <v>8780</v>
      </c>
      <c r="T2114">
        <v>17560</v>
      </c>
    </row>
    <row r="2115" spans="1:20" hidden="1" x14ac:dyDescent="0.4">
      <c r="A2115" s="1" t="s">
        <v>715</v>
      </c>
      <c r="B2115" s="1" t="s">
        <v>1454</v>
      </c>
      <c r="C2115" s="1" t="s">
        <v>1844</v>
      </c>
      <c r="D2115" s="1" t="s">
        <v>1462</v>
      </c>
      <c r="E2115">
        <v>20251201</v>
      </c>
      <c r="F2115" s="1" t="s">
        <v>1470</v>
      </c>
      <c r="G2115">
        <v>4</v>
      </c>
      <c r="H2115" s="1" t="s">
        <v>1496</v>
      </c>
      <c r="I2115" t="s">
        <v>1876</v>
      </c>
      <c r="J2115" s="1" t="s">
        <v>1456</v>
      </c>
      <c r="K2115" s="1" t="s">
        <v>1557</v>
      </c>
      <c r="L2115" s="1" t="s">
        <v>1729</v>
      </c>
      <c r="M2115" s="1" t="s">
        <v>1737</v>
      </c>
      <c r="N2115" t="s">
        <v>1929</v>
      </c>
      <c r="O2115" t="s">
        <v>2203</v>
      </c>
      <c r="P2115" t="s">
        <v>3221</v>
      </c>
      <c r="Q2115">
        <v>2</v>
      </c>
      <c r="R2115" s="1" t="s">
        <v>1718</v>
      </c>
      <c r="S2115">
        <v>7020</v>
      </c>
      <c r="T2115">
        <v>14040</v>
      </c>
    </row>
    <row r="2116" spans="1:20" hidden="1" x14ac:dyDescent="0.4">
      <c r="A2116" s="1" t="s">
        <v>716</v>
      </c>
      <c r="B2116" s="1" t="s">
        <v>1453</v>
      </c>
      <c r="C2116" s="1" t="s">
        <v>1844</v>
      </c>
      <c r="D2116" s="1" t="s">
        <v>1462</v>
      </c>
      <c r="E2116">
        <v>20251201</v>
      </c>
      <c r="F2116" s="1" t="s">
        <v>1470</v>
      </c>
      <c r="G2116">
        <v>4</v>
      </c>
      <c r="H2116" s="1" t="s">
        <v>1512</v>
      </c>
      <c r="I2116" t="s">
        <v>1892</v>
      </c>
      <c r="J2116" s="1" t="s">
        <v>1456</v>
      </c>
      <c r="K2116" s="1" t="s">
        <v>1558</v>
      </c>
      <c r="L2116" s="1" t="s">
        <v>1729</v>
      </c>
      <c r="M2116" s="1" t="s">
        <v>1737</v>
      </c>
      <c r="N2116" t="s">
        <v>2096</v>
      </c>
      <c r="O2116" t="s">
        <v>2204</v>
      </c>
      <c r="P2116" t="s">
        <v>3222</v>
      </c>
      <c r="Q2116">
        <v>2</v>
      </c>
      <c r="R2116" s="1" t="s">
        <v>1718</v>
      </c>
      <c r="S2116">
        <v>17285</v>
      </c>
      <c r="T2116">
        <v>34570</v>
      </c>
    </row>
    <row r="2117" spans="1:20" hidden="1" x14ac:dyDescent="0.4">
      <c r="A2117" s="1" t="s">
        <v>717</v>
      </c>
      <c r="B2117" s="1" t="s">
        <v>1453</v>
      </c>
      <c r="C2117" s="1" t="s">
        <v>1844</v>
      </c>
      <c r="D2117" s="1" t="s">
        <v>1462</v>
      </c>
      <c r="E2117">
        <v>20251201</v>
      </c>
      <c r="F2117" s="1" t="s">
        <v>1470</v>
      </c>
      <c r="G2117">
        <v>4</v>
      </c>
      <c r="H2117" s="1" t="s">
        <v>1512</v>
      </c>
      <c r="I2117" t="s">
        <v>1892</v>
      </c>
      <c r="J2117" s="1" t="s">
        <v>1456</v>
      </c>
      <c r="K2117" s="1" t="s">
        <v>1558</v>
      </c>
      <c r="L2117" s="1" t="s">
        <v>1729</v>
      </c>
      <c r="M2117" s="1" t="s">
        <v>1737</v>
      </c>
      <c r="N2117" t="s">
        <v>2096</v>
      </c>
      <c r="O2117" t="s">
        <v>2205</v>
      </c>
      <c r="P2117" t="s">
        <v>3223</v>
      </c>
      <c r="Q2117">
        <v>2</v>
      </c>
      <c r="R2117" s="1" t="s">
        <v>1718</v>
      </c>
      <c r="S2117">
        <v>13444</v>
      </c>
      <c r="T2117">
        <v>26888</v>
      </c>
    </row>
    <row r="2118" spans="1:20" hidden="1" x14ac:dyDescent="0.4">
      <c r="A2118" s="1" t="s">
        <v>718</v>
      </c>
      <c r="B2118" s="1" t="s">
        <v>1453</v>
      </c>
      <c r="C2118" s="1" t="s">
        <v>1844</v>
      </c>
      <c r="D2118" s="1" t="s">
        <v>1462</v>
      </c>
      <c r="E2118">
        <v>20251201</v>
      </c>
      <c r="F2118" s="1" t="s">
        <v>1470</v>
      </c>
      <c r="G2118">
        <v>4</v>
      </c>
      <c r="H2118" s="1" t="s">
        <v>1512</v>
      </c>
      <c r="I2118" t="s">
        <v>1892</v>
      </c>
      <c r="J2118" s="1" t="s">
        <v>1456</v>
      </c>
      <c r="K2118" s="1" t="s">
        <v>1558</v>
      </c>
      <c r="L2118" s="1" t="s">
        <v>1729</v>
      </c>
      <c r="M2118" s="1" t="s">
        <v>1737</v>
      </c>
      <c r="N2118" t="s">
        <v>2096</v>
      </c>
      <c r="O2118" t="s">
        <v>2206</v>
      </c>
      <c r="P2118" t="s">
        <v>3224</v>
      </c>
      <c r="Q2118">
        <v>2</v>
      </c>
      <c r="R2118" s="1" t="s">
        <v>1718</v>
      </c>
      <c r="S2118">
        <v>17285</v>
      </c>
      <c r="T2118">
        <v>34570</v>
      </c>
    </row>
    <row r="2119" spans="1:20" hidden="1" x14ac:dyDescent="0.4">
      <c r="A2119" s="1" t="s">
        <v>719</v>
      </c>
      <c r="B2119" s="1" t="s">
        <v>1453</v>
      </c>
      <c r="C2119" s="1" t="s">
        <v>1844</v>
      </c>
      <c r="D2119" s="1" t="s">
        <v>1462</v>
      </c>
      <c r="E2119">
        <v>20251201</v>
      </c>
      <c r="F2119" s="1" t="s">
        <v>1470</v>
      </c>
      <c r="G2119">
        <v>4</v>
      </c>
      <c r="H2119" s="1" t="s">
        <v>1512</v>
      </c>
      <c r="I2119" t="s">
        <v>1892</v>
      </c>
      <c r="J2119" s="1" t="s">
        <v>1456</v>
      </c>
      <c r="K2119" s="1" t="s">
        <v>1558</v>
      </c>
      <c r="L2119" s="1" t="s">
        <v>1729</v>
      </c>
      <c r="M2119" s="1" t="s">
        <v>1737</v>
      </c>
      <c r="N2119" t="s">
        <v>2096</v>
      </c>
      <c r="O2119" t="s">
        <v>2207</v>
      </c>
      <c r="P2119" t="s">
        <v>3225</v>
      </c>
      <c r="Q2119">
        <v>4</v>
      </c>
      <c r="R2119" s="1" t="s">
        <v>1718</v>
      </c>
      <c r="S2119">
        <v>12420</v>
      </c>
      <c r="T2119">
        <v>49680</v>
      </c>
    </row>
    <row r="2120" spans="1:20" hidden="1" x14ac:dyDescent="0.4">
      <c r="A2120" s="1" t="s">
        <v>720</v>
      </c>
      <c r="B2120" s="1" t="s">
        <v>1453</v>
      </c>
      <c r="C2120" s="1" t="s">
        <v>1844</v>
      </c>
      <c r="D2120" s="1" t="s">
        <v>1462</v>
      </c>
      <c r="E2120">
        <v>20251201</v>
      </c>
      <c r="F2120" s="1" t="s">
        <v>1470</v>
      </c>
      <c r="G2120">
        <v>4</v>
      </c>
      <c r="H2120" s="1" t="s">
        <v>1512</v>
      </c>
      <c r="I2120" t="s">
        <v>1892</v>
      </c>
      <c r="J2120" s="1" t="s">
        <v>1456</v>
      </c>
      <c r="K2120" s="1" t="s">
        <v>1558</v>
      </c>
      <c r="L2120" s="1" t="s">
        <v>1729</v>
      </c>
      <c r="M2120" s="1" t="s">
        <v>1737</v>
      </c>
      <c r="N2120" t="s">
        <v>2096</v>
      </c>
      <c r="O2120" t="s">
        <v>2208</v>
      </c>
      <c r="P2120" t="s">
        <v>3226</v>
      </c>
      <c r="Q2120">
        <v>3</v>
      </c>
      <c r="R2120" s="1" t="s">
        <v>1718</v>
      </c>
      <c r="S2120">
        <v>48094</v>
      </c>
      <c r="T2120">
        <v>144282</v>
      </c>
    </row>
    <row r="2121" spans="1:20" hidden="1" x14ac:dyDescent="0.4">
      <c r="A2121" s="1" t="s">
        <v>721</v>
      </c>
      <c r="B2121" s="1" t="s">
        <v>1453</v>
      </c>
      <c r="C2121" s="1" t="s">
        <v>1844</v>
      </c>
      <c r="D2121" s="1" t="s">
        <v>1462</v>
      </c>
      <c r="E2121">
        <v>20251201</v>
      </c>
      <c r="F2121" s="1" t="s">
        <v>1470</v>
      </c>
      <c r="G2121">
        <v>4</v>
      </c>
      <c r="H2121" s="1" t="s">
        <v>1512</v>
      </c>
      <c r="I2121" t="s">
        <v>1892</v>
      </c>
      <c r="J2121" s="1" t="s">
        <v>1456</v>
      </c>
      <c r="K2121" s="1" t="s">
        <v>1558</v>
      </c>
      <c r="L2121" s="1" t="s">
        <v>1729</v>
      </c>
      <c r="M2121" s="1" t="s">
        <v>1737</v>
      </c>
      <c r="N2121" t="s">
        <v>2096</v>
      </c>
      <c r="O2121" t="s">
        <v>2209</v>
      </c>
      <c r="P2121" t="s">
        <v>3227</v>
      </c>
      <c r="Q2121">
        <v>1</v>
      </c>
      <c r="R2121" s="1" t="s">
        <v>1718</v>
      </c>
      <c r="S2121">
        <v>37772</v>
      </c>
      <c r="T2121">
        <v>37772</v>
      </c>
    </row>
    <row r="2122" spans="1:20" hidden="1" x14ac:dyDescent="0.4">
      <c r="A2122" s="1" t="s">
        <v>721</v>
      </c>
      <c r="B2122" s="1" t="s">
        <v>1454</v>
      </c>
      <c r="C2122" s="1" t="s">
        <v>1844</v>
      </c>
      <c r="D2122" s="1" t="s">
        <v>1462</v>
      </c>
      <c r="E2122">
        <v>20251201</v>
      </c>
      <c r="F2122" s="1" t="s">
        <v>1470</v>
      </c>
      <c r="G2122">
        <v>4</v>
      </c>
      <c r="H2122" s="1" t="s">
        <v>1512</v>
      </c>
      <c r="I2122" t="s">
        <v>1892</v>
      </c>
      <c r="J2122" s="1" t="s">
        <v>1456</v>
      </c>
      <c r="K2122" s="1" t="s">
        <v>1558</v>
      </c>
      <c r="L2122" s="1" t="s">
        <v>1729</v>
      </c>
      <c r="M2122" s="1" t="s">
        <v>1737</v>
      </c>
      <c r="N2122" t="s">
        <v>2096</v>
      </c>
      <c r="O2122" t="s">
        <v>2209</v>
      </c>
      <c r="P2122" t="s">
        <v>3228</v>
      </c>
      <c r="Q2122">
        <v>1</v>
      </c>
      <c r="R2122" s="1" t="s">
        <v>1718</v>
      </c>
      <c r="S2122">
        <v>40717</v>
      </c>
      <c r="T2122">
        <v>40717</v>
      </c>
    </row>
    <row r="2123" spans="1:20" hidden="1" x14ac:dyDescent="0.4">
      <c r="A2123" s="1" t="s">
        <v>721</v>
      </c>
      <c r="B2123" s="1" t="s">
        <v>1455</v>
      </c>
      <c r="C2123" s="1" t="s">
        <v>1844</v>
      </c>
      <c r="D2123" s="1" t="s">
        <v>1462</v>
      </c>
      <c r="E2123">
        <v>20251201</v>
      </c>
      <c r="F2123" s="1" t="s">
        <v>1470</v>
      </c>
      <c r="G2123">
        <v>4</v>
      </c>
      <c r="H2123" s="1" t="s">
        <v>1512</v>
      </c>
      <c r="I2123" t="s">
        <v>1892</v>
      </c>
      <c r="J2123" s="1" t="s">
        <v>1456</v>
      </c>
      <c r="K2123" s="1" t="s">
        <v>1558</v>
      </c>
      <c r="L2123" s="1" t="s">
        <v>1729</v>
      </c>
      <c r="M2123" s="1" t="s">
        <v>1737</v>
      </c>
      <c r="N2123" t="s">
        <v>2096</v>
      </c>
      <c r="O2123" t="s">
        <v>2209</v>
      </c>
      <c r="P2123" t="s">
        <v>3229</v>
      </c>
      <c r="Q2123">
        <v>1</v>
      </c>
      <c r="R2123" s="1" t="s">
        <v>1718</v>
      </c>
      <c r="S2123">
        <v>66660</v>
      </c>
      <c r="T2123">
        <v>66660</v>
      </c>
    </row>
    <row r="2124" spans="1:20" hidden="1" x14ac:dyDescent="0.4">
      <c r="A2124" s="1" t="s">
        <v>721</v>
      </c>
      <c r="B2124" s="1" t="s">
        <v>1456</v>
      </c>
      <c r="C2124" s="1" t="s">
        <v>1844</v>
      </c>
      <c r="D2124" s="1" t="s">
        <v>1462</v>
      </c>
      <c r="E2124">
        <v>20251201</v>
      </c>
      <c r="F2124" s="1" t="s">
        <v>1470</v>
      </c>
      <c r="G2124">
        <v>4</v>
      </c>
      <c r="H2124" s="1" t="s">
        <v>1512</v>
      </c>
      <c r="I2124" t="s">
        <v>1892</v>
      </c>
      <c r="J2124" s="1" t="s">
        <v>1456</v>
      </c>
      <c r="K2124" s="1" t="s">
        <v>1558</v>
      </c>
      <c r="L2124" s="1" t="s">
        <v>1729</v>
      </c>
      <c r="M2124" s="1" t="s">
        <v>1737</v>
      </c>
      <c r="N2124" t="s">
        <v>2096</v>
      </c>
      <c r="O2124" t="s">
        <v>2209</v>
      </c>
      <c r="P2124" t="s">
        <v>3230</v>
      </c>
      <c r="Q2124">
        <v>1</v>
      </c>
      <c r="R2124" s="1" t="s">
        <v>1718</v>
      </c>
      <c r="S2124">
        <v>61539</v>
      </c>
      <c r="T2124">
        <v>61539</v>
      </c>
    </row>
    <row r="2125" spans="1:20" hidden="1" x14ac:dyDescent="0.4">
      <c r="A2125" s="1" t="s">
        <v>721</v>
      </c>
      <c r="B2125" s="1" t="s">
        <v>1457</v>
      </c>
      <c r="C2125" s="1" t="s">
        <v>1844</v>
      </c>
      <c r="D2125" s="1" t="s">
        <v>1462</v>
      </c>
      <c r="E2125">
        <v>20251201</v>
      </c>
      <c r="F2125" s="1" t="s">
        <v>1470</v>
      </c>
      <c r="G2125">
        <v>4</v>
      </c>
      <c r="H2125" s="1" t="s">
        <v>1512</v>
      </c>
      <c r="I2125" t="s">
        <v>1892</v>
      </c>
      <c r="J2125" s="1" t="s">
        <v>1456</v>
      </c>
      <c r="K2125" s="1" t="s">
        <v>1558</v>
      </c>
      <c r="L2125" s="1" t="s">
        <v>1729</v>
      </c>
      <c r="M2125" s="1" t="s">
        <v>1737</v>
      </c>
      <c r="N2125" t="s">
        <v>2096</v>
      </c>
      <c r="O2125" t="s">
        <v>2209</v>
      </c>
      <c r="P2125" t="s">
        <v>3231</v>
      </c>
      <c r="Q2125">
        <v>1</v>
      </c>
      <c r="R2125" s="1" t="s">
        <v>1718</v>
      </c>
      <c r="S2125">
        <v>38156</v>
      </c>
      <c r="T2125">
        <v>38156</v>
      </c>
    </row>
    <row r="2126" spans="1:20" hidden="1" x14ac:dyDescent="0.4">
      <c r="A2126" s="1" t="s">
        <v>721</v>
      </c>
      <c r="B2126" s="1" t="s">
        <v>1458</v>
      </c>
      <c r="C2126" s="1" t="s">
        <v>1844</v>
      </c>
      <c r="D2126" s="1" t="s">
        <v>1462</v>
      </c>
      <c r="E2126">
        <v>20251201</v>
      </c>
      <c r="F2126" s="1" t="s">
        <v>1470</v>
      </c>
      <c r="G2126">
        <v>4</v>
      </c>
      <c r="H2126" s="1" t="s">
        <v>1512</v>
      </c>
      <c r="I2126" t="s">
        <v>1892</v>
      </c>
      <c r="J2126" s="1" t="s">
        <v>1456</v>
      </c>
      <c r="K2126" s="1" t="s">
        <v>1558</v>
      </c>
      <c r="L2126" s="1" t="s">
        <v>1729</v>
      </c>
      <c r="M2126" s="1" t="s">
        <v>1737</v>
      </c>
      <c r="N2126" t="s">
        <v>2096</v>
      </c>
      <c r="O2126" t="s">
        <v>2209</v>
      </c>
      <c r="P2126" t="s">
        <v>3232</v>
      </c>
      <c r="Q2126">
        <v>1</v>
      </c>
      <c r="R2126" s="1" t="s">
        <v>1718</v>
      </c>
      <c r="S2126">
        <v>20742</v>
      </c>
      <c r="T2126">
        <v>20742</v>
      </c>
    </row>
    <row r="2127" spans="1:20" hidden="1" x14ac:dyDescent="0.4">
      <c r="A2127" s="1" t="s">
        <v>722</v>
      </c>
      <c r="B2127" s="1" t="s">
        <v>1453</v>
      </c>
      <c r="C2127" s="1" t="s">
        <v>1844</v>
      </c>
      <c r="D2127" s="1" t="s">
        <v>1462</v>
      </c>
      <c r="E2127">
        <v>20251201</v>
      </c>
      <c r="F2127" s="1" t="s">
        <v>1470</v>
      </c>
      <c r="G2127">
        <v>4</v>
      </c>
      <c r="H2127" s="1" t="s">
        <v>1512</v>
      </c>
      <c r="I2127" t="s">
        <v>1892</v>
      </c>
      <c r="J2127" s="1" t="s">
        <v>1456</v>
      </c>
      <c r="K2127" s="1" t="s">
        <v>1558</v>
      </c>
      <c r="L2127" s="1" t="s">
        <v>1729</v>
      </c>
      <c r="M2127" s="1" t="s">
        <v>1737</v>
      </c>
      <c r="N2127" t="s">
        <v>2096</v>
      </c>
      <c r="O2127" t="s">
        <v>2210</v>
      </c>
      <c r="P2127" t="s">
        <v>3233</v>
      </c>
      <c r="Q2127">
        <v>2</v>
      </c>
      <c r="R2127" s="1" t="s">
        <v>1718</v>
      </c>
      <c r="S2127">
        <v>6658</v>
      </c>
      <c r="T2127">
        <v>13316</v>
      </c>
    </row>
    <row r="2128" spans="1:20" hidden="1" x14ac:dyDescent="0.4">
      <c r="A2128" s="1" t="s">
        <v>722</v>
      </c>
      <c r="B2128" s="1" t="s">
        <v>1454</v>
      </c>
      <c r="C2128" s="1" t="s">
        <v>1844</v>
      </c>
      <c r="D2128" s="1" t="s">
        <v>1462</v>
      </c>
      <c r="E2128">
        <v>20251201</v>
      </c>
      <c r="F2128" s="1" t="s">
        <v>1470</v>
      </c>
      <c r="G2128">
        <v>4</v>
      </c>
      <c r="H2128" s="1" t="s">
        <v>1512</v>
      </c>
      <c r="I2128" t="s">
        <v>1892</v>
      </c>
      <c r="J2128" s="1" t="s">
        <v>1456</v>
      </c>
      <c r="K2128" s="1" t="s">
        <v>1558</v>
      </c>
      <c r="L2128" s="1" t="s">
        <v>1729</v>
      </c>
      <c r="M2128" s="1" t="s">
        <v>1737</v>
      </c>
      <c r="N2128" t="s">
        <v>2096</v>
      </c>
      <c r="O2128" t="s">
        <v>2210</v>
      </c>
      <c r="P2128" t="s">
        <v>3234</v>
      </c>
      <c r="Q2128">
        <v>2</v>
      </c>
      <c r="R2128" s="1" t="s">
        <v>1718</v>
      </c>
      <c r="S2128">
        <v>17285</v>
      </c>
      <c r="T2128">
        <v>34570</v>
      </c>
    </row>
    <row r="2129" spans="1:20" hidden="1" x14ac:dyDescent="0.4">
      <c r="A2129" s="1" t="s">
        <v>723</v>
      </c>
      <c r="B2129" s="1" t="s">
        <v>1453</v>
      </c>
      <c r="C2129" s="1" t="s">
        <v>1844</v>
      </c>
      <c r="D2129" s="1" t="s">
        <v>1462</v>
      </c>
      <c r="E2129">
        <v>20251201</v>
      </c>
      <c r="F2129" s="1" t="s">
        <v>1470</v>
      </c>
      <c r="G2129">
        <v>4</v>
      </c>
      <c r="H2129" s="1" t="s">
        <v>1512</v>
      </c>
      <c r="I2129" t="s">
        <v>1892</v>
      </c>
      <c r="J2129" s="1" t="s">
        <v>1456</v>
      </c>
      <c r="K2129" s="1" t="s">
        <v>1558</v>
      </c>
      <c r="L2129" s="1" t="s">
        <v>1729</v>
      </c>
      <c r="M2129" s="1" t="s">
        <v>1737</v>
      </c>
      <c r="N2129" t="s">
        <v>2096</v>
      </c>
      <c r="O2129" t="s">
        <v>2211</v>
      </c>
      <c r="P2129" t="s">
        <v>3235</v>
      </c>
      <c r="Q2129">
        <v>2</v>
      </c>
      <c r="R2129" s="1" t="s">
        <v>1718</v>
      </c>
      <c r="S2129">
        <v>8579</v>
      </c>
      <c r="T2129">
        <v>17158</v>
      </c>
    </row>
    <row r="2130" spans="1:20" hidden="1" x14ac:dyDescent="0.4">
      <c r="A2130" s="1" t="s">
        <v>723</v>
      </c>
      <c r="B2130" s="1" t="s">
        <v>1454</v>
      </c>
      <c r="C2130" s="1" t="s">
        <v>1844</v>
      </c>
      <c r="D2130" s="1" t="s">
        <v>1462</v>
      </c>
      <c r="E2130">
        <v>20251201</v>
      </c>
      <c r="F2130" s="1" t="s">
        <v>1470</v>
      </c>
      <c r="G2130">
        <v>4</v>
      </c>
      <c r="H2130" s="1" t="s">
        <v>1512</v>
      </c>
      <c r="I2130" t="s">
        <v>1892</v>
      </c>
      <c r="J2130" s="1" t="s">
        <v>1456</v>
      </c>
      <c r="K2130" s="1" t="s">
        <v>1558</v>
      </c>
      <c r="L2130" s="1" t="s">
        <v>1729</v>
      </c>
      <c r="M2130" s="1" t="s">
        <v>1737</v>
      </c>
      <c r="N2130" t="s">
        <v>2096</v>
      </c>
      <c r="O2130" t="s">
        <v>2212</v>
      </c>
      <c r="P2130" t="s">
        <v>3236</v>
      </c>
      <c r="Q2130">
        <v>2</v>
      </c>
      <c r="R2130" s="1" t="s">
        <v>1718</v>
      </c>
      <c r="S2130">
        <v>13828</v>
      </c>
      <c r="T2130">
        <v>27656</v>
      </c>
    </row>
    <row r="2131" spans="1:20" hidden="1" x14ac:dyDescent="0.4">
      <c r="A2131" s="1" t="s">
        <v>723</v>
      </c>
      <c r="B2131" s="1" t="s">
        <v>1455</v>
      </c>
      <c r="C2131" s="1" t="s">
        <v>1844</v>
      </c>
      <c r="D2131" s="1" t="s">
        <v>1462</v>
      </c>
      <c r="E2131">
        <v>20251201</v>
      </c>
      <c r="F2131" s="1" t="s">
        <v>1470</v>
      </c>
      <c r="G2131">
        <v>4</v>
      </c>
      <c r="H2131" s="1" t="s">
        <v>1512</v>
      </c>
      <c r="I2131" t="s">
        <v>1892</v>
      </c>
      <c r="J2131" s="1" t="s">
        <v>1456</v>
      </c>
      <c r="K2131" s="1" t="s">
        <v>1558</v>
      </c>
      <c r="L2131" s="1" t="s">
        <v>1729</v>
      </c>
      <c r="M2131" s="1" t="s">
        <v>1737</v>
      </c>
      <c r="N2131" t="s">
        <v>2096</v>
      </c>
      <c r="O2131" t="s">
        <v>2213</v>
      </c>
      <c r="P2131" t="s">
        <v>3237</v>
      </c>
      <c r="Q2131">
        <v>2</v>
      </c>
      <c r="R2131" s="1" t="s">
        <v>1718</v>
      </c>
      <c r="S2131">
        <v>14932</v>
      </c>
      <c r="T2131">
        <v>29864</v>
      </c>
    </row>
    <row r="2132" spans="1:20" hidden="1" x14ac:dyDescent="0.4">
      <c r="A2132" s="1" t="s">
        <v>723</v>
      </c>
      <c r="B2132" s="1" t="s">
        <v>1456</v>
      </c>
      <c r="C2132" s="1" t="s">
        <v>1844</v>
      </c>
      <c r="D2132" s="1" t="s">
        <v>1462</v>
      </c>
      <c r="E2132">
        <v>20251201</v>
      </c>
      <c r="F2132" s="1" t="s">
        <v>1470</v>
      </c>
      <c r="G2132">
        <v>4</v>
      </c>
      <c r="H2132" s="1" t="s">
        <v>1512</v>
      </c>
      <c r="I2132" t="s">
        <v>1892</v>
      </c>
      <c r="J2132" s="1" t="s">
        <v>1456</v>
      </c>
      <c r="K2132" s="1" t="s">
        <v>1558</v>
      </c>
      <c r="L2132" s="1" t="s">
        <v>1729</v>
      </c>
      <c r="M2132" s="1" t="s">
        <v>1737</v>
      </c>
      <c r="N2132" t="s">
        <v>2096</v>
      </c>
      <c r="O2132" t="s">
        <v>2212</v>
      </c>
      <c r="P2132" t="s">
        <v>3238</v>
      </c>
      <c r="Q2132">
        <v>2</v>
      </c>
      <c r="R2132" s="1" t="s">
        <v>1718</v>
      </c>
      <c r="S2132">
        <v>8579</v>
      </c>
      <c r="T2132">
        <v>17158</v>
      </c>
    </row>
    <row r="2133" spans="1:20" hidden="1" x14ac:dyDescent="0.4">
      <c r="A2133" s="1" t="s">
        <v>723</v>
      </c>
      <c r="B2133" s="1" t="s">
        <v>1457</v>
      </c>
      <c r="C2133" s="1" t="s">
        <v>1844</v>
      </c>
      <c r="D2133" s="1" t="s">
        <v>1462</v>
      </c>
      <c r="E2133">
        <v>20251201</v>
      </c>
      <c r="F2133" s="1" t="s">
        <v>1470</v>
      </c>
      <c r="G2133">
        <v>4</v>
      </c>
      <c r="H2133" s="1" t="s">
        <v>1512</v>
      </c>
      <c r="I2133" t="s">
        <v>1892</v>
      </c>
      <c r="J2133" s="1" t="s">
        <v>1456</v>
      </c>
      <c r="K2133" s="1" t="s">
        <v>1558</v>
      </c>
      <c r="L2133" s="1" t="s">
        <v>1729</v>
      </c>
      <c r="M2133" s="1" t="s">
        <v>1737</v>
      </c>
      <c r="N2133" t="s">
        <v>2096</v>
      </c>
      <c r="O2133" t="s">
        <v>2212</v>
      </c>
      <c r="P2133" t="s">
        <v>3239</v>
      </c>
      <c r="Q2133">
        <v>2</v>
      </c>
      <c r="R2133" s="1" t="s">
        <v>1718</v>
      </c>
      <c r="S2133">
        <v>18005</v>
      </c>
      <c r="T2133">
        <v>36010</v>
      </c>
    </row>
    <row r="2134" spans="1:20" hidden="1" x14ac:dyDescent="0.4">
      <c r="A2134" s="1" t="s">
        <v>724</v>
      </c>
      <c r="B2134" s="1" t="s">
        <v>1453</v>
      </c>
      <c r="C2134" s="1" t="s">
        <v>1844</v>
      </c>
      <c r="D2134" s="1" t="s">
        <v>1462</v>
      </c>
      <c r="E2134">
        <v>20251201</v>
      </c>
      <c r="F2134" s="1" t="s">
        <v>1470</v>
      </c>
      <c r="G2134">
        <v>4</v>
      </c>
      <c r="H2134" s="1" t="s">
        <v>1512</v>
      </c>
      <c r="I2134" t="s">
        <v>1892</v>
      </c>
      <c r="J2134" s="1" t="s">
        <v>1456</v>
      </c>
      <c r="K2134" s="1" t="s">
        <v>1558</v>
      </c>
      <c r="L2134" s="1" t="s">
        <v>1729</v>
      </c>
      <c r="M2134" s="1" t="s">
        <v>1737</v>
      </c>
      <c r="N2134" t="s">
        <v>2096</v>
      </c>
      <c r="O2134" t="s">
        <v>2214</v>
      </c>
      <c r="P2134" t="s">
        <v>3240</v>
      </c>
      <c r="Q2134">
        <v>2</v>
      </c>
      <c r="R2134" s="1" t="s">
        <v>1718</v>
      </c>
      <c r="S2134">
        <v>27657</v>
      </c>
      <c r="T2134">
        <v>55314</v>
      </c>
    </row>
    <row r="2135" spans="1:20" hidden="1" x14ac:dyDescent="0.4">
      <c r="A2135" s="1" t="s">
        <v>725</v>
      </c>
      <c r="B2135" s="1" t="s">
        <v>1453</v>
      </c>
      <c r="C2135" s="1" t="s">
        <v>1844</v>
      </c>
      <c r="D2135" s="1" t="s">
        <v>1462</v>
      </c>
      <c r="E2135">
        <v>20251201</v>
      </c>
      <c r="F2135" s="1" t="s">
        <v>1470</v>
      </c>
      <c r="G2135">
        <v>4</v>
      </c>
      <c r="H2135" s="1" t="s">
        <v>1512</v>
      </c>
      <c r="I2135" t="s">
        <v>1892</v>
      </c>
      <c r="J2135" s="1" t="s">
        <v>1456</v>
      </c>
      <c r="K2135" s="1" t="s">
        <v>1558</v>
      </c>
      <c r="L2135" s="1" t="s">
        <v>1729</v>
      </c>
      <c r="M2135" s="1" t="s">
        <v>1737</v>
      </c>
      <c r="N2135" t="s">
        <v>2096</v>
      </c>
      <c r="O2135" t="s">
        <v>2215</v>
      </c>
      <c r="P2135" t="s">
        <v>3241</v>
      </c>
      <c r="Q2135">
        <v>2</v>
      </c>
      <c r="R2135" s="1" t="s">
        <v>1718</v>
      </c>
      <c r="S2135">
        <v>12292</v>
      </c>
      <c r="T2135">
        <v>24584</v>
      </c>
    </row>
    <row r="2136" spans="1:20" hidden="1" x14ac:dyDescent="0.4">
      <c r="A2136" s="1" t="s">
        <v>726</v>
      </c>
      <c r="B2136" s="1" t="s">
        <v>1453</v>
      </c>
      <c r="C2136" s="1" t="s">
        <v>1844</v>
      </c>
      <c r="D2136" s="1" t="s">
        <v>1462</v>
      </c>
      <c r="E2136">
        <v>20251201</v>
      </c>
      <c r="F2136" s="1" t="s">
        <v>1470</v>
      </c>
      <c r="G2136">
        <v>4</v>
      </c>
      <c r="H2136" s="1" t="s">
        <v>1512</v>
      </c>
      <c r="I2136" t="s">
        <v>1892</v>
      </c>
      <c r="J2136" s="1" t="s">
        <v>1456</v>
      </c>
      <c r="K2136" s="1" t="s">
        <v>1558</v>
      </c>
      <c r="L2136" s="1" t="s">
        <v>1729</v>
      </c>
      <c r="M2136" s="1" t="s">
        <v>1737</v>
      </c>
      <c r="N2136" t="s">
        <v>2096</v>
      </c>
      <c r="O2136" t="s">
        <v>2216</v>
      </c>
      <c r="P2136" t="s">
        <v>3242</v>
      </c>
      <c r="Q2136">
        <v>2</v>
      </c>
      <c r="R2136" s="1" t="s">
        <v>1718</v>
      </c>
      <c r="S2136">
        <v>13396</v>
      </c>
      <c r="T2136">
        <v>26792</v>
      </c>
    </row>
    <row r="2137" spans="1:20" hidden="1" x14ac:dyDescent="0.4">
      <c r="A2137" s="1" t="s">
        <v>727</v>
      </c>
      <c r="B2137" s="1" t="s">
        <v>1453</v>
      </c>
      <c r="C2137" s="1" t="s">
        <v>1844</v>
      </c>
      <c r="D2137" s="1" t="s">
        <v>1467</v>
      </c>
      <c r="E2137">
        <v>20251201</v>
      </c>
      <c r="F2137" s="1" t="s">
        <v>1470</v>
      </c>
      <c r="G2137">
        <v>4</v>
      </c>
      <c r="H2137" s="1" t="s">
        <v>1503</v>
      </c>
      <c r="I2137" t="s">
        <v>1883</v>
      </c>
      <c r="J2137" s="1" t="s">
        <v>1456</v>
      </c>
      <c r="K2137" s="1" t="s">
        <v>1570</v>
      </c>
      <c r="L2137" s="1" t="s">
        <v>1729</v>
      </c>
      <c r="M2137" s="1" t="s">
        <v>1741</v>
      </c>
      <c r="N2137" t="s">
        <v>1943</v>
      </c>
      <c r="O2137" t="s">
        <v>2157</v>
      </c>
      <c r="P2137" t="s">
        <v>3243</v>
      </c>
      <c r="Q2137">
        <v>70</v>
      </c>
      <c r="R2137" s="1" t="s">
        <v>1718</v>
      </c>
      <c r="S2137">
        <v>17834</v>
      </c>
      <c r="T2137">
        <v>1248380</v>
      </c>
    </row>
    <row r="2138" spans="1:20" hidden="1" x14ac:dyDescent="0.4">
      <c r="A2138" s="1" t="s">
        <v>728</v>
      </c>
      <c r="B2138" s="1" t="s">
        <v>1453</v>
      </c>
      <c r="C2138" s="1" t="s">
        <v>1844</v>
      </c>
      <c r="D2138" s="1" t="s">
        <v>1467</v>
      </c>
      <c r="E2138">
        <v>20251201</v>
      </c>
      <c r="F2138" s="1" t="s">
        <v>1470</v>
      </c>
      <c r="G2138">
        <v>4</v>
      </c>
      <c r="H2138" s="1" t="s">
        <v>1503</v>
      </c>
      <c r="I2138" t="s">
        <v>1883</v>
      </c>
      <c r="J2138" s="1" t="s">
        <v>1456</v>
      </c>
      <c r="K2138" s="1" t="s">
        <v>1570</v>
      </c>
      <c r="L2138" s="1" t="s">
        <v>1729</v>
      </c>
      <c r="M2138" s="1" t="s">
        <v>1744</v>
      </c>
      <c r="N2138" t="s">
        <v>1943</v>
      </c>
      <c r="O2138" t="s">
        <v>2157</v>
      </c>
      <c r="P2138" t="s">
        <v>3244</v>
      </c>
      <c r="Q2138">
        <v>10</v>
      </c>
      <c r="R2138" s="1" t="s">
        <v>1718</v>
      </c>
      <c r="S2138">
        <v>4782</v>
      </c>
      <c r="T2138">
        <v>47820</v>
      </c>
    </row>
    <row r="2139" spans="1:20" hidden="1" x14ac:dyDescent="0.4">
      <c r="A2139" s="1" t="s">
        <v>729</v>
      </c>
      <c r="B2139" s="1" t="s">
        <v>1453</v>
      </c>
      <c r="C2139" s="1" t="s">
        <v>1844</v>
      </c>
      <c r="D2139" s="1" t="s">
        <v>1467</v>
      </c>
      <c r="E2139">
        <v>20251201</v>
      </c>
      <c r="F2139" s="1" t="s">
        <v>1470</v>
      </c>
      <c r="G2139">
        <v>4</v>
      </c>
      <c r="H2139" s="1" t="s">
        <v>1503</v>
      </c>
      <c r="I2139" t="s">
        <v>1883</v>
      </c>
      <c r="J2139" s="1" t="s">
        <v>1456</v>
      </c>
      <c r="K2139" s="1" t="s">
        <v>1570</v>
      </c>
      <c r="L2139" s="1" t="s">
        <v>1729</v>
      </c>
      <c r="M2139" s="1" t="s">
        <v>1742</v>
      </c>
      <c r="N2139" t="s">
        <v>1943</v>
      </c>
      <c r="O2139" t="s">
        <v>2157</v>
      </c>
      <c r="P2139" t="s">
        <v>3245</v>
      </c>
      <c r="Q2139">
        <v>10</v>
      </c>
      <c r="R2139" s="1" t="s">
        <v>1718</v>
      </c>
      <c r="S2139">
        <v>2201</v>
      </c>
      <c r="T2139">
        <v>22010</v>
      </c>
    </row>
    <row r="2140" spans="1:20" hidden="1" x14ac:dyDescent="0.4">
      <c r="A2140" s="1" t="s">
        <v>729</v>
      </c>
      <c r="B2140" s="1" t="s">
        <v>1454</v>
      </c>
      <c r="C2140" s="1" t="s">
        <v>1844</v>
      </c>
      <c r="D2140" s="1" t="s">
        <v>1467</v>
      </c>
      <c r="E2140">
        <v>20251201</v>
      </c>
      <c r="F2140" s="1" t="s">
        <v>1470</v>
      </c>
      <c r="G2140">
        <v>4</v>
      </c>
      <c r="H2140" s="1" t="s">
        <v>1503</v>
      </c>
      <c r="I2140" t="s">
        <v>1883</v>
      </c>
      <c r="J2140" s="1" t="s">
        <v>1456</v>
      </c>
      <c r="K2140" s="1" t="s">
        <v>1570</v>
      </c>
      <c r="L2140" s="1" t="s">
        <v>1729</v>
      </c>
      <c r="M2140" s="1" t="s">
        <v>1741</v>
      </c>
      <c r="N2140" t="s">
        <v>1943</v>
      </c>
      <c r="O2140" t="s">
        <v>2157</v>
      </c>
      <c r="P2140" t="s">
        <v>3243</v>
      </c>
      <c r="Q2140">
        <v>10</v>
      </c>
      <c r="R2140" s="1" t="s">
        <v>1718</v>
      </c>
      <c r="S2140">
        <v>2201</v>
      </c>
      <c r="T2140">
        <v>22010</v>
      </c>
    </row>
    <row r="2141" spans="1:20" hidden="1" x14ac:dyDescent="0.4">
      <c r="A2141" s="1" t="s">
        <v>730</v>
      </c>
      <c r="B2141" s="1" t="s">
        <v>1453</v>
      </c>
      <c r="C2141" s="1" t="s">
        <v>1844</v>
      </c>
      <c r="D2141" s="1" t="s">
        <v>1730</v>
      </c>
      <c r="E2141">
        <v>20251201</v>
      </c>
      <c r="F2141" s="1" t="s">
        <v>1470</v>
      </c>
      <c r="G2141">
        <v>4</v>
      </c>
      <c r="H2141" s="1" t="s">
        <v>1503</v>
      </c>
      <c r="I2141" t="s">
        <v>1883</v>
      </c>
      <c r="J2141" s="1" t="s">
        <v>1456</v>
      </c>
      <c r="K2141" s="1" t="s">
        <v>1570</v>
      </c>
      <c r="L2141" s="1" t="s">
        <v>1729</v>
      </c>
      <c r="M2141" s="1" t="s">
        <v>1741</v>
      </c>
      <c r="N2141" t="s">
        <v>1943</v>
      </c>
      <c r="O2141" t="s">
        <v>2217</v>
      </c>
      <c r="P2141" t="s">
        <v>3243</v>
      </c>
      <c r="Q2141">
        <v>70</v>
      </c>
      <c r="R2141" s="1" t="s">
        <v>1718</v>
      </c>
      <c r="S2141">
        <v>0</v>
      </c>
      <c r="T2141">
        <v>0</v>
      </c>
    </row>
    <row r="2142" spans="1:20" hidden="1" x14ac:dyDescent="0.4">
      <c r="A2142" s="1" t="s">
        <v>730</v>
      </c>
      <c r="B2142" s="1" t="s">
        <v>1454</v>
      </c>
      <c r="C2142" s="1" t="s">
        <v>1844</v>
      </c>
      <c r="D2142" s="1" t="s">
        <v>1730</v>
      </c>
      <c r="E2142">
        <v>20251201</v>
      </c>
      <c r="F2142" s="1" t="s">
        <v>1470</v>
      </c>
      <c r="G2142">
        <v>4</v>
      </c>
      <c r="H2142" s="1" t="s">
        <v>1503</v>
      </c>
      <c r="I2142" t="s">
        <v>1883</v>
      </c>
      <c r="J2142" s="1" t="s">
        <v>1456</v>
      </c>
      <c r="K2142" s="1" t="s">
        <v>1552</v>
      </c>
      <c r="L2142" s="1" t="s">
        <v>1729</v>
      </c>
      <c r="M2142" s="1" t="s">
        <v>1735</v>
      </c>
      <c r="N2142" t="s">
        <v>2097</v>
      </c>
      <c r="O2142" t="s">
        <v>2218</v>
      </c>
      <c r="P2142" t="s">
        <v>3037</v>
      </c>
      <c r="Q2142">
        <v>4</v>
      </c>
      <c r="R2142" s="1" t="s">
        <v>1718</v>
      </c>
      <c r="S2142">
        <v>0</v>
      </c>
      <c r="T2142">
        <v>0</v>
      </c>
    </row>
    <row r="2143" spans="1:20" hidden="1" x14ac:dyDescent="0.4">
      <c r="A2143" s="1" t="s">
        <v>730</v>
      </c>
      <c r="B2143" s="1" t="s">
        <v>1455</v>
      </c>
      <c r="C2143" s="1" t="s">
        <v>1844</v>
      </c>
      <c r="D2143" s="1" t="s">
        <v>1730</v>
      </c>
      <c r="E2143">
        <v>20251201</v>
      </c>
      <c r="F2143" s="1" t="s">
        <v>1470</v>
      </c>
      <c r="G2143">
        <v>4</v>
      </c>
      <c r="H2143" s="1" t="s">
        <v>1503</v>
      </c>
      <c r="I2143" t="s">
        <v>1883</v>
      </c>
      <c r="J2143" s="1" t="s">
        <v>1456</v>
      </c>
      <c r="K2143" s="1" t="s">
        <v>1570</v>
      </c>
      <c r="L2143" s="1" t="s">
        <v>1729</v>
      </c>
      <c r="M2143" s="1" t="s">
        <v>1744</v>
      </c>
      <c r="N2143" t="s">
        <v>1943</v>
      </c>
      <c r="O2143" t="s">
        <v>2218</v>
      </c>
      <c r="P2143" t="s">
        <v>3244</v>
      </c>
      <c r="Q2143">
        <v>10</v>
      </c>
      <c r="R2143" s="1" t="s">
        <v>1718</v>
      </c>
      <c r="S2143">
        <v>0</v>
      </c>
      <c r="T2143">
        <v>0</v>
      </c>
    </row>
    <row r="2144" spans="1:20" hidden="1" x14ac:dyDescent="0.4">
      <c r="A2144" s="1" t="s">
        <v>730</v>
      </c>
      <c r="B2144" s="1" t="s">
        <v>1456</v>
      </c>
      <c r="C2144" s="1" t="s">
        <v>1844</v>
      </c>
      <c r="D2144" s="1" t="s">
        <v>1730</v>
      </c>
      <c r="E2144">
        <v>20251201</v>
      </c>
      <c r="F2144" s="1" t="s">
        <v>1470</v>
      </c>
      <c r="G2144">
        <v>4</v>
      </c>
      <c r="H2144" s="1" t="s">
        <v>1503</v>
      </c>
      <c r="I2144" t="s">
        <v>1883</v>
      </c>
      <c r="J2144" s="1" t="s">
        <v>1456</v>
      </c>
      <c r="K2144" s="1" t="s">
        <v>1570</v>
      </c>
      <c r="L2144" s="1" t="s">
        <v>1729</v>
      </c>
      <c r="M2144" s="1" t="s">
        <v>1741</v>
      </c>
      <c r="N2144" t="s">
        <v>1943</v>
      </c>
      <c r="O2144" t="s">
        <v>2219</v>
      </c>
      <c r="P2144" t="s">
        <v>3243</v>
      </c>
      <c r="Q2144">
        <v>10</v>
      </c>
      <c r="R2144" s="1" t="s">
        <v>1718</v>
      </c>
      <c r="S2144">
        <v>0</v>
      </c>
      <c r="T2144">
        <v>0</v>
      </c>
    </row>
    <row r="2145" spans="1:20" hidden="1" x14ac:dyDescent="0.4">
      <c r="A2145" s="1" t="s">
        <v>730</v>
      </c>
      <c r="B2145" s="1" t="s">
        <v>1457</v>
      </c>
      <c r="C2145" s="1" t="s">
        <v>1844</v>
      </c>
      <c r="D2145" s="1" t="s">
        <v>1730</v>
      </c>
      <c r="E2145">
        <v>20251201</v>
      </c>
      <c r="F2145" s="1" t="s">
        <v>1470</v>
      </c>
      <c r="G2145">
        <v>4</v>
      </c>
      <c r="H2145" s="1" t="s">
        <v>1503</v>
      </c>
      <c r="I2145" t="s">
        <v>1883</v>
      </c>
      <c r="J2145" s="1" t="s">
        <v>1456</v>
      </c>
      <c r="K2145" s="1" t="s">
        <v>1570</v>
      </c>
      <c r="L2145" s="1" t="s">
        <v>1729</v>
      </c>
      <c r="M2145" s="1" t="s">
        <v>1742</v>
      </c>
      <c r="N2145" t="s">
        <v>1943</v>
      </c>
      <c r="O2145" t="s">
        <v>2219</v>
      </c>
      <c r="P2145" t="s">
        <v>3245</v>
      </c>
      <c r="Q2145">
        <v>10</v>
      </c>
      <c r="R2145" s="1" t="s">
        <v>1718</v>
      </c>
      <c r="S2145">
        <v>0</v>
      </c>
      <c r="T2145">
        <v>0</v>
      </c>
    </row>
    <row r="2146" spans="1:20" hidden="1" x14ac:dyDescent="0.4">
      <c r="A2146" s="1" t="s">
        <v>731</v>
      </c>
      <c r="B2146" s="1" t="s">
        <v>1453</v>
      </c>
      <c r="C2146" s="1" t="s">
        <v>1844</v>
      </c>
      <c r="D2146" s="1" t="s">
        <v>1730</v>
      </c>
      <c r="E2146">
        <v>20251201</v>
      </c>
      <c r="F2146" s="1" t="s">
        <v>1470</v>
      </c>
      <c r="G2146">
        <v>4</v>
      </c>
      <c r="H2146" s="1" t="s">
        <v>1503</v>
      </c>
      <c r="I2146" t="s">
        <v>1883</v>
      </c>
      <c r="J2146" s="1" t="s">
        <v>1456</v>
      </c>
      <c r="K2146" s="1" t="s">
        <v>1612</v>
      </c>
      <c r="L2146" s="1" t="s">
        <v>1729</v>
      </c>
      <c r="M2146" s="1" t="s">
        <v>1737</v>
      </c>
      <c r="N2146" t="s">
        <v>1986</v>
      </c>
      <c r="O2146" t="s">
        <v>2220</v>
      </c>
      <c r="P2146" t="s">
        <v>3246</v>
      </c>
      <c r="Q2146">
        <v>12.3</v>
      </c>
      <c r="R2146" s="1" t="s">
        <v>1839</v>
      </c>
      <c r="S2146">
        <v>0</v>
      </c>
      <c r="T2146">
        <v>0</v>
      </c>
    </row>
    <row r="2147" spans="1:20" hidden="1" x14ac:dyDescent="0.4">
      <c r="A2147" s="1" t="s">
        <v>731</v>
      </c>
      <c r="B2147" s="1" t="s">
        <v>1454</v>
      </c>
      <c r="C2147" s="1" t="s">
        <v>1844</v>
      </c>
      <c r="D2147" s="1" t="s">
        <v>1730</v>
      </c>
      <c r="E2147">
        <v>20251201</v>
      </c>
      <c r="F2147" s="1" t="s">
        <v>1470</v>
      </c>
      <c r="G2147">
        <v>4</v>
      </c>
      <c r="H2147" s="1" t="s">
        <v>1503</v>
      </c>
      <c r="I2147" t="s">
        <v>1883</v>
      </c>
      <c r="J2147" s="1" t="s">
        <v>1456</v>
      </c>
      <c r="K2147" s="1" t="s">
        <v>1612</v>
      </c>
      <c r="L2147" s="1" t="s">
        <v>1729</v>
      </c>
      <c r="M2147" s="1" t="s">
        <v>1737</v>
      </c>
      <c r="N2147" t="s">
        <v>1986</v>
      </c>
      <c r="O2147" t="s">
        <v>2220</v>
      </c>
      <c r="P2147" t="s">
        <v>3247</v>
      </c>
      <c r="Q2147">
        <v>12.3</v>
      </c>
      <c r="R2147" s="1" t="s">
        <v>1839</v>
      </c>
      <c r="S2147">
        <v>0</v>
      </c>
      <c r="T2147">
        <v>0</v>
      </c>
    </row>
    <row r="2148" spans="1:20" hidden="1" x14ac:dyDescent="0.4">
      <c r="A2148" s="1" t="s">
        <v>732</v>
      </c>
      <c r="B2148" s="1" t="s">
        <v>1453</v>
      </c>
      <c r="C2148" s="1" t="s">
        <v>1844</v>
      </c>
      <c r="D2148" s="1" t="s">
        <v>1730</v>
      </c>
      <c r="E2148">
        <v>20251201</v>
      </c>
      <c r="F2148" s="1" t="s">
        <v>1470</v>
      </c>
      <c r="G2148">
        <v>4</v>
      </c>
      <c r="H2148" s="1" t="s">
        <v>1503</v>
      </c>
      <c r="I2148" t="s">
        <v>1883</v>
      </c>
      <c r="J2148" s="1" t="s">
        <v>1456</v>
      </c>
      <c r="K2148" s="1" t="s">
        <v>1612</v>
      </c>
      <c r="L2148" s="1" t="s">
        <v>1729</v>
      </c>
      <c r="M2148" s="1" t="s">
        <v>1737</v>
      </c>
      <c r="N2148" t="s">
        <v>1986</v>
      </c>
      <c r="O2148" t="s">
        <v>2221</v>
      </c>
      <c r="P2148" t="s">
        <v>3248</v>
      </c>
      <c r="Q2148">
        <v>12.3</v>
      </c>
      <c r="R2148" s="1" t="s">
        <v>1839</v>
      </c>
      <c r="S2148">
        <v>0</v>
      </c>
      <c r="T2148">
        <v>0</v>
      </c>
    </row>
    <row r="2149" spans="1:20" hidden="1" x14ac:dyDescent="0.4">
      <c r="A2149" s="1" t="s">
        <v>733</v>
      </c>
      <c r="B2149" s="1" t="s">
        <v>1453</v>
      </c>
      <c r="C2149" s="1" t="s">
        <v>1844</v>
      </c>
      <c r="D2149" s="1" t="s">
        <v>1462</v>
      </c>
      <c r="E2149">
        <v>20251201</v>
      </c>
      <c r="F2149" s="1" t="s">
        <v>1470</v>
      </c>
      <c r="G2149">
        <v>4</v>
      </c>
      <c r="H2149" s="1" t="s">
        <v>1496</v>
      </c>
      <c r="I2149" t="s">
        <v>1876</v>
      </c>
      <c r="J2149" s="1" t="s">
        <v>1456</v>
      </c>
      <c r="K2149" s="1" t="s">
        <v>1559</v>
      </c>
      <c r="L2149" s="1" t="s">
        <v>1729</v>
      </c>
      <c r="M2149" s="1" t="s">
        <v>1739</v>
      </c>
      <c r="N2149" t="s">
        <v>1931</v>
      </c>
      <c r="O2149" t="s">
        <v>2222</v>
      </c>
      <c r="P2149" t="s">
        <v>3249</v>
      </c>
      <c r="Q2149">
        <v>10</v>
      </c>
      <c r="R2149" s="1" t="s">
        <v>1718</v>
      </c>
      <c r="S2149">
        <v>25543</v>
      </c>
      <c r="T2149">
        <v>255430</v>
      </c>
    </row>
    <row r="2150" spans="1:20" hidden="1" x14ac:dyDescent="0.4">
      <c r="A2150" s="1" t="s">
        <v>733</v>
      </c>
      <c r="B2150" s="1" t="s">
        <v>1454</v>
      </c>
      <c r="C2150" s="1" t="s">
        <v>1844</v>
      </c>
      <c r="D2150" s="1" t="s">
        <v>1462</v>
      </c>
      <c r="E2150">
        <v>20251201</v>
      </c>
      <c r="F2150" s="1" t="s">
        <v>1470</v>
      </c>
      <c r="G2150">
        <v>4</v>
      </c>
      <c r="H2150" s="1" t="s">
        <v>1496</v>
      </c>
      <c r="I2150" t="s">
        <v>1876</v>
      </c>
      <c r="J2150" s="1" t="s">
        <v>1456</v>
      </c>
      <c r="K2150" s="1" t="s">
        <v>1559</v>
      </c>
      <c r="L2150" s="1" t="s">
        <v>1729</v>
      </c>
      <c r="M2150" s="1" t="s">
        <v>1739</v>
      </c>
      <c r="N2150" t="s">
        <v>1931</v>
      </c>
      <c r="O2150" t="s">
        <v>2222</v>
      </c>
      <c r="P2150" t="s">
        <v>3249</v>
      </c>
      <c r="Q2150">
        <v>10</v>
      </c>
      <c r="R2150" s="1" t="s">
        <v>1718</v>
      </c>
      <c r="S2150">
        <v>31449</v>
      </c>
      <c r="T2150">
        <v>314490</v>
      </c>
    </row>
    <row r="2151" spans="1:20" hidden="1" x14ac:dyDescent="0.4">
      <c r="A2151" s="1" t="s">
        <v>734</v>
      </c>
      <c r="B2151" s="1" t="s">
        <v>1453</v>
      </c>
      <c r="C2151" s="1" t="s">
        <v>1844</v>
      </c>
      <c r="D2151" s="1" t="s">
        <v>1462</v>
      </c>
      <c r="E2151">
        <v>20251202</v>
      </c>
      <c r="F2151" s="1" t="s">
        <v>1473</v>
      </c>
      <c r="G2151">
        <v>4</v>
      </c>
      <c r="H2151" s="1" t="s">
        <v>1513</v>
      </c>
      <c r="I2151" t="s">
        <v>1893</v>
      </c>
      <c r="J2151" s="1" t="s">
        <v>1453</v>
      </c>
      <c r="K2151" s="1" t="s">
        <v>1692</v>
      </c>
      <c r="L2151" s="1" t="s">
        <v>1718</v>
      </c>
      <c r="M2151" s="1" t="s">
        <v>1768</v>
      </c>
      <c r="N2151" t="s">
        <v>2098</v>
      </c>
      <c r="O2151" t="s">
        <v>2164</v>
      </c>
      <c r="P2151" t="s">
        <v>3250</v>
      </c>
      <c r="Q2151">
        <v>104.28</v>
      </c>
      <c r="R2151" s="1" t="s">
        <v>1839</v>
      </c>
      <c r="S2151">
        <v>2566</v>
      </c>
      <c r="T2151">
        <v>267634</v>
      </c>
    </row>
    <row r="2152" spans="1:20" hidden="1" x14ac:dyDescent="0.4">
      <c r="A2152" s="1" t="s">
        <v>734</v>
      </c>
      <c r="B2152" s="1" t="s">
        <v>1454</v>
      </c>
      <c r="C2152" s="1" t="s">
        <v>1844</v>
      </c>
      <c r="D2152" s="1" t="s">
        <v>1462</v>
      </c>
      <c r="E2152">
        <v>20251202</v>
      </c>
      <c r="F2152" s="1" t="s">
        <v>1473</v>
      </c>
      <c r="G2152">
        <v>4</v>
      </c>
      <c r="H2152" s="1" t="s">
        <v>1513</v>
      </c>
      <c r="I2152" t="s">
        <v>1893</v>
      </c>
      <c r="J2152" s="1" t="s">
        <v>1453</v>
      </c>
      <c r="K2152" s="1" t="s">
        <v>1692</v>
      </c>
      <c r="L2152" s="1" t="s">
        <v>1718</v>
      </c>
      <c r="M2152" s="1" t="s">
        <v>1768</v>
      </c>
      <c r="N2152" t="s">
        <v>2098</v>
      </c>
      <c r="O2152" t="s">
        <v>2164</v>
      </c>
      <c r="P2152" t="s">
        <v>3250</v>
      </c>
      <c r="Q2152">
        <v>148.59</v>
      </c>
      <c r="R2152" s="1" t="s">
        <v>1839</v>
      </c>
      <c r="S2152">
        <v>2566</v>
      </c>
      <c r="T2152">
        <v>381308</v>
      </c>
    </row>
    <row r="2153" spans="1:20" hidden="1" x14ac:dyDescent="0.4">
      <c r="A2153" s="1" t="s">
        <v>734</v>
      </c>
      <c r="B2153" s="1" t="s">
        <v>1455</v>
      </c>
      <c r="C2153" s="1" t="s">
        <v>1844</v>
      </c>
      <c r="D2153" s="1" t="s">
        <v>1462</v>
      </c>
      <c r="E2153">
        <v>20251202</v>
      </c>
      <c r="F2153" s="1" t="s">
        <v>1473</v>
      </c>
      <c r="G2153">
        <v>4</v>
      </c>
      <c r="H2153" s="1" t="s">
        <v>1513</v>
      </c>
      <c r="I2153" t="s">
        <v>1893</v>
      </c>
      <c r="J2153" s="1" t="s">
        <v>1453</v>
      </c>
      <c r="K2153" s="1" t="s">
        <v>1693</v>
      </c>
      <c r="L2153" s="1" t="s">
        <v>1718</v>
      </c>
      <c r="M2153" s="1" t="s">
        <v>1752</v>
      </c>
      <c r="N2153" t="s">
        <v>2099</v>
      </c>
      <c r="O2153" t="s">
        <v>2164</v>
      </c>
      <c r="P2153" t="s">
        <v>3251</v>
      </c>
      <c r="Q2153">
        <v>137.52000000000001</v>
      </c>
      <c r="R2153" s="1" t="s">
        <v>1839</v>
      </c>
      <c r="S2153">
        <v>1525</v>
      </c>
      <c r="T2153">
        <v>209688</v>
      </c>
    </row>
    <row r="2154" spans="1:20" hidden="1" x14ac:dyDescent="0.4">
      <c r="A2154" s="1" t="s">
        <v>734</v>
      </c>
      <c r="B2154" s="1" t="s">
        <v>1456</v>
      </c>
      <c r="C2154" s="1" t="s">
        <v>1844</v>
      </c>
      <c r="D2154" s="1" t="s">
        <v>1462</v>
      </c>
      <c r="E2154">
        <v>20251202</v>
      </c>
      <c r="F2154" s="1" t="s">
        <v>1473</v>
      </c>
      <c r="G2154">
        <v>4</v>
      </c>
      <c r="H2154" s="1" t="s">
        <v>1513</v>
      </c>
      <c r="I2154" t="s">
        <v>1893</v>
      </c>
      <c r="J2154" s="1" t="s">
        <v>1453</v>
      </c>
      <c r="K2154" s="1" t="s">
        <v>1693</v>
      </c>
      <c r="L2154" s="1" t="s">
        <v>1718</v>
      </c>
      <c r="M2154" s="1" t="s">
        <v>1752</v>
      </c>
      <c r="N2154" t="s">
        <v>2099</v>
      </c>
      <c r="O2154" t="s">
        <v>2164</v>
      </c>
      <c r="P2154" t="s">
        <v>3251</v>
      </c>
      <c r="Q2154">
        <v>94.73</v>
      </c>
      <c r="R2154" s="1" t="s">
        <v>1839</v>
      </c>
      <c r="S2154">
        <v>1525</v>
      </c>
      <c r="T2154">
        <v>144418</v>
      </c>
    </row>
    <row r="2155" spans="1:20" hidden="1" x14ac:dyDescent="0.4">
      <c r="A2155" s="1" t="s">
        <v>734</v>
      </c>
      <c r="B2155" s="1" t="s">
        <v>1457</v>
      </c>
      <c r="C2155" s="1" t="s">
        <v>1844</v>
      </c>
      <c r="D2155" s="1" t="s">
        <v>1462</v>
      </c>
      <c r="E2155">
        <v>20251202</v>
      </c>
      <c r="F2155" s="1" t="s">
        <v>1473</v>
      </c>
      <c r="G2155">
        <v>4</v>
      </c>
      <c r="H2155" s="1" t="s">
        <v>1513</v>
      </c>
      <c r="I2155" t="s">
        <v>1893</v>
      </c>
      <c r="J2155" s="1" t="s">
        <v>1453</v>
      </c>
      <c r="K2155" s="1" t="s">
        <v>1693</v>
      </c>
      <c r="L2155" s="1" t="s">
        <v>1718</v>
      </c>
      <c r="M2155" s="1" t="s">
        <v>1755</v>
      </c>
      <c r="N2155" t="s">
        <v>2099</v>
      </c>
      <c r="O2155" t="s">
        <v>2164</v>
      </c>
      <c r="P2155" t="s">
        <v>3252</v>
      </c>
      <c r="Q2155">
        <v>158.53</v>
      </c>
      <c r="R2155" s="1" t="s">
        <v>1839</v>
      </c>
      <c r="S2155">
        <v>1525</v>
      </c>
      <c r="T2155">
        <v>241713</v>
      </c>
    </row>
    <row r="2156" spans="1:20" hidden="1" x14ac:dyDescent="0.4">
      <c r="A2156" s="1" t="s">
        <v>734</v>
      </c>
      <c r="B2156" s="1" t="s">
        <v>1458</v>
      </c>
      <c r="C2156" s="1" t="s">
        <v>1844</v>
      </c>
      <c r="D2156" s="1" t="s">
        <v>1462</v>
      </c>
      <c r="E2156">
        <v>20251202</v>
      </c>
      <c r="F2156" s="1" t="s">
        <v>1473</v>
      </c>
      <c r="G2156">
        <v>4</v>
      </c>
      <c r="H2156" s="1" t="s">
        <v>1513</v>
      </c>
      <c r="I2156" t="s">
        <v>1893</v>
      </c>
      <c r="J2156" s="1" t="s">
        <v>1453</v>
      </c>
      <c r="K2156" s="1" t="s">
        <v>1693</v>
      </c>
      <c r="L2156" s="1" t="s">
        <v>1718</v>
      </c>
      <c r="M2156" s="1" t="s">
        <v>1755</v>
      </c>
      <c r="N2156" t="s">
        <v>2099</v>
      </c>
      <c r="O2156" t="s">
        <v>2164</v>
      </c>
      <c r="P2156" t="s">
        <v>3252</v>
      </c>
      <c r="Q2156">
        <v>133.69999999999999</v>
      </c>
      <c r="R2156" s="1" t="s">
        <v>1839</v>
      </c>
      <c r="S2156">
        <v>1525</v>
      </c>
      <c r="T2156">
        <v>203893</v>
      </c>
    </row>
    <row r="2157" spans="1:20" hidden="1" x14ac:dyDescent="0.4">
      <c r="A2157" s="1" t="s">
        <v>734</v>
      </c>
      <c r="B2157" s="1" t="s">
        <v>1459</v>
      </c>
      <c r="C2157" s="1" t="s">
        <v>1844</v>
      </c>
      <c r="D2157" s="1" t="s">
        <v>1462</v>
      </c>
      <c r="E2157">
        <v>20251202</v>
      </c>
      <c r="F2157" s="1" t="s">
        <v>1473</v>
      </c>
      <c r="G2157">
        <v>4</v>
      </c>
      <c r="H2157" s="1" t="s">
        <v>1513</v>
      </c>
      <c r="I2157" t="s">
        <v>1893</v>
      </c>
      <c r="J2157" s="1" t="s">
        <v>1453</v>
      </c>
      <c r="K2157" s="1" t="s">
        <v>1694</v>
      </c>
      <c r="L2157" s="1" t="s">
        <v>1718</v>
      </c>
      <c r="M2157" s="1" t="s">
        <v>1761</v>
      </c>
      <c r="N2157" t="s">
        <v>2100</v>
      </c>
      <c r="O2157" t="s">
        <v>2164</v>
      </c>
      <c r="P2157" t="s">
        <v>3253</v>
      </c>
      <c r="Q2157">
        <v>95.5</v>
      </c>
      <c r="R2157" s="1" t="s">
        <v>1839</v>
      </c>
      <c r="S2157">
        <v>2508</v>
      </c>
      <c r="T2157">
        <v>239514</v>
      </c>
    </row>
    <row r="2158" spans="1:20" hidden="1" x14ac:dyDescent="0.4">
      <c r="A2158" s="1" t="s">
        <v>734</v>
      </c>
      <c r="B2158" s="1" t="s">
        <v>1460</v>
      </c>
      <c r="C2158" s="1" t="s">
        <v>1844</v>
      </c>
      <c r="D2158" s="1" t="s">
        <v>1462</v>
      </c>
      <c r="E2158">
        <v>20251202</v>
      </c>
      <c r="F2158" s="1" t="s">
        <v>1473</v>
      </c>
      <c r="G2158">
        <v>4</v>
      </c>
      <c r="H2158" s="1" t="s">
        <v>1513</v>
      </c>
      <c r="I2158" t="s">
        <v>1893</v>
      </c>
      <c r="J2158" s="1" t="s">
        <v>1453</v>
      </c>
      <c r="K2158" s="1" t="s">
        <v>1694</v>
      </c>
      <c r="L2158" s="1" t="s">
        <v>1718</v>
      </c>
      <c r="M2158" s="1" t="s">
        <v>1761</v>
      </c>
      <c r="N2158" t="s">
        <v>2100</v>
      </c>
      <c r="O2158" t="s">
        <v>2164</v>
      </c>
      <c r="P2158" t="s">
        <v>3253</v>
      </c>
      <c r="Q2158">
        <v>114.6</v>
      </c>
      <c r="R2158" s="1" t="s">
        <v>1839</v>
      </c>
      <c r="S2158">
        <v>2508</v>
      </c>
      <c r="T2158">
        <v>287417</v>
      </c>
    </row>
    <row r="2159" spans="1:20" hidden="1" x14ac:dyDescent="0.4">
      <c r="A2159" s="1" t="s">
        <v>734</v>
      </c>
      <c r="B2159" s="1" t="s">
        <v>1461</v>
      </c>
      <c r="C2159" s="1" t="s">
        <v>1844</v>
      </c>
      <c r="D2159" s="1" t="s">
        <v>1462</v>
      </c>
      <c r="E2159">
        <v>20251202</v>
      </c>
      <c r="F2159" s="1" t="s">
        <v>1473</v>
      </c>
      <c r="G2159">
        <v>4</v>
      </c>
      <c r="H2159" s="1" t="s">
        <v>1513</v>
      </c>
      <c r="I2159" t="s">
        <v>1893</v>
      </c>
      <c r="J2159" s="1" t="s">
        <v>1453</v>
      </c>
      <c r="K2159" s="1" t="s">
        <v>1694</v>
      </c>
      <c r="L2159" s="1" t="s">
        <v>1718</v>
      </c>
      <c r="M2159" s="1" t="s">
        <v>1820</v>
      </c>
      <c r="N2159" t="s">
        <v>2100</v>
      </c>
      <c r="O2159" t="s">
        <v>2164</v>
      </c>
      <c r="P2159" t="s">
        <v>3254</v>
      </c>
      <c r="Q2159">
        <v>106.96</v>
      </c>
      <c r="R2159" s="1" t="s">
        <v>1839</v>
      </c>
      <c r="S2159">
        <v>2508</v>
      </c>
      <c r="T2159">
        <v>268356</v>
      </c>
    </row>
    <row r="2160" spans="1:20" hidden="1" x14ac:dyDescent="0.4">
      <c r="A2160" s="1" t="s">
        <v>734</v>
      </c>
      <c r="B2160" s="1" t="s">
        <v>1462</v>
      </c>
      <c r="C2160" s="1" t="s">
        <v>1844</v>
      </c>
      <c r="D2160" s="1" t="s">
        <v>1462</v>
      </c>
      <c r="E2160">
        <v>20251202</v>
      </c>
      <c r="F2160" s="1" t="s">
        <v>1473</v>
      </c>
      <c r="G2160">
        <v>4</v>
      </c>
      <c r="H2160" s="1" t="s">
        <v>1513</v>
      </c>
      <c r="I2160" t="s">
        <v>1893</v>
      </c>
      <c r="J2160" s="1" t="s">
        <v>1453</v>
      </c>
      <c r="K2160" s="1" t="s">
        <v>1694</v>
      </c>
      <c r="L2160" s="1" t="s">
        <v>1718</v>
      </c>
      <c r="M2160" s="1" t="s">
        <v>1820</v>
      </c>
      <c r="N2160" t="s">
        <v>2100</v>
      </c>
      <c r="O2160" t="s">
        <v>2164</v>
      </c>
      <c r="P2160" t="s">
        <v>3254</v>
      </c>
      <c r="Q2160">
        <v>106.96</v>
      </c>
      <c r="R2160" s="1" t="s">
        <v>1839</v>
      </c>
      <c r="S2160">
        <v>2508</v>
      </c>
      <c r="T2160">
        <v>268356</v>
      </c>
    </row>
    <row r="2161" spans="1:20" hidden="1" x14ac:dyDescent="0.4">
      <c r="A2161" s="1" t="s">
        <v>734</v>
      </c>
      <c r="B2161" s="1" t="s">
        <v>1463</v>
      </c>
      <c r="C2161" s="1" t="s">
        <v>1844</v>
      </c>
      <c r="D2161" s="1" t="s">
        <v>1462</v>
      </c>
      <c r="E2161">
        <v>20251202</v>
      </c>
      <c r="F2161" s="1" t="s">
        <v>1473</v>
      </c>
      <c r="G2161">
        <v>4</v>
      </c>
      <c r="H2161" s="1" t="s">
        <v>1513</v>
      </c>
      <c r="I2161" t="s">
        <v>1893</v>
      </c>
      <c r="J2161" s="1" t="s">
        <v>1453</v>
      </c>
      <c r="K2161" s="1" t="s">
        <v>1694</v>
      </c>
      <c r="L2161" s="1" t="s">
        <v>1718</v>
      </c>
      <c r="M2161" s="1" t="s">
        <v>1746</v>
      </c>
      <c r="N2161" t="s">
        <v>2100</v>
      </c>
      <c r="O2161" t="s">
        <v>2164</v>
      </c>
      <c r="P2161" t="s">
        <v>3255</v>
      </c>
      <c r="Q2161">
        <v>87.86</v>
      </c>
      <c r="R2161" s="1" t="s">
        <v>1839</v>
      </c>
      <c r="S2161">
        <v>2508</v>
      </c>
      <c r="T2161">
        <v>220453</v>
      </c>
    </row>
    <row r="2162" spans="1:20" hidden="1" x14ac:dyDescent="0.4">
      <c r="A2162" s="1" t="s">
        <v>735</v>
      </c>
      <c r="B2162" s="1" t="s">
        <v>1453</v>
      </c>
      <c r="C2162" s="1" t="s">
        <v>1844</v>
      </c>
      <c r="D2162" s="1" t="s">
        <v>1462</v>
      </c>
      <c r="E2162">
        <v>20251202</v>
      </c>
      <c r="F2162" s="1" t="s">
        <v>1473</v>
      </c>
      <c r="G2162">
        <v>4</v>
      </c>
      <c r="H2162" s="1" t="s">
        <v>1513</v>
      </c>
      <c r="I2162" t="s">
        <v>1893</v>
      </c>
      <c r="J2162" s="1" t="s">
        <v>1453</v>
      </c>
      <c r="K2162" s="1" t="s">
        <v>1694</v>
      </c>
      <c r="L2162" s="1" t="s">
        <v>1718</v>
      </c>
      <c r="M2162" s="1" t="s">
        <v>1746</v>
      </c>
      <c r="N2162" t="s">
        <v>2100</v>
      </c>
      <c r="O2162" t="s">
        <v>2164</v>
      </c>
      <c r="P2162" t="s">
        <v>3255</v>
      </c>
      <c r="Q2162">
        <v>133.69999999999999</v>
      </c>
      <c r="R2162" s="1" t="s">
        <v>1839</v>
      </c>
      <c r="S2162">
        <v>2508</v>
      </c>
      <c r="T2162">
        <v>335320</v>
      </c>
    </row>
    <row r="2163" spans="1:20" hidden="1" x14ac:dyDescent="0.4">
      <c r="A2163" s="1" t="s">
        <v>736</v>
      </c>
      <c r="B2163" s="1" t="s">
        <v>1453</v>
      </c>
      <c r="C2163" s="1" t="s">
        <v>1844</v>
      </c>
      <c r="D2163" s="1" t="s">
        <v>1462</v>
      </c>
      <c r="E2163">
        <v>20251201</v>
      </c>
      <c r="F2163" s="1" t="s">
        <v>1470</v>
      </c>
      <c r="G2163">
        <v>4</v>
      </c>
      <c r="H2163" s="1" t="s">
        <v>1514</v>
      </c>
      <c r="I2163" t="s">
        <v>1894</v>
      </c>
      <c r="J2163" s="1" t="s">
        <v>1456</v>
      </c>
      <c r="K2163" s="1" t="s">
        <v>1571</v>
      </c>
      <c r="L2163" s="1" t="s">
        <v>1729</v>
      </c>
      <c r="M2163" s="1" t="s">
        <v>1741</v>
      </c>
      <c r="N2163" t="s">
        <v>1944</v>
      </c>
      <c r="O2163" t="s">
        <v>2157</v>
      </c>
      <c r="P2163" t="s">
        <v>3256</v>
      </c>
      <c r="Q2163">
        <v>300</v>
      </c>
      <c r="R2163" s="1" t="s">
        <v>1718</v>
      </c>
      <c r="S2163">
        <v>3701</v>
      </c>
      <c r="T2163">
        <v>1110300</v>
      </c>
    </row>
    <row r="2164" spans="1:20" hidden="1" x14ac:dyDescent="0.4">
      <c r="A2164" s="1" t="s">
        <v>737</v>
      </c>
      <c r="B2164" s="1" t="s">
        <v>1453</v>
      </c>
      <c r="C2164" s="1" t="s">
        <v>1844</v>
      </c>
      <c r="D2164" s="1" t="s">
        <v>1462</v>
      </c>
      <c r="E2164">
        <v>20251201</v>
      </c>
      <c r="F2164" s="1" t="s">
        <v>1471</v>
      </c>
      <c r="G2164">
        <v>4</v>
      </c>
      <c r="H2164" s="1" t="s">
        <v>1515</v>
      </c>
      <c r="I2164" t="s">
        <v>1895</v>
      </c>
      <c r="J2164" s="1" t="s">
        <v>1460</v>
      </c>
      <c r="K2164" s="1" t="s">
        <v>1695</v>
      </c>
      <c r="L2164" s="1" t="s">
        <v>1720</v>
      </c>
      <c r="M2164" s="1" t="s">
        <v>1801</v>
      </c>
      <c r="N2164" t="s">
        <v>2101</v>
      </c>
      <c r="O2164" t="s">
        <v>2166</v>
      </c>
      <c r="P2164" t="s">
        <v>3257</v>
      </c>
      <c r="Q2164">
        <v>100.8</v>
      </c>
      <c r="R2164" s="1" t="s">
        <v>1840</v>
      </c>
      <c r="S2164">
        <v>917</v>
      </c>
      <c r="T2164">
        <v>92433</v>
      </c>
    </row>
    <row r="2165" spans="1:20" hidden="1" x14ac:dyDescent="0.4">
      <c r="A2165" s="1" t="s">
        <v>737</v>
      </c>
      <c r="B2165" s="1" t="s">
        <v>1454</v>
      </c>
      <c r="C2165" s="1" t="s">
        <v>1844</v>
      </c>
      <c r="D2165" s="1" t="s">
        <v>1462</v>
      </c>
      <c r="E2165">
        <v>20251201</v>
      </c>
      <c r="F2165" s="1" t="s">
        <v>1471</v>
      </c>
      <c r="G2165">
        <v>4</v>
      </c>
      <c r="H2165" s="1" t="s">
        <v>1515</v>
      </c>
      <c r="I2165" t="s">
        <v>1895</v>
      </c>
      <c r="J2165" s="1" t="s">
        <v>1460</v>
      </c>
      <c r="K2165" s="1" t="s">
        <v>1695</v>
      </c>
      <c r="L2165" s="1" t="s">
        <v>1720</v>
      </c>
      <c r="M2165" s="1" t="s">
        <v>1759</v>
      </c>
      <c r="N2165" t="s">
        <v>2101</v>
      </c>
      <c r="O2165" t="s">
        <v>2166</v>
      </c>
      <c r="P2165" t="s">
        <v>3258</v>
      </c>
      <c r="Q2165">
        <v>145.5</v>
      </c>
      <c r="R2165" s="1" t="s">
        <v>1840</v>
      </c>
      <c r="S2165">
        <v>917</v>
      </c>
      <c r="T2165">
        <v>133423</v>
      </c>
    </row>
    <row r="2166" spans="1:20" hidden="1" x14ac:dyDescent="0.4">
      <c r="A2166" s="1" t="s">
        <v>737</v>
      </c>
      <c r="B2166" s="1" t="s">
        <v>1455</v>
      </c>
      <c r="C2166" s="1" t="s">
        <v>1844</v>
      </c>
      <c r="D2166" s="1" t="s">
        <v>1462</v>
      </c>
      <c r="E2166">
        <v>20251201</v>
      </c>
      <c r="F2166" s="1" t="s">
        <v>1471</v>
      </c>
      <c r="G2166">
        <v>4</v>
      </c>
      <c r="H2166" s="1" t="s">
        <v>1515</v>
      </c>
      <c r="I2166" t="s">
        <v>1895</v>
      </c>
      <c r="J2166" s="1" t="s">
        <v>1460</v>
      </c>
      <c r="K2166" s="1" t="s">
        <v>1695</v>
      </c>
      <c r="L2166" s="1" t="s">
        <v>1720</v>
      </c>
      <c r="M2166" s="1" t="s">
        <v>1821</v>
      </c>
      <c r="N2166" t="s">
        <v>2101</v>
      </c>
      <c r="O2166" t="s">
        <v>2166</v>
      </c>
      <c r="P2166" t="s">
        <v>3074</v>
      </c>
      <c r="Q2166">
        <v>110</v>
      </c>
      <c r="R2166" s="1" t="s">
        <v>1840</v>
      </c>
      <c r="S2166">
        <v>917</v>
      </c>
      <c r="T2166">
        <v>100870</v>
      </c>
    </row>
    <row r="2167" spans="1:20" hidden="1" x14ac:dyDescent="0.4">
      <c r="A2167" s="1" t="s">
        <v>737</v>
      </c>
      <c r="B2167" s="1" t="s">
        <v>1456</v>
      </c>
      <c r="C2167" s="1" t="s">
        <v>1844</v>
      </c>
      <c r="D2167" s="1" t="s">
        <v>1462</v>
      </c>
      <c r="E2167">
        <v>20251201</v>
      </c>
      <c r="F2167" s="1" t="s">
        <v>1471</v>
      </c>
      <c r="G2167">
        <v>4</v>
      </c>
      <c r="H2167" s="1" t="s">
        <v>1515</v>
      </c>
      <c r="I2167" t="s">
        <v>1895</v>
      </c>
      <c r="J2167" s="1" t="s">
        <v>1460</v>
      </c>
      <c r="K2167" s="1" t="s">
        <v>1695</v>
      </c>
      <c r="L2167" s="1" t="s">
        <v>1720</v>
      </c>
      <c r="M2167" s="1" t="s">
        <v>1801</v>
      </c>
      <c r="N2167" t="s">
        <v>2101</v>
      </c>
      <c r="O2167" t="s">
        <v>2166</v>
      </c>
      <c r="P2167" t="s">
        <v>3257</v>
      </c>
      <c r="Q2167">
        <v>119.8</v>
      </c>
      <c r="R2167" s="1" t="s">
        <v>1840</v>
      </c>
      <c r="S2167">
        <v>1096</v>
      </c>
      <c r="T2167">
        <v>131300</v>
      </c>
    </row>
    <row r="2168" spans="1:20" hidden="1" x14ac:dyDescent="0.4">
      <c r="A2168" s="1" t="s">
        <v>737</v>
      </c>
      <c r="B2168" s="1" t="s">
        <v>1457</v>
      </c>
      <c r="C2168" s="1" t="s">
        <v>1844</v>
      </c>
      <c r="D2168" s="1" t="s">
        <v>1462</v>
      </c>
      <c r="E2168">
        <v>20251201</v>
      </c>
      <c r="F2168" s="1" t="s">
        <v>1471</v>
      </c>
      <c r="G2168">
        <v>4</v>
      </c>
      <c r="H2168" s="1" t="s">
        <v>1515</v>
      </c>
      <c r="I2168" t="s">
        <v>1895</v>
      </c>
      <c r="J2168" s="1" t="s">
        <v>1460</v>
      </c>
      <c r="K2168" s="1" t="s">
        <v>1695</v>
      </c>
      <c r="L2168" s="1" t="s">
        <v>1720</v>
      </c>
      <c r="M2168" s="1" t="s">
        <v>1759</v>
      </c>
      <c r="N2168" t="s">
        <v>2101</v>
      </c>
      <c r="O2168" t="s">
        <v>2166</v>
      </c>
      <c r="P2168" t="s">
        <v>3258</v>
      </c>
      <c r="Q2168">
        <v>174.4</v>
      </c>
      <c r="R2168" s="1" t="s">
        <v>1840</v>
      </c>
      <c r="S2168">
        <v>1096</v>
      </c>
      <c r="T2168">
        <v>191142</v>
      </c>
    </row>
    <row r="2169" spans="1:20" hidden="1" x14ac:dyDescent="0.4">
      <c r="A2169" s="1" t="s">
        <v>737</v>
      </c>
      <c r="B2169" s="1" t="s">
        <v>1458</v>
      </c>
      <c r="C2169" s="1" t="s">
        <v>1844</v>
      </c>
      <c r="D2169" s="1" t="s">
        <v>1462</v>
      </c>
      <c r="E2169">
        <v>20251201</v>
      </c>
      <c r="F2169" s="1" t="s">
        <v>1471</v>
      </c>
      <c r="G2169">
        <v>4</v>
      </c>
      <c r="H2169" s="1" t="s">
        <v>1515</v>
      </c>
      <c r="I2169" t="s">
        <v>1895</v>
      </c>
      <c r="J2169" s="1" t="s">
        <v>1460</v>
      </c>
      <c r="K2169" s="1" t="s">
        <v>1695</v>
      </c>
      <c r="L2169" s="1" t="s">
        <v>1720</v>
      </c>
      <c r="M2169" s="1" t="s">
        <v>1821</v>
      </c>
      <c r="N2169" t="s">
        <v>2101</v>
      </c>
      <c r="O2169" t="s">
        <v>2166</v>
      </c>
      <c r="P2169" t="s">
        <v>3074</v>
      </c>
      <c r="Q2169">
        <v>106.7</v>
      </c>
      <c r="R2169" s="1" t="s">
        <v>1840</v>
      </c>
      <c r="S2169">
        <v>1096</v>
      </c>
      <c r="T2169">
        <v>116943</v>
      </c>
    </row>
    <row r="2170" spans="1:20" hidden="1" x14ac:dyDescent="0.4">
      <c r="A2170" s="1" t="s">
        <v>738</v>
      </c>
      <c r="B2170" s="1" t="s">
        <v>1453</v>
      </c>
      <c r="C2170" s="1" t="s">
        <v>1844</v>
      </c>
      <c r="D2170" s="1" t="s">
        <v>1462</v>
      </c>
      <c r="E2170">
        <v>20251201</v>
      </c>
      <c r="F2170" s="1" t="s">
        <v>1471</v>
      </c>
      <c r="G2170">
        <v>4</v>
      </c>
      <c r="H2170" s="1" t="s">
        <v>1516</v>
      </c>
      <c r="I2170" t="s">
        <v>1896</v>
      </c>
      <c r="J2170" s="1" t="s">
        <v>1460</v>
      </c>
      <c r="K2170" s="1" t="s">
        <v>1641</v>
      </c>
      <c r="L2170" s="1" t="s">
        <v>1730</v>
      </c>
      <c r="M2170" s="1" t="s">
        <v>1735</v>
      </c>
      <c r="N2170" t="s">
        <v>2102</v>
      </c>
      <c r="O2170" t="s">
        <v>2175</v>
      </c>
      <c r="P2170" t="s">
        <v>3151</v>
      </c>
      <c r="Q2170">
        <v>70</v>
      </c>
      <c r="R2170" s="1" t="s">
        <v>1718</v>
      </c>
      <c r="S2170">
        <v>1521</v>
      </c>
      <c r="T2170">
        <v>106470</v>
      </c>
    </row>
    <row r="2171" spans="1:20" hidden="1" x14ac:dyDescent="0.4">
      <c r="A2171" s="1" t="s">
        <v>738</v>
      </c>
      <c r="B2171" s="1" t="s">
        <v>1454</v>
      </c>
      <c r="C2171" s="1" t="s">
        <v>1844</v>
      </c>
      <c r="D2171" s="1" t="s">
        <v>1462</v>
      </c>
      <c r="E2171">
        <v>20251201</v>
      </c>
      <c r="F2171" s="1" t="s">
        <v>1471</v>
      </c>
      <c r="G2171">
        <v>4</v>
      </c>
      <c r="H2171" s="1" t="s">
        <v>1516</v>
      </c>
      <c r="I2171" t="s">
        <v>1896</v>
      </c>
      <c r="J2171" s="1" t="s">
        <v>1460</v>
      </c>
      <c r="K2171" s="1" t="s">
        <v>1642</v>
      </c>
      <c r="L2171" s="1" t="s">
        <v>1725</v>
      </c>
      <c r="M2171" s="1" t="s">
        <v>1737</v>
      </c>
      <c r="N2171" t="s">
        <v>2023</v>
      </c>
      <c r="O2171" t="s">
        <v>2157</v>
      </c>
      <c r="P2171" t="s">
        <v>2157</v>
      </c>
      <c r="Q2171">
        <v>3</v>
      </c>
      <c r="R2171" s="1" t="s">
        <v>1841</v>
      </c>
      <c r="S2171">
        <v>1000</v>
      </c>
      <c r="T2171">
        <v>3000</v>
      </c>
    </row>
    <row r="2172" spans="1:20" hidden="1" x14ac:dyDescent="0.4">
      <c r="A2172" s="1" t="s">
        <v>739</v>
      </c>
      <c r="B2172" s="1" t="s">
        <v>1453</v>
      </c>
      <c r="C2172" s="1" t="s">
        <v>1844</v>
      </c>
      <c r="D2172" s="1" t="s">
        <v>1467</v>
      </c>
      <c r="E2172">
        <v>20251202</v>
      </c>
      <c r="F2172" s="1" t="s">
        <v>1470</v>
      </c>
      <c r="G2172">
        <v>4</v>
      </c>
      <c r="H2172" s="1" t="s">
        <v>1511</v>
      </c>
      <c r="I2172" t="s">
        <v>1891</v>
      </c>
      <c r="J2172" s="1" t="s">
        <v>1456</v>
      </c>
      <c r="K2172" s="1" t="s">
        <v>1573</v>
      </c>
      <c r="L2172" s="1" t="s">
        <v>1729</v>
      </c>
      <c r="M2172" s="1" t="s">
        <v>1741</v>
      </c>
      <c r="N2172" t="s">
        <v>2103</v>
      </c>
      <c r="O2172" t="s">
        <v>2223</v>
      </c>
      <c r="P2172" t="s">
        <v>3042</v>
      </c>
      <c r="Q2172">
        <v>700</v>
      </c>
      <c r="R2172" s="1" t="s">
        <v>1718</v>
      </c>
      <c r="S2172">
        <v>3334</v>
      </c>
      <c r="T2172">
        <v>2333800</v>
      </c>
    </row>
    <row r="2173" spans="1:20" hidden="1" x14ac:dyDescent="0.4">
      <c r="A2173" s="1" t="s">
        <v>739</v>
      </c>
      <c r="B2173" s="1" t="s">
        <v>1454</v>
      </c>
      <c r="C2173" s="1" t="s">
        <v>1844</v>
      </c>
      <c r="D2173" s="1" t="s">
        <v>1467</v>
      </c>
      <c r="E2173">
        <v>20251202</v>
      </c>
      <c r="F2173" s="1" t="s">
        <v>1470</v>
      </c>
      <c r="G2173">
        <v>4</v>
      </c>
      <c r="H2173" s="1" t="s">
        <v>1511</v>
      </c>
      <c r="I2173" t="s">
        <v>1891</v>
      </c>
      <c r="J2173" s="1" t="s">
        <v>1456</v>
      </c>
      <c r="K2173" s="1" t="s">
        <v>1573</v>
      </c>
      <c r="L2173" s="1" t="s">
        <v>1729</v>
      </c>
      <c r="M2173" s="1" t="s">
        <v>1741</v>
      </c>
      <c r="N2173" t="s">
        <v>2103</v>
      </c>
      <c r="O2173" t="s">
        <v>2224</v>
      </c>
      <c r="P2173" t="s">
        <v>3042</v>
      </c>
      <c r="Q2173">
        <v>125</v>
      </c>
      <c r="R2173" s="1" t="s">
        <v>1718</v>
      </c>
      <c r="S2173">
        <v>12597</v>
      </c>
      <c r="T2173">
        <v>1574625</v>
      </c>
    </row>
    <row r="2174" spans="1:20" hidden="1" x14ac:dyDescent="0.4">
      <c r="A2174" s="1" t="s">
        <v>740</v>
      </c>
      <c r="B2174" s="1" t="s">
        <v>1453</v>
      </c>
      <c r="C2174" s="1" t="s">
        <v>1844</v>
      </c>
      <c r="D2174" s="1" t="s">
        <v>1467</v>
      </c>
      <c r="E2174">
        <v>20251202</v>
      </c>
      <c r="F2174" s="1" t="s">
        <v>1470</v>
      </c>
      <c r="G2174">
        <v>4</v>
      </c>
      <c r="H2174" s="1" t="s">
        <v>1503</v>
      </c>
      <c r="I2174" t="s">
        <v>1883</v>
      </c>
      <c r="J2174" s="1" t="s">
        <v>1456</v>
      </c>
      <c r="K2174" s="1" t="s">
        <v>1570</v>
      </c>
      <c r="L2174" s="1" t="s">
        <v>1729</v>
      </c>
      <c r="M2174" s="1" t="s">
        <v>1741</v>
      </c>
      <c r="N2174" t="s">
        <v>1943</v>
      </c>
      <c r="O2174" t="s">
        <v>2157</v>
      </c>
      <c r="P2174" t="s">
        <v>3243</v>
      </c>
      <c r="Q2174">
        <v>10</v>
      </c>
      <c r="R2174" s="1" t="s">
        <v>1718</v>
      </c>
      <c r="S2174">
        <v>2201</v>
      </c>
      <c r="T2174">
        <v>22010</v>
      </c>
    </row>
    <row r="2175" spans="1:20" hidden="1" x14ac:dyDescent="0.4">
      <c r="A2175" s="1" t="s">
        <v>741</v>
      </c>
      <c r="B2175" s="1" t="s">
        <v>1453</v>
      </c>
      <c r="C2175" s="1" t="s">
        <v>1844</v>
      </c>
      <c r="D2175" s="1" t="s">
        <v>1462</v>
      </c>
      <c r="E2175">
        <v>20251202</v>
      </c>
      <c r="F2175" s="1" t="s">
        <v>1470</v>
      </c>
      <c r="G2175">
        <v>4</v>
      </c>
      <c r="H2175" s="1" t="s">
        <v>1514</v>
      </c>
      <c r="I2175" t="s">
        <v>1894</v>
      </c>
      <c r="J2175" s="1" t="s">
        <v>1456</v>
      </c>
      <c r="K2175" s="1" t="s">
        <v>1571</v>
      </c>
      <c r="L2175" s="1" t="s">
        <v>1729</v>
      </c>
      <c r="M2175" s="1" t="s">
        <v>1741</v>
      </c>
      <c r="N2175" t="s">
        <v>1944</v>
      </c>
      <c r="O2175" t="s">
        <v>2157</v>
      </c>
      <c r="P2175" t="s">
        <v>3259</v>
      </c>
      <c r="Q2175">
        <v>100</v>
      </c>
      <c r="R2175" s="1" t="s">
        <v>1718</v>
      </c>
      <c r="S2175">
        <v>2981</v>
      </c>
      <c r="T2175">
        <v>298100</v>
      </c>
    </row>
    <row r="2176" spans="1:20" hidden="1" x14ac:dyDescent="0.4">
      <c r="A2176" s="1" t="s">
        <v>741</v>
      </c>
      <c r="B2176" s="1" t="s">
        <v>1454</v>
      </c>
      <c r="C2176" s="1" t="s">
        <v>1844</v>
      </c>
      <c r="D2176" s="1" t="s">
        <v>1462</v>
      </c>
      <c r="E2176">
        <v>20251202</v>
      </c>
      <c r="F2176" s="1" t="s">
        <v>1470</v>
      </c>
      <c r="G2176">
        <v>4</v>
      </c>
      <c r="H2176" s="1" t="s">
        <v>1514</v>
      </c>
      <c r="I2176" t="s">
        <v>1894</v>
      </c>
      <c r="J2176" s="1" t="s">
        <v>1456</v>
      </c>
      <c r="K2176" s="1" t="s">
        <v>1571</v>
      </c>
      <c r="L2176" s="1" t="s">
        <v>1729</v>
      </c>
      <c r="M2176" s="1" t="s">
        <v>1741</v>
      </c>
      <c r="N2176" t="s">
        <v>1944</v>
      </c>
      <c r="O2176" t="s">
        <v>2157</v>
      </c>
      <c r="P2176" t="s">
        <v>3260</v>
      </c>
      <c r="Q2176">
        <v>200</v>
      </c>
      <c r="R2176" s="1" t="s">
        <v>1718</v>
      </c>
      <c r="S2176">
        <v>7308</v>
      </c>
      <c r="T2176">
        <v>1461600</v>
      </c>
    </row>
    <row r="2177" spans="1:20" hidden="1" x14ac:dyDescent="0.4">
      <c r="A2177" s="1" t="s">
        <v>741</v>
      </c>
      <c r="B2177" s="1" t="s">
        <v>1455</v>
      </c>
      <c r="C2177" s="1" t="s">
        <v>1844</v>
      </c>
      <c r="D2177" s="1" t="s">
        <v>1462</v>
      </c>
      <c r="E2177">
        <v>20251202</v>
      </c>
      <c r="F2177" s="1" t="s">
        <v>1470</v>
      </c>
      <c r="G2177">
        <v>4</v>
      </c>
      <c r="H2177" s="1" t="s">
        <v>1514</v>
      </c>
      <c r="I2177" t="s">
        <v>1894</v>
      </c>
      <c r="J2177" s="1" t="s">
        <v>1456</v>
      </c>
      <c r="K2177" s="1" t="s">
        <v>1696</v>
      </c>
      <c r="L2177" s="1" t="s">
        <v>1729</v>
      </c>
      <c r="M2177" s="1" t="s">
        <v>1735</v>
      </c>
      <c r="N2177" t="s">
        <v>2104</v>
      </c>
      <c r="O2177" t="s">
        <v>2157</v>
      </c>
      <c r="P2177" t="s">
        <v>3261</v>
      </c>
      <c r="Q2177">
        <v>50</v>
      </c>
      <c r="R2177" s="1" t="s">
        <v>1718</v>
      </c>
      <c r="S2177">
        <v>5113</v>
      </c>
      <c r="T2177">
        <v>255650</v>
      </c>
    </row>
    <row r="2178" spans="1:20" hidden="1" x14ac:dyDescent="0.4">
      <c r="A2178" s="1" t="s">
        <v>741</v>
      </c>
      <c r="B2178" s="1" t="s">
        <v>1456</v>
      </c>
      <c r="C2178" s="1" t="s">
        <v>1844</v>
      </c>
      <c r="D2178" s="1" t="s">
        <v>1462</v>
      </c>
      <c r="E2178">
        <v>20251202</v>
      </c>
      <c r="F2178" s="1" t="s">
        <v>1470</v>
      </c>
      <c r="G2178">
        <v>4</v>
      </c>
      <c r="H2178" s="1" t="s">
        <v>1514</v>
      </c>
      <c r="I2178" t="s">
        <v>1894</v>
      </c>
      <c r="J2178" s="1" t="s">
        <v>1456</v>
      </c>
      <c r="K2178" s="1" t="s">
        <v>1696</v>
      </c>
      <c r="L2178" s="1" t="s">
        <v>1729</v>
      </c>
      <c r="M2178" s="1" t="s">
        <v>1735</v>
      </c>
      <c r="N2178" t="s">
        <v>2104</v>
      </c>
      <c r="O2178" t="s">
        <v>2157</v>
      </c>
      <c r="P2178" t="s">
        <v>3262</v>
      </c>
      <c r="Q2178">
        <v>50</v>
      </c>
      <c r="R2178" s="1" t="s">
        <v>1718</v>
      </c>
      <c r="S2178">
        <v>10095</v>
      </c>
      <c r="T2178">
        <v>504750</v>
      </c>
    </row>
    <row r="2179" spans="1:20" hidden="1" x14ac:dyDescent="0.4">
      <c r="A2179" s="1" t="s">
        <v>742</v>
      </c>
      <c r="B2179" s="1" t="s">
        <v>1453</v>
      </c>
      <c r="C2179" s="1" t="s">
        <v>1844</v>
      </c>
      <c r="D2179" s="1" t="s">
        <v>1462</v>
      </c>
      <c r="E2179">
        <v>20251202</v>
      </c>
      <c r="F2179" s="1" t="s">
        <v>1470</v>
      </c>
      <c r="G2179">
        <v>4</v>
      </c>
      <c r="H2179" s="1" t="s">
        <v>1511</v>
      </c>
      <c r="I2179" t="s">
        <v>1891</v>
      </c>
      <c r="J2179" s="1" t="s">
        <v>1456</v>
      </c>
      <c r="K2179" s="1" t="s">
        <v>1560</v>
      </c>
      <c r="L2179" s="1" t="s">
        <v>1729</v>
      </c>
      <c r="M2179" s="1" t="s">
        <v>1740</v>
      </c>
      <c r="N2179" t="s">
        <v>2105</v>
      </c>
      <c r="O2179" t="s">
        <v>2225</v>
      </c>
      <c r="P2179" t="s">
        <v>3172</v>
      </c>
      <c r="Q2179">
        <v>2</v>
      </c>
      <c r="R2179" s="1" t="s">
        <v>1718</v>
      </c>
      <c r="S2179">
        <v>15577</v>
      </c>
      <c r="T2179">
        <v>31154</v>
      </c>
    </row>
    <row r="2180" spans="1:20" hidden="1" x14ac:dyDescent="0.4">
      <c r="A2180" s="1" t="s">
        <v>742</v>
      </c>
      <c r="B2180" s="1" t="s">
        <v>1454</v>
      </c>
      <c r="C2180" s="1" t="s">
        <v>1844</v>
      </c>
      <c r="D2180" s="1" t="s">
        <v>1462</v>
      </c>
      <c r="E2180">
        <v>20251202</v>
      </c>
      <c r="F2180" s="1" t="s">
        <v>1470</v>
      </c>
      <c r="G2180">
        <v>4</v>
      </c>
      <c r="H2180" s="1" t="s">
        <v>1511</v>
      </c>
      <c r="I2180" t="s">
        <v>1891</v>
      </c>
      <c r="J2180" s="1" t="s">
        <v>1456</v>
      </c>
      <c r="K2180" s="1" t="s">
        <v>1560</v>
      </c>
      <c r="L2180" s="1" t="s">
        <v>1729</v>
      </c>
      <c r="M2180" s="1" t="s">
        <v>1740</v>
      </c>
      <c r="N2180" t="s">
        <v>2105</v>
      </c>
      <c r="O2180" t="s">
        <v>2225</v>
      </c>
      <c r="P2180" t="s">
        <v>3172</v>
      </c>
      <c r="Q2180">
        <v>2</v>
      </c>
      <c r="R2180" s="1" t="s">
        <v>1718</v>
      </c>
      <c r="S2180">
        <v>18351</v>
      </c>
      <c r="T2180">
        <v>36702</v>
      </c>
    </row>
    <row r="2181" spans="1:20" hidden="1" x14ac:dyDescent="0.4">
      <c r="A2181" s="1" t="s">
        <v>743</v>
      </c>
      <c r="B2181" s="1" t="s">
        <v>1453</v>
      </c>
      <c r="C2181" s="1" t="s">
        <v>1844</v>
      </c>
      <c r="D2181" s="1" t="s">
        <v>1462</v>
      </c>
      <c r="E2181">
        <v>20251202</v>
      </c>
      <c r="F2181" s="1" t="s">
        <v>1470</v>
      </c>
      <c r="G2181">
        <v>4</v>
      </c>
      <c r="H2181" s="1" t="s">
        <v>1511</v>
      </c>
      <c r="I2181" t="s">
        <v>1891</v>
      </c>
      <c r="J2181" s="1" t="s">
        <v>1456</v>
      </c>
      <c r="K2181" s="1" t="s">
        <v>1561</v>
      </c>
      <c r="L2181" s="1" t="s">
        <v>1729</v>
      </c>
      <c r="M2181" s="1" t="s">
        <v>1737</v>
      </c>
      <c r="N2181" t="s">
        <v>2106</v>
      </c>
      <c r="O2181" t="s">
        <v>2226</v>
      </c>
      <c r="P2181" t="s">
        <v>3172</v>
      </c>
      <c r="Q2181">
        <v>2</v>
      </c>
      <c r="R2181" s="1" t="s">
        <v>1718</v>
      </c>
      <c r="S2181">
        <v>23496</v>
      </c>
      <c r="T2181">
        <v>46992</v>
      </c>
    </row>
    <row r="2182" spans="1:20" hidden="1" x14ac:dyDescent="0.4">
      <c r="A2182" s="1" t="s">
        <v>743</v>
      </c>
      <c r="B2182" s="1" t="s">
        <v>1454</v>
      </c>
      <c r="C2182" s="1" t="s">
        <v>1844</v>
      </c>
      <c r="D2182" s="1" t="s">
        <v>1462</v>
      </c>
      <c r="E2182">
        <v>20251202</v>
      </c>
      <c r="F2182" s="1" t="s">
        <v>1470</v>
      </c>
      <c r="G2182">
        <v>4</v>
      </c>
      <c r="H2182" s="1" t="s">
        <v>1511</v>
      </c>
      <c r="I2182" t="s">
        <v>1891</v>
      </c>
      <c r="J2182" s="1" t="s">
        <v>1456</v>
      </c>
      <c r="K2182" s="1" t="s">
        <v>1561</v>
      </c>
      <c r="L2182" s="1" t="s">
        <v>1729</v>
      </c>
      <c r="M2182" s="1" t="s">
        <v>1737</v>
      </c>
      <c r="N2182" t="s">
        <v>2106</v>
      </c>
      <c r="O2182" t="s">
        <v>2226</v>
      </c>
      <c r="P2182" t="s">
        <v>3172</v>
      </c>
      <c r="Q2182">
        <v>2</v>
      </c>
      <c r="R2182" s="1" t="s">
        <v>1718</v>
      </c>
      <c r="S2182">
        <v>21997</v>
      </c>
      <c r="T2182">
        <v>43994</v>
      </c>
    </row>
    <row r="2183" spans="1:20" hidden="1" x14ac:dyDescent="0.4">
      <c r="A2183" s="1" t="s">
        <v>744</v>
      </c>
      <c r="B2183" s="1" t="s">
        <v>1453</v>
      </c>
      <c r="C2183" s="1" t="s">
        <v>1844</v>
      </c>
      <c r="D2183" s="1" t="s">
        <v>1462</v>
      </c>
      <c r="E2183">
        <v>20251202</v>
      </c>
      <c r="F2183" s="1" t="s">
        <v>1470</v>
      </c>
      <c r="G2183">
        <v>4</v>
      </c>
      <c r="H2183" s="1" t="s">
        <v>1511</v>
      </c>
      <c r="I2183" t="s">
        <v>1891</v>
      </c>
      <c r="J2183" s="1" t="s">
        <v>1456</v>
      </c>
      <c r="K2183" s="1" t="s">
        <v>1556</v>
      </c>
      <c r="L2183" s="1" t="s">
        <v>1729</v>
      </c>
      <c r="M2183" s="1" t="s">
        <v>1738</v>
      </c>
      <c r="N2183" t="s">
        <v>2089</v>
      </c>
      <c r="O2183" t="s">
        <v>2227</v>
      </c>
      <c r="P2183" t="s">
        <v>2222</v>
      </c>
      <c r="Q2183">
        <v>2</v>
      </c>
      <c r="R2183" s="1" t="s">
        <v>1718</v>
      </c>
      <c r="S2183">
        <v>7181</v>
      </c>
      <c r="T2183">
        <v>14362</v>
      </c>
    </row>
    <row r="2184" spans="1:20" hidden="1" x14ac:dyDescent="0.4">
      <c r="A2184" s="1" t="s">
        <v>745</v>
      </c>
      <c r="B2184" s="1" t="s">
        <v>1453</v>
      </c>
      <c r="C2184" s="1" t="s">
        <v>1844</v>
      </c>
      <c r="D2184" s="1" t="s">
        <v>1462</v>
      </c>
      <c r="E2184">
        <v>20251202</v>
      </c>
      <c r="F2184" s="1" t="s">
        <v>1470</v>
      </c>
      <c r="G2184">
        <v>4</v>
      </c>
      <c r="H2184" s="1" t="s">
        <v>1511</v>
      </c>
      <c r="I2184" t="s">
        <v>1891</v>
      </c>
      <c r="J2184" s="1" t="s">
        <v>1456</v>
      </c>
      <c r="K2184" s="1" t="s">
        <v>1562</v>
      </c>
      <c r="L2184" s="1" t="s">
        <v>1729</v>
      </c>
      <c r="M2184" s="1" t="s">
        <v>1735</v>
      </c>
      <c r="N2184" t="s">
        <v>2107</v>
      </c>
      <c r="O2184" t="s">
        <v>2228</v>
      </c>
      <c r="P2184" t="s">
        <v>2222</v>
      </c>
      <c r="Q2184">
        <v>2</v>
      </c>
      <c r="R2184" s="1" t="s">
        <v>1718</v>
      </c>
      <c r="S2184">
        <v>19462</v>
      </c>
      <c r="T2184">
        <v>38924</v>
      </c>
    </row>
    <row r="2185" spans="1:20" hidden="1" x14ac:dyDescent="0.4">
      <c r="A2185" s="1" t="s">
        <v>746</v>
      </c>
      <c r="B2185" s="1" t="s">
        <v>1453</v>
      </c>
      <c r="C2185" s="1" t="s">
        <v>1844</v>
      </c>
      <c r="D2185" s="1" t="s">
        <v>1462</v>
      </c>
      <c r="E2185">
        <v>20251202</v>
      </c>
      <c r="F2185" s="1" t="s">
        <v>1470</v>
      </c>
      <c r="G2185">
        <v>4</v>
      </c>
      <c r="H2185" s="1" t="s">
        <v>1511</v>
      </c>
      <c r="I2185" t="s">
        <v>1891</v>
      </c>
      <c r="J2185" s="1" t="s">
        <v>1456</v>
      </c>
      <c r="K2185" s="1" t="s">
        <v>1560</v>
      </c>
      <c r="L2185" s="1" t="s">
        <v>1729</v>
      </c>
      <c r="M2185" s="1" t="s">
        <v>1740</v>
      </c>
      <c r="N2185" t="s">
        <v>2105</v>
      </c>
      <c r="O2185" t="s">
        <v>2229</v>
      </c>
      <c r="P2185" t="s">
        <v>3263</v>
      </c>
      <c r="Q2185">
        <v>2</v>
      </c>
      <c r="R2185" s="1" t="s">
        <v>1718</v>
      </c>
      <c r="S2185">
        <v>17412</v>
      </c>
      <c r="T2185">
        <v>34824</v>
      </c>
    </row>
    <row r="2186" spans="1:20" hidden="1" x14ac:dyDescent="0.4">
      <c r="A2186" s="1" t="s">
        <v>746</v>
      </c>
      <c r="B2186" s="1" t="s">
        <v>1454</v>
      </c>
      <c r="C2186" s="1" t="s">
        <v>1844</v>
      </c>
      <c r="D2186" s="1" t="s">
        <v>1462</v>
      </c>
      <c r="E2186">
        <v>20251202</v>
      </c>
      <c r="F2186" s="1" t="s">
        <v>1470</v>
      </c>
      <c r="G2186">
        <v>4</v>
      </c>
      <c r="H2186" s="1" t="s">
        <v>1511</v>
      </c>
      <c r="I2186" t="s">
        <v>1891</v>
      </c>
      <c r="J2186" s="1" t="s">
        <v>1456</v>
      </c>
      <c r="K2186" s="1" t="s">
        <v>1560</v>
      </c>
      <c r="L2186" s="1" t="s">
        <v>1729</v>
      </c>
      <c r="M2186" s="1" t="s">
        <v>1740</v>
      </c>
      <c r="N2186" t="s">
        <v>2105</v>
      </c>
      <c r="O2186" t="s">
        <v>2230</v>
      </c>
      <c r="P2186" t="s">
        <v>3263</v>
      </c>
      <c r="Q2186">
        <v>1</v>
      </c>
      <c r="R2186" s="1" t="s">
        <v>1718</v>
      </c>
      <c r="S2186">
        <v>17412</v>
      </c>
      <c r="T2186">
        <v>17412</v>
      </c>
    </row>
    <row r="2187" spans="1:20" hidden="1" x14ac:dyDescent="0.4">
      <c r="A2187" s="1" t="s">
        <v>747</v>
      </c>
      <c r="B2187" s="1" t="s">
        <v>1453</v>
      </c>
      <c r="C2187" s="1" t="s">
        <v>1844</v>
      </c>
      <c r="D2187" s="1" t="s">
        <v>1462</v>
      </c>
      <c r="E2187">
        <v>20251202</v>
      </c>
      <c r="F2187" s="1" t="s">
        <v>1470</v>
      </c>
      <c r="G2187">
        <v>4</v>
      </c>
      <c r="H2187" s="1" t="s">
        <v>1503</v>
      </c>
      <c r="I2187" t="s">
        <v>1883</v>
      </c>
      <c r="J2187" s="1" t="s">
        <v>1456</v>
      </c>
      <c r="K2187" s="1" t="s">
        <v>1554</v>
      </c>
      <c r="L2187" s="1" t="s">
        <v>1729</v>
      </c>
      <c r="M2187" s="1" t="s">
        <v>1737</v>
      </c>
      <c r="N2187" t="s">
        <v>2091</v>
      </c>
      <c r="O2187" t="s">
        <v>2231</v>
      </c>
      <c r="P2187">
        <v>82178</v>
      </c>
      <c r="Q2187">
        <v>2</v>
      </c>
      <c r="R2187" s="1" t="s">
        <v>1718</v>
      </c>
      <c r="S2187">
        <v>81660</v>
      </c>
      <c r="T2187">
        <v>163320</v>
      </c>
    </row>
    <row r="2188" spans="1:20" hidden="1" x14ac:dyDescent="0.4">
      <c r="A2188" s="1" t="s">
        <v>747</v>
      </c>
      <c r="B2188" s="1" t="s">
        <v>1454</v>
      </c>
      <c r="C2188" s="1" t="s">
        <v>1844</v>
      </c>
      <c r="D2188" s="1" t="s">
        <v>1462</v>
      </c>
      <c r="E2188">
        <v>20251202</v>
      </c>
      <c r="F2188" s="1" t="s">
        <v>1470</v>
      </c>
      <c r="G2188">
        <v>4</v>
      </c>
      <c r="H2188" s="1" t="s">
        <v>1503</v>
      </c>
      <c r="I2188" t="s">
        <v>1883</v>
      </c>
      <c r="J2188" s="1" t="s">
        <v>1456</v>
      </c>
      <c r="K2188" s="1" t="s">
        <v>1553</v>
      </c>
      <c r="L2188" s="1" t="s">
        <v>1729</v>
      </c>
      <c r="M2188" s="1" t="s">
        <v>1736</v>
      </c>
      <c r="N2188" t="s">
        <v>2108</v>
      </c>
      <c r="O2188" t="s">
        <v>2232</v>
      </c>
      <c r="P2188" t="s">
        <v>3264</v>
      </c>
      <c r="Q2188">
        <v>4</v>
      </c>
      <c r="R2188" s="1" t="s">
        <v>1718</v>
      </c>
      <c r="S2188">
        <v>17590</v>
      </c>
      <c r="T2188">
        <v>70360</v>
      </c>
    </row>
    <row r="2189" spans="1:20" hidden="1" x14ac:dyDescent="0.4">
      <c r="A2189" s="1" t="s">
        <v>747</v>
      </c>
      <c r="B2189" s="1" t="s">
        <v>1455</v>
      </c>
      <c r="C2189" s="1" t="s">
        <v>1844</v>
      </c>
      <c r="D2189" s="1" t="s">
        <v>1462</v>
      </c>
      <c r="E2189">
        <v>20251202</v>
      </c>
      <c r="F2189" s="1" t="s">
        <v>1470</v>
      </c>
      <c r="G2189">
        <v>4</v>
      </c>
      <c r="H2189" s="1" t="s">
        <v>1503</v>
      </c>
      <c r="I2189" t="s">
        <v>1883</v>
      </c>
      <c r="J2189" s="1" t="s">
        <v>1456</v>
      </c>
      <c r="K2189" s="1" t="s">
        <v>1553</v>
      </c>
      <c r="L2189" s="1" t="s">
        <v>1729</v>
      </c>
      <c r="M2189" s="1" t="s">
        <v>1736</v>
      </c>
      <c r="N2189" t="s">
        <v>2108</v>
      </c>
      <c r="O2189" t="s">
        <v>2233</v>
      </c>
      <c r="P2189" t="s">
        <v>3265</v>
      </c>
      <c r="Q2189">
        <v>2</v>
      </c>
      <c r="R2189" s="1" t="s">
        <v>1718</v>
      </c>
      <c r="S2189">
        <v>3380</v>
      </c>
      <c r="T2189">
        <v>6760</v>
      </c>
    </row>
    <row r="2190" spans="1:20" hidden="1" x14ac:dyDescent="0.4">
      <c r="A2190" s="1" t="s">
        <v>748</v>
      </c>
      <c r="B2190" s="1" t="s">
        <v>1453</v>
      </c>
      <c r="C2190" s="1" t="s">
        <v>1844</v>
      </c>
      <c r="D2190" s="1" t="s">
        <v>1462</v>
      </c>
      <c r="E2190">
        <v>20251202</v>
      </c>
      <c r="F2190" s="1" t="s">
        <v>1470</v>
      </c>
      <c r="G2190">
        <v>4</v>
      </c>
      <c r="H2190" s="1" t="s">
        <v>1503</v>
      </c>
      <c r="I2190" t="s">
        <v>1883</v>
      </c>
      <c r="J2190" s="1" t="s">
        <v>1456</v>
      </c>
      <c r="K2190" s="1" t="s">
        <v>1553</v>
      </c>
      <c r="L2190" s="1" t="s">
        <v>1729</v>
      </c>
      <c r="M2190" s="1" t="s">
        <v>1736</v>
      </c>
      <c r="N2190" t="s">
        <v>2093</v>
      </c>
      <c r="O2190" t="s">
        <v>2234</v>
      </c>
      <c r="P2190" t="s">
        <v>3266</v>
      </c>
      <c r="Q2190">
        <v>2</v>
      </c>
      <c r="R2190" s="1" t="s">
        <v>1718</v>
      </c>
      <c r="S2190">
        <v>12660</v>
      </c>
      <c r="T2190">
        <v>25320</v>
      </c>
    </row>
    <row r="2191" spans="1:20" hidden="1" x14ac:dyDescent="0.4">
      <c r="A2191" s="1" t="s">
        <v>749</v>
      </c>
      <c r="B2191" s="1" t="s">
        <v>1453</v>
      </c>
      <c r="C2191" s="1" t="s">
        <v>1844</v>
      </c>
      <c r="D2191" s="1" t="s">
        <v>1462</v>
      </c>
      <c r="E2191">
        <v>20251202</v>
      </c>
      <c r="F2191" s="1" t="s">
        <v>1470</v>
      </c>
      <c r="G2191">
        <v>4</v>
      </c>
      <c r="H2191" s="1" t="s">
        <v>1503</v>
      </c>
      <c r="I2191" t="s">
        <v>1883</v>
      </c>
      <c r="J2191" s="1" t="s">
        <v>1456</v>
      </c>
      <c r="K2191" s="1" t="s">
        <v>1554</v>
      </c>
      <c r="L2191" s="1" t="s">
        <v>1729</v>
      </c>
      <c r="M2191" s="1" t="s">
        <v>1737</v>
      </c>
      <c r="N2191" t="s">
        <v>2091</v>
      </c>
      <c r="O2191" t="s">
        <v>2235</v>
      </c>
      <c r="P2191">
        <v>82184</v>
      </c>
      <c r="Q2191">
        <v>2</v>
      </c>
      <c r="R2191" s="1" t="s">
        <v>1718</v>
      </c>
      <c r="S2191">
        <v>5120</v>
      </c>
      <c r="T2191">
        <v>10240</v>
      </c>
    </row>
    <row r="2192" spans="1:20" hidden="1" x14ac:dyDescent="0.4">
      <c r="A2192" s="1" t="s">
        <v>750</v>
      </c>
      <c r="B2192" s="1" t="s">
        <v>1453</v>
      </c>
      <c r="C2192" s="1" t="s">
        <v>1844</v>
      </c>
      <c r="D2192" s="1" t="s">
        <v>1462</v>
      </c>
      <c r="E2192">
        <v>20251202</v>
      </c>
      <c r="F2192" s="1" t="s">
        <v>1470</v>
      </c>
      <c r="G2192">
        <v>4</v>
      </c>
      <c r="H2192" s="1" t="s">
        <v>1503</v>
      </c>
      <c r="I2192" t="s">
        <v>1883</v>
      </c>
      <c r="J2192" s="1" t="s">
        <v>1456</v>
      </c>
      <c r="K2192" s="1" t="s">
        <v>1554</v>
      </c>
      <c r="L2192" s="1" t="s">
        <v>1729</v>
      </c>
      <c r="M2192" s="1" t="s">
        <v>1737</v>
      </c>
      <c r="N2192" t="s">
        <v>2109</v>
      </c>
      <c r="O2192" t="s">
        <v>2236</v>
      </c>
      <c r="P2192">
        <v>82154</v>
      </c>
      <c r="Q2192">
        <v>2</v>
      </c>
      <c r="R2192" s="1" t="s">
        <v>1718</v>
      </c>
      <c r="S2192">
        <v>12850</v>
      </c>
      <c r="T2192">
        <v>25700</v>
      </c>
    </row>
    <row r="2193" spans="1:20" hidden="1" x14ac:dyDescent="0.4">
      <c r="A2193" s="1" t="s">
        <v>750</v>
      </c>
      <c r="B2193" s="1" t="s">
        <v>1454</v>
      </c>
      <c r="C2193" s="1" t="s">
        <v>1844</v>
      </c>
      <c r="D2193" s="1" t="s">
        <v>1462</v>
      </c>
      <c r="E2193">
        <v>20251202</v>
      </c>
      <c r="F2193" s="1" t="s">
        <v>1470</v>
      </c>
      <c r="G2193">
        <v>4</v>
      </c>
      <c r="H2193" s="1" t="s">
        <v>1503</v>
      </c>
      <c r="I2193" t="s">
        <v>1883</v>
      </c>
      <c r="J2193" s="1" t="s">
        <v>1456</v>
      </c>
      <c r="K2193" s="1" t="s">
        <v>1554</v>
      </c>
      <c r="L2193" s="1" t="s">
        <v>1729</v>
      </c>
      <c r="M2193" s="1" t="s">
        <v>1737</v>
      </c>
      <c r="N2193" t="s">
        <v>2091</v>
      </c>
      <c r="O2193" t="s">
        <v>2237</v>
      </c>
      <c r="P2193">
        <v>82185</v>
      </c>
      <c r="Q2193">
        <v>1</v>
      </c>
      <c r="R2193" s="1" t="s">
        <v>1718</v>
      </c>
      <c r="S2193">
        <v>11130</v>
      </c>
      <c r="T2193">
        <v>11130</v>
      </c>
    </row>
    <row r="2194" spans="1:20" hidden="1" x14ac:dyDescent="0.4">
      <c r="A2194" s="1" t="s">
        <v>751</v>
      </c>
      <c r="B2194" s="1" t="s">
        <v>1453</v>
      </c>
      <c r="C2194" s="1" t="s">
        <v>1844</v>
      </c>
      <c r="D2194" s="1" t="s">
        <v>1462</v>
      </c>
      <c r="E2194">
        <v>20251202</v>
      </c>
      <c r="F2194" s="1" t="s">
        <v>1470</v>
      </c>
      <c r="G2194">
        <v>4</v>
      </c>
      <c r="H2194" s="1" t="s">
        <v>1503</v>
      </c>
      <c r="I2194" t="s">
        <v>1883</v>
      </c>
      <c r="J2194" s="1" t="s">
        <v>1456</v>
      </c>
      <c r="K2194" s="1" t="s">
        <v>1554</v>
      </c>
      <c r="L2194" s="1" t="s">
        <v>1729</v>
      </c>
      <c r="M2194" s="1" t="s">
        <v>1737</v>
      </c>
      <c r="N2194" t="s">
        <v>2091</v>
      </c>
      <c r="O2194" t="s">
        <v>2238</v>
      </c>
      <c r="P2194">
        <v>82169</v>
      </c>
      <c r="Q2194">
        <v>2</v>
      </c>
      <c r="R2194" s="1" t="s">
        <v>1718</v>
      </c>
      <c r="S2194">
        <v>7580</v>
      </c>
      <c r="T2194">
        <v>15160</v>
      </c>
    </row>
    <row r="2195" spans="1:20" hidden="1" x14ac:dyDescent="0.4">
      <c r="A2195" s="1" t="s">
        <v>751</v>
      </c>
      <c r="B2195" s="1" t="s">
        <v>1454</v>
      </c>
      <c r="C2195" s="1" t="s">
        <v>1844</v>
      </c>
      <c r="D2195" s="1" t="s">
        <v>1462</v>
      </c>
      <c r="E2195">
        <v>20251202</v>
      </c>
      <c r="F2195" s="1" t="s">
        <v>1470</v>
      </c>
      <c r="G2195">
        <v>4</v>
      </c>
      <c r="H2195" s="1" t="s">
        <v>1503</v>
      </c>
      <c r="I2195" t="s">
        <v>1883</v>
      </c>
      <c r="J2195" s="1" t="s">
        <v>1456</v>
      </c>
      <c r="K2195" s="1" t="s">
        <v>1554</v>
      </c>
      <c r="L2195" s="1" t="s">
        <v>1729</v>
      </c>
      <c r="M2195" s="1" t="s">
        <v>1737</v>
      </c>
      <c r="N2195" t="s">
        <v>2092</v>
      </c>
      <c r="O2195" t="s">
        <v>2239</v>
      </c>
      <c r="P2195">
        <v>82156</v>
      </c>
      <c r="Q2195">
        <v>2</v>
      </c>
      <c r="R2195" s="1" t="s">
        <v>1718</v>
      </c>
      <c r="S2195">
        <v>14950</v>
      </c>
      <c r="T2195">
        <v>29900</v>
      </c>
    </row>
    <row r="2196" spans="1:20" hidden="1" x14ac:dyDescent="0.4">
      <c r="A2196" s="1" t="s">
        <v>751</v>
      </c>
      <c r="B2196" s="1" t="s">
        <v>1455</v>
      </c>
      <c r="C2196" s="1" t="s">
        <v>1844</v>
      </c>
      <c r="D2196" s="1" t="s">
        <v>1462</v>
      </c>
      <c r="E2196">
        <v>20251202</v>
      </c>
      <c r="F2196" s="1" t="s">
        <v>1470</v>
      </c>
      <c r="G2196">
        <v>4</v>
      </c>
      <c r="H2196" s="1" t="s">
        <v>1503</v>
      </c>
      <c r="I2196" t="s">
        <v>1883</v>
      </c>
      <c r="J2196" s="1" t="s">
        <v>1456</v>
      </c>
      <c r="K2196" s="1" t="s">
        <v>1554</v>
      </c>
      <c r="L2196" s="1" t="s">
        <v>1729</v>
      </c>
      <c r="M2196" s="1" t="s">
        <v>1737</v>
      </c>
      <c r="N2196" t="s">
        <v>2110</v>
      </c>
      <c r="O2196" t="s">
        <v>2240</v>
      </c>
      <c r="P2196">
        <v>82157</v>
      </c>
      <c r="Q2196">
        <v>2</v>
      </c>
      <c r="R2196" s="1" t="s">
        <v>1718</v>
      </c>
      <c r="S2196">
        <v>29800</v>
      </c>
      <c r="T2196">
        <v>59600</v>
      </c>
    </row>
    <row r="2197" spans="1:20" hidden="1" x14ac:dyDescent="0.4">
      <c r="A2197" s="1" t="s">
        <v>752</v>
      </c>
      <c r="B2197" s="1" t="s">
        <v>1453</v>
      </c>
      <c r="C2197" s="1" t="s">
        <v>1844</v>
      </c>
      <c r="D2197" s="1" t="s">
        <v>1462</v>
      </c>
      <c r="E2197">
        <v>20251202</v>
      </c>
      <c r="F2197" s="1" t="s">
        <v>1470</v>
      </c>
      <c r="G2197">
        <v>4</v>
      </c>
      <c r="H2197" s="1" t="s">
        <v>1503</v>
      </c>
      <c r="I2197" t="s">
        <v>1883</v>
      </c>
      <c r="J2197" s="1" t="s">
        <v>1456</v>
      </c>
      <c r="K2197" s="1" t="s">
        <v>1553</v>
      </c>
      <c r="L2197" s="1" t="s">
        <v>1729</v>
      </c>
      <c r="M2197" s="1" t="s">
        <v>1740</v>
      </c>
      <c r="N2197" t="s">
        <v>2111</v>
      </c>
      <c r="O2197" t="s">
        <v>2241</v>
      </c>
      <c r="P2197" t="s">
        <v>3267</v>
      </c>
      <c r="Q2197">
        <v>2</v>
      </c>
      <c r="R2197" s="1" t="s">
        <v>1718</v>
      </c>
      <c r="S2197">
        <v>21240</v>
      </c>
      <c r="T2197">
        <v>42480</v>
      </c>
    </row>
    <row r="2198" spans="1:20" hidden="1" x14ac:dyDescent="0.4">
      <c r="A2198" s="1" t="s">
        <v>753</v>
      </c>
      <c r="B2198" s="1" t="s">
        <v>1453</v>
      </c>
      <c r="C2198" s="1" t="s">
        <v>1844</v>
      </c>
      <c r="D2198" s="1" t="s">
        <v>1462</v>
      </c>
      <c r="E2198">
        <v>20251202</v>
      </c>
      <c r="F2198" s="1" t="s">
        <v>1470</v>
      </c>
      <c r="G2198">
        <v>4</v>
      </c>
      <c r="H2198" s="1" t="s">
        <v>1503</v>
      </c>
      <c r="I2198" t="s">
        <v>1883</v>
      </c>
      <c r="J2198" s="1" t="s">
        <v>1456</v>
      </c>
      <c r="K2198" s="1" t="s">
        <v>1553</v>
      </c>
      <c r="L2198" s="1" t="s">
        <v>1729</v>
      </c>
      <c r="M2198" s="1" t="s">
        <v>1736</v>
      </c>
      <c r="N2198" t="s">
        <v>2108</v>
      </c>
      <c r="O2198" t="s">
        <v>2242</v>
      </c>
      <c r="P2198" t="s">
        <v>3268</v>
      </c>
      <c r="Q2198">
        <v>10</v>
      </c>
      <c r="R2198" s="1" t="s">
        <v>1718</v>
      </c>
      <c r="S2198">
        <v>18960</v>
      </c>
      <c r="T2198">
        <v>189600</v>
      </c>
    </row>
    <row r="2199" spans="1:20" hidden="1" x14ac:dyDescent="0.4">
      <c r="A2199" s="1" t="s">
        <v>754</v>
      </c>
      <c r="B2199" s="1" t="s">
        <v>1453</v>
      </c>
      <c r="C2199" s="1" t="s">
        <v>1844</v>
      </c>
      <c r="D2199" s="1" t="s">
        <v>1462</v>
      </c>
      <c r="E2199">
        <v>20251202</v>
      </c>
      <c r="F2199" s="1" t="s">
        <v>1470</v>
      </c>
      <c r="G2199">
        <v>4</v>
      </c>
      <c r="H2199" s="1" t="s">
        <v>1503</v>
      </c>
      <c r="I2199" t="s">
        <v>1883</v>
      </c>
      <c r="J2199" s="1" t="s">
        <v>1456</v>
      </c>
      <c r="K2199" s="1" t="s">
        <v>1554</v>
      </c>
      <c r="L2199" s="1" t="s">
        <v>1729</v>
      </c>
      <c r="M2199" s="1" t="s">
        <v>1737</v>
      </c>
      <c r="N2199" t="s">
        <v>2112</v>
      </c>
      <c r="O2199" t="s">
        <v>2243</v>
      </c>
      <c r="P2199">
        <v>82167</v>
      </c>
      <c r="Q2199">
        <v>1</v>
      </c>
      <c r="R2199" s="1" t="s">
        <v>1718</v>
      </c>
      <c r="S2199">
        <v>7580</v>
      </c>
      <c r="T2199">
        <v>7580</v>
      </c>
    </row>
    <row r="2200" spans="1:20" hidden="1" x14ac:dyDescent="0.4">
      <c r="A2200" s="1" t="s">
        <v>755</v>
      </c>
      <c r="B2200" s="1" t="s">
        <v>1453</v>
      </c>
      <c r="C2200" s="1" t="s">
        <v>1844</v>
      </c>
      <c r="D2200" s="1" t="s">
        <v>1462</v>
      </c>
      <c r="E2200">
        <v>20251202</v>
      </c>
      <c r="F2200" s="1" t="s">
        <v>1470</v>
      </c>
      <c r="G2200">
        <v>4</v>
      </c>
      <c r="H2200" s="1" t="s">
        <v>1503</v>
      </c>
      <c r="I2200" t="s">
        <v>1883</v>
      </c>
      <c r="J2200" s="1" t="s">
        <v>1456</v>
      </c>
      <c r="K2200" s="1" t="s">
        <v>1554</v>
      </c>
      <c r="L2200" s="1" t="s">
        <v>1729</v>
      </c>
      <c r="M2200" s="1" t="s">
        <v>1737</v>
      </c>
      <c r="N2200" t="s">
        <v>2113</v>
      </c>
      <c r="O2200" t="s">
        <v>2244</v>
      </c>
      <c r="P2200">
        <v>82158</v>
      </c>
      <c r="Q2200">
        <v>2</v>
      </c>
      <c r="R2200" s="1" t="s">
        <v>1718</v>
      </c>
      <c r="S2200">
        <v>37180</v>
      </c>
      <c r="T2200">
        <v>74360</v>
      </c>
    </row>
    <row r="2201" spans="1:20" hidden="1" x14ac:dyDescent="0.4">
      <c r="A2201" s="1" t="s">
        <v>756</v>
      </c>
      <c r="B2201" s="1" t="s">
        <v>1453</v>
      </c>
      <c r="C2201" s="1" t="s">
        <v>1844</v>
      </c>
      <c r="D2201" s="1" t="s">
        <v>1462</v>
      </c>
      <c r="E2201">
        <v>20251202</v>
      </c>
      <c r="F2201" s="1" t="s">
        <v>1470</v>
      </c>
      <c r="G2201">
        <v>4</v>
      </c>
      <c r="H2201" s="1" t="s">
        <v>1503</v>
      </c>
      <c r="I2201" t="s">
        <v>1883</v>
      </c>
      <c r="J2201" s="1" t="s">
        <v>1456</v>
      </c>
      <c r="K2201" s="1" t="s">
        <v>1554</v>
      </c>
      <c r="L2201" s="1" t="s">
        <v>1729</v>
      </c>
      <c r="M2201" s="1" t="s">
        <v>1737</v>
      </c>
      <c r="N2201" t="s">
        <v>2112</v>
      </c>
      <c r="O2201" t="s">
        <v>2245</v>
      </c>
      <c r="P2201">
        <v>82180</v>
      </c>
      <c r="Q2201">
        <v>2</v>
      </c>
      <c r="R2201" s="1" t="s">
        <v>1718</v>
      </c>
      <c r="S2201">
        <v>12320</v>
      </c>
      <c r="T2201">
        <v>24640</v>
      </c>
    </row>
    <row r="2202" spans="1:20" hidden="1" x14ac:dyDescent="0.4">
      <c r="A2202" s="1" t="s">
        <v>756</v>
      </c>
      <c r="B2202" s="1" t="s">
        <v>1454</v>
      </c>
      <c r="C2202" s="1" t="s">
        <v>1844</v>
      </c>
      <c r="D2202" s="1" t="s">
        <v>1462</v>
      </c>
      <c r="E2202">
        <v>20251202</v>
      </c>
      <c r="F2202" s="1" t="s">
        <v>1470</v>
      </c>
      <c r="G2202">
        <v>4</v>
      </c>
      <c r="H2202" s="1" t="s">
        <v>1503</v>
      </c>
      <c r="I2202" t="s">
        <v>1883</v>
      </c>
      <c r="J2202" s="1" t="s">
        <v>1456</v>
      </c>
      <c r="K2202" s="1" t="s">
        <v>1554</v>
      </c>
      <c r="L2202" s="1" t="s">
        <v>1729</v>
      </c>
      <c r="M2202" s="1" t="s">
        <v>1737</v>
      </c>
      <c r="N2202" t="s">
        <v>2112</v>
      </c>
      <c r="O2202" t="s">
        <v>2246</v>
      </c>
      <c r="P2202">
        <v>82181</v>
      </c>
      <c r="Q2202">
        <v>2</v>
      </c>
      <c r="R2202" s="1" t="s">
        <v>1718</v>
      </c>
      <c r="S2202">
        <v>23250</v>
      </c>
      <c r="T2202">
        <v>46500</v>
      </c>
    </row>
    <row r="2203" spans="1:20" hidden="1" x14ac:dyDescent="0.4">
      <c r="A2203" s="1" t="s">
        <v>756</v>
      </c>
      <c r="B2203" s="1" t="s">
        <v>1455</v>
      </c>
      <c r="C2203" s="1" t="s">
        <v>1844</v>
      </c>
      <c r="D2203" s="1" t="s">
        <v>1462</v>
      </c>
      <c r="E2203">
        <v>20251202</v>
      </c>
      <c r="F2203" s="1" t="s">
        <v>1470</v>
      </c>
      <c r="G2203">
        <v>4</v>
      </c>
      <c r="H2203" s="1" t="s">
        <v>1503</v>
      </c>
      <c r="I2203" t="s">
        <v>1883</v>
      </c>
      <c r="J2203" s="1" t="s">
        <v>1456</v>
      </c>
      <c r="K2203" s="1" t="s">
        <v>1554</v>
      </c>
      <c r="L2203" s="1" t="s">
        <v>1729</v>
      </c>
      <c r="M2203" s="1" t="s">
        <v>1737</v>
      </c>
      <c r="N2203" t="s">
        <v>2112</v>
      </c>
      <c r="O2203" t="s">
        <v>2247</v>
      </c>
      <c r="P2203">
        <v>82182</v>
      </c>
      <c r="Q2203">
        <v>2</v>
      </c>
      <c r="R2203" s="1" t="s">
        <v>1718</v>
      </c>
      <c r="S2203">
        <v>10950</v>
      </c>
      <c r="T2203">
        <v>21900</v>
      </c>
    </row>
    <row r="2204" spans="1:20" hidden="1" x14ac:dyDescent="0.4">
      <c r="A2204" s="1" t="s">
        <v>756</v>
      </c>
      <c r="B2204" s="1" t="s">
        <v>1456</v>
      </c>
      <c r="C2204" s="1" t="s">
        <v>1844</v>
      </c>
      <c r="D2204" s="1" t="s">
        <v>1462</v>
      </c>
      <c r="E2204">
        <v>20251202</v>
      </c>
      <c r="F2204" s="1" t="s">
        <v>1470</v>
      </c>
      <c r="G2204">
        <v>4</v>
      </c>
      <c r="H2204" s="1" t="s">
        <v>1503</v>
      </c>
      <c r="I2204" t="s">
        <v>1883</v>
      </c>
      <c r="J2204" s="1" t="s">
        <v>1456</v>
      </c>
      <c r="K2204" s="1" t="s">
        <v>1554</v>
      </c>
      <c r="L2204" s="1" t="s">
        <v>1729</v>
      </c>
      <c r="M2204" s="1" t="s">
        <v>1737</v>
      </c>
      <c r="N2204" t="s">
        <v>2112</v>
      </c>
      <c r="O2204" t="s">
        <v>2248</v>
      </c>
      <c r="P2204">
        <v>82183</v>
      </c>
      <c r="Q2204">
        <v>2</v>
      </c>
      <c r="R2204" s="1" t="s">
        <v>1718</v>
      </c>
      <c r="S2204">
        <v>13140</v>
      </c>
      <c r="T2204">
        <v>26280</v>
      </c>
    </row>
    <row r="2205" spans="1:20" hidden="1" x14ac:dyDescent="0.4">
      <c r="A2205" s="1" t="s">
        <v>757</v>
      </c>
      <c r="B2205" s="1" t="s">
        <v>1453</v>
      </c>
      <c r="C2205" s="1" t="s">
        <v>1844</v>
      </c>
      <c r="D2205" s="1" t="s">
        <v>1730</v>
      </c>
      <c r="E2205">
        <v>20251202</v>
      </c>
      <c r="F2205" s="1" t="s">
        <v>1470</v>
      </c>
      <c r="G2205">
        <v>4</v>
      </c>
      <c r="H2205" s="1" t="s">
        <v>1503</v>
      </c>
      <c r="I2205" t="s">
        <v>1883</v>
      </c>
      <c r="J2205" s="1" t="s">
        <v>1456</v>
      </c>
      <c r="K2205" s="1" t="s">
        <v>1697</v>
      </c>
      <c r="L2205" s="1" t="s">
        <v>1729</v>
      </c>
      <c r="M2205" s="1" t="s">
        <v>1747</v>
      </c>
      <c r="N2205" t="s">
        <v>2114</v>
      </c>
      <c r="O2205" t="s">
        <v>2249</v>
      </c>
      <c r="P2205" t="s">
        <v>3269</v>
      </c>
      <c r="Q2205">
        <v>20</v>
      </c>
      <c r="R2205" s="1" t="s">
        <v>1718</v>
      </c>
      <c r="S2205">
        <v>0</v>
      </c>
      <c r="T2205">
        <v>0</v>
      </c>
    </row>
    <row r="2206" spans="1:20" hidden="1" x14ac:dyDescent="0.4">
      <c r="A2206" s="1" t="s">
        <v>758</v>
      </c>
      <c r="B2206" s="1" t="s">
        <v>1453</v>
      </c>
      <c r="C2206" s="1" t="s">
        <v>1844</v>
      </c>
      <c r="D2206" s="1" t="s">
        <v>1730</v>
      </c>
      <c r="E2206">
        <v>20251202</v>
      </c>
      <c r="F2206" s="1" t="s">
        <v>1470</v>
      </c>
      <c r="G2206">
        <v>4</v>
      </c>
      <c r="H2206" s="1" t="s">
        <v>1503</v>
      </c>
      <c r="I2206" t="s">
        <v>1883</v>
      </c>
      <c r="J2206" s="1" t="s">
        <v>1456</v>
      </c>
      <c r="K2206" s="1" t="s">
        <v>1570</v>
      </c>
      <c r="L2206" s="1" t="s">
        <v>1729</v>
      </c>
      <c r="M2206" s="1" t="s">
        <v>1742</v>
      </c>
      <c r="N2206" t="s">
        <v>1943</v>
      </c>
      <c r="O2206" t="s">
        <v>2250</v>
      </c>
      <c r="P2206" t="s">
        <v>3245</v>
      </c>
      <c r="Q2206">
        <v>8</v>
      </c>
      <c r="R2206" s="1" t="s">
        <v>1718</v>
      </c>
      <c r="S2206">
        <v>0</v>
      </c>
      <c r="T2206">
        <v>0</v>
      </c>
    </row>
    <row r="2207" spans="1:20" hidden="1" x14ac:dyDescent="0.4">
      <c r="A2207" s="1" t="s">
        <v>758</v>
      </c>
      <c r="B2207" s="1" t="s">
        <v>1454</v>
      </c>
      <c r="C2207" s="1" t="s">
        <v>1844</v>
      </c>
      <c r="D2207" s="1" t="s">
        <v>1730</v>
      </c>
      <c r="E2207">
        <v>20251202</v>
      </c>
      <c r="F2207" s="1" t="s">
        <v>1470</v>
      </c>
      <c r="G2207">
        <v>4</v>
      </c>
      <c r="H2207" s="1" t="s">
        <v>1503</v>
      </c>
      <c r="I2207" t="s">
        <v>1883</v>
      </c>
      <c r="J2207" s="1" t="s">
        <v>1456</v>
      </c>
      <c r="K2207" s="1" t="s">
        <v>1570</v>
      </c>
      <c r="L2207" s="1" t="s">
        <v>1729</v>
      </c>
      <c r="M2207" s="1" t="s">
        <v>1741</v>
      </c>
      <c r="N2207" t="s">
        <v>1943</v>
      </c>
      <c r="O2207" t="s">
        <v>2250</v>
      </c>
      <c r="P2207" t="s">
        <v>3243</v>
      </c>
      <c r="Q2207">
        <v>10</v>
      </c>
      <c r="R2207" s="1" t="s">
        <v>1718</v>
      </c>
      <c r="S2207">
        <v>0</v>
      </c>
      <c r="T2207">
        <v>0</v>
      </c>
    </row>
    <row r="2208" spans="1:20" hidden="1" x14ac:dyDescent="0.4">
      <c r="A2208" s="1" t="s">
        <v>759</v>
      </c>
      <c r="B2208" s="1" t="s">
        <v>1453</v>
      </c>
      <c r="C2208" s="1" t="s">
        <v>1844</v>
      </c>
      <c r="D2208" s="1" t="s">
        <v>1730</v>
      </c>
      <c r="E2208">
        <v>20251202</v>
      </c>
      <c r="F2208" s="1" t="s">
        <v>1470</v>
      </c>
      <c r="G2208">
        <v>4</v>
      </c>
      <c r="H2208" s="1" t="s">
        <v>1503</v>
      </c>
      <c r="I2208" t="s">
        <v>1883</v>
      </c>
      <c r="J2208" s="1" t="s">
        <v>1456</v>
      </c>
      <c r="K2208" s="1" t="s">
        <v>1570</v>
      </c>
      <c r="L2208" s="1" t="s">
        <v>1729</v>
      </c>
      <c r="M2208" s="1" t="s">
        <v>1744</v>
      </c>
      <c r="N2208" t="s">
        <v>1943</v>
      </c>
      <c r="O2208" t="s">
        <v>2251</v>
      </c>
      <c r="P2208" t="s">
        <v>3244</v>
      </c>
      <c r="Q2208">
        <v>2</v>
      </c>
      <c r="R2208" s="1" t="s">
        <v>1718</v>
      </c>
      <c r="S2208">
        <v>0</v>
      </c>
      <c r="T2208">
        <v>0</v>
      </c>
    </row>
    <row r="2209" spans="1:20" hidden="1" x14ac:dyDescent="0.4">
      <c r="A2209" s="1" t="s">
        <v>759</v>
      </c>
      <c r="B2209" s="1" t="s">
        <v>1454</v>
      </c>
      <c r="C2209" s="1" t="s">
        <v>1844</v>
      </c>
      <c r="D2209" s="1" t="s">
        <v>1730</v>
      </c>
      <c r="E2209">
        <v>20251202</v>
      </c>
      <c r="F2209" s="1" t="s">
        <v>1470</v>
      </c>
      <c r="G2209">
        <v>4</v>
      </c>
      <c r="H2209" s="1" t="s">
        <v>1503</v>
      </c>
      <c r="I2209" t="s">
        <v>1883</v>
      </c>
      <c r="J2209" s="1" t="s">
        <v>1456</v>
      </c>
      <c r="K2209" s="1" t="s">
        <v>1570</v>
      </c>
      <c r="L2209" s="1" t="s">
        <v>1729</v>
      </c>
      <c r="M2209" s="1" t="s">
        <v>1744</v>
      </c>
      <c r="N2209" t="s">
        <v>1943</v>
      </c>
      <c r="O2209" t="s">
        <v>2251</v>
      </c>
      <c r="P2209" t="s">
        <v>3244</v>
      </c>
      <c r="Q2209">
        <v>2</v>
      </c>
      <c r="R2209" s="1" t="s">
        <v>1718</v>
      </c>
      <c r="S2209">
        <v>0</v>
      </c>
      <c r="T2209">
        <v>0</v>
      </c>
    </row>
    <row r="2210" spans="1:20" hidden="1" x14ac:dyDescent="0.4">
      <c r="A2210" s="1" t="s">
        <v>759</v>
      </c>
      <c r="B2210" s="1" t="s">
        <v>1455</v>
      </c>
      <c r="C2210" s="1" t="s">
        <v>1844</v>
      </c>
      <c r="D2210" s="1" t="s">
        <v>1730</v>
      </c>
      <c r="E2210">
        <v>20251202</v>
      </c>
      <c r="F2210" s="1" t="s">
        <v>1470</v>
      </c>
      <c r="G2210">
        <v>4</v>
      </c>
      <c r="H2210" s="1" t="s">
        <v>1503</v>
      </c>
      <c r="I2210" t="s">
        <v>1883</v>
      </c>
      <c r="J2210" s="1" t="s">
        <v>1456</v>
      </c>
      <c r="K2210" s="1" t="s">
        <v>1570</v>
      </c>
      <c r="L2210" s="1" t="s">
        <v>1729</v>
      </c>
      <c r="M2210" s="1" t="s">
        <v>1741</v>
      </c>
      <c r="N2210" t="s">
        <v>1943</v>
      </c>
      <c r="O2210" t="s">
        <v>2251</v>
      </c>
      <c r="P2210" t="s">
        <v>3243</v>
      </c>
      <c r="Q2210">
        <v>10</v>
      </c>
      <c r="R2210" s="1" t="s">
        <v>1718</v>
      </c>
      <c r="S2210">
        <v>0</v>
      </c>
      <c r="T2210">
        <v>0</v>
      </c>
    </row>
    <row r="2211" spans="1:20" hidden="1" x14ac:dyDescent="0.4">
      <c r="A2211" s="1" t="s">
        <v>759</v>
      </c>
      <c r="B2211" s="1" t="s">
        <v>1456</v>
      </c>
      <c r="C2211" s="1" t="s">
        <v>1844</v>
      </c>
      <c r="D2211" s="1" t="s">
        <v>1730</v>
      </c>
      <c r="E2211">
        <v>20251202</v>
      </c>
      <c r="F2211" s="1" t="s">
        <v>1470</v>
      </c>
      <c r="G2211">
        <v>4</v>
      </c>
      <c r="H2211" s="1" t="s">
        <v>1503</v>
      </c>
      <c r="I2211" t="s">
        <v>1883</v>
      </c>
      <c r="J2211" s="1" t="s">
        <v>1456</v>
      </c>
      <c r="K2211" s="1" t="s">
        <v>1570</v>
      </c>
      <c r="L2211" s="1" t="s">
        <v>1729</v>
      </c>
      <c r="M2211" s="1" t="s">
        <v>1741</v>
      </c>
      <c r="N2211" t="s">
        <v>1943</v>
      </c>
      <c r="O2211" t="s">
        <v>2251</v>
      </c>
      <c r="P2211" t="s">
        <v>3243</v>
      </c>
      <c r="Q2211">
        <v>4</v>
      </c>
      <c r="R2211" s="1" t="s">
        <v>1718</v>
      </c>
      <c r="S2211">
        <v>0</v>
      </c>
      <c r="T2211">
        <v>0</v>
      </c>
    </row>
    <row r="2212" spans="1:20" hidden="1" x14ac:dyDescent="0.4">
      <c r="A2212" s="1" t="s">
        <v>760</v>
      </c>
      <c r="B2212" s="1" t="s">
        <v>1453</v>
      </c>
      <c r="C2212" s="1" t="s">
        <v>1844</v>
      </c>
      <c r="D2212" s="1" t="s">
        <v>1462</v>
      </c>
      <c r="E2212">
        <v>20251202</v>
      </c>
      <c r="F2212" s="1" t="s">
        <v>1470</v>
      </c>
      <c r="G2212">
        <v>4</v>
      </c>
      <c r="H2212" s="1" t="s">
        <v>1496</v>
      </c>
      <c r="I2212" t="s">
        <v>1876</v>
      </c>
      <c r="J2212" s="1" t="s">
        <v>1456</v>
      </c>
      <c r="K2212" s="1" t="s">
        <v>1557</v>
      </c>
      <c r="L2212" s="1" t="s">
        <v>1729</v>
      </c>
      <c r="M2212" s="1" t="s">
        <v>1737</v>
      </c>
      <c r="N2212" t="s">
        <v>1929</v>
      </c>
      <c r="O2212" t="s">
        <v>2252</v>
      </c>
      <c r="P2212" t="s">
        <v>3270</v>
      </c>
      <c r="Q2212">
        <v>2</v>
      </c>
      <c r="R2212" s="1" t="s">
        <v>1718</v>
      </c>
      <c r="S2212">
        <v>7015</v>
      </c>
      <c r="T2212">
        <v>14030</v>
      </c>
    </row>
    <row r="2213" spans="1:20" hidden="1" x14ac:dyDescent="0.4">
      <c r="A2213" s="1" t="s">
        <v>761</v>
      </c>
      <c r="B2213" s="1" t="s">
        <v>1453</v>
      </c>
      <c r="C2213" s="1" t="s">
        <v>1844</v>
      </c>
      <c r="D2213" s="1" t="s">
        <v>1462</v>
      </c>
      <c r="E2213">
        <v>20251202</v>
      </c>
      <c r="F2213" s="1" t="s">
        <v>1470</v>
      </c>
      <c r="G2213">
        <v>4</v>
      </c>
      <c r="H2213" s="1" t="s">
        <v>1512</v>
      </c>
      <c r="I2213" t="s">
        <v>1892</v>
      </c>
      <c r="J2213" s="1" t="s">
        <v>1456</v>
      </c>
      <c r="K2213" s="1" t="s">
        <v>1558</v>
      </c>
      <c r="L2213" s="1" t="s">
        <v>1729</v>
      </c>
      <c r="M2213" s="1" t="s">
        <v>1737</v>
      </c>
      <c r="N2213" t="s">
        <v>2096</v>
      </c>
      <c r="O2213" t="s">
        <v>2253</v>
      </c>
      <c r="P2213" t="s">
        <v>3271</v>
      </c>
      <c r="Q2213">
        <v>1</v>
      </c>
      <c r="R2213" s="1" t="s">
        <v>1718</v>
      </c>
      <c r="S2213">
        <v>32266</v>
      </c>
      <c r="T2213">
        <v>32266</v>
      </c>
    </row>
    <row r="2214" spans="1:20" hidden="1" x14ac:dyDescent="0.4">
      <c r="A2214" s="1" t="s">
        <v>762</v>
      </c>
      <c r="B2214" s="1" t="s">
        <v>1453</v>
      </c>
      <c r="C2214" s="1" t="s">
        <v>1844</v>
      </c>
      <c r="D2214" s="1" t="s">
        <v>1462</v>
      </c>
      <c r="E2214">
        <v>20251202</v>
      </c>
      <c r="F2214" s="1" t="s">
        <v>1470</v>
      </c>
      <c r="G2214">
        <v>4</v>
      </c>
      <c r="H2214" s="1" t="s">
        <v>1512</v>
      </c>
      <c r="I2214" t="s">
        <v>1892</v>
      </c>
      <c r="J2214" s="1" t="s">
        <v>1456</v>
      </c>
      <c r="K2214" s="1" t="s">
        <v>1558</v>
      </c>
      <c r="L2214" s="1" t="s">
        <v>1729</v>
      </c>
      <c r="M2214" s="1" t="s">
        <v>1737</v>
      </c>
      <c r="N2214" t="s">
        <v>2096</v>
      </c>
      <c r="O2214" t="s">
        <v>2254</v>
      </c>
      <c r="P2214" t="s">
        <v>3272</v>
      </c>
      <c r="Q2214">
        <v>2</v>
      </c>
      <c r="R2214" s="1" t="s">
        <v>1718</v>
      </c>
      <c r="S2214">
        <v>13828</v>
      </c>
      <c r="T2214">
        <v>27656</v>
      </c>
    </row>
    <row r="2215" spans="1:20" hidden="1" x14ac:dyDescent="0.4">
      <c r="A2215" s="1" t="s">
        <v>763</v>
      </c>
      <c r="B2215" s="1" t="s">
        <v>1453</v>
      </c>
      <c r="C2215" s="1" t="s">
        <v>1844</v>
      </c>
      <c r="D2215" s="1" t="s">
        <v>1462</v>
      </c>
      <c r="E2215">
        <v>20251202</v>
      </c>
      <c r="F2215" s="1" t="s">
        <v>1470</v>
      </c>
      <c r="G2215">
        <v>4</v>
      </c>
      <c r="H2215" s="1" t="s">
        <v>1512</v>
      </c>
      <c r="I2215" t="s">
        <v>1892</v>
      </c>
      <c r="J2215" s="1" t="s">
        <v>1456</v>
      </c>
      <c r="K2215" s="1" t="s">
        <v>1558</v>
      </c>
      <c r="L2215" s="1" t="s">
        <v>1729</v>
      </c>
      <c r="M2215" s="1" t="s">
        <v>1737</v>
      </c>
      <c r="N2215" t="s">
        <v>2096</v>
      </c>
      <c r="O2215" t="s">
        <v>2255</v>
      </c>
      <c r="P2215" t="s">
        <v>3273</v>
      </c>
      <c r="Q2215">
        <v>3</v>
      </c>
      <c r="R2215" s="1" t="s">
        <v>1718</v>
      </c>
      <c r="S2215">
        <v>17285</v>
      </c>
      <c r="T2215">
        <v>51855</v>
      </c>
    </row>
    <row r="2216" spans="1:20" hidden="1" x14ac:dyDescent="0.4">
      <c r="A2216" s="1" t="s">
        <v>763</v>
      </c>
      <c r="B2216" s="1" t="s">
        <v>1454</v>
      </c>
      <c r="C2216" s="1" t="s">
        <v>1844</v>
      </c>
      <c r="D2216" s="1" t="s">
        <v>1462</v>
      </c>
      <c r="E2216">
        <v>20251202</v>
      </c>
      <c r="F2216" s="1" t="s">
        <v>1470</v>
      </c>
      <c r="G2216">
        <v>4</v>
      </c>
      <c r="H2216" s="1" t="s">
        <v>1512</v>
      </c>
      <c r="I2216" t="s">
        <v>1892</v>
      </c>
      <c r="J2216" s="1" t="s">
        <v>1456</v>
      </c>
      <c r="K2216" s="1" t="s">
        <v>1558</v>
      </c>
      <c r="L2216" s="1" t="s">
        <v>1729</v>
      </c>
      <c r="M2216" s="1" t="s">
        <v>1737</v>
      </c>
      <c r="N2216" t="s">
        <v>2096</v>
      </c>
      <c r="O2216" t="s">
        <v>2256</v>
      </c>
      <c r="P2216" t="s">
        <v>3274</v>
      </c>
      <c r="Q2216">
        <v>1</v>
      </c>
      <c r="R2216" s="1" t="s">
        <v>1718</v>
      </c>
      <c r="S2216">
        <v>23127</v>
      </c>
      <c r="T2216">
        <v>23127</v>
      </c>
    </row>
    <row r="2217" spans="1:20" hidden="1" x14ac:dyDescent="0.4">
      <c r="A2217" s="1" t="s">
        <v>763</v>
      </c>
      <c r="B2217" s="1" t="s">
        <v>1455</v>
      </c>
      <c r="C2217" s="1" t="s">
        <v>1844</v>
      </c>
      <c r="D2217" s="1" t="s">
        <v>1462</v>
      </c>
      <c r="E2217">
        <v>20251202</v>
      </c>
      <c r="F2217" s="1" t="s">
        <v>1470</v>
      </c>
      <c r="G2217">
        <v>4</v>
      </c>
      <c r="H2217" s="1" t="s">
        <v>1512</v>
      </c>
      <c r="I2217" t="s">
        <v>1892</v>
      </c>
      <c r="J2217" s="1" t="s">
        <v>1456</v>
      </c>
      <c r="K2217" s="1" t="s">
        <v>1558</v>
      </c>
      <c r="L2217" s="1" t="s">
        <v>1729</v>
      </c>
      <c r="M2217" s="1" t="s">
        <v>1737</v>
      </c>
      <c r="N2217" t="s">
        <v>2096</v>
      </c>
      <c r="O2217" t="s">
        <v>2257</v>
      </c>
      <c r="P2217" t="s">
        <v>3275</v>
      </c>
      <c r="Q2217">
        <v>1</v>
      </c>
      <c r="R2217" s="1" t="s">
        <v>1718</v>
      </c>
      <c r="S2217">
        <v>18901</v>
      </c>
      <c r="T2217">
        <v>18901</v>
      </c>
    </row>
    <row r="2218" spans="1:20" hidden="1" x14ac:dyDescent="0.4">
      <c r="A2218" s="1" t="s">
        <v>763</v>
      </c>
      <c r="B2218" s="1" t="s">
        <v>1456</v>
      </c>
      <c r="C2218" s="1" t="s">
        <v>1844</v>
      </c>
      <c r="D2218" s="1" t="s">
        <v>1462</v>
      </c>
      <c r="E2218">
        <v>20251202</v>
      </c>
      <c r="F2218" s="1" t="s">
        <v>1470</v>
      </c>
      <c r="G2218">
        <v>4</v>
      </c>
      <c r="H2218" s="1" t="s">
        <v>1512</v>
      </c>
      <c r="I2218" t="s">
        <v>1892</v>
      </c>
      <c r="J2218" s="1" t="s">
        <v>1456</v>
      </c>
      <c r="K2218" s="1" t="s">
        <v>1558</v>
      </c>
      <c r="L2218" s="1" t="s">
        <v>1729</v>
      </c>
      <c r="M2218" s="1" t="s">
        <v>1737</v>
      </c>
      <c r="N2218" t="s">
        <v>2096</v>
      </c>
      <c r="O2218" t="s">
        <v>2255</v>
      </c>
      <c r="P2218" t="s">
        <v>3276</v>
      </c>
      <c r="Q2218">
        <v>2</v>
      </c>
      <c r="R2218" s="1" t="s">
        <v>1718</v>
      </c>
      <c r="S2218">
        <v>23127</v>
      </c>
      <c r="T2218">
        <v>46254</v>
      </c>
    </row>
    <row r="2219" spans="1:20" hidden="1" x14ac:dyDescent="0.4">
      <c r="A2219" s="1" t="s">
        <v>763</v>
      </c>
      <c r="B2219" s="1" t="s">
        <v>1457</v>
      </c>
      <c r="C2219" s="1" t="s">
        <v>1844</v>
      </c>
      <c r="D2219" s="1" t="s">
        <v>1462</v>
      </c>
      <c r="E2219">
        <v>20251202</v>
      </c>
      <c r="F2219" s="1" t="s">
        <v>1470</v>
      </c>
      <c r="G2219">
        <v>4</v>
      </c>
      <c r="H2219" s="1" t="s">
        <v>1512</v>
      </c>
      <c r="I2219" t="s">
        <v>1892</v>
      </c>
      <c r="J2219" s="1" t="s">
        <v>1456</v>
      </c>
      <c r="K2219" s="1" t="s">
        <v>1558</v>
      </c>
      <c r="L2219" s="1" t="s">
        <v>1729</v>
      </c>
      <c r="M2219" s="1" t="s">
        <v>1737</v>
      </c>
      <c r="N2219" t="s">
        <v>2096</v>
      </c>
      <c r="O2219" t="s">
        <v>2255</v>
      </c>
      <c r="P2219" t="s">
        <v>3277</v>
      </c>
      <c r="Q2219">
        <v>2</v>
      </c>
      <c r="R2219" s="1" t="s">
        <v>1718</v>
      </c>
      <c r="S2219">
        <v>23383</v>
      </c>
      <c r="T2219">
        <v>46766</v>
      </c>
    </row>
    <row r="2220" spans="1:20" hidden="1" x14ac:dyDescent="0.4">
      <c r="A2220" s="1" t="s">
        <v>763</v>
      </c>
      <c r="B2220" s="1" t="s">
        <v>1458</v>
      </c>
      <c r="C2220" s="1" t="s">
        <v>1844</v>
      </c>
      <c r="D2220" s="1" t="s">
        <v>1462</v>
      </c>
      <c r="E2220">
        <v>20251202</v>
      </c>
      <c r="F2220" s="1" t="s">
        <v>1470</v>
      </c>
      <c r="G2220">
        <v>4</v>
      </c>
      <c r="H2220" s="1" t="s">
        <v>1512</v>
      </c>
      <c r="I2220" t="s">
        <v>1892</v>
      </c>
      <c r="J2220" s="1" t="s">
        <v>1456</v>
      </c>
      <c r="K2220" s="1" t="s">
        <v>1558</v>
      </c>
      <c r="L2220" s="1" t="s">
        <v>1729</v>
      </c>
      <c r="M2220" s="1" t="s">
        <v>1737</v>
      </c>
      <c r="N2220" t="s">
        <v>2096</v>
      </c>
      <c r="O2220" t="s">
        <v>2258</v>
      </c>
      <c r="P2220" t="s">
        <v>3278</v>
      </c>
      <c r="Q2220">
        <v>1</v>
      </c>
      <c r="R2220" s="1" t="s">
        <v>1718</v>
      </c>
      <c r="S2220">
        <v>29657</v>
      </c>
      <c r="T2220">
        <v>29657</v>
      </c>
    </row>
    <row r="2221" spans="1:20" hidden="1" x14ac:dyDescent="0.4">
      <c r="A2221" s="1" t="s">
        <v>763</v>
      </c>
      <c r="B2221" s="1" t="s">
        <v>1459</v>
      </c>
      <c r="C2221" s="1" t="s">
        <v>1844</v>
      </c>
      <c r="D2221" s="1" t="s">
        <v>1462</v>
      </c>
      <c r="E2221">
        <v>20251202</v>
      </c>
      <c r="F2221" s="1" t="s">
        <v>1470</v>
      </c>
      <c r="G2221">
        <v>4</v>
      </c>
      <c r="H2221" s="1" t="s">
        <v>1512</v>
      </c>
      <c r="I2221" t="s">
        <v>1892</v>
      </c>
      <c r="J2221" s="1" t="s">
        <v>1456</v>
      </c>
      <c r="K2221" s="1" t="s">
        <v>1558</v>
      </c>
      <c r="L2221" s="1" t="s">
        <v>1729</v>
      </c>
      <c r="M2221" s="1" t="s">
        <v>1737</v>
      </c>
      <c r="N2221" t="s">
        <v>2096</v>
      </c>
      <c r="O2221" t="s">
        <v>2256</v>
      </c>
      <c r="P2221" t="s">
        <v>3279</v>
      </c>
      <c r="Q2221">
        <v>1</v>
      </c>
      <c r="R2221" s="1" t="s">
        <v>1718</v>
      </c>
      <c r="S2221">
        <v>18645</v>
      </c>
      <c r="T2221">
        <v>18645</v>
      </c>
    </row>
    <row r="2222" spans="1:20" hidden="1" x14ac:dyDescent="0.4">
      <c r="A2222" s="1" t="s">
        <v>764</v>
      </c>
      <c r="B2222" s="1" t="s">
        <v>1453</v>
      </c>
      <c r="C2222" s="1" t="s">
        <v>1844</v>
      </c>
      <c r="D2222" s="1" t="s">
        <v>1462</v>
      </c>
      <c r="E2222">
        <v>20251202</v>
      </c>
      <c r="F2222" s="1" t="s">
        <v>1470</v>
      </c>
      <c r="G2222">
        <v>4</v>
      </c>
      <c r="H2222" s="1" t="s">
        <v>1517</v>
      </c>
      <c r="I2222" t="s">
        <v>1897</v>
      </c>
      <c r="J2222" s="1" t="s">
        <v>1456</v>
      </c>
      <c r="K2222" s="1" t="s">
        <v>1555</v>
      </c>
      <c r="L2222" s="1" t="s">
        <v>1729</v>
      </c>
      <c r="M2222" s="1" t="s">
        <v>1736</v>
      </c>
      <c r="N2222" t="s">
        <v>2115</v>
      </c>
      <c r="O2222" t="s">
        <v>2157</v>
      </c>
      <c r="P2222" t="s">
        <v>3038</v>
      </c>
      <c r="Q2222">
        <v>2</v>
      </c>
      <c r="R2222" s="1" t="s">
        <v>1718</v>
      </c>
      <c r="S2222">
        <v>8448</v>
      </c>
      <c r="T2222">
        <v>16896</v>
      </c>
    </row>
    <row r="2223" spans="1:20" hidden="1" x14ac:dyDescent="0.4">
      <c r="A2223" s="1" t="s">
        <v>765</v>
      </c>
      <c r="B2223" s="1" t="s">
        <v>1453</v>
      </c>
      <c r="C2223" s="1" t="s">
        <v>1844</v>
      </c>
      <c r="D2223" s="1" t="s">
        <v>1467</v>
      </c>
      <c r="E2223">
        <v>20251202</v>
      </c>
      <c r="F2223" s="1" t="s">
        <v>1470</v>
      </c>
      <c r="G2223">
        <v>4</v>
      </c>
      <c r="H2223" s="1" t="s">
        <v>1503</v>
      </c>
      <c r="I2223" t="s">
        <v>1883</v>
      </c>
      <c r="J2223" s="1" t="s">
        <v>1456</v>
      </c>
      <c r="K2223" s="1" t="s">
        <v>1570</v>
      </c>
      <c r="L2223" s="1" t="s">
        <v>1729</v>
      </c>
      <c r="M2223" s="1" t="s">
        <v>1741</v>
      </c>
      <c r="N2223" t="s">
        <v>1943</v>
      </c>
      <c r="O2223" t="s">
        <v>2157</v>
      </c>
      <c r="P2223" t="s">
        <v>3243</v>
      </c>
      <c r="Q2223">
        <v>10</v>
      </c>
      <c r="R2223" s="1" t="s">
        <v>1718</v>
      </c>
      <c r="S2223">
        <v>4782</v>
      </c>
      <c r="T2223">
        <v>47820</v>
      </c>
    </row>
    <row r="2224" spans="1:20" hidden="1" x14ac:dyDescent="0.4">
      <c r="A2224" s="1" t="s">
        <v>766</v>
      </c>
      <c r="B2224" s="1" t="s">
        <v>1453</v>
      </c>
      <c r="C2224" s="1" t="s">
        <v>1844</v>
      </c>
      <c r="D2224" s="1" t="s">
        <v>1730</v>
      </c>
      <c r="E2224">
        <v>20251202</v>
      </c>
      <c r="F2224" s="1" t="s">
        <v>1470</v>
      </c>
      <c r="G2224">
        <v>4</v>
      </c>
      <c r="H2224" s="1" t="s">
        <v>1503</v>
      </c>
      <c r="I2224" t="s">
        <v>1883</v>
      </c>
      <c r="J2224" s="1" t="s">
        <v>1456</v>
      </c>
      <c r="K2224" s="1" t="s">
        <v>1570</v>
      </c>
      <c r="L2224" s="1" t="s">
        <v>1729</v>
      </c>
      <c r="M2224" s="1" t="s">
        <v>1741</v>
      </c>
      <c r="N2224" t="s">
        <v>1943</v>
      </c>
      <c r="O2224" t="s">
        <v>2259</v>
      </c>
      <c r="P2224" t="s">
        <v>3243</v>
      </c>
      <c r="Q2224">
        <v>10</v>
      </c>
      <c r="R2224" s="1" t="s">
        <v>1718</v>
      </c>
      <c r="S2224">
        <v>0</v>
      </c>
      <c r="T2224">
        <v>0</v>
      </c>
    </row>
    <row r="2225" spans="1:20" hidden="1" x14ac:dyDescent="0.4">
      <c r="A2225" s="1" t="s">
        <v>767</v>
      </c>
      <c r="B2225" s="1" t="s">
        <v>1453</v>
      </c>
      <c r="C2225" s="1" t="s">
        <v>1844</v>
      </c>
      <c r="D2225" s="1" t="s">
        <v>1730</v>
      </c>
      <c r="E2225">
        <v>20251202</v>
      </c>
      <c r="F2225" s="1" t="s">
        <v>1470</v>
      </c>
      <c r="G2225">
        <v>4</v>
      </c>
      <c r="H2225" s="1" t="s">
        <v>1503</v>
      </c>
      <c r="I2225" t="s">
        <v>1883</v>
      </c>
      <c r="J2225" s="1" t="s">
        <v>1456</v>
      </c>
      <c r="K2225" s="1" t="s">
        <v>1570</v>
      </c>
      <c r="L2225" s="1" t="s">
        <v>1729</v>
      </c>
      <c r="M2225" s="1" t="s">
        <v>1744</v>
      </c>
      <c r="N2225" t="s">
        <v>1943</v>
      </c>
      <c r="O2225" t="s">
        <v>2260</v>
      </c>
      <c r="P2225" t="s">
        <v>3244</v>
      </c>
      <c r="Q2225">
        <v>2</v>
      </c>
      <c r="R2225" s="1" t="s">
        <v>1718</v>
      </c>
      <c r="S2225">
        <v>0</v>
      </c>
      <c r="T2225">
        <v>0</v>
      </c>
    </row>
    <row r="2226" spans="1:20" hidden="1" x14ac:dyDescent="0.4">
      <c r="A2226" s="1" t="s">
        <v>768</v>
      </c>
      <c r="B2226" s="1" t="s">
        <v>1453</v>
      </c>
      <c r="C2226" s="1" t="s">
        <v>1844</v>
      </c>
      <c r="D2226" s="1" t="s">
        <v>1730</v>
      </c>
      <c r="E2226">
        <v>20251202</v>
      </c>
      <c r="F2226" s="1" t="s">
        <v>1470</v>
      </c>
      <c r="G2226">
        <v>4</v>
      </c>
      <c r="H2226" s="1" t="s">
        <v>1503</v>
      </c>
      <c r="I2226" t="s">
        <v>1883</v>
      </c>
      <c r="J2226" s="1" t="s">
        <v>1456</v>
      </c>
      <c r="K2226" s="1" t="s">
        <v>1570</v>
      </c>
      <c r="L2226" s="1" t="s">
        <v>1729</v>
      </c>
      <c r="M2226" s="1" t="s">
        <v>1742</v>
      </c>
      <c r="N2226" t="s">
        <v>1943</v>
      </c>
      <c r="O2226" t="s">
        <v>2261</v>
      </c>
      <c r="P2226" t="s">
        <v>3245</v>
      </c>
      <c r="Q2226">
        <v>4</v>
      </c>
      <c r="R2226" s="1" t="s">
        <v>1718</v>
      </c>
      <c r="S2226">
        <v>0</v>
      </c>
      <c r="T2226">
        <v>0</v>
      </c>
    </row>
    <row r="2227" spans="1:20" hidden="1" x14ac:dyDescent="0.4">
      <c r="A2227" s="1" t="s">
        <v>768</v>
      </c>
      <c r="B2227" s="1" t="s">
        <v>1454</v>
      </c>
      <c r="C2227" s="1" t="s">
        <v>1844</v>
      </c>
      <c r="D2227" s="1" t="s">
        <v>1730</v>
      </c>
      <c r="E2227">
        <v>20251202</v>
      </c>
      <c r="F2227" s="1" t="s">
        <v>1470</v>
      </c>
      <c r="G2227">
        <v>4</v>
      </c>
      <c r="H2227" s="1" t="s">
        <v>1503</v>
      </c>
      <c r="I2227" t="s">
        <v>1883</v>
      </c>
      <c r="J2227" s="1" t="s">
        <v>1456</v>
      </c>
      <c r="K2227" s="1" t="s">
        <v>1570</v>
      </c>
      <c r="L2227" s="1" t="s">
        <v>1729</v>
      </c>
      <c r="M2227" s="1" t="s">
        <v>1742</v>
      </c>
      <c r="N2227" t="s">
        <v>1943</v>
      </c>
      <c r="O2227" t="s">
        <v>2261</v>
      </c>
      <c r="P2227" t="s">
        <v>3245</v>
      </c>
      <c r="Q2227">
        <v>2</v>
      </c>
      <c r="R2227" s="1" t="s">
        <v>1718</v>
      </c>
      <c r="S2227">
        <v>0</v>
      </c>
      <c r="T2227">
        <v>0</v>
      </c>
    </row>
    <row r="2228" spans="1:20" hidden="1" x14ac:dyDescent="0.4">
      <c r="A2228" s="1" t="s">
        <v>768</v>
      </c>
      <c r="B2228" s="1" t="s">
        <v>1455</v>
      </c>
      <c r="C2228" s="1" t="s">
        <v>1844</v>
      </c>
      <c r="D2228" s="1" t="s">
        <v>1730</v>
      </c>
      <c r="E2228">
        <v>20251202</v>
      </c>
      <c r="F2228" s="1" t="s">
        <v>1470</v>
      </c>
      <c r="G2228">
        <v>4</v>
      </c>
      <c r="H2228" s="1" t="s">
        <v>1503</v>
      </c>
      <c r="I2228" t="s">
        <v>1883</v>
      </c>
      <c r="J2228" s="1" t="s">
        <v>1456</v>
      </c>
      <c r="K2228" s="1" t="s">
        <v>1570</v>
      </c>
      <c r="L2228" s="1" t="s">
        <v>1729</v>
      </c>
      <c r="M2228" s="1" t="s">
        <v>1741</v>
      </c>
      <c r="N2228" t="s">
        <v>1943</v>
      </c>
      <c r="O2228" t="s">
        <v>2261</v>
      </c>
      <c r="P2228" t="s">
        <v>3243</v>
      </c>
      <c r="Q2228">
        <v>6</v>
      </c>
      <c r="R2228" s="1" t="s">
        <v>1718</v>
      </c>
      <c r="S2228">
        <v>0</v>
      </c>
      <c r="T2228">
        <v>0</v>
      </c>
    </row>
    <row r="2229" spans="1:20" hidden="1" x14ac:dyDescent="0.4">
      <c r="A2229" s="1" t="s">
        <v>768</v>
      </c>
      <c r="B2229" s="1" t="s">
        <v>1456</v>
      </c>
      <c r="C2229" s="1" t="s">
        <v>1844</v>
      </c>
      <c r="D2229" s="1" t="s">
        <v>1730</v>
      </c>
      <c r="E2229">
        <v>20251202</v>
      </c>
      <c r="F2229" s="1" t="s">
        <v>1470</v>
      </c>
      <c r="G2229">
        <v>4</v>
      </c>
      <c r="H2229" s="1" t="s">
        <v>1503</v>
      </c>
      <c r="I2229" t="s">
        <v>1883</v>
      </c>
      <c r="J2229" s="1" t="s">
        <v>1456</v>
      </c>
      <c r="K2229" s="1" t="s">
        <v>1570</v>
      </c>
      <c r="L2229" s="1" t="s">
        <v>1729</v>
      </c>
      <c r="M2229" s="1" t="s">
        <v>1742</v>
      </c>
      <c r="N2229" t="s">
        <v>1943</v>
      </c>
      <c r="O2229" t="s">
        <v>2261</v>
      </c>
      <c r="P2229" t="s">
        <v>3245</v>
      </c>
      <c r="Q2229">
        <v>10</v>
      </c>
      <c r="R2229" s="1" t="s">
        <v>1718</v>
      </c>
      <c r="S2229">
        <v>0</v>
      </c>
      <c r="T2229">
        <v>0</v>
      </c>
    </row>
    <row r="2230" spans="1:20" hidden="1" x14ac:dyDescent="0.4">
      <c r="A2230" s="1" t="s">
        <v>768</v>
      </c>
      <c r="B2230" s="1" t="s">
        <v>1457</v>
      </c>
      <c r="C2230" s="1" t="s">
        <v>1844</v>
      </c>
      <c r="D2230" s="1" t="s">
        <v>1730</v>
      </c>
      <c r="E2230">
        <v>20251202</v>
      </c>
      <c r="F2230" s="1" t="s">
        <v>1470</v>
      </c>
      <c r="G2230">
        <v>4</v>
      </c>
      <c r="H2230" s="1" t="s">
        <v>1503</v>
      </c>
      <c r="I2230" t="s">
        <v>1883</v>
      </c>
      <c r="J2230" s="1" t="s">
        <v>1456</v>
      </c>
      <c r="K2230" s="1" t="s">
        <v>1570</v>
      </c>
      <c r="L2230" s="1" t="s">
        <v>1729</v>
      </c>
      <c r="M2230" s="1" t="s">
        <v>1741</v>
      </c>
      <c r="N2230" t="s">
        <v>1943</v>
      </c>
      <c r="O2230" t="s">
        <v>2261</v>
      </c>
      <c r="P2230" t="s">
        <v>3243</v>
      </c>
      <c r="Q2230">
        <v>20</v>
      </c>
      <c r="R2230" s="1" t="s">
        <v>1718</v>
      </c>
      <c r="S2230">
        <v>0</v>
      </c>
      <c r="T2230">
        <v>0</v>
      </c>
    </row>
    <row r="2231" spans="1:20" hidden="1" x14ac:dyDescent="0.4">
      <c r="A2231" s="1" t="s">
        <v>769</v>
      </c>
      <c r="B2231" s="1" t="s">
        <v>1453</v>
      </c>
      <c r="C2231" s="1" t="s">
        <v>1844</v>
      </c>
      <c r="D2231" s="1" t="s">
        <v>1731</v>
      </c>
      <c r="E2231">
        <v>20251202</v>
      </c>
      <c r="F2231" s="1" t="s">
        <v>1472</v>
      </c>
      <c r="G2231">
        <v>1</v>
      </c>
      <c r="H2231" s="1" t="s">
        <v>1494</v>
      </c>
      <c r="I2231" t="s">
        <v>1874</v>
      </c>
      <c r="J2231" s="1" t="s">
        <v>1457</v>
      </c>
      <c r="K2231" s="1" t="s">
        <v>1593</v>
      </c>
      <c r="L2231" s="1" t="s">
        <v>1716</v>
      </c>
      <c r="M2231" s="1" t="s">
        <v>1762</v>
      </c>
      <c r="N2231" t="s">
        <v>1968</v>
      </c>
      <c r="O2231" t="s">
        <v>2162</v>
      </c>
      <c r="P2231" t="s">
        <v>3077</v>
      </c>
      <c r="Q2231">
        <v>510.42</v>
      </c>
      <c r="R2231" s="1" t="s">
        <v>1463</v>
      </c>
      <c r="S2231">
        <v>1250</v>
      </c>
      <c r="T2231">
        <v>638025</v>
      </c>
    </row>
    <row r="2232" spans="1:20" hidden="1" x14ac:dyDescent="0.4">
      <c r="A2232" s="1" t="s">
        <v>770</v>
      </c>
      <c r="B2232" s="1" t="s">
        <v>1453</v>
      </c>
      <c r="C2232" s="1" t="s">
        <v>1844</v>
      </c>
      <c r="D2232" s="1" t="s">
        <v>1731</v>
      </c>
      <c r="E2232">
        <v>20251202</v>
      </c>
      <c r="F2232" s="1" t="s">
        <v>1472</v>
      </c>
      <c r="G2232">
        <v>1</v>
      </c>
      <c r="H2232" s="1" t="s">
        <v>1494</v>
      </c>
      <c r="I2232" t="s">
        <v>1874</v>
      </c>
      <c r="J2232" s="1" t="s">
        <v>1457</v>
      </c>
      <c r="K2232" s="1" t="s">
        <v>1617</v>
      </c>
      <c r="L2232" s="1" t="s">
        <v>1716</v>
      </c>
      <c r="M2232" s="1" t="s">
        <v>1735</v>
      </c>
      <c r="N2232" t="s">
        <v>1991</v>
      </c>
      <c r="O2232" t="s">
        <v>2162</v>
      </c>
      <c r="P2232" t="s">
        <v>3044</v>
      </c>
      <c r="Q2232">
        <v>755.8</v>
      </c>
      <c r="R2232" s="1" t="s">
        <v>1463</v>
      </c>
      <c r="S2232">
        <v>1267</v>
      </c>
      <c r="T2232">
        <v>957598</v>
      </c>
    </row>
    <row r="2233" spans="1:20" hidden="1" x14ac:dyDescent="0.4">
      <c r="A2233" s="1" t="s">
        <v>771</v>
      </c>
      <c r="B2233" s="1" t="s">
        <v>1453</v>
      </c>
      <c r="C2233" s="1" t="s">
        <v>1844</v>
      </c>
      <c r="D2233" s="1" t="s">
        <v>1731</v>
      </c>
      <c r="E2233">
        <v>20251202</v>
      </c>
      <c r="F2233" s="1" t="s">
        <v>1473</v>
      </c>
      <c r="G2233">
        <v>1</v>
      </c>
      <c r="H2233" s="1" t="s">
        <v>1494</v>
      </c>
      <c r="I2233" t="s">
        <v>1874</v>
      </c>
      <c r="J2233" s="1" t="s">
        <v>1453</v>
      </c>
      <c r="K2233" s="1" t="s">
        <v>1601</v>
      </c>
      <c r="L2233" s="1" t="s">
        <v>1716</v>
      </c>
      <c r="M2233" s="1" t="s">
        <v>1767</v>
      </c>
      <c r="N2233" t="s">
        <v>1976</v>
      </c>
      <c r="O2233" t="s">
        <v>2162</v>
      </c>
      <c r="P2233" t="s">
        <v>3085</v>
      </c>
      <c r="Q2233">
        <v>2317</v>
      </c>
      <c r="R2233" s="1" t="s">
        <v>1463</v>
      </c>
      <c r="S2233">
        <v>560</v>
      </c>
      <c r="T2233">
        <v>1297520</v>
      </c>
    </row>
    <row r="2234" spans="1:20" hidden="1" x14ac:dyDescent="0.4">
      <c r="A2234" s="1" t="s">
        <v>771</v>
      </c>
      <c r="B2234" s="1" t="s">
        <v>1454</v>
      </c>
      <c r="C2234" s="1" t="s">
        <v>1844</v>
      </c>
      <c r="D2234" s="1" t="s">
        <v>1731</v>
      </c>
      <c r="E2234">
        <v>20251202</v>
      </c>
      <c r="F2234" s="1" t="s">
        <v>1473</v>
      </c>
      <c r="G2234">
        <v>1</v>
      </c>
      <c r="H2234" s="1" t="s">
        <v>1494</v>
      </c>
      <c r="I2234" t="s">
        <v>1874</v>
      </c>
      <c r="J2234" s="1" t="s">
        <v>1453</v>
      </c>
      <c r="K2234" s="1" t="s">
        <v>1582</v>
      </c>
      <c r="L2234" s="1" t="s">
        <v>1716</v>
      </c>
      <c r="M2234" s="1" t="s">
        <v>1776</v>
      </c>
      <c r="N2234" t="s">
        <v>1957</v>
      </c>
      <c r="O2234" t="s">
        <v>2162</v>
      </c>
      <c r="P2234" t="s">
        <v>3109</v>
      </c>
      <c r="Q2234">
        <v>749.45</v>
      </c>
      <c r="R2234" s="1" t="s">
        <v>1463</v>
      </c>
      <c r="S2234">
        <v>995</v>
      </c>
      <c r="T2234">
        <v>745702</v>
      </c>
    </row>
    <row r="2235" spans="1:20" hidden="1" x14ac:dyDescent="0.4">
      <c r="A2235" s="1" t="s">
        <v>772</v>
      </c>
      <c r="B2235" s="1" t="s">
        <v>1453</v>
      </c>
      <c r="C2235" s="1" t="s">
        <v>1844</v>
      </c>
      <c r="D2235" s="1" t="s">
        <v>1462</v>
      </c>
      <c r="E2235">
        <v>20251203</v>
      </c>
      <c r="F2235" s="1" t="s">
        <v>1470</v>
      </c>
      <c r="G2235">
        <v>4</v>
      </c>
      <c r="H2235" s="1" t="s">
        <v>1514</v>
      </c>
      <c r="I2235" t="s">
        <v>1894</v>
      </c>
      <c r="J2235" s="1" t="s">
        <v>1456</v>
      </c>
      <c r="K2235" s="1" t="s">
        <v>1571</v>
      </c>
      <c r="L2235" s="1" t="s">
        <v>1729</v>
      </c>
      <c r="M2235" s="1" t="s">
        <v>1741</v>
      </c>
      <c r="N2235" t="s">
        <v>1944</v>
      </c>
      <c r="O2235" t="s">
        <v>2157</v>
      </c>
      <c r="P2235" t="s">
        <v>3280</v>
      </c>
      <c r="Q2235">
        <v>50</v>
      </c>
      <c r="R2235" s="1" t="s">
        <v>1718</v>
      </c>
      <c r="S2235">
        <v>5864</v>
      </c>
      <c r="T2235">
        <v>293200</v>
      </c>
    </row>
    <row r="2236" spans="1:20" hidden="1" x14ac:dyDescent="0.4">
      <c r="A2236" s="1" t="s">
        <v>772</v>
      </c>
      <c r="B2236" s="1" t="s">
        <v>1454</v>
      </c>
      <c r="C2236" s="1" t="s">
        <v>1844</v>
      </c>
      <c r="D2236" s="1" t="s">
        <v>1462</v>
      </c>
      <c r="E2236">
        <v>20251203</v>
      </c>
      <c r="F2236" s="1" t="s">
        <v>1470</v>
      </c>
      <c r="G2236">
        <v>4</v>
      </c>
      <c r="H2236" s="1" t="s">
        <v>1514</v>
      </c>
      <c r="I2236" t="s">
        <v>1894</v>
      </c>
      <c r="J2236" s="1" t="s">
        <v>1456</v>
      </c>
      <c r="K2236" s="1" t="s">
        <v>1571</v>
      </c>
      <c r="L2236" s="1" t="s">
        <v>1729</v>
      </c>
      <c r="M2236" s="1" t="s">
        <v>1741</v>
      </c>
      <c r="N2236" t="s">
        <v>1944</v>
      </c>
      <c r="O2236" t="s">
        <v>2157</v>
      </c>
      <c r="P2236" t="s">
        <v>3281</v>
      </c>
      <c r="Q2236">
        <v>30</v>
      </c>
      <c r="R2236" s="1" t="s">
        <v>1718</v>
      </c>
      <c r="S2236">
        <v>7412</v>
      </c>
      <c r="T2236">
        <v>222360</v>
      </c>
    </row>
    <row r="2237" spans="1:20" hidden="1" x14ac:dyDescent="0.4">
      <c r="A2237" s="1" t="s">
        <v>772</v>
      </c>
      <c r="B2237" s="1" t="s">
        <v>1455</v>
      </c>
      <c r="C2237" s="1" t="s">
        <v>1844</v>
      </c>
      <c r="D2237" s="1" t="s">
        <v>1462</v>
      </c>
      <c r="E2237">
        <v>20251203</v>
      </c>
      <c r="F2237" s="1" t="s">
        <v>1470</v>
      </c>
      <c r="G2237">
        <v>4</v>
      </c>
      <c r="H2237" s="1" t="s">
        <v>1514</v>
      </c>
      <c r="I2237" t="s">
        <v>1894</v>
      </c>
      <c r="J2237" s="1" t="s">
        <v>1456</v>
      </c>
      <c r="K2237" s="1" t="s">
        <v>1571</v>
      </c>
      <c r="L2237" s="1" t="s">
        <v>1729</v>
      </c>
      <c r="M2237" s="1" t="s">
        <v>1741</v>
      </c>
      <c r="N2237" t="s">
        <v>1944</v>
      </c>
      <c r="O2237" t="s">
        <v>2157</v>
      </c>
      <c r="P2237" t="s">
        <v>3282</v>
      </c>
      <c r="Q2237">
        <v>30</v>
      </c>
      <c r="R2237" s="1" t="s">
        <v>1718</v>
      </c>
      <c r="S2237">
        <v>9929</v>
      </c>
      <c r="T2237">
        <v>297870</v>
      </c>
    </row>
    <row r="2238" spans="1:20" hidden="1" x14ac:dyDescent="0.4">
      <c r="A2238" s="1" t="s">
        <v>772</v>
      </c>
      <c r="B2238" s="1" t="s">
        <v>1456</v>
      </c>
      <c r="C2238" s="1" t="s">
        <v>1844</v>
      </c>
      <c r="D2238" s="1" t="s">
        <v>1462</v>
      </c>
      <c r="E2238">
        <v>20251203</v>
      </c>
      <c r="F2238" s="1" t="s">
        <v>1470</v>
      </c>
      <c r="G2238">
        <v>4</v>
      </c>
      <c r="H2238" s="1" t="s">
        <v>1514</v>
      </c>
      <c r="I2238" t="s">
        <v>1894</v>
      </c>
      <c r="J2238" s="1" t="s">
        <v>1456</v>
      </c>
      <c r="K2238" s="1" t="s">
        <v>1571</v>
      </c>
      <c r="L2238" s="1" t="s">
        <v>1729</v>
      </c>
      <c r="M2238" s="1" t="s">
        <v>1741</v>
      </c>
      <c r="N2238" t="s">
        <v>1944</v>
      </c>
      <c r="O2238" t="s">
        <v>2157</v>
      </c>
      <c r="P2238" t="s">
        <v>3283</v>
      </c>
      <c r="Q2238">
        <v>12</v>
      </c>
      <c r="R2238" s="1" t="s">
        <v>1718</v>
      </c>
      <c r="S2238">
        <v>14558</v>
      </c>
      <c r="T2238">
        <v>174696</v>
      </c>
    </row>
    <row r="2239" spans="1:20" hidden="1" x14ac:dyDescent="0.4">
      <c r="A2239" s="1" t="s">
        <v>773</v>
      </c>
      <c r="B2239" s="1" t="s">
        <v>1453</v>
      </c>
      <c r="C2239" s="1" t="s">
        <v>1844</v>
      </c>
      <c r="D2239" s="1" t="s">
        <v>1462</v>
      </c>
      <c r="E2239">
        <v>20251203</v>
      </c>
      <c r="F2239" s="1" t="s">
        <v>1470</v>
      </c>
      <c r="G2239">
        <v>4</v>
      </c>
      <c r="H2239" s="1" t="s">
        <v>1503</v>
      </c>
      <c r="I2239" t="s">
        <v>1883</v>
      </c>
      <c r="J2239" s="1" t="s">
        <v>1456</v>
      </c>
      <c r="K2239" s="1" t="s">
        <v>1554</v>
      </c>
      <c r="L2239" s="1" t="s">
        <v>1729</v>
      </c>
      <c r="M2239" s="1" t="s">
        <v>1737</v>
      </c>
      <c r="N2239" t="s">
        <v>2112</v>
      </c>
      <c r="O2239" t="s">
        <v>2262</v>
      </c>
      <c r="P2239">
        <v>82202</v>
      </c>
      <c r="Q2239">
        <v>4</v>
      </c>
      <c r="R2239" s="1" t="s">
        <v>1718</v>
      </c>
      <c r="S2239">
        <v>16790</v>
      </c>
      <c r="T2239">
        <v>67160</v>
      </c>
    </row>
    <row r="2240" spans="1:20" hidden="1" x14ac:dyDescent="0.4">
      <c r="A2240" s="1" t="s">
        <v>774</v>
      </c>
      <c r="B2240" s="1" t="s">
        <v>1453</v>
      </c>
      <c r="C2240" s="1" t="s">
        <v>1844</v>
      </c>
      <c r="D2240" s="1" t="s">
        <v>1462</v>
      </c>
      <c r="E2240">
        <v>20251203</v>
      </c>
      <c r="F2240" s="1" t="s">
        <v>1470</v>
      </c>
      <c r="G2240">
        <v>4</v>
      </c>
      <c r="H2240" s="1" t="s">
        <v>1503</v>
      </c>
      <c r="I2240" t="s">
        <v>1883</v>
      </c>
      <c r="J2240" s="1" t="s">
        <v>1456</v>
      </c>
      <c r="K2240" s="1" t="s">
        <v>1553</v>
      </c>
      <c r="L2240" s="1" t="s">
        <v>1729</v>
      </c>
      <c r="M2240" s="1" t="s">
        <v>1736</v>
      </c>
      <c r="N2240" t="s">
        <v>2116</v>
      </c>
      <c r="O2240" t="s">
        <v>2263</v>
      </c>
      <c r="P2240" t="s">
        <v>3284</v>
      </c>
      <c r="Q2240">
        <v>1</v>
      </c>
      <c r="R2240" s="1" t="s">
        <v>1718</v>
      </c>
      <c r="S2240">
        <v>8624</v>
      </c>
      <c r="T2240">
        <v>8624</v>
      </c>
    </row>
    <row r="2241" spans="1:20" hidden="1" x14ac:dyDescent="0.4">
      <c r="A2241" s="1" t="s">
        <v>775</v>
      </c>
      <c r="B2241" s="1" t="s">
        <v>1453</v>
      </c>
      <c r="C2241" s="1" t="s">
        <v>1844</v>
      </c>
      <c r="D2241" s="1" t="s">
        <v>1462</v>
      </c>
      <c r="E2241">
        <v>20251203</v>
      </c>
      <c r="F2241" s="1" t="s">
        <v>1470</v>
      </c>
      <c r="G2241">
        <v>4</v>
      </c>
      <c r="H2241" s="1" t="s">
        <v>1503</v>
      </c>
      <c r="I2241" t="s">
        <v>1883</v>
      </c>
      <c r="J2241" s="1" t="s">
        <v>1456</v>
      </c>
      <c r="K2241" s="1" t="s">
        <v>1554</v>
      </c>
      <c r="L2241" s="1" t="s">
        <v>1729</v>
      </c>
      <c r="M2241" s="1" t="s">
        <v>1737</v>
      </c>
      <c r="N2241" t="s">
        <v>2117</v>
      </c>
      <c r="O2241" t="s">
        <v>2264</v>
      </c>
      <c r="P2241">
        <v>82195</v>
      </c>
      <c r="Q2241">
        <v>2</v>
      </c>
      <c r="R2241" s="1" t="s">
        <v>1718</v>
      </c>
      <c r="S2241">
        <v>16060</v>
      </c>
      <c r="T2241">
        <v>32120</v>
      </c>
    </row>
    <row r="2242" spans="1:20" hidden="1" x14ac:dyDescent="0.4">
      <c r="A2242" s="1" t="s">
        <v>776</v>
      </c>
      <c r="B2242" s="1" t="s">
        <v>1453</v>
      </c>
      <c r="C2242" s="1" t="s">
        <v>1844</v>
      </c>
      <c r="D2242" s="1" t="s">
        <v>1462</v>
      </c>
      <c r="E2242">
        <v>20251203</v>
      </c>
      <c r="F2242" s="1" t="s">
        <v>1470</v>
      </c>
      <c r="G2242">
        <v>4</v>
      </c>
      <c r="H2242" s="1" t="s">
        <v>1503</v>
      </c>
      <c r="I2242" t="s">
        <v>1883</v>
      </c>
      <c r="J2242" s="1" t="s">
        <v>1456</v>
      </c>
      <c r="K2242" s="1" t="s">
        <v>1554</v>
      </c>
      <c r="L2242" s="1" t="s">
        <v>1729</v>
      </c>
      <c r="M2242" s="1" t="s">
        <v>1737</v>
      </c>
      <c r="N2242" t="s">
        <v>2118</v>
      </c>
      <c r="O2242" t="s">
        <v>2265</v>
      </c>
      <c r="P2242">
        <v>82165</v>
      </c>
      <c r="Q2242">
        <v>2</v>
      </c>
      <c r="R2242" s="1" t="s">
        <v>1718</v>
      </c>
      <c r="S2242">
        <v>9350</v>
      </c>
      <c r="T2242">
        <v>18700</v>
      </c>
    </row>
    <row r="2243" spans="1:20" hidden="1" x14ac:dyDescent="0.4">
      <c r="A2243" s="1" t="s">
        <v>777</v>
      </c>
      <c r="B2243" s="1" t="s">
        <v>1453</v>
      </c>
      <c r="C2243" s="1" t="s">
        <v>1844</v>
      </c>
      <c r="D2243" s="1" t="s">
        <v>1462</v>
      </c>
      <c r="E2243">
        <v>20251203</v>
      </c>
      <c r="F2243" s="1" t="s">
        <v>1470</v>
      </c>
      <c r="G2243">
        <v>4</v>
      </c>
      <c r="H2243" s="1" t="s">
        <v>1503</v>
      </c>
      <c r="I2243" t="s">
        <v>1883</v>
      </c>
      <c r="J2243" s="1" t="s">
        <v>1456</v>
      </c>
      <c r="K2243" s="1" t="s">
        <v>1554</v>
      </c>
      <c r="L2243" s="1" t="s">
        <v>1729</v>
      </c>
      <c r="M2243" s="1" t="s">
        <v>1737</v>
      </c>
      <c r="N2243" t="s">
        <v>2091</v>
      </c>
      <c r="O2243" t="s">
        <v>2266</v>
      </c>
      <c r="P2243">
        <v>82135</v>
      </c>
      <c r="Q2243">
        <v>2</v>
      </c>
      <c r="R2243" s="1" t="s">
        <v>1718</v>
      </c>
      <c r="S2243">
        <v>11670</v>
      </c>
      <c r="T2243">
        <v>23340</v>
      </c>
    </row>
    <row r="2244" spans="1:20" hidden="1" x14ac:dyDescent="0.4">
      <c r="A2244" s="1" t="s">
        <v>778</v>
      </c>
      <c r="B2244" s="1" t="s">
        <v>1453</v>
      </c>
      <c r="C2244" s="1" t="s">
        <v>1844</v>
      </c>
      <c r="D2244" s="1" t="s">
        <v>1462</v>
      </c>
      <c r="E2244">
        <v>20251203</v>
      </c>
      <c r="F2244" s="1" t="s">
        <v>1470</v>
      </c>
      <c r="G2244">
        <v>4</v>
      </c>
      <c r="H2244" s="1" t="s">
        <v>1503</v>
      </c>
      <c r="I2244" t="s">
        <v>1883</v>
      </c>
      <c r="J2244" s="1" t="s">
        <v>1456</v>
      </c>
      <c r="K2244" s="1" t="s">
        <v>1553</v>
      </c>
      <c r="L2244" s="1" t="s">
        <v>1729</v>
      </c>
      <c r="M2244" s="1" t="s">
        <v>1740</v>
      </c>
      <c r="N2244" t="s">
        <v>2111</v>
      </c>
      <c r="O2244" t="s">
        <v>2267</v>
      </c>
      <c r="P2244" t="s">
        <v>3285</v>
      </c>
      <c r="Q2244">
        <v>1</v>
      </c>
      <c r="R2244" s="1" t="s">
        <v>1718</v>
      </c>
      <c r="S2244">
        <v>5850</v>
      </c>
      <c r="T2244">
        <v>5850</v>
      </c>
    </row>
    <row r="2245" spans="1:20" hidden="1" x14ac:dyDescent="0.4">
      <c r="A2245" s="1" t="s">
        <v>778</v>
      </c>
      <c r="B2245" s="1" t="s">
        <v>1454</v>
      </c>
      <c r="C2245" s="1" t="s">
        <v>1844</v>
      </c>
      <c r="D2245" s="1" t="s">
        <v>1462</v>
      </c>
      <c r="E2245">
        <v>20251203</v>
      </c>
      <c r="F2245" s="1" t="s">
        <v>1470</v>
      </c>
      <c r="G2245">
        <v>4</v>
      </c>
      <c r="H2245" s="1" t="s">
        <v>1503</v>
      </c>
      <c r="I2245" t="s">
        <v>1883</v>
      </c>
      <c r="J2245" s="1" t="s">
        <v>1456</v>
      </c>
      <c r="K2245" s="1" t="s">
        <v>1554</v>
      </c>
      <c r="L2245" s="1" t="s">
        <v>1729</v>
      </c>
      <c r="M2245" s="1" t="s">
        <v>1737</v>
      </c>
      <c r="N2245" t="s">
        <v>2091</v>
      </c>
      <c r="O2245" t="s">
        <v>2268</v>
      </c>
      <c r="P2245">
        <v>82146</v>
      </c>
      <c r="Q2245">
        <v>1</v>
      </c>
      <c r="R2245" s="1" t="s">
        <v>1718</v>
      </c>
      <c r="S2245">
        <v>6890</v>
      </c>
      <c r="T2245">
        <v>6890</v>
      </c>
    </row>
    <row r="2246" spans="1:20" hidden="1" x14ac:dyDescent="0.4">
      <c r="A2246" s="1" t="s">
        <v>778</v>
      </c>
      <c r="B2246" s="1" t="s">
        <v>1455</v>
      </c>
      <c r="C2246" s="1" t="s">
        <v>1844</v>
      </c>
      <c r="D2246" s="1" t="s">
        <v>1462</v>
      </c>
      <c r="E2246">
        <v>20251203</v>
      </c>
      <c r="F2246" s="1" t="s">
        <v>1470</v>
      </c>
      <c r="G2246">
        <v>4</v>
      </c>
      <c r="H2246" s="1" t="s">
        <v>1503</v>
      </c>
      <c r="I2246" t="s">
        <v>1883</v>
      </c>
      <c r="J2246" s="1" t="s">
        <v>1456</v>
      </c>
      <c r="K2246" s="1" t="s">
        <v>1554</v>
      </c>
      <c r="L2246" s="1" t="s">
        <v>1729</v>
      </c>
      <c r="M2246" s="1" t="s">
        <v>1737</v>
      </c>
      <c r="N2246" t="s">
        <v>2091</v>
      </c>
      <c r="O2246" t="s">
        <v>2269</v>
      </c>
      <c r="P2246">
        <v>82170</v>
      </c>
      <c r="Q2246">
        <v>2</v>
      </c>
      <c r="R2246" s="1" t="s">
        <v>1718</v>
      </c>
      <c r="S2246">
        <v>5660</v>
      </c>
      <c r="T2246">
        <v>11320</v>
      </c>
    </row>
    <row r="2247" spans="1:20" hidden="1" x14ac:dyDescent="0.4">
      <c r="A2247" s="1" t="s">
        <v>778</v>
      </c>
      <c r="B2247" s="1" t="s">
        <v>1456</v>
      </c>
      <c r="C2247" s="1" t="s">
        <v>1844</v>
      </c>
      <c r="D2247" s="1" t="s">
        <v>1462</v>
      </c>
      <c r="E2247">
        <v>20251203</v>
      </c>
      <c r="F2247" s="1" t="s">
        <v>1470</v>
      </c>
      <c r="G2247">
        <v>4</v>
      </c>
      <c r="H2247" s="1" t="s">
        <v>1503</v>
      </c>
      <c r="I2247" t="s">
        <v>1883</v>
      </c>
      <c r="J2247" s="1" t="s">
        <v>1456</v>
      </c>
      <c r="K2247" s="1" t="s">
        <v>1554</v>
      </c>
      <c r="L2247" s="1" t="s">
        <v>1729</v>
      </c>
      <c r="M2247" s="1" t="s">
        <v>1737</v>
      </c>
      <c r="N2247" t="s">
        <v>2091</v>
      </c>
      <c r="O2247" t="s">
        <v>2270</v>
      </c>
      <c r="P2247">
        <v>82172</v>
      </c>
      <c r="Q2247">
        <v>2</v>
      </c>
      <c r="R2247" s="1" t="s">
        <v>1718</v>
      </c>
      <c r="S2247">
        <v>6210</v>
      </c>
      <c r="T2247">
        <v>12420</v>
      </c>
    </row>
    <row r="2248" spans="1:20" hidden="1" x14ac:dyDescent="0.4">
      <c r="A2248" s="1" t="s">
        <v>778</v>
      </c>
      <c r="B2248" s="1" t="s">
        <v>1457</v>
      </c>
      <c r="C2248" s="1" t="s">
        <v>1844</v>
      </c>
      <c r="D2248" s="1" t="s">
        <v>1462</v>
      </c>
      <c r="E2248">
        <v>20251203</v>
      </c>
      <c r="F2248" s="1" t="s">
        <v>1470</v>
      </c>
      <c r="G2248">
        <v>4</v>
      </c>
      <c r="H2248" s="1" t="s">
        <v>1503</v>
      </c>
      <c r="I2248" t="s">
        <v>1883</v>
      </c>
      <c r="J2248" s="1" t="s">
        <v>1456</v>
      </c>
      <c r="K2248" s="1" t="s">
        <v>1554</v>
      </c>
      <c r="L2248" s="1" t="s">
        <v>1729</v>
      </c>
      <c r="M2248" s="1" t="s">
        <v>1737</v>
      </c>
      <c r="N2248" t="s">
        <v>2091</v>
      </c>
      <c r="O2248" t="s">
        <v>2271</v>
      </c>
      <c r="P2248">
        <v>82173</v>
      </c>
      <c r="Q2248">
        <v>2</v>
      </c>
      <c r="R2248" s="1" t="s">
        <v>1718</v>
      </c>
      <c r="S2248">
        <v>6350</v>
      </c>
      <c r="T2248">
        <v>12700</v>
      </c>
    </row>
    <row r="2249" spans="1:20" hidden="1" x14ac:dyDescent="0.4">
      <c r="A2249" s="1" t="s">
        <v>779</v>
      </c>
      <c r="B2249" s="1" t="s">
        <v>1453</v>
      </c>
      <c r="C2249" s="1" t="s">
        <v>1844</v>
      </c>
      <c r="D2249" s="1" t="s">
        <v>1462</v>
      </c>
      <c r="E2249">
        <v>20251203</v>
      </c>
      <c r="F2249" s="1" t="s">
        <v>1470</v>
      </c>
      <c r="G2249">
        <v>4</v>
      </c>
      <c r="H2249" s="1" t="s">
        <v>1503</v>
      </c>
      <c r="I2249" t="s">
        <v>1883</v>
      </c>
      <c r="J2249" s="1" t="s">
        <v>1456</v>
      </c>
      <c r="K2249" s="1" t="s">
        <v>1553</v>
      </c>
      <c r="L2249" s="1" t="s">
        <v>1729</v>
      </c>
      <c r="M2249" s="1" t="s">
        <v>1736</v>
      </c>
      <c r="N2249" t="s">
        <v>2108</v>
      </c>
      <c r="O2249" t="s">
        <v>2272</v>
      </c>
      <c r="P2249" t="s">
        <v>3286</v>
      </c>
      <c r="Q2249">
        <v>1</v>
      </c>
      <c r="R2249" s="1" t="s">
        <v>1718</v>
      </c>
      <c r="S2249">
        <v>3440</v>
      </c>
      <c r="T2249">
        <v>3440</v>
      </c>
    </row>
    <row r="2250" spans="1:20" hidden="1" x14ac:dyDescent="0.4">
      <c r="A2250" s="1" t="s">
        <v>779</v>
      </c>
      <c r="B2250" s="1" t="s">
        <v>1454</v>
      </c>
      <c r="C2250" s="1" t="s">
        <v>1844</v>
      </c>
      <c r="D2250" s="1" t="s">
        <v>1462</v>
      </c>
      <c r="E2250">
        <v>20251203</v>
      </c>
      <c r="F2250" s="1" t="s">
        <v>1470</v>
      </c>
      <c r="G2250">
        <v>4</v>
      </c>
      <c r="H2250" s="1" t="s">
        <v>1503</v>
      </c>
      <c r="I2250" t="s">
        <v>1883</v>
      </c>
      <c r="J2250" s="1" t="s">
        <v>1456</v>
      </c>
      <c r="K2250" s="1" t="s">
        <v>1553</v>
      </c>
      <c r="L2250" s="1" t="s">
        <v>1729</v>
      </c>
      <c r="M2250" s="1" t="s">
        <v>1736</v>
      </c>
      <c r="N2250" t="s">
        <v>2108</v>
      </c>
      <c r="O2250" t="s">
        <v>2273</v>
      </c>
      <c r="P2250" t="s">
        <v>3287</v>
      </c>
      <c r="Q2250">
        <v>2</v>
      </c>
      <c r="R2250" s="1" t="s">
        <v>1718</v>
      </c>
      <c r="S2250">
        <v>3440</v>
      </c>
      <c r="T2250">
        <v>6880</v>
      </c>
    </row>
    <row r="2251" spans="1:20" hidden="1" x14ac:dyDescent="0.4">
      <c r="A2251" s="1" t="s">
        <v>780</v>
      </c>
      <c r="B2251" s="1" t="s">
        <v>1453</v>
      </c>
      <c r="C2251" s="1" t="s">
        <v>1844</v>
      </c>
      <c r="D2251" s="1" t="s">
        <v>1462</v>
      </c>
      <c r="E2251">
        <v>20251203</v>
      </c>
      <c r="F2251" s="1" t="s">
        <v>1470</v>
      </c>
      <c r="G2251">
        <v>4</v>
      </c>
      <c r="H2251" s="1" t="s">
        <v>1503</v>
      </c>
      <c r="I2251" t="s">
        <v>1883</v>
      </c>
      <c r="J2251" s="1" t="s">
        <v>1456</v>
      </c>
      <c r="K2251" s="1" t="s">
        <v>1554</v>
      </c>
      <c r="L2251" s="1" t="s">
        <v>1729</v>
      </c>
      <c r="M2251" s="1" t="s">
        <v>1737</v>
      </c>
      <c r="N2251" t="s">
        <v>2109</v>
      </c>
      <c r="O2251" t="s">
        <v>2274</v>
      </c>
      <c r="P2251">
        <v>82188</v>
      </c>
      <c r="Q2251">
        <v>2</v>
      </c>
      <c r="R2251" s="1" t="s">
        <v>1718</v>
      </c>
      <c r="S2251">
        <v>82840</v>
      </c>
      <c r="T2251">
        <v>165680</v>
      </c>
    </row>
    <row r="2252" spans="1:20" hidden="1" x14ac:dyDescent="0.4">
      <c r="A2252" s="1" t="s">
        <v>781</v>
      </c>
      <c r="B2252" s="1" t="s">
        <v>1453</v>
      </c>
      <c r="C2252" s="1" t="s">
        <v>1844</v>
      </c>
      <c r="D2252" s="1" t="s">
        <v>1462</v>
      </c>
      <c r="E2252">
        <v>20251203</v>
      </c>
      <c r="F2252" s="1" t="s">
        <v>1470</v>
      </c>
      <c r="G2252">
        <v>4</v>
      </c>
      <c r="H2252" s="1" t="s">
        <v>1503</v>
      </c>
      <c r="I2252" t="s">
        <v>1883</v>
      </c>
      <c r="J2252" s="1" t="s">
        <v>1456</v>
      </c>
      <c r="K2252" s="1" t="s">
        <v>1554</v>
      </c>
      <c r="L2252" s="1" t="s">
        <v>1729</v>
      </c>
      <c r="M2252" s="1" t="s">
        <v>1737</v>
      </c>
      <c r="N2252" t="s">
        <v>2118</v>
      </c>
      <c r="O2252" t="s">
        <v>2275</v>
      </c>
      <c r="P2252">
        <v>82168</v>
      </c>
      <c r="Q2252">
        <v>2</v>
      </c>
      <c r="R2252" s="1" t="s">
        <v>1718</v>
      </c>
      <c r="S2252">
        <v>9350</v>
      </c>
      <c r="T2252">
        <v>18700</v>
      </c>
    </row>
    <row r="2253" spans="1:20" hidden="1" x14ac:dyDescent="0.4">
      <c r="A2253" s="1" t="s">
        <v>782</v>
      </c>
      <c r="B2253" s="1" t="s">
        <v>1453</v>
      </c>
      <c r="C2253" s="1" t="s">
        <v>1844</v>
      </c>
      <c r="D2253" s="1" t="s">
        <v>1462</v>
      </c>
      <c r="E2253">
        <v>20251203</v>
      </c>
      <c r="F2253" s="1" t="s">
        <v>1470</v>
      </c>
      <c r="G2253">
        <v>4</v>
      </c>
      <c r="H2253" s="1" t="s">
        <v>1503</v>
      </c>
      <c r="I2253" t="s">
        <v>1883</v>
      </c>
      <c r="J2253" s="1" t="s">
        <v>1456</v>
      </c>
      <c r="K2253" s="1" t="s">
        <v>1554</v>
      </c>
      <c r="L2253" s="1" t="s">
        <v>1729</v>
      </c>
      <c r="M2253" s="1" t="s">
        <v>1737</v>
      </c>
      <c r="N2253" t="s">
        <v>2118</v>
      </c>
      <c r="O2253" t="s">
        <v>2276</v>
      </c>
      <c r="P2253">
        <v>82166</v>
      </c>
      <c r="Q2253">
        <v>2</v>
      </c>
      <c r="R2253" s="1" t="s">
        <v>1718</v>
      </c>
      <c r="S2253">
        <v>9350</v>
      </c>
      <c r="T2253">
        <v>18700</v>
      </c>
    </row>
    <row r="2254" spans="1:20" hidden="1" x14ac:dyDescent="0.4">
      <c r="A2254" s="1" t="s">
        <v>783</v>
      </c>
      <c r="B2254" s="1" t="s">
        <v>1453</v>
      </c>
      <c r="C2254" s="1" t="s">
        <v>1844</v>
      </c>
      <c r="D2254" s="1" t="s">
        <v>1462</v>
      </c>
      <c r="E2254">
        <v>20251203</v>
      </c>
      <c r="F2254" s="1" t="s">
        <v>1470</v>
      </c>
      <c r="G2254">
        <v>4</v>
      </c>
      <c r="H2254" s="1" t="s">
        <v>1503</v>
      </c>
      <c r="I2254" t="s">
        <v>1883</v>
      </c>
      <c r="J2254" s="1" t="s">
        <v>1456</v>
      </c>
      <c r="K2254" s="1" t="s">
        <v>1554</v>
      </c>
      <c r="L2254" s="1" t="s">
        <v>1729</v>
      </c>
      <c r="M2254" s="1" t="s">
        <v>1737</v>
      </c>
      <c r="N2254" t="s">
        <v>2092</v>
      </c>
      <c r="O2254" t="s">
        <v>2277</v>
      </c>
      <c r="P2254">
        <v>82187</v>
      </c>
      <c r="Q2254">
        <v>1</v>
      </c>
      <c r="R2254" s="1" t="s">
        <v>1718</v>
      </c>
      <c r="S2254">
        <v>14950</v>
      </c>
      <c r="T2254">
        <v>14950</v>
      </c>
    </row>
    <row r="2255" spans="1:20" hidden="1" x14ac:dyDescent="0.4">
      <c r="A2255" s="1" t="s">
        <v>784</v>
      </c>
      <c r="B2255" s="1" t="s">
        <v>1453</v>
      </c>
      <c r="C2255" s="1" t="s">
        <v>1844</v>
      </c>
      <c r="D2255" s="1" t="s">
        <v>1462</v>
      </c>
      <c r="E2255">
        <v>20251203</v>
      </c>
      <c r="F2255" s="1" t="s">
        <v>1470</v>
      </c>
      <c r="G2255">
        <v>4</v>
      </c>
      <c r="H2255" s="1" t="s">
        <v>1503</v>
      </c>
      <c r="I2255" t="s">
        <v>1883</v>
      </c>
      <c r="J2255" s="1" t="s">
        <v>1456</v>
      </c>
      <c r="K2255" s="1" t="s">
        <v>1554</v>
      </c>
      <c r="L2255" s="1" t="s">
        <v>1729</v>
      </c>
      <c r="M2255" s="1" t="s">
        <v>1737</v>
      </c>
      <c r="N2255" t="s">
        <v>2109</v>
      </c>
      <c r="O2255" t="s">
        <v>2278</v>
      </c>
      <c r="P2255">
        <v>82161</v>
      </c>
      <c r="Q2255">
        <v>1</v>
      </c>
      <c r="R2255" s="1" t="s">
        <v>1718</v>
      </c>
      <c r="S2255">
        <v>14080</v>
      </c>
      <c r="T2255">
        <v>14080</v>
      </c>
    </row>
    <row r="2256" spans="1:20" hidden="1" x14ac:dyDescent="0.4">
      <c r="A2256" s="1" t="s">
        <v>785</v>
      </c>
      <c r="B2256" s="1" t="s">
        <v>1453</v>
      </c>
      <c r="C2256" s="1" t="s">
        <v>1844</v>
      </c>
      <c r="D2256" s="1" t="s">
        <v>1462</v>
      </c>
      <c r="E2256">
        <v>20251203</v>
      </c>
      <c r="F2256" s="1" t="s">
        <v>1470</v>
      </c>
      <c r="G2256">
        <v>4</v>
      </c>
      <c r="H2256" s="1" t="s">
        <v>1496</v>
      </c>
      <c r="I2256" t="s">
        <v>1876</v>
      </c>
      <c r="J2256" s="1" t="s">
        <v>1456</v>
      </c>
      <c r="K2256" s="1" t="s">
        <v>1557</v>
      </c>
      <c r="L2256" s="1" t="s">
        <v>1729</v>
      </c>
      <c r="M2256" s="1" t="s">
        <v>1737</v>
      </c>
      <c r="N2256" t="s">
        <v>1929</v>
      </c>
      <c r="O2256" t="s">
        <v>2279</v>
      </c>
      <c r="P2256" t="s">
        <v>3220</v>
      </c>
      <c r="Q2256">
        <v>1</v>
      </c>
      <c r="R2256" s="1" t="s">
        <v>1718</v>
      </c>
      <c r="S2256">
        <v>7627</v>
      </c>
      <c r="T2256">
        <v>7627</v>
      </c>
    </row>
    <row r="2257" spans="1:20" hidden="1" x14ac:dyDescent="0.4">
      <c r="A2257" s="1" t="s">
        <v>785</v>
      </c>
      <c r="B2257" s="1" t="s">
        <v>1454</v>
      </c>
      <c r="C2257" s="1" t="s">
        <v>1844</v>
      </c>
      <c r="D2257" s="1" t="s">
        <v>1462</v>
      </c>
      <c r="E2257">
        <v>20251203</v>
      </c>
      <c r="F2257" s="1" t="s">
        <v>1470</v>
      </c>
      <c r="G2257">
        <v>4</v>
      </c>
      <c r="H2257" s="1" t="s">
        <v>1496</v>
      </c>
      <c r="I2257" t="s">
        <v>1876</v>
      </c>
      <c r="J2257" s="1" t="s">
        <v>1456</v>
      </c>
      <c r="K2257" s="1" t="s">
        <v>1557</v>
      </c>
      <c r="L2257" s="1" t="s">
        <v>1729</v>
      </c>
      <c r="M2257" s="1" t="s">
        <v>1737</v>
      </c>
      <c r="N2257" t="s">
        <v>1929</v>
      </c>
      <c r="O2257" t="s">
        <v>2279</v>
      </c>
      <c r="P2257" t="s">
        <v>3220</v>
      </c>
      <c r="Q2257">
        <v>1</v>
      </c>
      <c r="R2257" s="1" t="s">
        <v>1718</v>
      </c>
      <c r="S2257">
        <v>7627</v>
      </c>
      <c r="T2257">
        <v>7627</v>
      </c>
    </row>
    <row r="2258" spans="1:20" hidden="1" x14ac:dyDescent="0.4">
      <c r="A2258" s="1" t="s">
        <v>786</v>
      </c>
      <c r="B2258" s="1" t="s">
        <v>1453</v>
      </c>
      <c r="C2258" s="1" t="s">
        <v>1844</v>
      </c>
      <c r="D2258" s="1" t="s">
        <v>1462</v>
      </c>
      <c r="E2258">
        <v>20251203</v>
      </c>
      <c r="F2258" s="1" t="s">
        <v>1470</v>
      </c>
      <c r="G2258">
        <v>4</v>
      </c>
      <c r="H2258" s="1" t="s">
        <v>1496</v>
      </c>
      <c r="I2258" t="s">
        <v>1876</v>
      </c>
      <c r="J2258" s="1" t="s">
        <v>1456</v>
      </c>
      <c r="K2258" s="1" t="s">
        <v>1557</v>
      </c>
      <c r="L2258" s="1" t="s">
        <v>1729</v>
      </c>
      <c r="M2258" s="1" t="s">
        <v>1737</v>
      </c>
      <c r="N2258" t="s">
        <v>1929</v>
      </c>
      <c r="O2258" t="s">
        <v>2280</v>
      </c>
      <c r="P2258" t="s">
        <v>3288</v>
      </c>
      <c r="Q2258">
        <v>2</v>
      </c>
      <c r="R2258" s="1" t="s">
        <v>1718</v>
      </c>
      <c r="S2258">
        <v>126157</v>
      </c>
      <c r="T2258">
        <v>252314</v>
      </c>
    </row>
    <row r="2259" spans="1:20" hidden="1" x14ac:dyDescent="0.4">
      <c r="A2259" s="1" t="s">
        <v>787</v>
      </c>
      <c r="B2259" s="1" t="s">
        <v>1453</v>
      </c>
      <c r="C2259" s="1" t="s">
        <v>1844</v>
      </c>
      <c r="D2259" s="1" t="s">
        <v>1462</v>
      </c>
      <c r="E2259">
        <v>20251203</v>
      </c>
      <c r="F2259" s="1" t="s">
        <v>1470</v>
      </c>
      <c r="G2259">
        <v>4</v>
      </c>
      <c r="H2259" s="1" t="s">
        <v>1496</v>
      </c>
      <c r="I2259" t="s">
        <v>1876</v>
      </c>
      <c r="J2259" s="1" t="s">
        <v>1456</v>
      </c>
      <c r="K2259" s="1" t="s">
        <v>1557</v>
      </c>
      <c r="L2259" s="1" t="s">
        <v>1729</v>
      </c>
      <c r="M2259" s="1" t="s">
        <v>1737</v>
      </c>
      <c r="N2259" t="s">
        <v>1929</v>
      </c>
      <c r="O2259" t="s">
        <v>2281</v>
      </c>
      <c r="P2259" t="s">
        <v>3220</v>
      </c>
      <c r="Q2259">
        <v>2</v>
      </c>
      <c r="R2259" s="1" t="s">
        <v>1718</v>
      </c>
      <c r="S2259">
        <v>8780</v>
      </c>
      <c r="T2259">
        <v>17560</v>
      </c>
    </row>
    <row r="2260" spans="1:20" hidden="1" x14ac:dyDescent="0.4">
      <c r="A2260" s="1" t="s">
        <v>788</v>
      </c>
      <c r="B2260" s="1" t="s">
        <v>1453</v>
      </c>
      <c r="C2260" s="1" t="s">
        <v>1844</v>
      </c>
      <c r="D2260" s="1" t="s">
        <v>1462</v>
      </c>
      <c r="E2260">
        <v>20251203</v>
      </c>
      <c r="F2260" s="1" t="s">
        <v>1470</v>
      </c>
      <c r="G2260">
        <v>4</v>
      </c>
      <c r="H2260" s="1" t="s">
        <v>1512</v>
      </c>
      <c r="I2260" t="s">
        <v>1892</v>
      </c>
      <c r="J2260" s="1" t="s">
        <v>1456</v>
      </c>
      <c r="K2260" s="1" t="s">
        <v>1558</v>
      </c>
      <c r="L2260" s="1" t="s">
        <v>1729</v>
      </c>
      <c r="M2260" s="1" t="s">
        <v>1737</v>
      </c>
      <c r="N2260" t="s">
        <v>2096</v>
      </c>
      <c r="O2260" t="s">
        <v>2282</v>
      </c>
      <c r="P2260" t="s">
        <v>3289</v>
      </c>
      <c r="Q2260">
        <v>2</v>
      </c>
      <c r="R2260" s="1" t="s">
        <v>1718</v>
      </c>
      <c r="S2260">
        <v>6914</v>
      </c>
      <c r="T2260">
        <v>13828</v>
      </c>
    </row>
    <row r="2261" spans="1:20" hidden="1" x14ac:dyDescent="0.4">
      <c r="A2261" s="1" t="s">
        <v>789</v>
      </c>
      <c r="B2261" s="1" t="s">
        <v>1453</v>
      </c>
      <c r="C2261" s="1" t="s">
        <v>1844</v>
      </c>
      <c r="D2261" s="1" t="s">
        <v>1462</v>
      </c>
      <c r="E2261">
        <v>20251203</v>
      </c>
      <c r="F2261" s="1" t="s">
        <v>1470</v>
      </c>
      <c r="G2261">
        <v>4</v>
      </c>
      <c r="H2261" s="1" t="s">
        <v>1512</v>
      </c>
      <c r="I2261" t="s">
        <v>1892</v>
      </c>
      <c r="J2261" s="1" t="s">
        <v>1456</v>
      </c>
      <c r="K2261" s="1" t="s">
        <v>1558</v>
      </c>
      <c r="L2261" s="1" t="s">
        <v>1729</v>
      </c>
      <c r="M2261" s="1" t="s">
        <v>1737</v>
      </c>
      <c r="N2261" t="s">
        <v>2096</v>
      </c>
      <c r="O2261" t="s">
        <v>2283</v>
      </c>
      <c r="P2261" t="s">
        <v>3290</v>
      </c>
      <c r="Q2261">
        <v>2</v>
      </c>
      <c r="R2261" s="1" t="s">
        <v>1718</v>
      </c>
      <c r="S2261">
        <v>17285</v>
      </c>
      <c r="T2261">
        <v>34570</v>
      </c>
    </row>
    <row r="2262" spans="1:20" hidden="1" x14ac:dyDescent="0.4">
      <c r="A2262" s="1" t="s">
        <v>790</v>
      </c>
      <c r="B2262" s="1" t="s">
        <v>1453</v>
      </c>
      <c r="C2262" s="1" t="s">
        <v>1844</v>
      </c>
      <c r="D2262" s="1" t="s">
        <v>1730</v>
      </c>
      <c r="E2262">
        <v>20251203</v>
      </c>
      <c r="F2262" s="1" t="s">
        <v>1470</v>
      </c>
      <c r="G2262">
        <v>4</v>
      </c>
      <c r="H2262" s="1" t="s">
        <v>1503</v>
      </c>
      <c r="I2262" t="s">
        <v>1883</v>
      </c>
      <c r="J2262" s="1" t="s">
        <v>1456</v>
      </c>
      <c r="K2262" s="1" t="s">
        <v>1612</v>
      </c>
      <c r="L2262" s="1" t="s">
        <v>1729</v>
      </c>
      <c r="M2262" s="1" t="s">
        <v>1737</v>
      </c>
      <c r="N2262" t="s">
        <v>1986</v>
      </c>
      <c r="O2262" t="s">
        <v>2284</v>
      </c>
      <c r="P2262" t="s">
        <v>3291</v>
      </c>
      <c r="Q2262">
        <v>12.3</v>
      </c>
      <c r="R2262" s="1" t="s">
        <v>1839</v>
      </c>
      <c r="S2262">
        <v>0</v>
      </c>
      <c r="T2262">
        <v>0</v>
      </c>
    </row>
    <row r="2263" spans="1:20" hidden="1" x14ac:dyDescent="0.4">
      <c r="A2263" s="1" t="s">
        <v>790</v>
      </c>
      <c r="B2263" s="1" t="s">
        <v>1454</v>
      </c>
      <c r="C2263" s="1" t="s">
        <v>1844</v>
      </c>
      <c r="D2263" s="1" t="s">
        <v>1730</v>
      </c>
      <c r="E2263">
        <v>20251203</v>
      </c>
      <c r="F2263" s="1" t="s">
        <v>1470</v>
      </c>
      <c r="G2263">
        <v>4</v>
      </c>
      <c r="H2263" s="1" t="s">
        <v>1503</v>
      </c>
      <c r="I2263" t="s">
        <v>1883</v>
      </c>
      <c r="J2263" s="1" t="s">
        <v>1456</v>
      </c>
      <c r="K2263" s="1" t="s">
        <v>1612</v>
      </c>
      <c r="L2263" s="1" t="s">
        <v>1729</v>
      </c>
      <c r="M2263" s="1" t="s">
        <v>1737</v>
      </c>
      <c r="N2263" t="s">
        <v>1986</v>
      </c>
      <c r="O2263" t="s">
        <v>2284</v>
      </c>
      <c r="P2263" t="s">
        <v>3292</v>
      </c>
      <c r="Q2263">
        <v>12.3</v>
      </c>
      <c r="R2263" s="1" t="s">
        <v>1839</v>
      </c>
      <c r="S2263">
        <v>0</v>
      </c>
      <c r="T2263">
        <v>0</v>
      </c>
    </row>
    <row r="2264" spans="1:20" hidden="1" x14ac:dyDescent="0.4">
      <c r="A2264" s="1" t="s">
        <v>790</v>
      </c>
      <c r="B2264" s="1" t="s">
        <v>1455</v>
      </c>
      <c r="C2264" s="1" t="s">
        <v>1844</v>
      </c>
      <c r="D2264" s="1" t="s">
        <v>1730</v>
      </c>
      <c r="E2264">
        <v>20251203</v>
      </c>
      <c r="F2264" s="1" t="s">
        <v>1470</v>
      </c>
      <c r="G2264">
        <v>4</v>
      </c>
      <c r="H2264" s="1" t="s">
        <v>1503</v>
      </c>
      <c r="I2264" t="s">
        <v>1883</v>
      </c>
      <c r="J2264" s="1" t="s">
        <v>1456</v>
      </c>
      <c r="K2264" s="1" t="s">
        <v>1612</v>
      </c>
      <c r="L2264" s="1" t="s">
        <v>1729</v>
      </c>
      <c r="M2264" s="1" t="s">
        <v>1737</v>
      </c>
      <c r="N2264" t="s">
        <v>1986</v>
      </c>
      <c r="O2264" t="s">
        <v>2284</v>
      </c>
      <c r="P2264" t="s">
        <v>3293</v>
      </c>
      <c r="Q2264">
        <v>12.3</v>
      </c>
      <c r="R2264" s="1" t="s">
        <v>1839</v>
      </c>
      <c r="S2264">
        <v>0</v>
      </c>
      <c r="T2264">
        <v>0</v>
      </c>
    </row>
    <row r="2265" spans="1:20" hidden="1" x14ac:dyDescent="0.4">
      <c r="A2265" s="1" t="s">
        <v>791</v>
      </c>
      <c r="B2265" s="1" t="s">
        <v>1453</v>
      </c>
      <c r="C2265" s="1" t="s">
        <v>1844</v>
      </c>
      <c r="D2265" s="1" t="s">
        <v>1730</v>
      </c>
      <c r="E2265">
        <v>20251203</v>
      </c>
      <c r="F2265" s="1" t="s">
        <v>1470</v>
      </c>
      <c r="G2265">
        <v>4</v>
      </c>
      <c r="H2265" s="1" t="s">
        <v>1503</v>
      </c>
      <c r="I2265" t="s">
        <v>1883</v>
      </c>
      <c r="J2265" s="1" t="s">
        <v>1456</v>
      </c>
      <c r="K2265" s="1" t="s">
        <v>1552</v>
      </c>
      <c r="L2265" s="1" t="s">
        <v>1729</v>
      </c>
      <c r="M2265" s="1" t="s">
        <v>1735</v>
      </c>
      <c r="N2265" t="s">
        <v>2097</v>
      </c>
      <c r="O2265" t="s">
        <v>2285</v>
      </c>
      <c r="P2265" t="s">
        <v>3037</v>
      </c>
      <c r="Q2265">
        <v>10</v>
      </c>
      <c r="R2265" s="1" t="s">
        <v>1718</v>
      </c>
      <c r="S2265">
        <v>0</v>
      </c>
      <c r="T2265">
        <v>0</v>
      </c>
    </row>
    <row r="2266" spans="1:20" hidden="1" x14ac:dyDescent="0.4">
      <c r="A2266" s="1" t="s">
        <v>792</v>
      </c>
      <c r="B2266" s="1" t="s">
        <v>1453</v>
      </c>
      <c r="C2266" s="1" t="s">
        <v>1844</v>
      </c>
      <c r="D2266" s="1" t="s">
        <v>1731</v>
      </c>
      <c r="E2266">
        <v>20251202</v>
      </c>
      <c r="F2266" s="1" t="s">
        <v>1473</v>
      </c>
      <c r="G2266">
        <v>1</v>
      </c>
      <c r="H2266" s="1" t="s">
        <v>1494</v>
      </c>
      <c r="I2266" t="s">
        <v>1874</v>
      </c>
      <c r="J2266" s="1" t="s">
        <v>1453</v>
      </c>
      <c r="K2266" s="1" t="s">
        <v>1598</v>
      </c>
      <c r="L2266" s="1" t="s">
        <v>1716</v>
      </c>
      <c r="M2266" s="1" t="s">
        <v>1765</v>
      </c>
      <c r="N2266" t="s">
        <v>1973</v>
      </c>
      <c r="O2266" t="s">
        <v>2162</v>
      </c>
      <c r="P2266" t="s">
        <v>3084</v>
      </c>
      <c r="Q2266">
        <v>1169.3</v>
      </c>
      <c r="R2266" s="1" t="s">
        <v>1463</v>
      </c>
      <c r="S2266">
        <v>1450</v>
      </c>
      <c r="T2266">
        <v>1695485</v>
      </c>
    </row>
    <row r="2267" spans="1:20" hidden="1" x14ac:dyDescent="0.4">
      <c r="A2267" s="1" t="s">
        <v>793</v>
      </c>
      <c r="B2267" s="1" t="s">
        <v>1453</v>
      </c>
      <c r="C2267" s="1" t="s">
        <v>1844</v>
      </c>
      <c r="D2267" s="1" t="s">
        <v>1467</v>
      </c>
      <c r="E2267">
        <v>20251204</v>
      </c>
      <c r="F2267" s="1" t="s">
        <v>1470</v>
      </c>
      <c r="G2267">
        <v>4</v>
      </c>
      <c r="H2267" s="1" t="s">
        <v>1511</v>
      </c>
      <c r="I2267" t="s">
        <v>1891</v>
      </c>
      <c r="J2267" s="1" t="s">
        <v>1456</v>
      </c>
      <c r="K2267" s="1" t="s">
        <v>1566</v>
      </c>
      <c r="L2267" s="1" t="s">
        <v>1729</v>
      </c>
      <c r="M2267" s="1" t="s">
        <v>1737</v>
      </c>
      <c r="N2267" t="s">
        <v>1938</v>
      </c>
      <c r="O2267" t="s">
        <v>2286</v>
      </c>
      <c r="P2267" t="s">
        <v>2157</v>
      </c>
      <c r="Q2267">
        <v>400</v>
      </c>
      <c r="R2267" s="1" t="s">
        <v>1718</v>
      </c>
      <c r="S2267">
        <v>4398</v>
      </c>
      <c r="T2267">
        <v>1759200</v>
      </c>
    </row>
    <row r="2268" spans="1:20" hidden="1" x14ac:dyDescent="0.4">
      <c r="A2268" s="1" t="s">
        <v>794</v>
      </c>
      <c r="B2268" s="1" t="s">
        <v>1453</v>
      </c>
      <c r="C2268" s="1" t="s">
        <v>1844</v>
      </c>
      <c r="D2268" s="1" t="s">
        <v>1467</v>
      </c>
      <c r="E2268">
        <v>20251204</v>
      </c>
      <c r="F2268" s="1" t="s">
        <v>1470</v>
      </c>
      <c r="G2268">
        <v>4</v>
      </c>
      <c r="H2268" s="1" t="s">
        <v>1511</v>
      </c>
      <c r="I2268" t="s">
        <v>1891</v>
      </c>
      <c r="J2268" s="1" t="s">
        <v>1456</v>
      </c>
      <c r="K2268" s="1" t="s">
        <v>1573</v>
      </c>
      <c r="L2268" s="1" t="s">
        <v>1729</v>
      </c>
      <c r="M2268" s="1" t="s">
        <v>1741</v>
      </c>
      <c r="N2268" t="s">
        <v>2103</v>
      </c>
      <c r="O2268" t="s">
        <v>2287</v>
      </c>
      <c r="P2268" t="s">
        <v>3042</v>
      </c>
      <c r="Q2268">
        <v>200</v>
      </c>
      <c r="R2268" s="1" t="s">
        <v>1718</v>
      </c>
      <c r="S2268">
        <v>5261</v>
      </c>
      <c r="T2268">
        <v>1052200</v>
      </c>
    </row>
    <row r="2269" spans="1:20" hidden="1" x14ac:dyDescent="0.4">
      <c r="A2269" s="1" t="s">
        <v>794</v>
      </c>
      <c r="B2269" s="1" t="s">
        <v>1454</v>
      </c>
      <c r="C2269" s="1" t="s">
        <v>1844</v>
      </c>
      <c r="D2269" s="1" t="s">
        <v>1467</v>
      </c>
      <c r="E2269">
        <v>20251204</v>
      </c>
      <c r="F2269" s="1" t="s">
        <v>1470</v>
      </c>
      <c r="G2269">
        <v>4</v>
      </c>
      <c r="H2269" s="1" t="s">
        <v>1511</v>
      </c>
      <c r="I2269" t="s">
        <v>1891</v>
      </c>
      <c r="J2269" s="1" t="s">
        <v>1456</v>
      </c>
      <c r="K2269" s="1" t="s">
        <v>1573</v>
      </c>
      <c r="L2269" s="1" t="s">
        <v>1729</v>
      </c>
      <c r="M2269" s="1" t="s">
        <v>1741</v>
      </c>
      <c r="N2269" t="s">
        <v>2103</v>
      </c>
      <c r="O2269" t="s">
        <v>2288</v>
      </c>
      <c r="P2269" t="s">
        <v>3042</v>
      </c>
      <c r="Q2269">
        <v>111</v>
      </c>
      <c r="R2269" s="1" t="s">
        <v>1718</v>
      </c>
      <c r="S2269">
        <v>19325</v>
      </c>
      <c r="T2269">
        <v>2145075</v>
      </c>
    </row>
    <row r="2270" spans="1:20" hidden="1" x14ac:dyDescent="0.4">
      <c r="A2270" s="1" t="s">
        <v>794</v>
      </c>
      <c r="B2270" s="1" t="s">
        <v>1455</v>
      </c>
      <c r="C2270" s="1" t="s">
        <v>1844</v>
      </c>
      <c r="D2270" s="1" t="s">
        <v>1467</v>
      </c>
      <c r="E2270">
        <v>20251204</v>
      </c>
      <c r="F2270" s="1" t="s">
        <v>1470</v>
      </c>
      <c r="G2270">
        <v>4</v>
      </c>
      <c r="H2270" s="1" t="s">
        <v>1511</v>
      </c>
      <c r="I2270" t="s">
        <v>1891</v>
      </c>
      <c r="J2270" s="1" t="s">
        <v>1456</v>
      </c>
      <c r="K2270" s="1" t="s">
        <v>1573</v>
      </c>
      <c r="L2270" s="1" t="s">
        <v>1729</v>
      </c>
      <c r="M2270" s="1" t="s">
        <v>1741</v>
      </c>
      <c r="N2270" t="s">
        <v>2103</v>
      </c>
      <c r="O2270" t="s">
        <v>2289</v>
      </c>
      <c r="P2270" t="s">
        <v>3042</v>
      </c>
      <c r="Q2270">
        <v>120</v>
      </c>
      <c r="R2270" s="1" t="s">
        <v>1718</v>
      </c>
      <c r="S2270">
        <v>10088</v>
      </c>
      <c r="T2270">
        <v>1210560</v>
      </c>
    </row>
    <row r="2271" spans="1:20" hidden="1" x14ac:dyDescent="0.4">
      <c r="A2271" s="1" t="s">
        <v>794</v>
      </c>
      <c r="B2271" s="1" t="s">
        <v>1456</v>
      </c>
      <c r="C2271" s="1" t="s">
        <v>1844</v>
      </c>
      <c r="D2271" s="1" t="s">
        <v>1467</v>
      </c>
      <c r="E2271">
        <v>20251204</v>
      </c>
      <c r="F2271" s="1" t="s">
        <v>1470</v>
      </c>
      <c r="G2271">
        <v>4</v>
      </c>
      <c r="H2271" s="1" t="s">
        <v>1511</v>
      </c>
      <c r="I2271" t="s">
        <v>1891</v>
      </c>
      <c r="J2271" s="1" t="s">
        <v>1456</v>
      </c>
      <c r="K2271" s="1" t="s">
        <v>1569</v>
      </c>
      <c r="L2271" s="1" t="s">
        <v>1729</v>
      </c>
      <c r="M2271" s="1" t="s">
        <v>1742</v>
      </c>
      <c r="N2271" t="s">
        <v>2119</v>
      </c>
      <c r="O2271" t="s">
        <v>2290</v>
      </c>
      <c r="P2271" t="s">
        <v>3043</v>
      </c>
      <c r="Q2271">
        <v>45</v>
      </c>
      <c r="R2271" s="1" t="s">
        <v>1718</v>
      </c>
      <c r="S2271">
        <v>9486</v>
      </c>
      <c r="T2271">
        <v>426870</v>
      </c>
    </row>
    <row r="2272" spans="1:20" hidden="1" x14ac:dyDescent="0.4">
      <c r="A2272" s="1" t="s">
        <v>795</v>
      </c>
      <c r="B2272" s="1" t="s">
        <v>1453</v>
      </c>
      <c r="C2272" s="1" t="s">
        <v>1844</v>
      </c>
      <c r="D2272" s="1" t="s">
        <v>1462</v>
      </c>
      <c r="E2272">
        <v>20251204</v>
      </c>
      <c r="F2272" s="1" t="s">
        <v>1470</v>
      </c>
      <c r="G2272">
        <v>4</v>
      </c>
      <c r="H2272" s="1" t="s">
        <v>1514</v>
      </c>
      <c r="I2272" t="s">
        <v>1894</v>
      </c>
      <c r="J2272" s="1" t="s">
        <v>1456</v>
      </c>
      <c r="K2272" s="1" t="s">
        <v>1571</v>
      </c>
      <c r="L2272" s="1" t="s">
        <v>1729</v>
      </c>
      <c r="M2272" s="1" t="s">
        <v>1741</v>
      </c>
      <c r="N2272" t="s">
        <v>1944</v>
      </c>
      <c r="O2272" t="s">
        <v>2157</v>
      </c>
      <c r="P2272" t="s">
        <v>3294</v>
      </c>
      <c r="Q2272">
        <v>20</v>
      </c>
      <c r="R2272" s="1" t="s">
        <v>1718</v>
      </c>
      <c r="S2272">
        <v>14586</v>
      </c>
      <c r="T2272">
        <v>291720</v>
      </c>
    </row>
    <row r="2273" spans="1:20" hidden="1" x14ac:dyDescent="0.4">
      <c r="A2273" s="1" t="s">
        <v>795</v>
      </c>
      <c r="B2273" s="1" t="s">
        <v>1454</v>
      </c>
      <c r="C2273" s="1" t="s">
        <v>1844</v>
      </c>
      <c r="D2273" s="1" t="s">
        <v>1462</v>
      </c>
      <c r="E2273">
        <v>20251204</v>
      </c>
      <c r="F2273" s="1" t="s">
        <v>1470</v>
      </c>
      <c r="G2273">
        <v>4</v>
      </c>
      <c r="H2273" s="1" t="s">
        <v>1514</v>
      </c>
      <c r="I2273" t="s">
        <v>1894</v>
      </c>
      <c r="J2273" s="1" t="s">
        <v>1456</v>
      </c>
      <c r="K2273" s="1" t="s">
        <v>1571</v>
      </c>
      <c r="L2273" s="1" t="s">
        <v>1729</v>
      </c>
      <c r="M2273" s="1" t="s">
        <v>1741</v>
      </c>
      <c r="N2273" t="s">
        <v>1944</v>
      </c>
      <c r="O2273" t="s">
        <v>2157</v>
      </c>
      <c r="P2273" t="s">
        <v>3295</v>
      </c>
      <c r="Q2273">
        <v>30</v>
      </c>
      <c r="R2273" s="1" t="s">
        <v>1718</v>
      </c>
      <c r="S2273">
        <v>19684</v>
      </c>
      <c r="T2273">
        <v>590520</v>
      </c>
    </row>
    <row r="2274" spans="1:20" hidden="1" x14ac:dyDescent="0.4">
      <c r="A2274" s="1" t="s">
        <v>795</v>
      </c>
      <c r="B2274" s="1" t="s">
        <v>1455</v>
      </c>
      <c r="C2274" s="1" t="s">
        <v>1844</v>
      </c>
      <c r="D2274" s="1" t="s">
        <v>1462</v>
      </c>
      <c r="E2274">
        <v>20251204</v>
      </c>
      <c r="F2274" s="1" t="s">
        <v>1470</v>
      </c>
      <c r="G2274">
        <v>4</v>
      </c>
      <c r="H2274" s="1" t="s">
        <v>1514</v>
      </c>
      <c r="I2274" t="s">
        <v>1894</v>
      </c>
      <c r="J2274" s="1" t="s">
        <v>1456</v>
      </c>
      <c r="K2274" s="1" t="s">
        <v>1567</v>
      </c>
      <c r="L2274" s="1" t="s">
        <v>1729</v>
      </c>
      <c r="M2274" s="1" t="s">
        <v>1744</v>
      </c>
      <c r="N2274" t="s">
        <v>2120</v>
      </c>
      <c r="O2274" t="s">
        <v>2291</v>
      </c>
      <c r="P2274" t="s">
        <v>3296</v>
      </c>
      <c r="Q2274">
        <v>20</v>
      </c>
      <c r="R2274" s="1" t="s">
        <v>1718</v>
      </c>
      <c r="S2274">
        <v>13785</v>
      </c>
      <c r="T2274">
        <v>275700</v>
      </c>
    </row>
    <row r="2275" spans="1:20" hidden="1" x14ac:dyDescent="0.4">
      <c r="A2275" s="1" t="s">
        <v>796</v>
      </c>
      <c r="B2275" s="1" t="s">
        <v>1453</v>
      </c>
      <c r="C2275" s="1" t="s">
        <v>1844</v>
      </c>
      <c r="D2275" s="1" t="s">
        <v>1462</v>
      </c>
      <c r="E2275">
        <v>20251204</v>
      </c>
      <c r="F2275" s="1" t="s">
        <v>1470</v>
      </c>
      <c r="G2275">
        <v>4</v>
      </c>
      <c r="H2275" s="1" t="s">
        <v>1511</v>
      </c>
      <c r="I2275" t="s">
        <v>1891</v>
      </c>
      <c r="J2275" s="1" t="s">
        <v>1456</v>
      </c>
      <c r="K2275" s="1" t="s">
        <v>1560</v>
      </c>
      <c r="L2275" s="1" t="s">
        <v>1729</v>
      </c>
      <c r="M2275" s="1" t="s">
        <v>1740</v>
      </c>
      <c r="N2275" t="s">
        <v>2105</v>
      </c>
      <c r="O2275" t="s">
        <v>2292</v>
      </c>
      <c r="P2275" t="s">
        <v>3172</v>
      </c>
      <c r="Q2275">
        <v>2</v>
      </c>
      <c r="R2275" s="1" t="s">
        <v>1718</v>
      </c>
      <c r="S2275">
        <v>31091</v>
      </c>
      <c r="T2275">
        <v>62182</v>
      </c>
    </row>
    <row r="2276" spans="1:20" hidden="1" x14ac:dyDescent="0.4">
      <c r="A2276" s="1" t="s">
        <v>796</v>
      </c>
      <c r="B2276" s="1" t="s">
        <v>1454</v>
      </c>
      <c r="C2276" s="1" t="s">
        <v>1844</v>
      </c>
      <c r="D2276" s="1" t="s">
        <v>1462</v>
      </c>
      <c r="E2276">
        <v>20251204</v>
      </c>
      <c r="F2276" s="1" t="s">
        <v>1470</v>
      </c>
      <c r="G2276">
        <v>4</v>
      </c>
      <c r="H2276" s="1" t="s">
        <v>1511</v>
      </c>
      <c r="I2276" t="s">
        <v>1891</v>
      </c>
      <c r="J2276" s="1" t="s">
        <v>1456</v>
      </c>
      <c r="K2276" s="1" t="s">
        <v>1560</v>
      </c>
      <c r="L2276" s="1" t="s">
        <v>1729</v>
      </c>
      <c r="M2276" s="1" t="s">
        <v>1740</v>
      </c>
      <c r="N2276" t="s">
        <v>2105</v>
      </c>
      <c r="O2276" t="s">
        <v>2292</v>
      </c>
      <c r="P2276" t="s">
        <v>3172</v>
      </c>
      <c r="Q2276">
        <v>2</v>
      </c>
      <c r="R2276" s="1" t="s">
        <v>1718</v>
      </c>
      <c r="S2276">
        <v>28059</v>
      </c>
      <c r="T2276">
        <v>56118</v>
      </c>
    </row>
    <row r="2277" spans="1:20" hidden="1" x14ac:dyDescent="0.4">
      <c r="A2277" s="1" t="s">
        <v>797</v>
      </c>
      <c r="B2277" s="1" t="s">
        <v>1453</v>
      </c>
      <c r="C2277" s="1" t="s">
        <v>1844</v>
      </c>
      <c r="D2277" s="1" t="s">
        <v>1462</v>
      </c>
      <c r="E2277">
        <v>20251204</v>
      </c>
      <c r="F2277" s="1" t="s">
        <v>1470</v>
      </c>
      <c r="G2277">
        <v>4</v>
      </c>
      <c r="H2277" s="1" t="s">
        <v>1511</v>
      </c>
      <c r="I2277" t="s">
        <v>1891</v>
      </c>
      <c r="J2277" s="1" t="s">
        <v>1456</v>
      </c>
      <c r="K2277" s="1" t="s">
        <v>1561</v>
      </c>
      <c r="L2277" s="1" t="s">
        <v>1729</v>
      </c>
      <c r="M2277" s="1" t="s">
        <v>1737</v>
      </c>
      <c r="N2277" t="s">
        <v>2106</v>
      </c>
      <c r="O2277" t="s">
        <v>2293</v>
      </c>
      <c r="P2277" t="s">
        <v>3048</v>
      </c>
      <c r="Q2277">
        <v>2</v>
      </c>
      <c r="R2277" s="1" t="s">
        <v>1718</v>
      </c>
      <c r="S2277">
        <v>26996</v>
      </c>
      <c r="T2277">
        <v>53992</v>
      </c>
    </row>
    <row r="2278" spans="1:20" hidden="1" x14ac:dyDescent="0.4">
      <c r="A2278" s="1" t="s">
        <v>798</v>
      </c>
      <c r="B2278" s="1" t="s">
        <v>1453</v>
      </c>
      <c r="C2278" s="1" t="s">
        <v>1844</v>
      </c>
      <c r="D2278" s="1" t="s">
        <v>1462</v>
      </c>
      <c r="E2278">
        <v>20251204</v>
      </c>
      <c r="F2278" s="1" t="s">
        <v>1470</v>
      </c>
      <c r="G2278">
        <v>4</v>
      </c>
      <c r="H2278" s="1" t="s">
        <v>1511</v>
      </c>
      <c r="I2278" t="s">
        <v>1891</v>
      </c>
      <c r="J2278" s="1" t="s">
        <v>1456</v>
      </c>
      <c r="K2278" s="1" t="s">
        <v>1565</v>
      </c>
      <c r="L2278" s="1" t="s">
        <v>1729</v>
      </c>
      <c r="M2278" s="1" t="s">
        <v>1743</v>
      </c>
      <c r="N2278" t="s">
        <v>2089</v>
      </c>
      <c r="O2278" t="s">
        <v>2294</v>
      </c>
      <c r="P2278" t="s">
        <v>3257</v>
      </c>
      <c r="Q2278">
        <v>2</v>
      </c>
      <c r="R2278" s="1" t="s">
        <v>1718</v>
      </c>
      <c r="S2278">
        <v>12264</v>
      </c>
      <c r="T2278">
        <v>24528</v>
      </c>
    </row>
    <row r="2279" spans="1:20" hidden="1" x14ac:dyDescent="0.4">
      <c r="A2279" s="1" t="s">
        <v>799</v>
      </c>
      <c r="B2279" s="1" t="s">
        <v>1453</v>
      </c>
      <c r="C2279" s="1" t="s">
        <v>1844</v>
      </c>
      <c r="D2279" s="1" t="s">
        <v>1462</v>
      </c>
      <c r="E2279">
        <v>20251204</v>
      </c>
      <c r="F2279" s="1" t="s">
        <v>1470</v>
      </c>
      <c r="G2279">
        <v>4</v>
      </c>
      <c r="H2279" s="1" t="s">
        <v>1511</v>
      </c>
      <c r="I2279" t="s">
        <v>1891</v>
      </c>
      <c r="J2279" s="1" t="s">
        <v>1456</v>
      </c>
      <c r="K2279" s="1" t="s">
        <v>1561</v>
      </c>
      <c r="L2279" s="1" t="s">
        <v>1729</v>
      </c>
      <c r="M2279" s="1" t="s">
        <v>1737</v>
      </c>
      <c r="N2279" t="s">
        <v>2106</v>
      </c>
      <c r="O2279" t="s">
        <v>2295</v>
      </c>
      <c r="P2279" t="s">
        <v>3216</v>
      </c>
      <c r="Q2279">
        <v>1</v>
      </c>
      <c r="R2279" s="1" t="s">
        <v>1718</v>
      </c>
      <c r="S2279">
        <v>8098</v>
      </c>
      <c r="T2279">
        <v>8098</v>
      </c>
    </row>
    <row r="2280" spans="1:20" hidden="1" x14ac:dyDescent="0.4">
      <c r="A2280" s="1" t="s">
        <v>800</v>
      </c>
      <c r="B2280" s="1" t="s">
        <v>1453</v>
      </c>
      <c r="C2280" s="1" t="s">
        <v>1844</v>
      </c>
      <c r="D2280" s="1" t="s">
        <v>1462</v>
      </c>
      <c r="E2280">
        <v>20251204</v>
      </c>
      <c r="F2280" s="1" t="s">
        <v>1470</v>
      </c>
      <c r="G2280">
        <v>4</v>
      </c>
      <c r="H2280" s="1" t="s">
        <v>1503</v>
      </c>
      <c r="I2280" t="s">
        <v>1883</v>
      </c>
      <c r="J2280" s="1" t="s">
        <v>1456</v>
      </c>
      <c r="K2280" s="1" t="s">
        <v>1554</v>
      </c>
      <c r="L2280" s="1" t="s">
        <v>1729</v>
      </c>
      <c r="M2280" s="1" t="s">
        <v>1737</v>
      </c>
      <c r="N2280" t="s">
        <v>2091</v>
      </c>
      <c r="O2280" t="s">
        <v>2296</v>
      </c>
      <c r="P2280">
        <v>82174</v>
      </c>
      <c r="Q2280">
        <v>2</v>
      </c>
      <c r="R2280" s="1" t="s">
        <v>1718</v>
      </c>
      <c r="S2280">
        <v>8810</v>
      </c>
      <c r="T2280">
        <v>17620</v>
      </c>
    </row>
    <row r="2281" spans="1:20" hidden="1" x14ac:dyDescent="0.4">
      <c r="A2281" s="1" t="s">
        <v>800</v>
      </c>
      <c r="B2281" s="1" t="s">
        <v>1454</v>
      </c>
      <c r="C2281" s="1" t="s">
        <v>1844</v>
      </c>
      <c r="D2281" s="1" t="s">
        <v>1462</v>
      </c>
      <c r="E2281">
        <v>20251204</v>
      </c>
      <c r="F2281" s="1" t="s">
        <v>1470</v>
      </c>
      <c r="G2281">
        <v>4</v>
      </c>
      <c r="H2281" s="1" t="s">
        <v>1503</v>
      </c>
      <c r="I2281" t="s">
        <v>1883</v>
      </c>
      <c r="J2281" s="1" t="s">
        <v>1456</v>
      </c>
      <c r="K2281" s="1" t="s">
        <v>1554</v>
      </c>
      <c r="L2281" s="1" t="s">
        <v>1729</v>
      </c>
      <c r="M2281" s="1" t="s">
        <v>1737</v>
      </c>
      <c r="N2281" t="s">
        <v>2091</v>
      </c>
      <c r="O2281" t="s">
        <v>2297</v>
      </c>
      <c r="P2281">
        <v>82175</v>
      </c>
      <c r="Q2281">
        <v>2</v>
      </c>
      <c r="R2281" s="1" t="s">
        <v>1718</v>
      </c>
      <c r="S2281">
        <v>8810</v>
      </c>
      <c r="T2281">
        <v>17620</v>
      </c>
    </row>
    <row r="2282" spans="1:20" hidden="1" x14ac:dyDescent="0.4">
      <c r="A2282" s="1" t="s">
        <v>801</v>
      </c>
      <c r="B2282" s="1" t="s">
        <v>1453</v>
      </c>
      <c r="C2282" s="1" t="s">
        <v>1844</v>
      </c>
      <c r="D2282" s="1" t="s">
        <v>1462</v>
      </c>
      <c r="E2282">
        <v>20251204</v>
      </c>
      <c r="F2282" s="1" t="s">
        <v>1470</v>
      </c>
      <c r="G2282">
        <v>4</v>
      </c>
      <c r="H2282" s="1" t="s">
        <v>1503</v>
      </c>
      <c r="I2282" t="s">
        <v>1883</v>
      </c>
      <c r="J2282" s="1" t="s">
        <v>1456</v>
      </c>
      <c r="K2282" s="1" t="s">
        <v>1554</v>
      </c>
      <c r="L2282" s="1" t="s">
        <v>1729</v>
      </c>
      <c r="M2282" s="1" t="s">
        <v>1737</v>
      </c>
      <c r="N2282" t="s">
        <v>2118</v>
      </c>
      <c r="O2282" t="s">
        <v>2298</v>
      </c>
      <c r="P2282">
        <v>82190</v>
      </c>
      <c r="Q2282">
        <v>2</v>
      </c>
      <c r="R2282" s="1" t="s">
        <v>1718</v>
      </c>
      <c r="S2282">
        <v>9350</v>
      </c>
      <c r="T2282">
        <v>18700</v>
      </c>
    </row>
    <row r="2283" spans="1:20" hidden="1" x14ac:dyDescent="0.4">
      <c r="A2283" s="1" t="s">
        <v>802</v>
      </c>
      <c r="B2283" s="1" t="s">
        <v>1453</v>
      </c>
      <c r="C2283" s="1" t="s">
        <v>1844</v>
      </c>
      <c r="D2283" s="1" t="s">
        <v>1462</v>
      </c>
      <c r="E2283">
        <v>20251204</v>
      </c>
      <c r="F2283" s="1" t="s">
        <v>1470</v>
      </c>
      <c r="G2283">
        <v>4</v>
      </c>
      <c r="H2283" s="1" t="s">
        <v>1503</v>
      </c>
      <c r="I2283" t="s">
        <v>1883</v>
      </c>
      <c r="J2283" s="1" t="s">
        <v>1456</v>
      </c>
      <c r="K2283" s="1" t="s">
        <v>1554</v>
      </c>
      <c r="L2283" s="1" t="s">
        <v>1729</v>
      </c>
      <c r="M2283" s="1" t="s">
        <v>1737</v>
      </c>
      <c r="N2283" t="s">
        <v>2109</v>
      </c>
      <c r="O2283" t="s">
        <v>2299</v>
      </c>
      <c r="P2283">
        <v>82201</v>
      </c>
      <c r="Q2283">
        <v>2</v>
      </c>
      <c r="R2283" s="1" t="s">
        <v>1718</v>
      </c>
      <c r="S2283">
        <v>8760</v>
      </c>
      <c r="T2283">
        <v>17520</v>
      </c>
    </row>
    <row r="2284" spans="1:20" hidden="1" x14ac:dyDescent="0.4">
      <c r="A2284" s="1" t="s">
        <v>803</v>
      </c>
      <c r="B2284" s="1" t="s">
        <v>1453</v>
      </c>
      <c r="C2284" s="1" t="s">
        <v>1844</v>
      </c>
      <c r="D2284" s="1" t="s">
        <v>1462</v>
      </c>
      <c r="E2284">
        <v>20251204</v>
      </c>
      <c r="F2284" s="1" t="s">
        <v>1470</v>
      </c>
      <c r="G2284">
        <v>4</v>
      </c>
      <c r="H2284" s="1" t="s">
        <v>1503</v>
      </c>
      <c r="I2284" t="s">
        <v>1883</v>
      </c>
      <c r="J2284" s="1" t="s">
        <v>1456</v>
      </c>
      <c r="K2284" s="1" t="s">
        <v>1553</v>
      </c>
      <c r="L2284" s="1" t="s">
        <v>1729</v>
      </c>
      <c r="M2284" s="1" t="s">
        <v>1736</v>
      </c>
      <c r="N2284" t="s">
        <v>2093</v>
      </c>
      <c r="O2284" t="s">
        <v>2300</v>
      </c>
      <c r="P2284" t="s">
        <v>3297</v>
      </c>
      <c r="Q2284">
        <v>2</v>
      </c>
      <c r="R2284" s="1" t="s">
        <v>1718</v>
      </c>
      <c r="S2284">
        <v>15720</v>
      </c>
      <c r="T2284">
        <v>31440</v>
      </c>
    </row>
    <row r="2285" spans="1:20" hidden="1" x14ac:dyDescent="0.4">
      <c r="A2285" s="1" t="s">
        <v>804</v>
      </c>
      <c r="B2285" s="1" t="s">
        <v>1453</v>
      </c>
      <c r="C2285" s="1" t="s">
        <v>1844</v>
      </c>
      <c r="D2285" s="1" t="s">
        <v>1462</v>
      </c>
      <c r="E2285">
        <v>20251204</v>
      </c>
      <c r="F2285" s="1" t="s">
        <v>1470</v>
      </c>
      <c r="G2285">
        <v>4</v>
      </c>
      <c r="H2285" s="1" t="s">
        <v>1503</v>
      </c>
      <c r="I2285" t="s">
        <v>1883</v>
      </c>
      <c r="J2285" s="1" t="s">
        <v>1456</v>
      </c>
      <c r="K2285" s="1" t="s">
        <v>1554</v>
      </c>
      <c r="L2285" s="1" t="s">
        <v>1729</v>
      </c>
      <c r="M2285" s="1" t="s">
        <v>1737</v>
      </c>
      <c r="N2285" t="s">
        <v>2092</v>
      </c>
      <c r="O2285" t="s">
        <v>2301</v>
      </c>
      <c r="P2285">
        <v>82199</v>
      </c>
      <c r="Q2285">
        <v>2</v>
      </c>
      <c r="R2285" s="1" t="s">
        <v>1718</v>
      </c>
      <c r="S2285">
        <v>14950</v>
      </c>
      <c r="T2285">
        <v>29900</v>
      </c>
    </row>
    <row r="2286" spans="1:20" hidden="1" x14ac:dyDescent="0.4">
      <c r="A2286" s="1" t="s">
        <v>805</v>
      </c>
      <c r="B2286" s="1" t="s">
        <v>1453</v>
      </c>
      <c r="C2286" s="1" t="s">
        <v>1844</v>
      </c>
      <c r="D2286" s="1" t="s">
        <v>1462</v>
      </c>
      <c r="E2286">
        <v>20251204</v>
      </c>
      <c r="F2286" s="1" t="s">
        <v>1470</v>
      </c>
      <c r="G2286">
        <v>4</v>
      </c>
      <c r="H2286" s="1" t="s">
        <v>1496</v>
      </c>
      <c r="I2286" t="s">
        <v>1876</v>
      </c>
      <c r="J2286" s="1" t="s">
        <v>1456</v>
      </c>
      <c r="K2286" s="1" t="s">
        <v>1557</v>
      </c>
      <c r="L2286" s="1" t="s">
        <v>1729</v>
      </c>
      <c r="M2286" s="1" t="s">
        <v>1737</v>
      </c>
      <c r="N2286" t="s">
        <v>1929</v>
      </c>
      <c r="O2286" t="s">
        <v>2302</v>
      </c>
      <c r="P2286" t="s">
        <v>3270</v>
      </c>
      <c r="Q2286">
        <v>2</v>
      </c>
      <c r="R2286" s="1" t="s">
        <v>1718</v>
      </c>
      <c r="S2286">
        <v>13930</v>
      </c>
      <c r="T2286">
        <v>27860</v>
      </c>
    </row>
    <row r="2287" spans="1:20" hidden="1" x14ac:dyDescent="0.4">
      <c r="A2287" s="1" t="s">
        <v>806</v>
      </c>
      <c r="B2287" s="1" t="s">
        <v>1453</v>
      </c>
      <c r="C2287" s="1" t="s">
        <v>1844</v>
      </c>
      <c r="D2287" s="1" t="s">
        <v>1462</v>
      </c>
      <c r="E2287">
        <v>20251204</v>
      </c>
      <c r="F2287" s="1" t="s">
        <v>1470</v>
      </c>
      <c r="G2287">
        <v>4</v>
      </c>
      <c r="H2287" s="1" t="s">
        <v>1496</v>
      </c>
      <c r="I2287" t="s">
        <v>1876</v>
      </c>
      <c r="J2287" s="1" t="s">
        <v>1456</v>
      </c>
      <c r="K2287" s="1" t="s">
        <v>1559</v>
      </c>
      <c r="L2287" s="1" t="s">
        <v>1729</v>
      </c>
      <c r="M2287" s="1" t="s">
        <v>1739</v>
      </c>
      <c r="N2287" t="s">
        <v>1931</v>
      </c>
      <c r="O2287" t="s">
        <v>2303</v>
      </c>
      <c r="P2287" t="s">
        <v>3298</v>
      </c>
      <c r="Q2287">
        <v>1</v>
      </c>
      <c r="R2287" s="1" t="s">
        <v>1718</v>
      </c>
      <c r="S2287">
        <v>19444</v>
      </c>
      <c r="T2287">
        <v>19444</v>
      </c>
    </row>
    <row r="2288" spans="1:20" hidden="1" x14ac:dyDescent="0.4">
      <c r="A2288" s="1" t="s">
        <v>807</v>
      </c>
      <c r="B2288" s="1" t="s">
        <v>1453</v>
      </c>
      <c r="C2288" s="1" t="s">
        <v>1844</v>
      </c>
      <c r="D2288" s="1" t="s">
        <v>1462</v>
      </c>
      <c r="E2288">
        <v>20251204</v>
      </c>
      <c r="F2288" s="1" t="s">
        <v>1470</v>
      </c>
      <c r="G2288">
        <v>4</v>
      </c>
      <c r="H2288" s="1" t="s">
        <v>1512</v>
      </c>
      <c r="I2288" t="s">
        <v>1892</v>
      </c>
      <c r="J2288" s="1" t="s">
        <v>1456</v>
      </c>
      <c r="K2288" s="1" t="s">
        <v>1558</v>
      </c>
      <c r="L2288" s="1" t="s">
        <v>1729</v>
      </c>
      <c r="M2288" s="1" t="s">
        <v>1737</v>
      </c>
      <c r="N2288" t="s">
        <v>2096</v>
      </c>
      <c r="O2288" t="s">
        <v>2216</v>
      </c>
      <c r="P2288" t="s">
        <v>3299</v>
      </c>
      <c r="Q2288">
        <v>2</v>
      </c>
      <c r="R2288" s="1" t="s">
        <v>1718</v>
      </c>
      <c r="S2288">
        <v>23383</v>
      </c>
      <c r="T2288">
        <v>46766</v>
      </c>
    </row>
    <row r="2289" spans="1:20" hidden="1" x14ac:dyDescent="0.4">
      <c r="A2289" s="1" t="s">
        <v>807</v>
      </c>
      <c r="B2289" s="1" t="s">
        <v>1454</v>
      </c>
      <c r="C2289" s="1" t="s">
        <v>1844</v>
      </c>
      <c r="D2289" s="1" t="s">
        <v>1462</v>
      </c>
      <c r="E2289">
        <v>20251204</v>
      </c>
      <c r="F2289" s="1" t="s">
        <v>1470</v>
      </c>
      <c r="G2289">
        <v>4</v>
      </c>
      <c r="H2289" s="1" t="s">
        <v>1512</v>
      </c>
      <c r="I2289" t="s">
        <v>1892</v>
      </c>
      <c r="J2289" s="1" t="s">
        <v>1456</v>
      </c>
      <c r="K2289" s="1" t="s">
        <v>1558</v>
      </c>
      <c r="L2289" s="1" t="s">
        <v>1729</v>
      </c>
      <c r="M2289" s="1" t="s">
        <v>1737</v>
      </c>
      <c r="N2289" t="s">
        <v>2096</v>
      </c>
      <c r="O2289" t="s">
        <v>2216</v>
      </c>
      <c r="P2289" t="s">
        <v>3300</v>
      </c>
      <c r="Q2289">
        <v>2</v>
      </c>
      <c r="R2289" s="1" t="s">
        <v>1718</v>
      </c>
      <c r="S2289">
        <v>26632</v>
      </c>
      <c r="T2289">
        <v>53264</v>
      </c>
    </row>
    <row r="2290" spans="1:20" hidden="1" x14ac:dyDescent="0.4">
      <c r="A2290" s="1" t="s">
        <v>807</v>
      </c>
      <c r="B2290" s="1" t="s">
        <v>1455</v>
      </c>
      <c r="C2290" s="1" t="s">
        <v>1844</v>
      </c>
      <c r="D2290" s="1" t="s">
        <v>1462</v>
      </c>
      <c r="E2290">
        <v>20251204</v>
      </c>
      <c r="F2290" s="1" t="s">
        <v>1470</v>
      </c>
      <c r="G2290">
        <v>4</v>
      </c>
      <c r="H2290" s="1" t="s">
        <v>1512</v>
      </c>
      <c r="I2290" t="s">
        <v>1892</v>
      </c>
      <c r="J2290" s="1" t="s">
        <v>1456</v>
      </c>
      <c r="K2290" s="1" t="s">
        <v>1558</v>
      </c>
      <c r="L2290" s="1" t="s">
        <v>1729</v>
      </c>
      <c r="M2290" s="1" t="s">
        <v>1737</v>
      </c>
      <c r="N2290" t="s">
        <v>2096</v>
      </c>
      <c r="O2290" t="s">
        <v>2304</v>
      </c>
      <c r="P2290" t="s">
        <v>3301</v>
      </c>
      <c r="Q2290">
        <v>2</v>
      </c>
      <c r="R2290" s="1" t="s">
        <v>1718</v>
      </c>
      <c r="S2290">
        <v>22535</v>
      </c>
      <c r="T2290">
        <v>45070</v>
      </c>
    </row>
    <row r="2291" spans="1:20" hidden="1" x14ac:dyDescent="0.4">
      <c r="A2291" s="1" t="s">
        <v>808</v>
      </c>
      <c r="B2291" s="1" t="s">
        <v>1453</v>
      </c>
      <c r="C2291" s="1" t="s">
        <v>1844</v>
      </c>
      <c r="D2291" s="1" t="s">
        <v>1462</v>
      </c>
      <c r="E2291">
        <v>20251204</v>
      </c>
      <c r="F2291" s="1" t="s">
        <v>1470</v>
      </c>
      <c r="G2291">
        <v>4</v>
      </c>
      <c r="H2291" s="1" t="s">
        <v>1512</v>
      </c>
      <c r="I2291" t="s">
        <v>1892</v>
      </c>
      <c r="J2291" s="1" t="s">
        <v>1456</v>
      </c>
      <c r="K2291" s="1" t="s">
        <v>1558</v>
      </c>
      <c r="L2291" s="1" t="s">
        <v>1729</v>
      </c>
      <c r="M2291" s="1" t="s">
        <v>1737</v>
      </c>
      <c r="N2291" t="s">
        <v>2096</v>
      </c>
      <c r="O2291" t="s">
        <v>2256</v>
      </c>
      <c r="P2291" t="s">
        <v>3302</v>
      </c>
      <c r="Q2291">
        <v>2</v>
      </c>
      <c r="R2291" s="1" t="s">
        <v>1718</v>
      </c>
      <c r="S2291">
        <v>22871</v>
      </c>
      <c r="T2291">
        <v>45742</v>
      </c>
    </row>
    <row r="2292" spans="1:20" hidden="1" x14ac:dyDescent="0.4">
      <c r="A2292" s="1" t="s">
        <v>809</v>
      </c>
      <c r="B2292" s="1" t="s">
        <v>1453</v>
      </c>
      <c r="C2292" s="1" t="s">
        <v>1844</v>
      </c>
      <c r="D2292" s="1" t="s">
        <v>1731</v>
      </c>
      <c r="E2292">
        <v>20251203</v>
      </c>
      <c r="F2292" s="1" t="s">
        <v>1470</v>
      </c>
      <c r="G2292">
        <v>1</v>
      </c>
      <c r="H2292" s="1" t="s">
        <v>1490</v>
      </c>
      <c r="I2292" t="s">
        <v>1870</v>
      </c>
      <c r="J2292" s="1" t="s">
        <v>1459</v>
      </c>
      <c r="K2292" s="1" t="s">
        <v>1579</v>
      </c>
      <c r="L2292" s="1" t="s">
        <v>1715</v>
      </c>
      <c r="M2292" s="1" t="s">
        <v>1794</v>
      </c>
      <c r="N2292" t="s">
        <v>1952</v>
      </c>
      <c r="O2292" t="s">
        <v>2161</v>
      </c>
      <c r="P2292" t="s">
        <v>3050</v>
      </c>
      <c r="Q2292">
        <v>508</v>
      </c>
      <c r="R2292" s="1" t="s">
        <v>1463</v>
      </c>
      <c r="S2292">
        <v>833</v>
      </c>
      <c r="T2292">
        <v>423164</v>
      </c>
    </row>
    <row r="2293" spans="1:20" hidden="1" x14ac:dyDescent="0.4">
      <c r="A2293" s="1" t="s">
        <v>809</v>
      </c>
      <c r="B2293" s="1" t="s">
        <v>1454</v>
      </c>
      <c r="C2293" s="1" t="s">
        <v>1844</v>
      </c>
      <c r="D2293" s="1" t="s">
        <v>1731</v>
      </c>
      <c r="E2293">
        <v>20251203</v>
      </c>
      <c r="F2293" s="1" t="s">
        <v>1470</v>
      </c>
      <c r="G2293">
        <v>1</v>
      </c>
      <c r="H2293" s="1" t="s">
        <v>1490</v>
      </c>
      <c r="I2293" t="s">
        <v>1870</v>
      </c>
      <c r="J2293" s="1" t="s">
        <v>1459</v>
      </c>
      <c r="K2293" s="1" t="s">
        <v>1579</v>
      </c>
      <c r="L2293" s="1" t="s">
        <v>1715</v>
      </c>
      <c r="M2293" s="1" t="s">
        <v>1795</v>
      </c>
      <c r="N2293" t="s">
        <v>1952</v>
      </c>
      <c r="O2293" t="s">
        <v>2161</v>
      </c>
      <c r="P2293" t="s">
        <v>3051</v>
      </c>
      <c r="Q2293">
        <v>1417</v>
      </c>
      <c r="R2293" s="1" t="s">
        <v>1463</v>
      </c>
      <c r="S2293">
        <v>833</v>
      </c>
      <c r="T2293">
        <v>1180361</v>
      </c>
    </row>
    <row r="2294" spans="1:20" hidden="1" x14ac:dyDescent="0.4">
      <c r="A2294" s="1" t="s">
        <v>809</v>
      </c>
      <c r="B2294" s="1" t="s">
        <v>1455</v>
      </c>
      <c r="C2294" s="1" t="s">
        <v>1844</v>
      </c>
      <c r="D2294" s="1" t="s">
        <v>1731</v>
      </c>
      <c r="E2294">
        <v>20251203</v>
      </c>
      <c r="F2294" s="1" t="s">
        <v>1470</v>
      </c>
      <c r="G2294">
        <v>1</v>
      </c>
      <c r="H2294" s="1" t="s">
        <v>1490</v>
      </c>
      <c r="I2294" t="s">
        <v>1870</v>
      </c>
      <c r="J2294" s="1" t="s">
        <v>1459</v>
      </c>
      <c r="K2294" s="1" t="s">
        <v>1579</v>
      </c>
      <c r="L2294" s="1" t="s">
        <v>1715</v>
      </c>
      <c r="M2294" s="1" t="s">
        <v>1796</v>
      </c>
      <c r="N2294" t="s">
        <v>1952</v>
      </c>
      <c r="O2294" t="s">
        <v>2161</v>
      </c>
      <c r="P2294" t="s">
        <v>3052</v>
      </c>
      <c r="Q2294">
        <v>372</v>
      </c>
      <c r="R2294" s="1" t="s">
        <v>1463</v>
      </c>
      <c r="S2294">
        <v>833</v>
      </c>
      <c r="T2294">
        <v>309876</v>
      </c>
    </row>
    <row r="2295" spans="1:20" hidden="1" x14ac:dyDescent="0.4">
      <c r="A2295" s="1" t="s">
        <v>809</v>
      </c>
      <c r="B2295" s="1" t="s">
        <v>1456</v>
      </c>
      <c r="C2295" s="1" t="s">
        <v>1844</v>
      </c>
      <c r="D2295" s="1" t="s">
        <v>1731</v>
      </c>
      <c r="E2295">
        <v>20251203</v>
      </c>
      <c r="F2295" s="1" t="s">
        <v>1470</v>
      </c>
      <c r="G2295">
        <v>1</v>
      </c>
      <c r="H2295" s="1" t="s">
        <v>1490</v>
      </c>
      <c r="I2295" t="s">
        <v>1870</v>
      </c>
      <c r="J2295" s="1" t="s">
        <v>1459</v>
      </c>
      <c r="K2295" s="1" t="s">
        <v>1579</v>
      </c>
      <c r="L2295" s="1" t="s">
        <v>1715</v>
      </c>
      <c r="M2295" s="1" t="s">
        <v>1797</v>
      </c>
      <c r="N2295" t="s">
        <v>1952</v>
      </c>
      <c r="O2295" t="s">
        <v>2161</v>
      </c>
      <c r="P2295" t="s">
        <v>3053</v>
      </c>
      <c r="Q2295">
        <v>2033</v>
      </c>
      <c r="R2295" s="1" t="s">
        <v>1463</v>
      </c>
      <c r="S2295">
        <v>833</v>
      </c>
      <c r="T2295">
        <v>1693489</v>
      </c>
    </row>
    <row r="2296" spans="1:20" hidden="1" x14ac:dyDescent="0.4">
      <c r="A2296" s="1" t="s">
        <v>810</v>
      </c>
      <c r="B2296" s="1" t="s">
        <v>1453</v>
      </c>
      <c r="C2296" s="1" t="s">
        <v>1844</v>
      </c>
      <c r="D2296" s="1" t="s">
        <v>1730</v>
      </c>
      <c r="E2296">
        <v>20251204</v>
      </c>
      <c r="F2296" s="1" t="s">
        <v>1470</v>
      </c>
      <c r="G2296">
        <v>4</v>
      </c>
      <c r="H2296" s="1" t="s">
        <v>1503</v>
      </c>
      <c r="I2296" t="s">
        <v>1883</v>
      </c>
      <c r="J2296" s="1" t="s">
        <v>1456</v>
      </c>
      <c r="K2296" s="1" t="s">
        <v>1570</v>
      </c>
      <c r="L2296" s="1" t="s">
        <v>1729</v>
      </c>
      <c r="M2296" s="1" t="s">
        <v>1744</v>
      </c>
      <c r="N2296" t="s">
        <v>1943</v>
      </c>
      <c r="O2296" t="s">
        <v>2305</v>
      </c>
      <c r="P2296" t="s">
        <v>3244</v>
      </c>
      <c r="Q2296">
        <v>6</v>
      </c>
      <c r="R2296" s="1" t="s">
        <v>1718</v>
      </c>
      <c r="S2296">
        <v>0</v>
      </c>
      <c r="T2296">
        <v>0</v>
      </c>
    </row>
    <row r="2297" spans="1:20" hidden="1" x14ac:dyDescent="0.4">
      <c r="A2297" s="1" t="s">
        <v>810</v>
      </c>
      <c r="B2297" s="1" t="s">
        <v>1454</v>
      </c>
      <c r="C2297" s="1" t="s">
        <v>1844</v>
      </c>
      <c r="D2297" s="1" t="s">
        <v>1730</v>
      </c>
      <c r="E2297">
        <v>20251204</v>
      </c>
      <c r="F2297" s="1" t="s">
        <v>1470</v>
      </c>
      <c r="G2297">
        <v>4</v>
      </c>
      <c r="H2297" s="1" t="s">
        <v>1503</v>
      </c>
      <c r="I2297" t="s">
        <v>1883</v>
      </c>
      <c r="J2297" s="1" t="s">
        <v>1456</v>
      </c>
      <c r="K2297" s="1" t="s">
        <v>1570</v>
      </c>
      <c r="L2297" s="1" t="s">
        <v>1729</v>
      </c>
      <c r="M2297" s="1" t="s">
        <v>1744</v>
      </c>
      <c r="N2297" t="s">
        <v>1943</v>
      </c>
      <c r="O2297" t="s">
        <v>2305</v>
      </c>
      <c r="P2297" t="s">
        <v>3244</v>
      </c>
      <c r="Q2297">
        <v>4</v>
      </c>
      <c r="R2297" s="1" t="s">
        <v>1718</v>
      </c>
      <c r="S2297">
        <v>0</v>
      </c>
      <c r="T2297">
        <v>0</v>
      </c>
    </row>
    <row r="2298" spans="1:20" hidden="1" x14ac:dyDescent="0.4">
      <c r="A2298" s="1" t="s">
        <v>811</v>
      </c>
      <c r="B2298" s="1" t="s">
        <v>1453</v>
      </c>
      <c r="C2298" s="1" t="s">
        <v>1844</v>
      </c>
      <c r="D2298" s="1" t="s">
        <v>1852</v>
      </c>
      <c r="E2298">
        <v>20251201</v>
      </c>
      <c r="F2298" s="1" t="s">
        <v>1471</v>
      </c>
      <c r="G2298">
        <v>4</v>
      </c>
      <c r="H2298" s="1" t="s">
        <v>1518</v>
      </c>
      <c r="I2298" t="s">
        <v>1898</v>
      </c>
      <c r="J2298" s="1" t="s">
        <v>1460</v>
      </c>
      <c r="K2298" s="1" t="s">
        <v>1646</v>
      </c>
      <c r="L2298" s="1" t="s">
        <v>1731</v>
      </c>
      <c r="M2298" s="1" t="s">
        <v>1761</v>
      </c>
      <c r="N2298" t="s">
        <v>2028</v>
      </c>
      <c r="O2298" t="s">
        <v>2178</v>
      </c>
      <c r="P2298" t="s">
        <v>3156</v>
      </c>
      <c r="Q2298">
        <v>-500</v>
      </c>
      <c r="R2298" s="1" t="s">
        <v>1463</v>
      </c>
      <c r="S2298">
        <v>1006</v>
      </c>
      <c r="T2298">
        <v>-503000</v>
      </c>
    </row>
    <row r="2299" spans="1:20" hidden="1" x14ac:dyDescent="0.4">
      <c r="A2299" s="1" t="s">
        <v>812</v>
      </c>
      <c r="B2299" s="1" t="s">
        <v>1453</v>
      </c>
      <c r="C2299" s="1" t="s">
        <v>1844</v>
      </c>
      <c r="D2299" s="1" t="s">
        <v>1462</v>
      </c>
      <c r="E2299">
        <v>20251203</v>
      </c>
      <c r="F2299" s="1" t="s">
        <v>1471</v>
      </c>
      <c r="G2299">
        <v>4</v>
      </c>
      <c r="H2299" s="1" t="s">
        <v>1519</v>
      </c>
      <c r="I2299" t="s">
        <v>1899</v>
      </c>
      <c r="J2299" s="1" t="s">
        <v>1460</v>
      </c>
      <c r="K2299" s="1" t="s">
        <v>1646</v>
      </c>
      <c r="L2299" s="1" t="s">
        <v>1731</v>
      </c>
      <c r="M2299" s="1" t="s">
        <v>1761</v>
      </c>
      <c r="N2299" t="s">
        <v>2028</v>
      </c>
      <c r="O2299" t="s">
        <v>2178</v>
      </c>
      <c r="P2299" t="s">
        <v>3156</v>
      </c>
      <c r="Q2299">
        <v>250</v>
      </c>
      <c r="R2299" s="1" t="s">
        <v>1463</v>
      </c>
      <c r="S2299">
        <v>1670</v>
      </c>
      <c r="T2299">
        <v>417500</v>
      </c>
    </row>
    <row r="2300" spans="1:20" hidden="1" x14ac:dyDescent="0.4">
      <c r="A2300" s="1" t="s">
        <v>813</v>
      </c>
      <c r="B2300" s="1" t="s">
        <v>1453</v>
      </c>
      <c r="C2300" s="1" t="s">
        <v>1844</v>
      </c>
      <c r="D2300" s="1" t="s">
        <v>1462</v>
      </c>
      <c r="E2300">
        <v>20251203</v>
      </c>
      <c r="F2300" s="1" t="s">
        <v>1471</v>
      </c>
      <c r="G2300">
        <v>4</v>
      </c>
      <c r="H2300" s="1" t="s">
        <v>1520</v>
      </c>
      <c r="I2300" t="s">
        <v>1900</v>
      </c>
      <c r="J2300" s="1" t="s">
        <v>1460</v>
      </c>
      <c r="K2300" s="1" t="s">
        <v>1646</v>
      </c>
      <c r="L2300" s="1" t="s">
        <v>1731</v>
      </c>
      <c r="M2300" s="1" t="s">
        <v>1761</v>
      </c>
      <c r="N2300" t="s">
        <v>2028</v>
      </c>
      <c r="O2300" t="s">
        <v>2178</v>
      </c>
      <c r="P2300" t="s">
        <v>3156</v>
      </c>
      <c r="Q2300">
        <v>250</v>
      </c>
      <c r="R2300" s="1" t="s">
        <v>1463</v>
      </c>
      <c r="S2300">
        <v>1670</v>
      </c>
      <c r="T2300">
        <v>417500</v>
      </c>
    </row>
    <row r="2301" spans="1:20" hidden="1" x14ac:dyDescent="0.4">
      <c r="A2301" s="1" t="s">
        <v>814</v>
      </c>
      <c r="B2301" s="1" t="s">
        <v>1453</v>
      </c>
      <c r="C2301" s="1" t="s">
        <v>1844</v>
      </c>
      <c r="D2301" s="1" t="s">
        <v>1853</v>
      </c>
      <c r="E2301">
        <v>20251201</v>
      </c>
      <c r="F2301" s="1" t="s">
        <v>1471</v>
      </c>
      <c r="G2301">
        <v>4</v>
      </c>
      <c r="H2301" s="1" t="s">
        <v>1518</v>
      </c>
      <c r="I2301" t="s">
        <v>1898</v>
      </c>
      <c r="J2301" s="1" t="s">
        <v>1460</v>
      </c>
      <c r="K2301" s="1" t="s">
        <v>1646</v>
      </c>
      <c r="L2301" s="1" t="s">
        <v>1731</v>
      </c>
      <c r="M2301" s="1" t="s">
        <v>1761</v>
      </c>
      <c r="N2301" t="s">
        <v>2028</v>
      </c>
      <c r="O2301" t="s">
        <v>2178</v>
      </c>
      <c r="P2301" t="s">
        <v>3156</v>
      </c>
      <c r="Q2301">
        <v>500</v>
      </c>
      <c r="R2301" s="1" t="s">
        <v>1463</v>
      </c>
      <c r="S2301">
        <v>1006</v>
      </c>
      <c r="T2301">
        <v>503000</v>
      </c>
    </row>
    <row r="2302" spans="1:20" hidden="1" x14ac:dyDescent="0.4">
      <c r="A2302" s="1" t="s">
        <v>815</v>
      </c>
      <c r="B2302" s="1" t="s">
        <v>1453</v>
      </c>
      <c r="C2302" s="1" t="s">
        <v>1844</v>
      </c>
      <c r="D2302" s="1" t="s">
        <v>1852</v>
      </c>
      <c r="E2302">
        <v>20251201</v>
      </c>
      <c r="F2302" s="1" t="s">
        <v>1471</v>
      </c>
      <c r="G2302">
        <v>4</v>
      </c>
      <c r="H2302" s="1" t="s">
        <v>1518</v>
      </c>
      <c r="I2302" t="s">
        <v>1898</v>
      </c>
      <c r="J2302" s="1" t="s">
        <v>1460</v>
      </c>
      <c r="K2302" s="1" t="s">
        <v>1646</v>
      </c>
      <c r="L2302" s="1" t="s">
        <v>1731</v>
      </c>
      <c r="M2302" s="1" t="s">
        <v>1761</v>
      </c>
      <c r="N2302" t="s">
        <v>2028</v>
      </c>
      <c r="O2302" t="s">
        <v>2178</v>
      </c>
      <c r="P2302" t="s">
        <v>3156</v>
      </c>
      <c r="Q2302">
        <v>-500</v>
      </c>
      <c r="R2302" s="1" t="s">
        <v>1463</v>
      </c>
      <c r="S2302">
        <v>1082</v>
      </c>
      <c r="T2302">
        <v>-541000</v>
      </c>
    </row>
    <row r="2303" spans="1:20" hidden="1" x14ac:dyDescent="0.4">
      <c r="A2303" s="1" t="s">
        <v>816</v>
      </c>
      <c r="B2303" s="1" t="s">
        <v>1453</v>
      </c>
      <c r="C2303" s="1" t="s">
        <v>1844</v>
      </c>
      <c r="D2303" s="1" t="s">
        <v>1731</v>
      </c>
      <c r="E2303">
        <v>20251203</v>
      </c>
      <c r="F2303" s="1" t="s">
        <v>1473</v>
      </c>
      <c r="G2303">
        <v>1</v>
      </c>
      <c r="H2303" s="1" t="s">
        <v>1494</v>
      </c>
      <c r="I2303" t="s">
        <v>1874</v>
      </c>
      <c r="J2303" s="1" t="s">
        <v>1453</v>
      </c>
      <c r="K2303" s="1" t="s">
        <v>1605</v>
      </c>
      <c r="L2303" s="1" t="s">
        <v>1716</v>
      </c>
      <c r="M2303" s="1" t="s">
        <v>1761</v>
      </c>
      <c r="N2303" t="s">
        <v>2026</v>
      </c>
      <c r="O2303" t="s">
        <v>2162</v>
      </c>
      <c r="P2303" t="s">
        <v>3091</v>
      </c>
      <c r="Q2303">
        <v>1170</v>
      </c>
      <c r="R2303" s="1" t="s">
        <v>1463</v>
      </c>
      <c r="S2303">
        <v>1795</v>
      </c>
      <c r="T2303">
        <v>2100150</v>
      </c>
    </row>
    <row r="2304" spans="1:20" hidden="1" x14ac:dyDescent="0.4">
      <c r="A2304" s="1" t="s">
        <v>817</v>
      </c>
      <c r="B2304" s="1" t="s">
        <v>1453</v>
      </c>
      <c r="C2304" s="1" t="s">
        <v>1844</v>
      </c>
      <c r="D2304" s="1" t="s">
        <v>1731</v>
      </c>
      <c r="E2304">
        <v>20251202</v>
      </c>
      <c r="F2304" s="1" t="s">
        <v>1473</v>
      </c>
      <c r="G2304">
        <v>1</v>
      </c>
      <c r="H2304" s="1" t="s">
        <v>1494</v>
      </c>
      <c r="I2304" t="s">
        <v>1874</v>
      </c>
      <c r="J2304" s="1" t="s">
        <v>1459</v>
      </c>
      <c r="K2304" s="1" t="s">
        <v>1644</v>
      </c>
      <c r="L2304" s="1" t="s">
        <v>1721</v>
      </c>
      <c r="M2304" s="1" t="s">
        <v>1737</v>
      </c>
      <c r="N2304" t="s">
        <v>2027</v>
      </c>
      <c r="O2304" t="s">
        <v>2167</v>
      </c>
      <c r="P2304" t="s">
        <v>3113</v>
      </c>
      <c r="Q2304">
        <v>1200</v>
      </c>
      <c r="R2304" s="1" t="s">
        <v>1840</v>
      </c>
      <c r="S2304">
        <v>170.91</v>
      </c>
      <c r="T2304">
        <v>205092</v>
      </c>
    </row>
    <row r="2305" spans="1:20" hidden="1" x14ac:dyDescent="0.4">
      <c r="A2305" s="1" t="s">
        <v>818</v>
      </c>
      <c r="B2305" s="1" t="s">
        <v>1453</v>
      </c>
      <c r="C2305" s="1" t="s">
        <v>1844</v>
      </c>
      <c r="D2305" s="1" t="s">
        <v>1731</v>
      </c>
      <c r="E2305">
        <v>20251202</v>
      </c>
      <c r="F2305" s="1" t="s">
        <v>1470</v>
      </c>
      <c r="G2305">
        <v>1</v>
      </c>
      <c r="H2305" s="1" t="s">
        <v>1494</v>
      </c>
      <c r="I2305" t="s">
        <v>1874</v>
      </c>
      <c r="J2305" s="1" t="s">
        <v>1459</v>
      </c>
      <c r="K2305" s="1" t="s">
        <v>1645</v>
      </c>
      <c r="L2305" s="1" t="s">
        <v>1721</v>
      </c>
      <c r="M2305" s="1" t="s">
        <v>1737</v>
      </c>
      <c r="N2305" t="s">
        <v>2003</v>
      </c>
      <c r="O2305" t="s">
        <v>2167</v>
      </c>
      <c r="P2305" t="s">
        <v>3114</v>
      </c>
      <c r="Q2305">
        <v>600</v>
      </c>
      <c r="R2305" s="1" t="s">
        <v>1840</v>
      </c>
      <c r="S2305">
        <v>417.45</v>
      </c>
      <c r="T2305">
        <v>250470</v>
      </c>
    </row>
    <row r="2306" spans="1:20" hidden="1" x14ac:dyDescent="0.4">
      <c r="A2306" s="1" t="s">
        <v>819</v>
      </c>
      <c r="B2306" s="1" t="s">
        <v>1453</v>
      </c>
      <c r="C2306" s="1" t="s">
        <v>1844</v>
      </c>
      <c r="D2306" s="1" t="s">
        <v>1731</v>
      </c>
      <c r="E2306">
        <v>20251208</v>
      </c>
      <c r="F2306" s="1" t="s">
        <v>1470</v>
      </c>
      <c r="G2306">
        <v>1</v>
      </c>
      <c r="H2306" s="1" t="s">
        <v>1494</v>
      </c>
      <c r="I2306" t="s">
        <v>1874</v>
      </c>
      <c r="J2306" s="1" t="s">
        <v>1459</v>
      </c>
      <c r="K2306" s="1" t="s">
        <v>1633</v>
      </c>
      <c r="L2306" s="1" t="s">
        <v>1721</v>
      </c>
      <c r="M2306" s="1" t="s">
        <v>1737</v>
      </c>
      <c r="N2306" t="s">
        <v>2004</v>
      </c>
      <c r="O2306" t="s">
        <v>2167</v>
      </c>
      <c r="P2306" t="s">
        <v>3115</v>
      </c>
      <c r="Q2306">
        <v>968</v>
      </c>
      <c r="R2306" s="1" t="s">
        <v>1840</v>
      </c>
      <c r="S2306">
        <v>554.28</v>
      </c>
      <c r="T2306">
        <v>536543</v>
      </c>
    </row>
    <row r="2307" spans="1:20" hidden="1" x14ac:dyDescent="0.4">
      <c r="A2307" s="1" t="s">
        <v>820</v>
      </c>
      <c r="B2307" s="1" t="s">
        <v>1453</v>
      </c>
      <c r="C2307" s="1" t="s">
        <v>1844</v>
      </c>
      <c r="D2307" s="1" t="s">
        <v>1467</v>
      </c>
      <c r="E2307">
        <v>20251204</v>
      </c>
      <c r="F2307" s="1" t="s">
        <v>1473</v>
      </c>
      <c r="G2307">
        <v>4</v>
      </c>
      <c r="H2307" s="1" t="s">
        <v>1521</v>
      </c>
      <c r="I2307" t="s">
        <v>1901</v>
      </c>
      <c r="J2307" s="1" t="s">
        <v>1453</v>
      </c>
      <c r="K2307" s="1" t="s">
        <v>1583</v>
      </c>
      <c r="L2307" s="1" t="s">
        <v>1718</v>
      </c>
      <c r="M2307" s="1" t="s">
        <v>1751</v>
      </c>
      <c r="N2307" t="s">
        <v>1958</v>
      </c>
      <c r="O2307" t="s">
        <v>2164</v>
      </c>
      <c r="P2307" t="s">
        <v>3064</v>
      </c>
      <c r="Q2307">
        <v>109.2</v>
      </c>
      <c r="R2307" s="1" t="s">
        <v>1839</v>
      </c>
      <c r="S2307">
        <v>2345</v>
      </c>
      <c r="T2307">
        <v>256074</v>
      </c>
    </row>
    <row r="2308" spans="1:20" hidden="1" x14ac:dyDescent="0.4">
      <c r="A2308" s="1" t="s">
        <v>820</v>
      </c>
      <c r="B2308" s="1" t="s">
        <v>1454</v>
      </c>
      <c r="C2308" s="1" t="s">
        <v>1844</v>
      </c>
      <c r="D2308" s="1" t="s">
        <v>1467</v>
      </c>
      <c r="E2308">
        <v>20251204</v>
      </c>
      <c r="F2308" s="1" t="s">
        <v>1473</v>
      </c>
      <c r="G2308">
        <v>4</v>
      </c>
      <c r="H2308" s="1" t="s">
        <v>1521</v>
      </c>
      <c r="I2308" t="s">
        <v>1901</v>
      </c>
      <c r="J2308" s="1" t="s">
        <v>1453</v>
      </c>
      <c r="K2308" s="1" t="s">
        <v>1583</v>
      </c>
      <c r="L2308" s="1" t="s">
        <v>1718</v>
      </c>
      <c r="M2308" s="1" t="s">
        <v>1751</v>
      </c>
      <c r="N2308" t="s">
        <v>1958</v>
      </c>
      <c r="O2308" t="s">
        <v>2164</v>
      </c>
      <c r="P2308" t="s">
        <v>3064</v>
      </c>
      <c r="Q2308">
        <v>109.2</v>
      </c>
      <c r="R2308" s="1" t="s">
        <v>1839</v>
      </c>
      <c r="S2308">
        <v>2345</v>
      </c>
      <c r="T2308">
        <v>256074</v>
      </c>
    </row>
    <row r="2309" spans="1:20" hidden="1" x14ac:dyDescent="0.4">
      <c r="A2309" s="1" t="s">
        <v>820</v>
      </c>
      <c r="B2309" s="1" t="s">
        <v>1455</v>
      </c>
      <c r="C2309" s="1" t="s">
        <v>1844</v>
      </c>
      <c r="D2309" s="1" t="s">
        <v>1467</v>
      </c>
      <c r="E2309">
        <v>20251204</v>
      </c>
      <c r="F2309" s="1" t="s">
        <v>1473</v>
      </c>
      <c r="G2309">
        <v>4</v>
      </c>
      <c r="H2309" s="1" t="s">
        <v>1521</v>
      </c>
      <c r="I2309" t="s">
        <v>1901</v>
      </c>
      <c r="J2309" s="1" t="s">
        <v>1453</v>
      </c>
      <c r="K2309" s="1" t="s">
        <v>1583</v>
      </c>
      <c r="L2309" s="1" t="s">
        <v>1718</v>
      </c>
      <c r="M2309" s="1" t="s">
        <v>1751</v>
      </c>
      <c r="N2309" t="s">
        <v>1958</v>
      </c>
      <c r="O2309" t="s">
        <v>2164</v>
      </c>
      <c r="P2309" t="s">
        <v>3064</v>
      </c>
      <c r="Q2309">
        <v>111.02</v>
      </c>
      <c r="R2309" s="1" t="s">
        <v>1839</v>
      </c>
      <c r="S2309">
        <v>2345</v>
      </c>
      <c r="T2309">
        <v>260342</v>
      </c>
    </row>
    <row r="2310" spans="1:20" hidden="1" x14ac:dyDescent="0.4">
      <c r="A2310" s="1" t="s">
        <v>820</v>
      </c>
      <c r="B2310" s="1" t="s">
        <v>1456</v>
      </c>
      <c r="C2310" s="1" t="s">
        <v>1844</v>
      </c>
      <c r="D2310" s="1" t="s">
        <v>1467</v>
      </c>
      <c r="E2310">
        <v>20251204</v>
      </c>
      <c r="F2310" s="1" t="s">
        <v>1473</v>
      </c>
      <c r="G2310">
        <v>4</v>
      </c>
      <c r="H2310" s="1" t="s">
        <v>1521</v>
      </c>
      <c r="I2310" t="s">
        <v>1901</v>
      </c>
      <c r="J2310" s="1" t="s">
        <v>1453</v>
      </c>
      <c r="K2310" s="1" t="s">
        <v>1583</v>
      </c>
      <c r="L2310" s="1" t="s">
        <v>1718</v>
      </c>
      <c r="M2310" s="1" t="s">
        <v>1751</v>
      </c>
      <c r="N2310" t="s">
        <v>1958</v>
      </c>
      <c r="O2310" t="s">
        <v>2164</v>
      </c>
      <c r="P2310" t="s">
        <v>3064</v>
      </c>
      <c r="Q2310">
        <v>112.84</v>
      </c>
      <c r="R2310" s="1" t="s">
        <v>1839</v>
      </c>
      <c r="S2310">
        <v>2345</v>
      </c>
      <c r="T2310">
        <v>264610</v>
      </c>
    </row>
    <row r="2311" spans="1:20" hidden="1" x14ac:dyDescent="0.4">
      <c r="A2311" s="1" t="s">
        <v>820</v>
      </c>
      <c r="B2311" s="1" t="s">
        <v>1457</v>
      </c>
      <c r="C2311" s="1" t="s">
        <v>1844</v>
      </c>
      <c r="D2311" s="1" t="s">
        <v>1467</v>
      </c>
      <c r="E2311">
        <v>20251204</v>
      </c>
      <c r="F2311" s="1" t="s">
        <v>1473</v>
      </c>
      <c r="G2311">
        <v>4</v>
      </c>
      <c r="H2311" s="1" t="s">
        <v>1521</v>
      </c>
      <c r="I2311" t="s">
        <v>1901</v>
      </c>
      <c r="J2311" s="1" t="s">
        <v>1453</v>
      </c>
      <c r="K2311" s="1" t="s">
        <v>1583</v>
      </c>
      <c r="L2311" s="1" t="s">
        <v>1718</v>
      </c>
      <c r="M2311" s="1" t="s">
        <v>1751</v>
      </c>
      <c r="N2311" t="s">
        <v>1958</v>
      </c>
      <c r="O2311" t="s">
        <v>2164</v>
      </c>
      <c r="P2311" t="s">
        <v>3064</v>
      </c>
      <c r="Q2311">
        <v>122.66</v>
      </c>
      <c r="R2311" s="1" t="s">
        <v>1839</v>
      </c>
      <c r="S2311">
        <v>2345</v>
      </c>
      <c r="T2311">
        <v>287638</v>
      </c>
    </row>
    <row r="2312" spans="1:20" hidden="1" x14ac:dyDescent="0.4">
      <c r="A2312" s="1" t="s">
        <v>820</v>
      </c>
      <c r="B2312" s="1" t="s">
        <v>1458</v>
      </c>
      <c r="C2312" s="1" t="s">
        <v>1844</v>
      </c>
      <c r="D2312" s="1" t="s">
        <v>1467</v>
      </c>
      <c r="E2312">
        <v>20251204</v>
      </c>
      <c r="F2312" s="1" t="s">
        <v>1473</v>
      </c>
      <c r="G2312">
        <v>4</v>
      </c>
      <c r="H2312" s="1" t="s">
        <v>1521</v>
      </c>
      <c r="I2312" t="s">
        <v>1901</v>
      </c>
      <c r="J2312" s="1" t="s">
        <v>1453</v>
      </c>
      <c r="K2312" s="1" t="s">
        <v>1583</v>
      </c>
      <c r="L2312" s="1" t="s">
        <v>1718</v>
      </c>
      <c r="M2312" s="1" t="s">
        <v>1751</v>
      </c>
      <c r="N2312" t="s">
        <v>1958</v>
      </c>
      <c r="O2312" t="s">
        <v>2164</v>
      </c>
      <c r="P2312" t="s">
        <v>3064</v>
      </c>
      <c r="Q2312">
        <v>112.84</v>
      </c>
      <c r="R2312" s="1" t="s">
        <v>1839</v>
      </c>
      <c r="S2312">
        <v>2345</v>
      </c>
      <c r="T2312">
        <v>264610</v>
      </c>
    </row>
    <row r="2313" spans="1:20" hidden="1" x14ac:dyDescent="0.4">
      <c r="A2313" s="1" t="s">
        <v>820</v>
      </c>
      <c r="B2313" s="1" t="s">
        <v>1459</v>
      </c>
      <c r="C2313" s="1" t="s">
        <v>1844</v>
      </c>
      <c r="D2313" s="1" t="s">
        <v>1467</v>
      </c>
      <c r="E2313">
        <v>20251204</v>
      </c>
      <c r="F2313" s="1" t="s">
        <v>1473</v>
      </c>
      <c r="G2313">
        <v>4</v>
      </c>
      <c r="H2313" s="1" t="s">
        <v>1521</v>
      </c>
      <c r="I2313" t="s">
        <v>1901</v>
      </c>
      <c r="J2313" s="1" t="s">
        <v>1453</v>
      </c>
      <c r="K2313" s="1" t="s">
        <v>1583</v>
      </c>
      <c r="L2313" s="1" t="s">
        <v>1718</v>
      </c>
      <c r="M2313" s="1" t="s">
        <v>1751</v>
      </c>
      <c r="N2313" t="s">
        <v>1958</v>
      </c>
      <c r="O2313" t="s">
        <v>2164</v>
      </c>
      <c r="P2313" t="s">
        <v>3064</v>
      </c>
      <c r="Q2313">
        <v>103.37</v>
      </c>
      <c r="R2313" s="1" t="s">
        <v>1839</v>
      </c>
      <c r="S2313">
        <v>2345</v>
      </c>
      <c r="T2313">
        <v>242403</v>
      </c>
    </row>
    <row r="2314" spans="1:20" hidden="1" x14ac:dyDescent="0.4">
      <c r="A2314" s="1" t="s">
        <v>820</v>
      </c>
      <c r="B2314" s="1" t="s">
        <v>1460</v>
      </c>
      <c r="C2314" s="1" t="s">
        <v>1844</v>
      </c>
      <c r="D2314" s="1" t="s">
        <v>1467</v>
      </c>
      <c r="E2314">
        <v>20251204</v>
      </c>
      <c r="F2314" s="1" t="s">
        <v>1473</v>
      </c>
      <c r="G2314">
        <v>4</v>
      </c>
      <c r="H2314" s="1" t="s">
        <v>1521</v>
      </c>
      <c r="I2314" t="s">
        <v>1901</v>
      </c>
      <c r="J2314" s="1" t="s">
        <v>1453</v>
      </c>
      <c r="K2314" s="1" t="s">
        <v>1583</v>
      </c>
      <c r="L2314" s="1" t="s">
        <v>1718</v>
      </c>
      <c r="M2314" s="1" t="s">
        <v>1751</v>
      </c>
      <c r="N2314" t="s">
        <v>1958</v>
      </c>
      <c r="O2314" t="s">
        <v>2164</v>
      </c>
      <c r="P2314" t="s">
        <v>3064</v>
      </c>
      <c r="Q2314">
        <v>109.2</v>
      </c>
      <c r="R2314" s="1" t="s">
        <v>1839</v>
      </c>
      <c r="S2314">
        <v>2345</v>
      </c>
      <c r="T2314">
        <v>256074</v>
      </c>
    </row>
    <row r="2315" spans="1:20" hidden="1" x14ac:dyDescent="0.4">
      <c r="A2315" s="1" t="s">
        <v>820</v>
      </c>
      <c r="B2315" s="1" t="s">
        <v>1461</v>
      </c>
      <c r="C2315" s="1" t="s">
        <v>1844</v>
      </c>
      <c r="D2315" s="1" t="s">
        <v>1467</v>
      </c>
      <c r="E2315">
        <v>20251204</v>
      </c>
      <c r="F2315" s="1" t="s">
        <v>1473</v>
      </c>
      <c r="G2315">
        <v>4</v>
      </c>
      <c r="H2315" s="1" t="s">
        <v>1521</v>
      </c>
      <c r="I2315" t="s">
        <v>1901</v>
      </c>
      <c r="J2315" s="1" t="s">
        <v>1453</v>
      </c>
      <c r="K2315" s="1" t="s">
        <v>1583</v>
      </c>
      <c r="L2315" s="1" t="s">
        <v>1718</v>
      </c>
      <c r="M2315" s="1" t="s">
        <v>1751</v>
      </c>
      <c r="N2315" t="s">
        <v>1958</v>
      </c>
      <c r="O2315" t="s">
        <v>2164</v>
      </c>
      <c r="P2315" t="s">
        <v>3064</v>
      </c>
      <c r="Q2315">
        <v>112.84</v>
      </c>
      <c r="R2315" s="1" t="s">
        <v>1839</v>
      </c>
      <c r="S2315">
        <v>2345</v>
      </c>
      <c r="T2315">
        <v>264610</v>
      </c>
    </row>
    <row r="2316" spans="1:20" hidden="1" x14ac:dyDescent="0.4">
      <c r="A2316" s="1" t="s">
        <v>821</v>
      </c>
      <c r="B2316" s="1" t="s">
        <v>1453</v>
      </c>
      <c r="C2316" s="1" t="s">
        <v>1844</v>
      </c>
      <c r="D2316" s="1" t="s">
        <v>1853</v>
      </c>
      <c r="E2316">
        <v>20251201</v>
      </c>
      <c r="F2316" s="1" t="s">
        <v>1471</v>
      </c>
      <c r="G2316">
        <v>4</v>
      </c>
      <c r="H2316" s="1" t="s">
        <v>1518</v>
      </c>
      <c r="I2316" t="s">
        <v>1898</v>
      </c>
      <c r="J2316" s="1" t="s">
        <v>1460</v>
      </c>
      <c r="K2316" s="1" t="s">
        <v>1646</v>
      </c>
      <c r="L2316" s="1" t="s">
        <v>1731</v>
      </c>
      <c r="M2316" s="1" t="s">
        <v>1761</v>
      </c>
      <c r="N2316" t="s">
        <v>2028</v>
      </c>
      <c r="O2316" t="s">
        <v>2178</v>
      </c>
      <c r="P2316" t="s">
        <v>3156</v>
      </c>
      <c r="Q2316">
        <v>500</v>
      </c>
      <c r="R2316" s="1" t="s">
        <v>1463</v>
      </c>
      <c r="S2316">
        <v>1082</v>
      </c>
      <c r="T2316">
        <v>541000</v>
      </c>
    </row>
    <row r="2317" spans="1:20" hidden="1" x14ac:dyDescent="0.4">
      <c r="A2317" s="1" t="s">
        <v>822</v>
      </c>
      <c r="B2317" s="1" t="s">
        <v>1453</v>
      </c>
      <c r="C2317" s="1" t="s">
        <v>1844</v>
      </c>
      <c r="D2317" s="1" t="s">
        <v>1733</v>
      </c>
      <c r="E2317">
        <v>20251208</v>
      </c>
      <c r="F2317" s="1" t="s">
        <v>1470</v>
      </c>
      <c r="G2317">
        <v>1</v>
      </c>
      <c r="H2317" s="1" t="s">
        <v>1494</v>
      </c>
      <c r="I2317" t="s">
        <v>1874</v>
      </c>
      <c r="J2317" s="1" t="s">
        <v>1459</v>
      </c>
      <c r="K2317" s="1" t="s">
        <v>1633</v>
      </c>
      <c r="L2317" s="1" t="s">
        <v>1721</v>
      </c>
      <c r="M2317" s="1" t="s">
        <v>1737</v>
      </c>
      <c r="N2317" t="s">
        <v>2004</v>
      </c>
      <c r="O2317" t="s">
        <v>2167</v>
      </c>
      <c r="P2317" t="s">
        <v>3115</v>
      </c>
      <c r="Q2317">
        <v>-968</v>
      </c>
      <c r="R2317" s="1" t="s">
        <v>1840</v>
      </c>
      <c r="S2317">
        <v>554.28</v>
      </c>
      <c r="T2317">
        <v>-536543</v>
      </c>
    </row>
    <row r="2318" spans="1:20" hidden="1" x14ac:dyDescent="0.4">
      <c r="A2318" s="1" t="s">
        <v>823</v>
      </c>
      <c r="B2318" s="1" t="s">
        <v>1453</v>
      </c>
      <c r="C2318" s="1" t="s">
        <v>1844</v>
      </c>
      <c r="D2318" s="1" t="s">
        <v>1731</v>
      </c>
      <c r="E2318">
        <v>20251208</v>
      </c>
      <c r="F2318" s="1" t="s">
        <v>1470</v>
      </c>
      <c r="G2318">
        <v>1</v>
      </c>
      <c r="H2318" s="1" t="s">
        <v>1494</v>
      </c>
      <c r="I2318" t="s">
        <v>1874</v>
      </c>
      <c r="J2318" s="1" t="s">
        <v>1459</v>
      </c>
      <c r="K2318" s="1" t="s">
        <v>1633</v>
      </c>
      <c r="L2318" s="1" t="s">
        <v>1721</v>
      </c>
      <c r="M2318" s="1" t="s">
        <v>1737</v>
      </c>
      <c r="N2318" t="s">
        <v>2004</v>
      </c>
      <c r="O2318" t="s">
        <v>2167</v>
      </c>
      <c r="P2318" t="s">
        <v>3115</v>
      </c>
      <c r="Q2318">
        <v>968</v>
      </c>
      <c r="R2318" s="1" t="s">
        <v>1840</v>
      </c>
      <c r="S2318">
        <v>554.28</v>
      </c>
      <c r="T2318">
        <v>536543</v>
      </c>
    </row>
    <row r="2319" spans="1:20" hidden="1" x14ac:dyDescent="0.4">
      <c r="A2319" s="1" t="s">
        <v>824</v>
      </c>
      <c r="B2319" s="1" t="s">
        <v>1453</v>
      </c>
      <c r="C2319" s="1" t="s">
        <v>1844</v>
      </c>
      <c r="D2319" s="1" t="s">
        <v>1462</v>
      </c>
      <c r="E2319">
        <v>20251205</v>
      </c>
      <c r="F2319" s="1" t="s">
        <v>1470</v>
      </c>
      <c r="G2319">
        <v>4</v>
      </c>
      <c r="H2319" s="1" t="s">
        <v>1511</v>
      </c>
      <c r="I2319" t="s">
        <v>1891</v>
      </c>
      <c r="J2319" s="1" t="s">
        <v>1456</v>
      </c>
      <c r="K2319" s="1" t="s">
        <v>1555</v>
      </c>
      <c r="L2319" s="1" t="s">
        <v>1729</v>
      </c>
      <c r="M2319" s="1" t="s">
        <v>1736</v>
      </c>
      <c r="N2319" t="s">
        <v>2088</v>
      </c>
      <c r="O2319" t="s">
        <v>2306</v>
      </c>
      <c r="P2319" t="s">
        <v>3263</v>
      </c>
      <c r="Q2319">
        <v>4</v>
      </c>
      <c r="R2319" s="1" t="s">
        <v>1718</v>
      </c>
      <c r="S2319">
        <v>4003</v>
      </c>
      <c r="T2319">
        <v>16012</v>
      </c>
    </row>
    <row r="2320" spans="1:20" hidden="1" x14ac:dyDescent="0.4">
      <c r="A2320" s="1" t="s">
        <v>824</v>
      </c>
      <c r="B2320" s="1" t="s">
        <v>1454</v>
      </c>
      <c r="C2320" s="1" t="s">
        <v>1844</v>
      </c>
      <c r="D2320" s="1" t="s">
        <v>1462</v>
      </c>
      <c r="E2320">
        <v>20251205</v>
      </c>
      <c r="F2320" s="1" t="s">
        <v>1470</v>
      </c>
      <c r="G2320">
        <v>4</v>
      </c>
      <c r="H2320" s="1" t="s">
        <v>1511</v>
      </c>
      <c r="I2320" t="s">
        <v>1891</v>
      </c>
      <c r="J2320" s="1" t="s">
        <v>1456</v>
      </c>
      <c r="K2320" s="1" t="s">
        <v>1555</v>
      </c>
      <c r="L2320" s="1" t="s">
        <v>1729</v>
      </c>
      <c r="M2320" s="1" t="s">
        <v>1736</v>
      </c>
      <c r="N2320" t="s">
        <v>2088</v>
      </c>
      <c r="O2320" t="s">
        <v>2306</v>
      </c>
      <c r="P2320" t="s">
        <v>3263</v>
      </c>
      <c r="Q2320">
        <v>4</v>
      </c>
      <c r="R2320" s="1" t="s">
        <v>1718</v>
      </c>
      <c r="S2320">
        <v>4137</v>
      </c>
      <c r="T2320">
        <v>16548</v>
      </c>
    </row>
    <row r="2321" spans="1:20" hidden="1" x14ac:dyDescent="0.4">
      <c r="A2321" s="1" t="s">
        <v>825</v>
      </c>
      <c r="B2321" s="1" t="s">
        <v>1453</v>
      </c>
      <c r="C2321" s="1" t="s">
        <v>1844</v>
      </c>
      <c r="D2321" s="1" t="s">
        <v>1462</v>
      </c>
      <c r="E2321">
        <v>20251205</v>
      </c>
      <c r="F2321" s="1" t="s">
        <v>1470</v>
      </c>
      <c r="G2321">
        <v>4</v>
      </c>
      <c r="H2321" s="1" t="s">
        <v>1511</v>
      </c>
      <c r="I2321" t="s">
        <v>1891</v>
      </c>
      <c r="J2321" s="1" t="s">
        <v>1456</v>
      </c>
      <c r="K2321" s="1" t="s">
        <v>1561</v>
      </c>
      <c r="L2321" s="1" t="s">
        <v>1729</v>
      </c>
      <c r="M2321" s="1" t="s">
        <v>1737</v>
      </c>
      <c r="N2321" t="s">
        <v>2106</v>
      </c>
      <c r="O2321" t="s">
        <v>2307</v>
      </c>
      <c r="P2321" t="s">
        <v>3215</v>
      </c>
      <c r="Q2321">
        <v>2</v>
      </c>
      <c r="R2321" s="1" t="s">
        <v>1718</v>
      </c>
      <c r="S2321">
        <v>20347</v>
      </c>
      <c r="T2321">
        <v>40694</v>
      </c>
    </row>
    <row r="2322" spans="1:20" hidden="1" x14ac:dyDescent="0.4">
      <c r="A2322" s="1" t="s">
        <v>826</v>
      </c>
      <c r="B2322" s="1" t="s">
        <v>1453</v>
      </c>
      <c r="C2322" s="1" t="s">
        <v>1844</v>
      </c>
      <c r="D2322" s="1" t="s">
        <v>1462</v>
      </c>
      <c r="E2322">
        <v>20251205</v>
      </c>
      <c r="F2322" s="1" t="s">
        <v>1470</v>
      </c>
      <c r="G2322">
        <v>4</v>
      </c>
      <c r="H2322" s="1" t="s">
        <v>1511</v>
      </c>
      <c r="I2322" t="s">
        <v>1891</v>
      </c>
      <c r="J2322" s="1" t="s">
        <v>1456</v>
      </c>
      <c r="K2322" s="1" t="s">
        <v>1562</v>
      </c>
      <c r="L2322" s="1" t="s">
        <v>1729</v>
      </c>
      <c r="M2322" s="1" t="s">
        <v>1735</v>
      </c>
      <c r="N2322" t="s">
        <v>2107</v>
      </c>
      <c r="O2322" t="s">
        <v>2308</v>
      </c>
      <c r="P2322" t="s">
        <v>2222</v>
      </c>
      <c r="Q2322">
        <v>2</v>
      </c>
      <c r="R2322" s="1" t="s">
        <v>1718</v>
      </c>
      <c r="S2322">
        <v>4637</v>
      </c>
      <c r="T2322">
        <v>9274</v>
      </c>
    </row>
    <row r="2323" spans="1:20" hidden="1" x14ac:dyDescent="0.4">
      <c r="A2323" s="1" t="s">
        <v>827</v>
      </c>
      <c r="B2323" s="1" t="s">
        <v>1453</v>
      </c>
      <c r="C2323" s="1" t="s">
        <v>1844</v>
      </c>
      <c r="D2323" s="1" t="s">
        <v>1462</v>
      </c>
      <c r="E2323">
        <v>20251205</v>
      </c>
      <c r="F2323" s="1" t="s">
        <v>1470</v>
      </c>
      <c r="G2323">
        <v>4</v>
      </c>
      <c r="H2323" s="1" t="s">
        <v>1511</v>
      </c>
      <c r="I2323" t="s">
        <v>1891</v>
      </c>
      <c r="J2323" s="1" t="s">
        <v>1456</v>
      </c>
      <c r="K2323" s="1" t="s">
        <v>1560</v>
      </c>
      <c r="L2323" s="1" t="s">
        <v>1729</v>
      </c>
      <c r="M2323" s="1" t="s">
        <v>1740</v>
      </c>
      <c r="N2323" t="s">
        <v>2105</v>
      </c>
      <c r="O2323" t="s">
        <v>2309</v>
      </c>
      <c r="P2323" t="s">
        <v>3303</v>
      </c>
      <c r="Q2323">
        <v>2</v>
      </c>
      <c r="R2323" s="1" t="s">
        <v>1718</v>
      </c>
      <c r="S2323">
        <v>6706</v>
      </c>
      <c r="T2323">
        <v>13412</v>
      </c>
    </row>
    <row r="2324" spans="1:20" hidden="1" x14ac:dyDescent="0.4">
      <c r="A2324" s="1" t="s">
        <v>828</v>
      </c>
      <c r="B2324" s="1" t="s">
        <v>1453</v>
      </c>
      <c r="C2324" s="1" t="s">
        <v>1844</v>
      </c>
      <c r="D2324" s="1" t="s">
        <v>1462</v>
      </c>
      <c r="E2324">
        <v>20251205</v>
      </c>
      <c r="F2324" s="1" t="s">
        <v>1470</v>
      </c>
      <c r="G2324">
        <v>4</v>
      </c>
      <c r="H2324" s="1" t="s">
        <v>1511</v>
      </c>
      <c r="I2324" t="s">
        <v>1891</v>
      </c>
      <c r="J2324" s="1" t="s">
        <v>1456</v>
      </c>
      <c r="K2324" s="1" t="s">
        <v>1562</v>
      </c>
      <c r="L2324" s="1" t="s">
        <v>1729</v>
      </c>
      <c r="M2324" s="1" t="s">
        <v>1735</v>
      </c>
      <c r="N2324" t="s">
        <v>2107</v>
      </c>
      <c r="O2324" t="s">
        <v>2310</v>
      </c>
      <c r="P2324" t="s">
        <v>2222</v>
      </c>
      <c r="Q2324">
        <v>1</v>
      </c>
      <c r="R2324" s="1" t="s">
        <v>1718</v>
      </c>
      <c r="S2324">
        <v>8904</v>
      </c>
      <c r="T2324">
        <v>8904</v>
      </c>
    </row>
    <row r="2325" spans="1:20" hidden="1" x14ac:dyDescent="0.4">
      <c r="A2325" s="1" t="s">
        <v>828</v>
      </c>
      <c r="B2325" s="1" t="s">
        <v>1454</v>
      </c>
      <c r="C2325" s="1" t="s">
        <v>1844</v>
      </c>
      <c r="D2325" s="1" t="s">
        <v>1462</v>
      </c>
      <c r="E2325">
        <v>20251205</v>
      </c>
      <c r="F2325" s="1" t="s">
        <v>1470</v>
      </c>
      <c r="G2325">
        <v>4</v>
      </c>
      <c r="H2325" s="1" t="s">
        <v>1511</v>
      </c>
      <c r="I2325" t="s">
        <v>1891</v>
      </c>
      <c r="J2325" s="1" t="s">
        <v>1456</v>
      </c>
      <c r="K2325" s="1" t="s">
        <v>1562</v>
      </c>
      <c r="L2325" s="1" t="s">
        <v>1729</v>
      </c>
      <c r="M2325" s="1" t="s">
        <v>1735</v>
      </c>
      <c r="N2325" t="s">
        <v>2107</v>
      </c>
      <c r="O2325" t="s">
        <v>2310</v>
      </c>
      <c r="P2325" t="s">
        <v>2222</v>
      </c>
      <c r="Q2325">
        <v>1</v>
      </c>
      <c r="R2325" s="1" t="s">
        <v>1718</v>
      </c>
      <c r="S2325">
        <v>10226</v>
      </c>
      <c r="T2325">
        <v>10226</v>
      </c>
    </row>
    <row r="2326" spans="1:20" hidden="1" x14ac:dyDescent="0.4">
      <c r="A2326" s="1" t="s">
        <v>828</v>
      </c>
      <c r="B2326" s="1" t="s">
        <v>1455</v>
      </c>
      <c r="C2326" s="1" t="s">
        <v>1844</v>
      </c>
      <c r="D2326" s="1" t="s">
        <v>1462</v>
      </c>
      <c r="E2326">
        <v>20251205</v>
      </c>
      <c r="F2326" s="1" t="s">
        <v>1470</v>
      </c>
      <c r="G2326">
        <v>4</v>
      </c>
      <c r="H2326" s="1" t="s">
        <v>1511</v>
      </c>
      <c r="I2326" t="s">
        <v>1891</v>
      </c>
      <c r="J2326" s="1" t="s">
        <v>1456</v>
      </c>
      <c r="K2326" s="1" t="s">
        <v>1562</v>
      </c>
      <c r="L2326" s="1" t="s">
        <v>1729</v>
      </c>
      <c r="M2326" s="1" t="s">
        <v>1735</v>
      </c>
      <c r="N2326" t="s">
        <v>2107</v>
      </c>
      <c r="O2326" t="s">
        <v>2310</v>
      </c>
      <c r="P2326" t="s">
        <v>2222</v>
      </c>
      <c r="Q2326">
        <v>1</v>
      </c>
      <c r="R2326" s="1" t="s">
        <v>1718</v>
      </c>
      <c r="S2326">
        <v>12029</v>
      </c>
      <c r="T2326">
        <v>12029</v>
      </c>
    </row>
    <row r="2327" spans="1:20" hidden="1" x14ac:dyDescent="0.4">
      <c r="A2327" s="1" t="s">
        <v>828</v>
      </c>
      <c r="B2327" s="1" t="s">
        <v>1456</v>
      </c>
      <c r="C2327" s="1" t="s">
        <v>1844</v>
      </c>
      <c r="D2327" s="1" t="s">
        <v>1462</v>
      </c>
      <c r="E2327">
        <v>20251205</v>
      </c>
      <c r="F2327" s="1" t="s">
        <v>1470</v>
      </c>
      <c r="G2327">
        <v>4</v>
      </c>
      <c r="H2327" s="1" t="s">
        <v>1511</v>
      </c>
      <c r="I2327" t="s">
        <v>1891</v>
      </c>
      <c r="J2327" s="1" t="s">
        <v>1456</v>
      </c>
      <c r="K2327" s="1" t="s">
        <v>1562</v>
      </c>
      <c r="L2327" s="1" t="s">
        <v>1729</v>
      </c>
      <c r="M2327" s="1" t="s">
        <v>1735</v>
      </c>
      <c r="N2327" t="s">
        <v>2107</v>
      </c>
      <c r="O2327" t="s">
        <v>2310</v>
      </c>
      <c r="P2327" t="s">
        <v>2222</v>
      </c>
      <c r="Q2327">
        <v>3</v>
      </c>
      <c r="R2327" s="1" t="s">
        <v>1718</v>
      </c>
      <c r="S2327">
        <v>12931</v>
      </c>
      <c r="T2327">
        <v>38793</v>
      </c>
    </row>
    <row r="2328" spans="1:20" hidden="1" x14ac:dyDescent="0.4">
      <c r="A2328" s="1" t="s">
        <v>828</v>
      </c>
      <c r="B2328" s="1" t="s">
        <v>1457</v>
      </c>
      <c r="C2328" s="1" t="s">
        <v>1844</v>
      </c>
      <c r="D2328" s="1" t="s">
        <v>1462</v>
      </c>
      <c r="E2328">
        <v>20251205</v>
      </c>
      <c r="F2328" s="1" t="s">
        <v>1470</v>
      </c>
      <c r="G2328">
        <v>4</v>
      </c>
      <c r="H2328" s="1" t="s">
        <v>1511</v>
      </c>
      <c r="I2328" t="s">
        <v>1891</v>
      </c>
      <c r="J2328" s="1" t="s">
        <v>1456</v>
      </c>
      <c r="K2328" s="1" t="s">
        <v>1562</v>
      </c>
      <c r="L2328" s="1" t="s">
        <v>1729</v>
      </c>
      <c r="M2328" s="1" t="s">
        <v>1735</v>
      </c>
      <c r="N2328" t="s">
        <v>2107</v>
      </c>
      <c r="O2328" t="s">
        <v>2310</v>
      </c>
      <c r="P2328" t="s">
        <v>2222</v>
      </c>
      <c r="Q2328">
        <v>1</v>
      </c>
      <c r="R2328" s="1" t="s">
        <v>1718</v>
      </c>
      <c r="S2328">
        <v>20160</v>
      </c>
      <c r="T2328">
        <v>20160</v>
      </c>
    </row>
    <row r="2329" spans="1:20" hidden="1" x14ac:dyDescent="0.4">
      <c r="A2329" s="1" t="s">
        <v>828</v>
      </c>
      <c r="B2329" s="1" t="s">
        <v>1458</v>
      </c>
      <c r="C2329" s="1" t="s">
        <v>1844</v>
      </c>
      <c r="D2329" s="1" t="s">
        <v>1462</v>
      </c>
      <c r="E2329">
        <v>20251205</v>
      </c>
      <c r="F2329" s="1" t="s">
        <v>1470</v>
      </c>
      <c r="G2329">
        <v>4</v>
      </c>
      <c r="H2329" s="1" t="s">
        <v>1511</v>
      </c>
      <c r="I2329" t="s">
        <v>1891</v>
      </c>
      <c r="J2329" s="1" t="s">
        <v>1456</v>
      </c>
      <c r="K2329" s="1" t="s">
        <v>1562</v>
      </c>
      <c r="L2329" s="1" t="s">
        <v>1729</v>
      </c>
      <c r="M2329" s="1" t="s">
        <v>1735</v>
      </c>
      <c r="N2329" t="s">
        <v>2107</v>
      </c>
      <c r="O2329" t="s">
        <v>2310</v>
      </c>
      <c r="P2329" t="s">
        <v>2222</v>
      </c>
      <c r="Q2329">
        <v>2</v>
      </c>
      <c r="R2329" s="1" t="s">
        <v>1718</v>
      </c>
      <c r="S2329">
        <v>22143</v>
      </c>
      <c r="T2329">
        <v>44286</v>
      </c>
    </row>
    <row r="2330" spans="1:20" hidden="1" x14ac:dyDescent="0.4">
      <c r="A2330" s="1" t="s">
        <v>828</v>
      </c>
      <c r="B2330" s="1" t="s">
        <v>1459</v>
      </c>
      <c r="C2330" s="1" t="s">
        <v>1844</v>
      </c>
      <c r="D2330" s="1" t="s">
        <v>1462</v>
      </c>
      <c r="E2330">
        <v>20251205</v>
      </c>
      <c r="F2330" s="1" t="s">
        <v>1470</v>
      </c>
      <c r="G2330">
        <v>4</v>
      </c>
      <c r="H2330" s="1" t="s">
        <v>1511</v>
      </c>
      <c r="I2330" t="s">
        <v>1891</v>
      </c>
      <c r="J2330" s="1" t="s">
        <v>1456</v>
      </c>
      <c r="K2330" s="1" t="s">
        <v>1562</v>
      </c>
      <c r="L2330" s="1" t="s">
        <v>1729</v>
      </c>
      <c r="M2330" s="1" t="s">
        <v>1735</v>
      </c>
      <c r="N2330" t="s">
        <v>2107</v>
      </c>
      <c r="O2330" t="s">
        <v>2310</v>
      </c>
      <c r="P2330" t="s">
        <v>2222</v>
      </c>
      <c r="Q2330">
        <v>1</v>
      </c>
      <c r="R2330" s="1" t="s">
        <v>1718</v>
      </c>
      <c r="S2330">
        <v>22203</v>
      </c>
      <c r="T2330">
        <v>22203</v>
      </c>
    </row>
    <row r="2331" spans="1:20" hidden="1" x14ac:dyDescent="0.4">
      <c r="A2331" s="1" t="s">
        <v>829</v>
      </c>
      <c r="B2331" s="1" t="s">
        <v>1453</v>
      </c>
      <c r="C2331" s="1" t="s">
        <v>1844</v>
      </c>
      <c r="D2331" s="1" t="s">
        <v>1462</v>
      </c>
      <c r="E2331">
        <v>20251205</v>
      </c>
      <c r="F2331" s="1" t="s">
        <v>1470</v>
      </c>
      <c r="G2331">
        <v>4</v>
      </c>
      <c r="H2331" s="1" t="s">
        <v>1511</v>
      </c>
      <c r="I2331" t="s">
        <v>1891</v>
      </c>
      <c r="J2331" s="1" t="s">
        <v>1456</v>
      </c>
      <c r="K2331" s="1" t="s">
        <v>1562</v>
      </c>
      <c r="L2331" s="1" t="s">
        <v>1729</v>
      </c>
      <c r="M2331" s="1" t="s">
        <v>1735</v>
      </c>
      <c r="N2331" t="s">
        <v>2107</v>
      </c>
      <c r="O2331" t="s">
        <v>2311</v>
      </c>
      <c r="P2331" t="s">
        <v>2222</v>
      </c>
      <c r="Q2331">
        <v>4</v>
      </c>
      <c r="R2331" s="1" t="s">
        <v>1718</v>
      </c>
      <c r="S2331">
        <v>5839</v>
      </c>
      <c r="T2331">
        <v>23356</v>
      </c>
    </row>
    <row r="2332" spans="1:20" hidden="1" x14ac:dyDescent="0.4">
      <c r="A2332" s="1" t="s">
        <v>830</v>
      </c>
      <c r="B2332" s="1" t="s">
        <v>1453</v>
      </c>
      <c r="C2332" s="1" t="s">
        <v>1844</v>
      </c>
      <c r="D2332" s="1" t="s">
        <v>1462</v>
      </c>
      <c r="E2332">
        <v>20251205</v>
      </c>
      <c r="F2332" s="1" t="s">
        <v>1470</v>
      </c>
      <c r="G2332">
        <v>4</v>
      </c>
      <c r="H2332" s="1" t="s">
        <v>1503</v>
      </c>
      <c r="I2332" t="s">
        <v>1883</v>
      </c>
      <c r="J2332" s="1" t="s">
        <v>1456</v>
      </c>
      <c r="K2332" s="1" t="s">
        <v>1554</v>
      </c>
      <c r="L2332" s="1" t="s">
        <v>1729</v>
      </c>
      <c r="M2332" s="1" t="s">
        <v>1737</v>
      </c>
      <c r="N2332" t="s">
        <v>2113</v>
      </c>
      <c r="O2332" t="s">
        <v>2312</v>
      </c>
      <c r="P2332">
        <v>82151</v>
      </c>
      <c r="Q2332">
        <v>2</v>
      </c>
      <c r="R2332" s="1" t="s">
        <v>1718</v>
      </c>
      <c r="S2332">
        <v>37280</v>
      </c>
      <c r="T2332">
        <v>74560</v>
      </c>
    </row>
    <row r="2333" spans="1:20" hidden="1" x14ac:dyDescent="0.4">
      <c r="A2333" s="1" t="s">
        <v>831</v>
      </c>
      <c r="B2333" s="1" t="s">
        <v>1453</v>
      </c>
      <c r="C2333" s="1" t="s">
        <v>1844</v>
      </c>
      <c r="D2333" s="1" t="s">
        <v>1462</v>
      </c>
      <c r="E2333">
        <v>20251205</v>
      </c>
      <c r="F2333" s="1" t="s">
        <v>1470</v>
      </c>
      <c r="G2333">
        <v>4</v>
      </c>
      <c r="H2333" s="1" t="s">
        <v>1503</v>
      </c>
      <c r="I2333" t="s">
        <v>1883</v>
      </c>
      <c r="J2333" s="1" t="s">
        <v>1456</v>
      </c>
      <c r="K2333" s="1" t="s">
        <v>1554</v>
      </c>
      <c r="L2333" s="1" t="s">
        <v>1729</v>
      </c>
      <c r="M2333" s="1" t="s">
        <v>1737</v>
      </c>
      <c r="N2333" t="s">
        <v>2118</v>
      </c>
      <c r="O2333" t="s">
        <v>2313</v>
      </c>
      <c r="P2333">
        <v>82150</v>
      </c>
      <c r="Q2333">
        <v>2</v>
      </c>
      <c r="R2333" s="1" t="s">
        <v>1718</v>
      </c>
      <c r="S2333">
        <v>9350</v>
      </c>
      <c r="T2333">
        <v>18700</v>
      </c>
    </row>
    <row r="2334" spans="1:20" hidden="1" x14ac:dyDescent="0.4">
      <c r="A2334" s="1" t="s">
        <v>832</v>
      </c>
      <c r="B2334" s="1" t="s">
        <v>1453</v>
      </c>
      <c r="C2334" s="1" t="s">
        <v>1844</v>
      </c>
      <c r="D2334" s="1" t="s">
        <v>1462</v>
      </c>
      <c r="E2334">
        <v>20251205</v>
      </c>
      <c r="F2334" s="1" t="s">
        <v>1470</v>
      </c>
      <c r="G2334">
        <v>4</v>
      </c>
      <c r="H2334" s="1" t="s">
        <v>1503</v>
      </c>
      <c r="I2334" t="s">
        <v>1883</v>
      </c>
      <c r="J2334" s="1" t="s">
        <v>1456</v>
      </c>
      <c r="K2334" s="1" t="s">
        <v>1554</v>
      </c>
      <c r="L2334" s="1" t="s">
        <v>1729</v>
      </c>
      <c r="M2334" s="1" t="s">
        <v>1737</v>
      </c>
      <c r="N2334" t="s">
        <v>2112</v>
      </c>
      <c r="O2334" t="s">
        <v>2314</v>
      </c>
      <c r="P2334">
        <v>82203</v>
      </c>
      <c r="Q2334">
        <v>2</v>
      </c>
      <c r="R2334" s="1" t="s">
        <v>1718</v>
      </c>
      <c r="S2334">
        <v>12970</v>
      </c>
      <c r="T2334">
        <v>25940</v>
      </c>
    </row>
    <row r="2335" spans="1:20" hidden="1" x14ac:dyDescent="0.4">
      <c r="A2335" s="1" t="s">
        <v>833</v>
      </c>
      <c r="B2335" s="1" t="s">
        <v>1453</v>
      </c>
      <c r="C2335" s="1" t="s">
        <v>1844</v>
      </c>
      <c r="D2335" s="1" t="s">
        <v>1462</v>
      </c>
      <c r="E2335">
        <v>20251205</v>
      </c>
      <c r="F2335" s="1" t="s">
        <v>1470</v>
      </c>
      <c r="G2335">
        <v>4</v>
      </c>
      <c r="H2335" s="1" t="s">
        <v>1503</v>
      </c>
      <c r="I2335" t="s">
        <v>1883</v>
      </c>
      <c r="J2335" s="1" t="s">
        <v>1456</v>
      </c>
      <c r="K2335" s="1" t="s">
        <v>1554</v>
      </c>
      <c r="L2335" s="1" t="s">
        <v>1729</v>
      </c>
      <c r="M2335" s="1" t="s">
        <v>1737</v>
      </c>
      <c r="N2335" t="s">
        <v>2091</v>
      </c>
      <c r="O2335" t="s">
        <v>2315</v>
      </c>
      <c r="P2335">
        <v>82162</v>
      </c>
      <c r="Q2335">
        <v>2</v>
      </c>
      <c r="R2335" s="1" t="s">
        <v>1718</v>
      </c>
      <c r="S2335">
        <v>22430</v>
      </c>
      <c r="T2335">
        <v>44860</v>
      </c>
    </row>
    <row r="2336" spans="1:20" hidden="1" x14ac:dyDescent="0.4">
      <c r="A2336" s="1" t="s">
        <v>833</v>
      </c>
      <c r="B2336" s="1" t="s">
        <v>1454</v>
      </c>
      <c r="C2336" s="1" t="s">
        <v>1844</v>
      </c>
      <c r="D2336" s="1" t="s">
        <v>1462</v>
      </c>
      <c r="E2336">
        <v>20251205</v>
      </c>
      <c r="F2336" s="1" t="s">
        <v>1470</v>
      </c>
      <c r="G2336">
        <v>4</v>
      </c>
      <c r="H2336" s="1" t="s">
        <v>1503</v>
      </c>
      <c r="I2336" t="s">
        <v>1883</v>
      </c>
      <c r="J2336" s="1" t="s">
        <v>1456</v>
      </c>
      <c r="K2336" s="1" t="s">
        <v>1554</v>
      </c>
      <c r="L2336" s="1" t="s">
        <v>1729</v>
      </c>
      <c r="M2336" s="1" t="s">
        <v>1737</v>
      </c>
      <c r="N2336" t="s">
        <v>2091</v>
      </c>
      <c r="O2336" t="s">
        <v>2316</v>
      </c>
      <c r="P2336">
        <v>82163</v>
      </c>
      <c r="Q2336">
        <v>2</v>
      </c>
      <c r="R2336" s="1" t="s">
        <v>1718</v>
      </c>
      <c r="S2336">
        <v>8910</v>
      </c>
      <c r="T2336">
        <v>17820</v>
      </c>
    </row>
    <row r="2337" spans="1:20" hidden="1" x14ac:dyDescent="0.4">
      <c r="A2337" s="1" t="s">
        <v>834</v>
      </c>
      <c r="B2337" s="1" t="s">
        <v>1453</v>
      </c>
      <c r="C2337" s="1" t="s">
        <v>1844</v>
      </c>
      <c r="D2337" s="1" t="s">
        <v>1462</v>
      </c>
      <c r="E2337">
        <v>20251205</v>
      </c>
      <c r="F2337" s="1" t="s">
        <v>1470</v>
      </c>
      <c r="G2337">
        <v>4</v>
      </c>
      <c r="H2337" s="1" t="s">
        <v>1503</v>
      </c>
      <c r="I2337" t="s">
        <v>1883</v>
      </c>
      <c r="J2337" s="1" t="s">
        <v>1456</v>
      </c>
      <c r="K2337" s="1" t="s">
        <v>1553</v>
      </c>
      <c r="L2337" s="1" t="s">
        <v>1729</v>
      </c>
      <c r="M2337" s="1" t="s">
        <v>1736</v>
      </c>
      <c r="N2337" t="s">
        <v>2093</v>
      </c>
      <c r="O2337" t="s">
        <v>2317</v>
      </c>
      <c r="P2337" t="s">
        <v>3304</v>
      </c>
      <c r="Q2337">
        <v>4</v>
      </c>
      <c r="R2337" s="1" t="s">
        <v>1718</v>
      </c>
      <c r="S2337">
        <v>19840</v>
      </c>
      <c r="T2337">
        <v>79360</v>
      </c>
    </row>
    <row r="2338" spans="1:20" hidden="1" x14ac:dyDescent="0.4">
      <c r="A2338" s="1" t="s">
        <v>835</v>
      </c>
      <c r="B2338" s="1" t="s">
        <v>1453</v>
      </c>
      <c r="C2338" s="1" t="s">
        <v>1844</v>
      </c>
      <c r="D2338" s="1" t="s">
        <v>1462</v>
      </c>
      <c r="E2338">
        <v>20251205</v>
      </c>
      <c r="F2338" s="1" t="s">
        <v>1470</v>
      </c>
      <c r="G2338">
        <v>4</v>
      </c>
      <c r="H2338" s="1" t="s">
        <v>1503</v>
      </c>
      <c r="I2338" t="s">
        <v>1883</v>
      </c>
      <c r="J2338" s="1" t="s">
        <v>1456</v>
      </c>
      <c r="K2338" s="1" t="s">
        <v>1554</v>
      </c>
      <c r="L2338" s="1" t="s">
        <v>1729</v>
      </c>
      <c r="M2338" s="1" t="s">
        <v>1737</v>
      </c>
      <c r="N2338" t="s">
        <v>2118</v>
      </c>
      <c r="O2338" t="s">
        <v>2318</v>
      </c>
      <c r="P2338">
        <v>82164</v>
      </c>
      <c r="Q2338">
        <v>2</v>
      </c>
      <c r="R2338" s="1" t="s">
        <v>1718</v>
      </c>
      <c r="S2338">
        <v>9350</v>
      </c>
      <c r="T2338">
        <v>18700</v>
      </c>
    </row>
    <row r="2339" spans="1:20" hidden="1" x14ac:dyDescent="0.4">
      <c r="A2339" s="1" t="s">
        <v>836</v>
      </c>
      <c r="B2339" s="1" t="s">
        <v>1453</v>
      </c>
      <c r="C2339" s="1" t="s">
        <v>1844</v>
      </c>
      <c r="D2339" s="1" t="s">
        <v>1462</v>
      </c>
      <c r="E2339">
        <v>20251205</v>
      </c>
      <c r="F2339" s="1" t="s">
        <v>1470</v>
      </c>
      <c r="G2339">
        <v>4</v>
      </c>
      <c r="H2339" s="1" t="s">
        <v>1503</v>
      </c>
      <c r="I2339" t="s">
        <v>1883</v>
      </c>
      <c r="J2339" s="1" t="s">
        <v>1456</v>
      </c>
      <c r="K2339" s="1" t="s">
        <v>1554</v>
      </c>
      <c r="L2339" s="1" t="s">
        <v>1729</v>
      </c>
      <c r="M2339" s="1" t="s">
        <v>1737</v>
      </c>
      <c r="N2339" t="s">
        <v>2112</v>
      </c>
      <c r="O2339" t="s">
        <v>2319</v>
      </c>
      <c r="P2339">
        <v>82205</v>
      </c>
      <c r="Q2339">
        <v>2</v>
      </c>
      <c r="R2339" s="1" t="s">
        <v>1718</v>
      </c>
      <c r="S2339">
        <v>8870</v>
      </c>
      <c r="T2339">
        <v>17740</v>
      </c>
    </row>
    <row r="2340" spans="1:20" hidden="1" x14ac:dyDescent="0.4">
      <c r="A2340" s="1" t="s">
        <v>837</v>
      </c>
      <c r="B2340" s="1" t="s">
        <v>1453</v>
      </c>
      <c r="C2340" s="1" t="s">
        <v>1844</v>
      </c>
      <c r="D2340" s="1" t="s">
        <v>1462</v>
      </c>
      <c r="E2340">
        <v>20251205</v>
      </c>
      <c r="F2340" s="1" t="s">
        <v>1470</v>
      </c>
      <c r="G2340">
        <v>4</v>
      </c>
      <c r="H2340" s="1" t="s">
        <v>1503</v>
      </c>
      <c r="I2340" t="s">
        <v>1883</v>
      </c>
      <c r="J2340" s="1" t="s">
        <v>1456</v>
      </c>
      <c r="K2340" s="1" t="s">
        <v>1554</v>
      </c>
      <c r="L2340" s="1" t="s">
        <v>1729</v>
      </c>
      <c r="M2340" s="1" t="s">
        <v>1737</v>
      </c>
      <c r="N2340" t="s">
        <v>2091</v>
      </c>
      <c r="O2340" t="s">
        <v>2320</v>
      </c>
      <c r="P2340">
        <v>82191</v>
      </c>
      <c r="Q2340">
        <v>2</v>
      </c>
      <c r="R2340" s="1" t="s">
        <v>1718</v>
      </c>
      <c r="S2340">
        <v>13450</v>
      </c>
      <c r="T2340">
        <v>26900</v>
      </c>
    </row>
    <row r="2341" spans="1:20" hidden="1" x14ac:dyDescent="0.4">
      <c r="A2341" s="1" t="s">
        <v>838</v>
      </c>
      <c r="B2341" s="1" t="s">
        <v>1453</v>
      </c>
      <c r="C2341" s="1" t="s">
        <v>1844</v>
      </c>
      <c r="D2341" s="1" t="s">
        <v>1462</v>
      </c>
      <c r="E2341">
        <v>20251205</v>
      </c>
      <c r="F2341" s="1" t="s">
        <v>1470</v>
      </c>
      <c r="G2341">
        <v>4</v>
      </c>
      <c r="H2341" s="1" t="s">
        <v>1503</v>
      </c>
      <c r="I2341" t="s">
        <v>1883</v>
      </c>
      <c r="J2341" s="1" t="s">
        <v>1456</v>
      </c>
      <c r="K2341" s="1" t="s">
        <v>1554</v>
      </c>
      <c r="L2341" s="1" t="s">
        <v>1729</v>
      </c>
      <c r="M2341" s="1" t="s">
        <v>1737</v>
      </c>
      <c r="N2341" t="s">
        <v>2117</v>
      </c>
      <c r="O2341" t="s">
        <v>2321</v>
      </c>
      <c r="P2341">
        <v>82216</v>
      </c>
      <c r="Q2341">
        <v>2</v>
      </c>
      <c r="R2341" s="1" t="s">
        <v>1718</v>
      </c>
      <c r="S2341">
        <v>36170</v>
      </c>
      <c r="T2341">
        <v>72340</v>
      </c>
    </row>
    <row r="2342" spans="1:20" hidden="1" x14ac:dyDescent="0.4">
      <c r="A2342" s="1" t="s">
        <v>839</v>
      </c>
      <c r="B2342" s="1" t="s">
        <v>1453</v>
      </c>
      <c r="C2342" s="1" t="s">
        <v>1844</v>
      </c>
      <c r="D2342" s="1" t="s">
        <v>1462</v>
      </c>
      <c r="E2342">
        <v>20251205</v>
      </c>
      <c r="F2342" s="1" t="s">
        <v>1470</v>
      </c>
      <c r="G2342">
        <v>4</v>
      </c>
      <c r="H2342" s="1" t="s">
        <v>1503</v>
      </c>
      <c r="I2342" t="s">
        <v>1883</v>
      </c>
      <c r="J2342" s="1" t="s">
        <v>1456</v>
      </c>
      <c r="K2342" s="1" t="s">
        <v>1554</v>
      </c>
      <c r="L2342" s="1" t="s">
        <v>1729</v>
      </c>
      <c r="M2342" s="1" t="s">
        <v>1737</v>
      </c>
      <c r="N2342" t="s">
        <v>2118</v>
      </c>
      <c r="O2342" t="s">
        <v>2322</v>
      </c>
      <c r="P2342">
        <v>82213</v>
      </c>
      <c r="Q2342">
        <v>4</v>
      </c>
      <c r="R2342" s="1" t="s">
        <v>1718</v>
      </c>
      <c r="S2342">
        <v>9350</v>
      </c>
      <c r="T2342">
        <v>37400</v>
      </c>
    </row>
    <row r="2343" spans="1:20" hidden="1" x14ac:dyDescent="0.4">
      <c r="A2343" s="1" t="s">
        <v>840</v>
      </c>
      <c r="B2343" s="1" t="s">
        <v>1453</v>
      </c>
      <c r="C2343" s="1" t="s">
        <v>1844</v>
      </c>
      <c r="D2343" s="1" t="s">
        <v>1462</v>
      </c>
      <c r="E2343">
        <v>20251205</v>
      </c>
      <c r="F2343" s="1" t="s">
        <v>1470</v>
      </c>
      <c r="G2343">
        <v>4</v>
      </c>
      <c r="H2343" s="1" t="s">
        <v>1503</v>
      </c>
      <c r="I2343" t="s">
        <v>1883</v>
      </c>
      <c r="J2343" s="1" t="s">
        <v>1456</v>
      </c>
      <c r="K2343" s="1" t="s">
        <v>1553</v>
      </c>
      <c r="L2343" s="1" t="s">
        <v>1729</v>
      </c>
      <c r="M2343" s="1" t="s">
        <v>1736</v>
      </c>
      <c r="N2343" t="s">
        <v>2093</v>
      </c>
      <c r="O2343" t="s">
        <v>2323</v>
      </c>
      <c r="P2343" t="s">
        <v>3305</v>
      </c>
      <c r="Q2343">
        <v>2</v>
      </c>
      <c r="R2343" s="1" t="s">
        <v>1718</v>
      </c>
      <c r="S2343">
        <v>15840</v>
      </c>
      <c r="T2343">
        <v>31680</v>
      </c>
    </row>
    <row r="2344" spans="1:20" hidden="1" x14ac:dyDescent="0.4">
      <c r="A2344" s="1" t="s">
        <v>841</v>
      </c>
      <c r="B2344" s="1" t="s">
        <v>1453</v>
      </c>
      <c r="C2344" s="1" t="s">
        <v>1844</v>
      </c>
      <c r="D2344" s="1" t="s">
        <v>1462</v>
      </c>
      <c r="E2344">
        <v>20251205</v>
      </c>
      <c r="F2344" s="1" t="s">
        <v>1470</v>
      </c>
      <c r="G2344">
        <v>4</v>
      </c>
      <c r="H2344" s="1" t="s">
        <v>1503</v>
      </c>
      <c r="I2344" t="s">
        <v>1883</v>
      </c>
      <c r="J2344" s="1" t="s">
        <v>1456</v>
      </c>
      <c r="K2344" s="1" t="s">
        <v>1554</v>
      </c>
      <c r="L2344" s="1" t="s">
        <v>1729</v>
      </c>
      <c r="M2344" s="1" t="s">
        <v>1737</v>
      </c>
      <c r="N2344" t="s">
        <v>2112</v>
      </c>
      <c r="O2344" t="s">
        <v>2324</v>
      </c>
      <c r="P2344">
        <v>82206</v>
      </c>
      <c r="Q2344">
        <v>2</v>
      </c>
      <c r="R2344" s="1" t="s">
        <v>1718</v>
      </c>
      <c r="S2344">
        <v>13510</v>
      </c>
      <c r="T2344">
        <v>27020</v>
      </c>
    </row>
    <row r="2345" spans="1:20" hidden="1" x14ac:dyDescent="0.4">
      <c r="A2345" s="1" t="s">
        <v>841</v>
      </c>
      <c r="B2345" s="1" t="s">
        <v>1454</v>
      </c>
      <c r="C2345" s="1" t="s">
        <v>1844</v>
      </c>
      <c r="D2345" s="1" t="s">
        <v>1462</v>
      </c>
      <c r="E2345">
        <v>20251205</v>
      </c>
      <c r="F2345" s="1" t="s">
        <v>1470</v>
      </c>
      <c r="G2345">
        <v>4</v>
      </c>
      <c r="H2345" s="1" t="s">
        <v>1503</v>
      </c>
      <c r="I2345" t="s">
        <v>1883</v>
      </c>
      <c r="J2345" s="1" t="s">
        <v>1456</v>
      </c>
      <c r="K2345" s="1" t="s">
        <v>1554</v>
      </c>
      <c r="L2345" s="1" t="s">
        <v>1729</v>
      </c>
      <c r="M2345" s="1" t="s">
        <v>1737</v>
      </c>
      <c r="N2345" t="s">
        <v>2112</v>
      </c>
      <c r="O2345" t="s">
        <v>2325</v>
      </c>
      <c r="P2345">
        <v>82207</v>
      </c>
      <c r="Q2345">
        <v>2</v>
      </c>
      <c r="R2345" s="1" t="s">
        <v>1718</v>
      </c>
      <c r="S2345">
        <v>10780</v>
      </c>
      <c r="T2345">
        <v>21560</v>
      </c>
    </row>
    <row r="2346" spans="1:20" hidden="1" x14ac:dyDescent="0.4">
      <c r="A2346" s="1" t="s">
        <v>841</v>
      </c>
      <c r="B2346" s="1" t="s">
        <v>1455</v>
      </c>
      <c r="C2346" s="1" t="s">
        <v>1844</v>
      </c>
      <c r="D2346" s="1" t="s">
        <v>1462</v>
      </c>
      <c r="E2346">
        <v>20251205</v>
      </c>
      <c r="F2346" s="1" t="s">
        <v>1470</v>
      </c>
      <c r="G2346">
        <v>4</v>
      </c>
      <c r="H2346" s="1" t="s">
        <v>1503</v>
      </c>
      <c r="I2346" t="s">
        <v>1883</v>
      </c>
      <c r="J2346" s="1" t="s">
        <v>1456</v>
      </c>
      <c r="K2346" s="1" t="s">
        <v>1554</v>
      </c>
      <c r="L2346" s="1" t="s">
        <v>1729</v>
      </c>
      <c r="M2346" s="1" t="s">
        <v>1737</v>
      </c>
      <c r="N2346" t="s">
        <v>2112</v>
      </c>
      <c r="O2346" t="s">
        <v>2326</v>
      </c>
      <c r="P2346">
        <v>82208</v>
      </c>
      <c r="Q2346">
        <v>2</v>
      </c>
      <c r="R2346" s="1" t="s">
        <v>1718</v>
      </c>
      <c r="S2346">
        <v>21030</v>
      </c>
      <c r="T2346">
        <v>42060</v>
      </c>
    </row>
    <row r="2347" spans="1:20" hidden="1" x14ac:dyDescent="0.4">
      <c r="A2347" s="1" t="s">
        <v>842</v>
      </c>
      <c r="B2347" s="1" t="s">
        <v>1453</v>
      </c>
      <c r="C2347" s="1" t="s">
        <v>1844</v>
      </c>
      <c r="D2347" s="1" t="s">
        <v>1462</v>
      </c>
      <c r="E2347">
        <v>20251205</v>
      </c>
      <c r="F2347" s="1" t="s">
        <v>1470</v>
      </c>
      <c r="G2347">
        <v>4</v>
      </c>
      <c r="H2347" s="1" t="s">
        <v>1503</v>
      </c>
      <c r="I2347" t="s">
        <v>1883</v>
      </c>
      <c r="J2347" s="1" t="s">
        <v>1456</v>
      </c>
      <c r="K2347" s="1" t="s">
        <v>1554</v>
      </c>
      <c r="L2347" s="1" t="s">
        <v>1729</v>
      </c>
      <c r="M2347" s="1" t="s">
        <v>1737</v>
      </c>
      <c r="N2347" t="s">
        <v>2113</v>
      </c>
      <c r="O2347" t="s">
        <v>2327</v>
      </c>
      <c r="P2347">
        <v>82189</v>
      </c>
      <c r="Q2347">
        <v>4</v>
      </c>
      <c r="R2347" s="1" t="s">
        <v>1718</v>
      </c>
      <c r="S2347">
        <v>37180</v>
      </c>
      <c r="T2347">
        <v>148720</v>
      </c>
    </row>
    <row r="2348" spans="1:20" hidden="1" x14ac:dyDescent="0.4">
      <c r="A2348" s="1" t="s">
        <v>843</v>
      </c>
      <c r="B2348" s="1" t="s">
        <v>1453</v>
      </c>
      <c r="C2348" s="1" t="s">
        <v>1844</v>
      </c>
      <c r="D2348" s="1" t="s">
        <v>1462</v>
      </c>
      <c r="E2348">
        <v>20251205</v>
      </c>
      <c r="F2348" s="1" t="s">
        <v>1470</v>
      </c>
      <c r="G2348">
        <v>4</v>
      </c>
      <c r="H2348" s="1" t="s">
        <v>1503</v>
      </c>
      <c r="I2348" t="s">
        <v>1883</v>
      </c>
      <c r="J2348" s="1" t="s">
        <v>1456</v>
      </c>
      <c r="K2348" s="1" t="s">
        <v>1554</v>
      </c>
      <c r="L2348" s="1" t="s">
        <v>1729</v>
      </c>
      <c r="M2348" s="1" t="s">
        <v>1737</v>
      </c>
      <c r="N2348" t="s">
        <v>2112</v>
      </c>
      <c r="O2348" t="s">
        <v>2328</v>
      </c>
      <c r="P2348">
        <v>82212</v>
      </c>
      <c r="Q2348">
        <v>4</v>
      </c>
      <c r="R2348" s="1" t="s">
        <v>1718</v>
      </c>
      <c r="S2348">
        <v>10950</v>
      </c>
      <c r="T2348">
        <v>43800</v>
      </c>
    </row>
    <row r="2349" spans="1:20" hidden="1" x14ac:dyDescent="0.4">
      <c r="A2349" s="1" t="s">
        <v>844</v>
      </c>
      <c r="B2349" s="1" t="s">
        <v>1453</v>
      </c>
      <c r="C2349" s="1" t="s">
        <v>1844</v>
      </c>
      <c r="D2349" s="1" t="s">
        <v>1462</v>
      </c>
      <c r="E2349">
        <v>20251205</v>
      </c>
      <c r="F2349" s="1" t="s">
        <v>1470</v>
      </c>
      <c r="G2349">
        <v>4</v>
      </c>
      <c r="H2349" s="1" t="s">
        <v>1512</v>
      </c>
      <c r="I2349" t="s">
        <v>1892</v>
      </c>
      <c r="J2349" s="1" t="s">
        <v>1456</v>
      </c>
      <c r="K2349" s="1" t="s">
        <v>1558</v>
      </c>
      <c r="L2349" s="1" t="s">
        <v>1729</v>
      </c>
      <c r="M2349" s="1" t="s">
        <v>1737</v>
      </c>
      <c r="N2349" t="s">
        <v>2096</v>
      </c>
      <c r="O2349" t="s">
        <v>2329</v>
      </c>
      <c r="P2349" t="s">
        <v>3306</v>
      </c>
      <c r="Q2349">
        <v>1</v>
      </c>
      <c r="R2349" s="1" t="s">
        <v>1718</v>
      </c>
      <c r="S2349">
        <v>8067</v>
      </c>
      <c r="T2349">
        <v>8067</v>
      </c>
    </row>
    <row r="2350" spans="1:20" hidden="1" x14ac:dyDescent="0.4">
      <c r="A2350" s="1" t="s">
        <v>844</v>
      </c>
      <c r="B2350" s="1" t="s">
        <v>1454</v>
      </c>
      <c r="C2350" s="1" t="s">
        <v>1844</v>
      </c>
      <c r="D2350" s="1" t="s">
        <v>1462</v>
      </c>
      <c r="E2350">
        <v>20251205</v>
      </c>
      <c r="F2350" s="1" t="s">
        <v>1470</v>
      </c>
      <c r="G2350">
        <v>4</v>
      </c>
      <c r="H2350" s="1" t="s">
        <v>1512</v>
      </c>
      <c r="I2350" t="s">
        <v>1892</v>
      </c>
      <c r="J2350" s="1" t="s">
        <v>1456</v>
      </c>
      <c r="K2350" s="1" t="s">
        <v>1558</v>
      </c>
      <c r="L2350" s="1" t="s">
        <v>1729</v>
      </c>
      <c r="M2350" s="1" t="s">
        <v>1737</v>
      </c>
      <c r="N2350" t="s">
        <v>2096</v>
      </c>
      <c r="O2350" t="s">
        <v>2330</v>
      </c>
      <c r="P2350" t="s">
        <v>3307</v>
      </c>
      <c r="Q2350">
        <v>1</v>
      </c>
      <c r="R2350" s="1" t="s">
        <v>1718</v>
      </c>
      <c r="S2350">
        <v>8067</v>
      </c>
      <c r="T2350">
        <v>8067</v>
      </c>
    </row>
    <row r="2351" spans="1:20" hidden="1" x14ac:dyDescent="0.4">
      <c r="A2351" s="1" t="s">
        <v>845</v>
      </c>
      <c r="B2351" s="1" t="s">
        <v>1453</v>
      </c>
      <c r="C2351" s="1" t="s">
        <v>1844</v>
      </c>
      <c r="D2351" s="1" t="s">
        <v>1462</v>
      </c>
      <c r="E2351">
        <v>20251205</v>
      </c>
      <c r="F2351" s="1" t="s">
        <v>1470</v>
      </c>
      <c r="G2351">
        <v>4</v>
      </c>
      <c r="H2351" s="1" t="s">
        <v>1512</v>
      </c>
      <c r="I2351" t="s">
        <v>1892</v>
      </c>
      <c r="J2351" s="1" t="s">
        <v>1456</v>
      </c>
      <c r="K2351" s="1" t="s">
        <v>1558</v>
      </c>
      <c r="L2351" s="1" t="s">
        <v>1729</v>
      </c>
      <c r="M2351" s="1" t="s">
        <v>1737</v>
      </c>
      <c r="N2351" t="s">
        <v>2096</v>
      </c>
      <c r="O2351" t="s">
        <v>2331</v>
      </c>
      <c r="P2351" t="s">
        <v>3308</v>
      </c>
      <c r="Q2351">
        <v>2</v>
      </c>
      <c r="R2351" s="1" t="s">
        <v>1718</v>
      </c>
      <c r="S2351">
        <v>17385</v>
      </c>
      <c r="T2351">
        <v>34770</v>
      </c>
    </row>
    <row r="2352" spans="1:20" hidden="1" x14ac:dyDescent="0.4">
      <c r="A2352" s="1" t="s">
        <v>846</v>
      </c>
      <c r="B2352" s="1" t="s">
        <v>1453</v>
      </c>
      <c r="C2352" s="1" t="s">
        <v>1844</v>
      </c>
      <c r="D2352" s="1" t="s">
        <v>1462</v>
      </c>
      <c r="E2352">
        <v>20251205</v>
      </c>
      <c r="F2352" s="1" t="s">
        <v>1470</v>
      </c>
      <c r="G2352">
        <v>4</v>
      </c>
      <c r="H2352" s="1" t="s">
        <v>1512</v>
      </c>
      <c r="I2352" t="s">
        <v>1892</v>
      </c>
      <c r="J2352" s="1" t="s">
        <v>1456</v>
      </c>
      <c r="K2352" s="1" t="s">
        <v>1558</v>
      </c>
      <c r="L2352" s="1" t="s">
        <v>1729</v>
      </c>
      <c r="M2352" s="1" t="s">
        <v>1737</v>
      </c>
      <c r="N2352" t="s">
        <v>2096</v>
      </c>
      <c r="O2352" t="s">
        <v>2332</v>
      </c>
      <c r="P2352" t="s">
        <v>3309</v>
      </c>
      <c r="Q2352">
        <v>1</v>
      </c>
      <c r="R2352" s="1" t="s">
        <v>1718</v>
      </c>
      <c r="S2352">
        <v>8451</v>
      </c>
      <c r="T2352">
        <v>8451</v>
      </c>
    </row>
    <row r="2353" spans="1:20" hidden="1" x14ac:dyDescent="0.4">
      <c r="A2353" s="1" t="s">
        <v>846</v>
      </c>
      <c r="B2353" s="1" t="s">
        <v>1454</v>
      </c>
      <c r="C2353" s="1" t="s">
        <v>1844</v>
      </c>
      <c r="D2353" s="1" t="s">
        <v>1462</v>
      </c>
      <c r="E2353">
        <v>20251205</v>
      </c>
      <c r="F2353" s="1" t="s">
        <v>1470</v>
      </c>
      <c r="G2353">
        <v>4</v>
      </c>
      <c r="H2353" s="1" t="s">
        <v>1512</v>
      </c>
      <c r="I2353" t="s">
        <v>1892</v>
      </c>
      <c r="J2353" s="1" t="s">
        <v>1456</v>
      </c>
      <c r="K2353" s="1" t="s">
        <v>1558</v>
      </c>
      <c r="L2353" s="1" t="s">
        <v>1729</v>
      </c>
      <c r="M2353" s="1" t="s">
        <v>1737</v>
      </c>
      <c r="N2353" t="s">
        <v>2096</v>
      </c>
      <c r="O2353" t="s">
        <v>2332</v>
      </c>
      <c r="P2353" t="s">
        <v>3310</v>
      </c>
      <c r="Q2353">
        <v>1</v>
      </c>
      <c r="R2353" s="1" t="s">
        <v>1718</v>
      </c>
      <c r="S2353">
        <v>8451</v>
      </c>
      <c r="T2353">
        <v>8451</v>
      </c>
    </row>
    <row r="2354" spans="1:20" hidden="1" x14ac:dyDescent="0.4">
      <c r="A2354" s="1" t="s">
        <v>847</v>
      </c>
      <c r="B2354" s="1" t="s">
        <v>1453</v>
      </c>
      <c r="C2354" s="1" t="s">
        <v>1844</v>
      </c>
      <c r="D2354" s="1" t="s">
        <v>1462</v>
      </c>
      <c r="E2354">
        <v>20251205</v>
      </c>
      <c r="F2354" s="1" t="s">
        <v>1470</v>
      </c>
      <c r="G2354">
        <v>4</v>
      </c>
      <c r="H2354" s="1" t="s">
        <v>1512</v>
      </c>
      <c r="I2354" t="s">
        <v>1892</v>
      </c>
      <c r="J2354" s="1" t="s">
        <v>1456</v>
      </c>
      <c r="K2354" s="1" t="s">
        <v>1558</v>
      </c>
      <c r="L2354" s="1" t="s">
        <v>1729</v>
      </c>
      <c r="M2354" s="1" t="s">
        <v>1737</v>
      </c>
      <c r="N2354" t="s">
        <v>2096</v>
      </c>
      <c r="O2354" t="s">
        <v>2333</v>
      </c>
      <c r="P2354" t="s">
        <v>3311</v>
      </c>
      <c r="Q2354">
        <v>2</v>
      </c>
      <c r="R2354" s="1" t="s">
        <v>1718</v>
      </c>
      <c r="S2354">
        <v>19718</v>
      </c>
      <c r="T2354">
        <v>39436</v>
      </c>
    </row>
    <row r="2355" spans="1:20" hidden="1" x14ac:dyDescent="0.4">
      <c r="A2355" s="1" t="s">
        <v>848</v>
      </c>
      <c r="B2355" s="1" t="s">
        <v>1453</v>
      </c>
      <c r="C2355" s="1" t="s">
        <v>1844</v>
      </c>
      <c r="D2355" s="1" t="s">
        <v>1462</v>
      </c>
      <c r="E2355">
        <v>20251205</v>
      </c>
      <c r="F2355" s="1" t="s">
        <v>1470</v>
      </c>
      <c r="G2355">
        <v>4</v>
      </c>
      <c r="H2355" s="1" t="s">
        <v>1512</v>
      </c>
      <c r="I2355" t="s">
        <v>1892</v>
      </c>
      <c r="J2355" s="1" t="s">
        <v>1456</v>
      </c>
      <c r="K2355" s="1" t="s">
        <v>1558</v>
      </c>
      <c r="L2355" s="1" t="s">
        <v>1729</v>
      </c>
      <c r="M2355" s="1" t="s">
        <v>1737</v>
      </c>
      <c r="N2355" t="s">
        <v>2096</v>
      </c>
      <c r="O2355" t="s">
        <v>2334</v>
      </c>
      <c r="P2355" t="s">
        <v>3312</v>
      </c>
      <c r="Q2355">
        <v>2</v>
      </c>
      <c r="R2355" s="1" t="s">
        <v>1718</v>
      </c>
      <c r="S2355">
        <v>12292</v>
      </c>
      <c r="T2355">
        <v>24584</v>
      </c>
    </row>
    <row r="2356" spans="1:20" hidden="1" x14ac:dyDescent="0.4">
      <c r="A2356" s="1" t="s">
        <v>849</v>
      </c>
      <c r="B2356" s="1" t="s">
        <v>1453</v>
      </c>
      <c r="C2356" s="1" t="s">
        <v>1844</v>
      </c>
      <c r="D2356" s="1" t="s">
        <v>1730</v>
      </c>
      <c r="E2356">
        <v>20251204</v>
      </c>
      <c r="F2356" s="1" t="s">
        <v>1473</v>
      </c>
      <c r="G2356">
        <v>4</v>
      </c>
      <c r="H2356" s="1" t="s">
        <v>1521</v>
      </c>
      <c r="I2356" t="s">
        <v>1901</v>
      </c>
      <c r="J2356" s="1" t="s">
        <v>1453</v>
      </c>
      <c r="K2356" s="1" t="s">
        <v>1583</v>
      </c>
      <c r="L2356" s="1" t="s">
        <v>1718</v>
      </c>
      <c r="M2356" s="1" t="s">
        <v>1751</v>
      </c>
      <c r="N2356" t="s">
        <v>1958</v>
      </c>
      <c r="O2356" t="s">
        <v>2164</v>
      </c>
      <c r="P2356" t="s">
        <v>3064</v>
      </c>
      <c r="Q2356">
        <v>109.2</v>
      </c>
      <c r="R2356" s="1" t="s">
        <v>1839</v>
      </c>
      <c r="S2356">
        <v>0</v>
      </c>
      <c r="T2356">
        <v>0</v>
      </c>
    </row>
    <row r="2357" spans="1:20" hidden="1" x14ac:dyDescent="0.4">
      <c r="A2357" s="1" t="s">
        <v>849</v>
      </c>
      <c r="B2357" s="1" t="s">
        <v>1454</v>
      </c>
      <c r="C2357" s="1" t="s">
        <v>1844</v>
      </c>
      <c r="D2357" s="1" t="s">
        <v>1730</v>
      </c>
      <c r="E2357">
        <v>20251204</v>
      </c>
      <c r="F2357" s="1" t="s">
        <v>1473</v>
      </c>
      <c r="G2357">
        <v>4</v>
      </c>
      <c r="H2357" s="1" t="s">
        <v>1521</v>
      </c>
      <c r="I2357" t="s">
        <v>1901</v>
      </c>
      <c r="J2357" s="1" t="s">
        <v>1453</v>
      </c>
      <c r="K2357" s="1" t="s">
        <v>1583</v>
      </c>
      <c r="L2357" s="1" t="s">
        <v>1718</v>
      </c>
      <c r="M2357" s="1" t="s">
        <v>1751</v>
      </c>
      <c r="N2357" t="s">
        <v>1958</v>
      </c>
      <c r="O2357" t="s">
        <v>2164</v>
      </c>
      <c r="P2357" t="s">
        <v>3064</v>
      </c>
      <c r="Q2357">
        <v>109.2</v>
      </c>
      <c r="R2357" s="1" t="s">
        <v>1839</v>
      </c>
      <c r="S2357">
        <v>0</v>
      </c>
      <c r="T2357">
        <v>0</v>
      </c>
    </row>
    <row r="2358" spans="1:20" hidden="1" x14ac:dyDescent="0.4">
      <c r="A2358" s="1" t="s">
        <v>849</v>
      </c>
      <c r="B2358" s="1" t="s">
        <v>1455</v>
      </c>
      <c r="C2358" s="1" t="s">
        <v>1844</v>
      </c>
      <c r="D2358" s="1" t="s">
        <v>1730</v>
      </c>
      <c r="E2358">
        <v>20251204</v>
      </c>
      <c r="F2358" s="1" t="s">
        <v>1473</v>
      </c>
      <c r="G2358">
        <v>4</v>
      </c>
      <c r="H2358" s="1" t="s">
        <v>1521</v>
      </c>
      <c r="I2358" t="s">
        <v>1901</v>
      </c>
      <c r="J2358" s="1" t="s">
        <v>1453</v>
      </c>
      <c r="K2358" s="1" t="s">
        <v>1698</v>
      </c>
      <c r="L2358" s="1" t="s">
        <v>1718</v>
      </c>
      <c r="M2358" s="1" t="s">
        <v>1822</v>
      </c>
      <c r="N2358" t="s">
        <v>2121</v>
      </c>
      <c r="O2358" t="s">
        <v>2164</v>
      </c>
      <c r="P2358" t="s">
        <v>3313</v>
      </c>
      <c r="Q2358">
        <v>97.55</v>
      </c>
      <c r="R2358" s="1" t="s">
        <v>1839</v>
      </c>
      <c r="S2358">
        <v>0</v>
      </c>
      <c r="T2358">
        <v>0</v>
      </c>
    </row>
    <row r="2359" spans="1:20" hidden="1" x14ac:dyDescent="0.4">
      <c r="A2359" s="1" t="s">
        <v>849</v>
      </c>
      <c r="B2359" s="1" t="s">
        <v>1456</v>
      </c>
      <c r="C2359" s="1" t="s">
        <v>1844</v>
      </c>
      <c r="D2359" s="1" t="s">
        <v>1730</v>
      </c>
      <c r="E2359">
        <v>20251204</v>
      </c>
      <c r="F2359" s="1" t="s">
        <v>1473</v>
      </c>
      <c r="G2359">
        <v>4</v>
      </c>
      <c r="H2359" s="1" t="s">
        <v>1521</v>
      </c>
      <c r="I2359" t="s">
        <v>1901</v>
      </c>
      <c r="J2359" s="1" t="s">
        <v>1453</v>
      </c>
      <c r="K2359" s="1" t="s">
        <v>1607</v>
      </c>
      <c r="L2359" s="1" t="s">
        <v>1718</v>
      </c>
      <c r="M2359" s="1" t="s">
        <v>1735</v>
      </c>
      <c r="N2359" t="s">
        <v>1970</v>
      </c>
      <c r="O2359" t="s">
        <v>2164</v>
      </c>
      <c r="P2359" t="s">
        <v>3314</v>
      </c>
      <c r="Q2359">
        <v>62.5</v>
      </c>
      <c r="R2359" s="1" t="s">
        <v>1839</v>
      </c>
      <c r="S2359">
        <v>0</v>
      </c>
      <c r="T2359">
        <v>0</v>
      </c>
    </row>
    <row r="2360" spans="1:20" hidden="1" x14ac:dyDescent="0.4">
      <c r="A2360" s="1" t="s">
        <v>849</v>
      </c>
      <c r="B2360" s="1" t="s">
        <v>1457</v>
      </c>
      <c r="C2360" s="1" t="s">
        <v>1844</v>
      </c>
      <c r="D2360" s="1" t="s">
        <v>1730</v>
      </c>
      <c r="E2360">
        <v>20251204</v>
      </c>
      <c r="F2360" s="1" t="s">
        <v>1473</v>
      </c>
      <c r="G2360">
        <v>4</v>
      </c>
      <c r="H2360" s="1" t="s">
        <v>1521</v>
      </c>
      <c r="I2360" t="s">
        <v>1901</v>
      </c>
      <c r="J2360" s="1" t="s">
        <v>1453</v>
      </c>
      <c r="K2360" s="1" t="s">
        <v>1595</v>
      </c>
      <c r="L2360" s="1" t="s">
        <v>1718</v>
      </c>
      <c r="M2360" s="1" t="s">
        <v>1735</v>
      </c>
      <c r="N2360" t="s">
        <v>2059</v>
      </c>
      <c r="O2360" t="s">
        <v>2164</v>
      </c>
      <c r="P2360" t="s">
        <v>3079</v>
      </c>
      <c r="Q2360">
        <v>70</v>
      </c>
      <c r="R2360" s="1" t="s">
        <v>1839</v>
      </c>
      <c r="S2360">
        <v>0</v>
      </c>
      <c r="T2360">
        <v>0</v>
      </c>
    </row>
    <row r="2361" spans="1:20" hidden="1" x14ac:dyDescent="0.4">
      <c r="A2361" s="1" t="s">
        <v>850</v>
      </c>
      <c r="B2361" s="1" t="s">
        <v>1453</v>
      </c>
      <c r="C2361" s="1" t="s">
        <v>1844</v>
      </c>
      <c r="D2361" s="1" t="s">
        <v>1730</v>
      </c>
      <c r="E2361">
        <v>20251204</v>
      </c>
      <c r="F2361" s="1" t="s">
        <v>1473</v>
      </c>
      <c r="G2361">
        <v>4</v>
      </c>
      <c r="H2361" s="1" t="s">
        <v>1521</v>
      </c>
      <c r="I2361" t="s">
        <v>1901</v>
      </c>
      <c r="J2361" s="1" t="s">
        <v>1453</v>
      </c>
      <c r="K2361" s="1" t="s">
        <v>1583</v>
      </c>
      <c r="L2361" s="1" t="s">
        <v>1718</v>
      </c>
      <c r="M2361" s="1" t="s">
        <v>1823</v>
      </c>
      <c r="N2361" t="s">
        <v>1958</v>
      </c>
      <c r="O2361" t="s">
        <v>2164</v>
      </c>
      <c r="P2361" t="s">
        <v>3315</v>
      </c>
      <c r="Q2361">
        <v>101.92</v>
      </c>
      <c r="R2361" s="1" t="s">
        <v>1839</v>
      </c>
      <c r="S2361">
        <v>0</v>
      </c>
      <c r="T2361">
        <v>0</v>
      </c>
    </row>
    <row r="2362" spans="1:20" hidden="1" x14ac:dyDescent="0.4">
      <c r="A2362" s="1" t="s">
        <v>850</v>
      </c>
      <c r="B2362" s="1" t="s">
        <v>1454</v>
      </c>
      <c r="C2362" s="1" t="s">
        <v>1844</v>
      </c>
      <c r="D2362" s="1" t="s">
        <v>1730</v>
      </c>
      <c r="E2362">
        <v>20251204</v>
      </c>
      <c r="F2362" s="1" t="s">
        <v>1473</v>
      </c>
      <c r="G2362">
        <v>4</v>
      </c>
      <c r="H2362" s="1" t="s">
        <v>1521</v>
      </c>
      <c r="I2362" t="s">
        <v>1901</v>
      </c>
      <c r="J2362" s="1" t="s">
        <v>1453</v>
      </c>
      <c r="K2362" s="1" t="s">
        <v>1583</v>
      </c>
      <c r="L2362" s="1" t="s">
        <v>1718</v>
      </c>
      <c r="M2362" s="1" t="s">
        <v>1824</v>
      </c>
      <c r="N2362" t="s">
        <v>1958</v>
      </c>
      <c r="O2362" t="s">
        <v>2164</v>
      </c>
      <c r="P2362" t="s">
        <v>3316</v>
      </c>
      <c r="Q2362">
        <v>93.54</v>
      </c>
      <c r="R2362" s="1" t="s">
        <v>1839</v>
      </c>
      <c r="S2362">
        <v>0</v>
      </c>
      <c r="T2362">
        <v>0</v>
      </c>
    </row>
    <row r="2363" spans="1:20" hidden="1" x14ac:dyDescent="0.4">
      <c r="A2363" s="1" t="s">
        <v>851</v>
      </c>
      <c r="B2363" s="1" t="s">
        <v>1453</v>
      </c>
      <c r="C2363" s="1" t="s">
        <v>1844</v>
      </c>
      <c r="D2363" s="1" t="s">
        <v>1730</v>
      </c>
      <c r="E2363">
        <v>20251205</v>
      </c>
      <c r="F2363" s="1" t="s">
        <v>1470</v>
      </c>
      <c r="G2363">
        <v>4</v>
      </c>
      <c r="H2363" s="1" t="s">
        <v>1503</v>
      </c>
      <c r="I2363" t="s">
        <v>1883</v>
      </c>
      <c r="J2363" s="1" t="s">
        <v>1456</v>
      </c>
      <c r="K2363" s="1" t="s">
        <v>1612</v>
      </c>
      <c r="L2363" s="1" t="s">
        <v>1729</v>
      </c>
      <c r="M2363" s="1" t="s">
        <v>1737</v>
      </c>
      <c r="N2363" t="s">
        <v>1986</v>
      </c>
      <c r="O2363" t="s">
        <v>2335</v>
      </c>
      <c r="P2363" t="s">
        <v>3317</v>
      </c>
      <c r="Q2363">
        <v>12.3</v>
      </c>
      <c r="R2363" s="1" t="s">
        <v>1839</v>
      </c>
      <c r="S2363">
        <v>0</v>
      </c>
      <c r="T2363">
        <v>0</v>
      </c>
    </row>
    <row r="2364" spans="1:20" hidden="1" x14ac:dyDescent="0.4">
      <c r="A2364" s="1" t="s">
        <v>852</v>
      </c>
      <c r="B2364" s="1" t="s">
        <v>1453</v>
      </c>
      <c r="C2364" s="1" t="s">
        <v>1844</v>
      </c>
      <c r="D2364" s="1" t="s">
        <v>1462</v>
      </c>
      <c r="E2364">
        <v>20251205</v>
      </c>
      <c r="F2364" s="1" t="s">
        <v>1470</v>
      </c>
      <c r="G2364">
        <v>4</v>
      </c>
      <c r="H2364" s="1" t="s">
        <v>1496</v>
      </c>
      <c r="I2364" t="s">
        <v>1876</v>
      </c>
      <c r="J2364" s="1" t="s">
        <v>1456</v>
      </c>
      <c r="K2364" s="1" t="s">
        <v>1599</v>
      </c>
      <c r="L2364" s="1" t="s">
        <v>1729</v>
      </c>
      <c r="M2364" s="1" t="s">
        <v>1781</v>
      </c>
      <c r="N2364" t="s">
        <v>1986</v>
      </c>
      <c r="O2364" t="s">
        <v>2336</v>
      </c>
      <c r="P2364" t="s">
        <v>2157</v>
      </c>
      <c r="Q2364">
        <v>1</v>
      </c>
      <c r="R2364" s="1" t="s">
        <v>1729</v>
      </c>
      <c r="S2364">
        <v>19968</v>
      </c>
      <c r="T2364">
        <v>19968</v>
      </c>
    </row>
    <row r="2365" spans="1:20" hidden="1" x14ac:dyDescent="0.4">
      <c r="A2365" s="1" t="s">
        <v>853</v>
      </c>
      <c r="B2365" s="1" t="s">
        <v>1453</v>
      </c>
      <c r="C2365" s="1" t="s">
        <v>1844</v>
      </c>
      <c r="D2365" s="1" t="s">
        <v>1462</v>
      </c>
      <c r="E2365">
        <v>20251201</v>
      </c>
      <c r="F2365" s="1" t="s">
        <v>1471</v>
      </c>
      <c r="G2365">
        <v>4</v>
      </c>
      <c r="H2365" s="1" t="s">
        <v>1522</v>
      </c>
      <c r="I2365" t="s">
        <v>1902</v>
      </c>
      <c r="J2365" s="1" t="s">
        <v>1460</v>
      </c>
      <c r="K2365" s="1" t="s">
        <v>1647</v>
      </c>
      <c r="L2365" s="1" t="s">
        <v>1731</v>
      </c>
      <c r="M2365" s="1" t="s">
        <v>1798</v>
      </c>
      <c r="N2365" t="s">
        <v>2029</v>
      </c>
      <c r="O2365" t="s">
        <v>2178</v>
      </c>
      <c r="P2365" t="s">
        <v>3157</v>
      </c>
      <c r="Q2365">
        <v>250</v>
      </c>
      <c r="R2365" s="1" t="s">
        <v>1463</v>
      </c>
      <c r="S2365">
        <v>759</v>
      </c>
      <c r="T2365">
        <v>189750</v>
      </c>
    </row>
    <row r="2366" spans="1:20" hidden="1" x14ac:dyDescent="0.4">
      <c r="A2366" s="1" t="s">
        <v>854</v>
      </c>
      <c r="B2366" s="1" t="s">
        <v>1453</v>
      </c>
      <c r="C2366" s="1" t="s">
        <v>1844</v>
      </c>
      <c r="D2366" s="1" t="s">
        <v>1462</v>
      </c>
      <c r="E2366">
        <v>20251201</v>
      </c>
      <c r="F2366" s="1" t="s">
        <v>1471</v>
      </c>
      <c r="G2366">
        <v>4</v>
      </c>
      <c r="H2366" s="1" t="s">
        <v>1523</v>
      </c>
      <c r="I2366" t="s">
        <v>1903</v>
      </c>
      <c r="J2366" s="1" t="s">
        <v>1460</v>
      </c>
      <c r="K2366" s="1" t="s">
        <v>1648</v>
      </c>
      <c r="L2366" s="1" t="s">
        <v>1731</v>
      </c>
      <c r="M2366" s="1" t="s">
        <v>1768</v>
      </c>
      <c r="N2366" t="s">
        <v>2030</v>
      </c>
      <c r="O2366" t="s">
        <v>2178</v>
      </c>
      <c r="P2366" t="s">
        <v>3158</v>
      </c>
      <c r="Q2366">
        <v>3000</v>
      </c>
      <c r="R2366" s="1" t="s">
        <v>1463</v>
      </c>
      <c r="S2366">
        <v>928</v>
      </c>
      <c r="T2366">
        <v>2784000</v>
      </c>
    </row>
    <row r="2367" spans="1:20" hidden="1" x14ac:dyDescent="0.4">
      <c r="A2367" s="1" t="s">
        <v>855</v>
      </c>
      <c r="B2367" s="1" t="s">
        <v>1453</v>
      </c>
      <c r="C2367" s="1" t="s">
        <v>1844</v>
      </c>
      <c r="D2367" s="1" t="s">
        <v>1462</v>
      </c>
      <c r="E2367">
        <v>20251201</v>
      </c>
      <c r="F2367" s="1" t="s">
        <v>1471</v>
      </c>
      <c r="G2367">
        <v>4</v>
      </c>
      <c r="H2367" s="1" t="s">
        <v>1520</v>
      </c>
      <c r="I2367" t="s">
        <v>1900</v>
      </c>
      <c r="J2367" s="1" t="s">
        <v>1460</v>
      </c>
      <c r="K2367" s="1" t="s">
        <v>1649</v>
      </c>
      <c r="L2367" s="1" t="s">
        <v>1731</v>
      </c>
      <c r="M2367" s="1" t="s">
        <v>1799</v>
      </c>
      <c r="N2367" t="s">
        <v>2031</v>
      </c>
      <c r="O2367" t="s">
        <v>2178</v>
      </c>
      <c r="P2367" t="s">
        <v>3159</v>
      </c>
      <c r="Q2367">
        <v>250</v>
      </c>
      <c r="R2367" s="1" t="s">
        <v>1463</v>
      </c>
      <c r="S2367">
        <v>1560</v>
      </c>
      <c r="T2367">
        <v>390000</v>
      </c>
    </row>
    <row r="2368" spans="1:20" hidden="1" x14ac:dyDescent="0.4">
      <c r="A2368" s="1" t="s">
        <v>856</v>
      </c>
      <c r="B2368" s="1" t="s">
        <v>1453</v>
      </c>
      <c r="C2368" s="1" t="s">
        <v>1844</v>
      </c>
      <c r="D2368" s="1" t="s">
        <v>1462</v>
      </c>
      <c r="E2368">
        <v>20251201</v>
      </c>
      <c r="F2368" s="1" t="s">
        <v>1471</v>
      </c>
      <c r="G2368">
        <v>4</v>
      </c>
      <c r="H2368" s="1" t="s">
        <v>1522</v>
      </c>
      <c r="I2368" t="s">
        <v>1902</v>
      </c>
      <c r="J2368" s="1" t="s">
        <v>1460</v>
      </c>
      <c r="K2368" s="1" t="s">
        <v>1650</v>
      </c>
      <c r="L2368" s="1" t="s">
        <v>1731</v>
      </c>
      <c r="M2368" s="1" t="s">
        <v>1766</v>
      </c>
      <c r="N2368" t="s">
        <v>2032</v>
      </c>
      <c r="O2368" t="s">
        <v>2178</v>
      </c>
      <c r="P2368" t="s">
        <v>3160</v>
      </c>
      <c r="Q2368">
        <v>500</v>
      </c>
      <c r="R2368" s="1" t="s">
        <v>1463</v>
      </c>
      <c r="S2368">
        <v>770</v>
      </c>
      <c r="T2368">
        <v>385000</v>
      </c>
    </row>
    <row r="2369" spans="1:20" hidden="1" x14ac:dyDescent="0.4">
      <c r="A2369" s="1" t="s">
        <v>857</v>
      </c>
      <c r="B2369" s="1" t="s">
        <v>1453</v>
      </c>
      <c r="C2369" s="1" t="s">
        <v>1844</v>
      </c>
      <c r="D2369" s="1" t="s">
        <v>1730</v>
      </c>
      <c r="E2369">
        <v>20251205</v>
      </c>
      <c r="F2369" s="1" t="s">
        <v>1470</v>
      </c>
      <c r="G2369">
        <v>4</v>
      </c>
      <c r="H2369" s="1" t="s">
        <v>1503</v>
      </c>
      <c r="I2369" t="s">
        <v>1883</v>
      </c>
      <c r="J2369" s="1" t="s">
        <v>1456</v>
      </c>
      <c r="K2369" s="1" t="s">
        <v>1699</v>
      </c>
      <c r="L2369" s="1" t="s">
        <v>1729</v>
      </c>
      <c r="M2369" s="1" t="s">
        <v>1737</v>
      </c>
      <c r="N2369" t="s">
        <v>2122</v>
      </c>
      <c r="O2369" t="s">
        <v>2337</v>
      </c>
      <c r="P2369" t="s">
        <v>3318</v>
      </c>
      <c r="Q2369">
        <v>12.3</v>
      </c>
      <c r="R2369" s="1" t="s">
        <v>1839</v>
      </c>
      <c r="S2369">
        <v>0</v>
      </c>
      <c r="T2369">
        <v>0</v>
      </c>
    </row>
    <row r="2370" spans="1:20" hidden="1" x14ac:dyDescent="0.4">
      <c r="A2370" s="1" t="s">
        <v>857</v>
      </c>
      <c r="B2370" s="1" t="s">
        <v>1454</v>
      </c>
      <c r="C2370" s="1" t="s">
        <v>1844</v>
      </c>
      <c r="D2370" s="1" t="s">
        <v>1730</v>
      </c>
      <c r="E2370">
        <v>20251205</v>
      </c>
      <c r="F2370" s="1" t="s">
        <v>1470</v>
      </c>
      <c r="G2370">
        <v>4</v>
      </c>
      <c r="H2370" s="1" t="s">
        <v>1503</v>
      </c>
      <c r="I2370" t="s">
        <v>1883</v>
      </c>
      <c r="J2370" s="1" t="s">
        <v>1456</v>
      </c>
      <c r="K2370" s="1" t="s">
        <v>1699</v>
      </c>
      <c r="L2370" s="1" t="s">
        <v>1729</v>
      </c>
      <c r="M2370" s="1" t="s">
        <v>1737</v>
      </c>
      <c r="N2370" t="s">
        <v>2122</v>
      </c>
      <c r="O2370" t="s">
        <v>2337</v>
      </c>
      <c r="P2370" t="s">
        <v>3319</v>
      </c>
      <c r="Q2370">
        <v>12.3</v>
      </c>
      <c r="R2370" s="1" t="s">
        <v>1839</v>
      </c>
      <c r="S2370">
        <v>0</v>
      </c>
      <c r="T2370">
        <v>0</v>
      </c>
    </row>
    <row r="2371" spans="1:20" hidden="1" x14ac:dyDescent="0.4">
      <c r="A2371" s="1" t="s">
        <v>858</v>
      </c>
      <c r="B2371" s="1" t="s">
        <v>1453</v>
      </c>
      <c r="C2371" s="1" t="s">
        <v>1844</v>
      </c>
      <c r="D2371" s="1" t="s">
        <v>1730</v>
      </c>
      <c r="E2371">
        <v>20251205</v>
      </c>
      <c r="F2371" s="1" t="s">
        <v>1470</v>
      </c>
      <c r="G2371">
        <v>4</v>
      </c>
      <c r="H2371" s="1" t="s">
        <v>1503</v>
      </c>
      <c r="I2371" t="s">
        <v>1883</v>
      </c>
      <c r="J2371" s="1" t="s">
        <v>1456</v>
      </c>
      <c r="K2371" s="1" t="s">
        <v>1699</v>
      </c>
      <c r="L2371" s="1" t="s">
        <v>1729</v>
      </c>
      <c r="M2371" s="1" t="s">
        <v>1737</v>
      </c>
      <c r="N2371" t="s">
        <v>2122</v>
      </c>
      <c r="O2371" t="s">
        <v>2338</v>
      </c>
      <c r="P2371" t="s">
        <v>3320</v>
      </c>
      <c r="Q2371">
        <v>12.3</v>
      </c>
      <c r="R2371" s="1" t="s">
        <v>1839</v>
      </c>
      <c r="S2371">
        <v>0</v>
      </c>
      <c r="T2371">
        <v>0</v>
      </c>
    </row>
    <row r="2372" spans="1:20" hidden="1" x14ac:dyDescent="0.4">
      <c r="A2372" s="1" t="s">
        <v>859</v>
      </c>
      <c r="B2372" s="1" t="s">
        <v>1453</v>
      </c>
      <c r="C2372" s="1" t="s">
        <v>1844</v>
      </c>
      <c r="D2372" s="1" t="s">
        <v>1731</v>
      </c>
      <c r="E2372">
        <v>20251204</v>
      </c>
      <c r="F2372" s="1" t="s">
        <v>1472</v>
      </c>
      <c r="G2372">
        <v>1</v>
      </c>
      <c r="H2372" s="1" t="s">
        <v>1494</v>
      </c>
      <c r="I2372" t="s">
        <v>1874</v>
      </c>
      <c r="J2372" s="1" t="s">
        <v>1457</v>
      </c>
      <c r="K2372" s="1" t="s">
        <v>1597</v>
      </c>
      <c r="L2372" s="1" t="s">
        <v>1716</v>
      </c>
      <c r="M2372" s="1" t="s">
        <v>1762</v>
      </c>
      <c r="N2372" t="s">
        <v>1972</v>
      </c>
      <c r="O2372" t="s">
        <v>2162</v>
      </c>
      <c r="P2372" t="s">
        <v>3077</v>
      </c>
      <c r="Q2372">
        <v>1194.4000000000001</v>
      </c>
      <c r="R2372" s="1" t="s">
        <v>1463</v>
      </c>
      <c r="S2372">
        <v>1216</v>
      </c>
      <c r="T2372">
        <v>1452390</v>
      </c>
    </row>
    <row r="2373" spans="1:20" hidden="1" x14ac:dyDescent="0.4">
      <c r="A2373" s="1" t="s">
        <v>859</v>
      </c>
      <c r="B2373" s="1" t="s">
        <v>1454</v>
      </c>
      <c r="C2373" s="1" t="s">
        <v>1844</v>
      </c>
      <c r="D2373" s="1" t="s">
        <v>1731</v>
      </c>
      <c r="E2373">
        <v>20251204</v>
      </c>
      <c r="F2373" s="1" t="s">
        <v>1472</v>
      </c>
      <c r="G2373">
        <v>1</v>
      </c>
      <c r="H2373" s="1" t="s">
        <v>1494</v>
      </c>
      <c r="I2373" t="s">
        <v>1874</v>
      </c>
      <c r="J2373" s="1" t="s">
        <v>1457</v>
      </c>
      <c r="K2373" s="1" t="s">
        <v>1616</v>
      </c>
      <c r="L2373" s="1" t="s">
        <v>1716</v>
      </c>
      <c r="M2373" s="1" t="s">
        <v>1761</v>
      </c>
      <c r="N2373" t="s">
        <v>1990</v>
      </c>
      <c r="O2373" t="s">
        <v>2162</v>
      </c>
      <c r="P2373" t="s">
        <v>3100</v>
      </c>
      <c r="Q2373">
        <v>709.6</v>
      </c>
      <c r="R2373" s="1" t="s">
        <v>1463</v>
      </c>
      <c r="S2373">
        <v>1250</v>
      </c>
      <c r="T2373">
        <v>887000</v>
      </c>
    </row>
    <row r="2374" spans="1:20" hidden="1" x14ac:dyDescent="0.4">
      <c r="A2374" s="1" t="s">
        <v>860</v>
      </c>
      <c r="B2374" s="1" t="s">
        <v>1453</v>
      </c>
      <c r="C2374" s="1" t="s">
        <v>1844</v>
      </c>
      <c r="D2374" s="1" t="s">
        <v>1731</v>
      </c>
      <c r="E2374">
        <v>20251204</v>
      </c>
      <c r="F2374" s="1" t="s">
        <v>1470</v>
      </c>
      <c r="G2374">
        <v>1</v>
      </c>
      <c r="H2374" s="1" t="s">
        <v>1494</v>
      </c>
      <c r="I2374" t="s">
        <v>1874</v>
      </c>
      <c r="J2374" s="1" t="s">
        <v>1456</v>
      </c>
      <c r="K2374" s="1" t="s">
        <v>1628</v>
      </c>
      <c r="L2374" s="1" t="s">
        <v>1716</v>
      </c>
      <c r="M2374" s="1" t="s">
        <v>1777</v>
      </c>
      <c r="N2374" t="s">
        <v>2033</v>
      </c>
      <c r="O2374" t="s">
        <v>2162</v>
      </c>
      <c r="P2374">
        <v>1403</v>
      </c>
      <c r="Q2374">
        <v>509</v>
      </c>
      <c r="R2374" s="1" t="s">
        <v>1463</v>
      </c>
      <c r="S2374">
        <v>1453</v>
      </c>
      <c r="T2374">
        <v>739577</v>
      </c>
    </row>
    <row r="2375" spans="1:20" hidden="1" x14ac:dyDescent="0.4">
      <c r="A2375" s="1" t="s">
        <v>860</v>
      </c>
      <c r="B2375" s="1" t="s">
        <v>1454</v>
      </c>
      <c r="C2375" s="1" t="s">
        <v>1844</v>
      </c>
      <c r="D2375" s="1" t="s">
        <v>1731</v>
      </c>
      <c r="E2375">
        <v>20251204</v>
      </c>
      <c r="F2375" s="1" t="s">
        <v>1470</v>
      </c>
      <c r="G2375">
        <v>1</v>
      </c>
      <c r="H2375" s="1" t="s">
        <v>1494</v>
      </c>
      <c r="I2375" t="s">
        <v>1874</v>
      </c>
      <c r="J2375" s="1" t="s">
        <v>1456</v>
      </c>
      <c r="K2375" s="1" t="s">
        <v>1629</v>
      </c>
      <c r="L2375" s="1" t="s">
        <v>1716</v>
      </c>
      <c r="M2375" s="1" t="s">
        <v>1778</v>
      </c>
      <c r="N2375" t="s">
        <v>2034</v>
      </c>
      <c r="O2375" t="s">
        <v>2162</v>
      </c>
      <c r="P2375">
        <v>1303</v>
      </c>
      <c r="Q2375">
        <v>509</v>
      </c>
      <c r="R2375" s="1" t="s">
        <v>1463</v>
      </c>
      <c r="S2375">
        <v>1845</v>
      </c>
      <c r="T2375">
        <v>939105</v>
      </c>
    </row>
    <row r="2376" spans="1:20" hidden="1" x14ac:dyDescent="0.4">
      <c r="A2376" s="1" t="s">
        <v>861</v>
      </c>
      <c r="B2376" s="1" t="s">
        <v>1453</v>
      </c>
      <c r="C2376" s="1" t="s">
        <v>1844</v>
      </c>
      <c r="D2376" s="1" t="s">
        <v>1731</v>
      </c>
      <c r="E2376">
        <v>20251204</v>
      </c>
      <c r="F2376" s="1" t="s">
        <v>1470</v>
      </c>
      <c r="G2376">
        <v>1</v>
      </c>
      <c r="H2376" s="1" t="s">
        <v>1494</v>
      </c>
      <c r="I2376" t="s">
        <v>1874</v>
      </c>
      <c r="J2376" s="1" t="s">
        <v>1459</v>
      </c>
      <c r="K2376" s="1" t="s">
        <v>1633</v>
      </c>
      <c r="L2376" s="1" t="s">
        <v>1721</v>
      </c>
      <c r="M2376" s="1" t="s">
        <v>1737</v>
      </c>
      <c r="N2376" t="s">
        <v>2123</v>
      </c>
      <c r="O2376" t="s">
        <v>2167</v>
      </c>
      <c r="P2376" t="s">
        <v>3117</v>
      </c>
      <c r="Q2376">
        <v>700</v>
      </c>
      <c r="R2376" s="1" t="s">
        <v>1840</v>
      </c>
      <c r="S2376">
        <v>283.5</v>
      </c>
      <c r="T2376">
        <v>198450</v>
      </c>
    </row>
    <row r="2377" spans="1:20" hidden="1" x14ac:dyDescent="0.4">
      <c r="A2377" s="1" t="s">
        <v>862</v>
      </c>
      <c r="B2377" s="1" t="s">
        <v>1453</v>
      </c>
      <c r="C2377" s="1" t="s">
        <v>1844</v>
      </c>
      <c r="D2377" s="1" t="s">
        <v>1462</v>
      </c>
      <c r="E2377">
        <v>20251203</v>
      </c>
      <c r="F2377" s="1" t="s">
        <v>1471</v>
      </c>
      <c r="G2377">
        <v>4</v>
      </c>
      <c r="H2377" s="1" t="s">
        <v>1524</v>
      </c>
      <c r="I2377" t="s">
        <v>1904</v>
      </c>
      <c r="J2377" s="1" t="s">
        <v>1460</v>
      </c>
      <c r="K2377" s="1" t="s">
        <v>1651</v>
      </c>
      <c r="L2377" s="1" t="s">
        <v>1731</v>
      </c>
      <c r="M2377" s="1" t="s">
        <v>1737</v>
      </c>
      <c r="N2377" t="s">
        <v>2035</v>
      </c>
      <c r="O2377" t="s">
        <v>2178</v>
      </c>
      <c r="P2377" t="s">
        <v>2157</v>
      </c>
      <c r="Q2377">
        <v>25</v>
      </c>
      <c r="R2377" s="1" t="s">
        <v>1463</v>
      </c>
      <c r="S2377">
        <v>2734</v>
      </c>
      <c r="T2377">
        <v>68350</v>
      </c>
    </row>
    <row r="2378" spans="1:20" hidden="1" x14ac:dyDescent="0.4">
      <c r="A2378" s="1" t="s">
        <v>863</v>
      </c>
      <c r="B2378" s="1" t="s">
        <v>1453</v>
      </c>
      <c r="C2378" s="1" t="s">
        <v>1844</v>
      </c>
      <c r="D2378" s="1" t="s">
        <v>1462</v>
      </c>
      <c r="E2378">
        <v>20251203</v>
      </c>
      <c r="F2378" s="1" t="s">
        <v>1471</v>
      </c>
      <c r="G2378">
        <v>4</v>
      </c>
      <c r="H2378" s="1" t="s">
        <v>1525</v>
      </c>
      <c r="I2378" t="s">
        <v>1905</v>
      </c>
      <c r="J2378" s="1" t="s">
        <v>1460</v>
      </c>
      <c r="K2378" s="1" t="s">
        <v>1649</v>
      </c>
      <c r="L2378" s="1" t="s">
        <v>1731</v>
      </c>
      <c r="M2378" s="1" t="s">
        <v>1761</v>
      </c>
      <c r="N2378" t="s">
        <v>2031</v>
      </c>
      <c r="O2378" t="s">
        <v>2178</v>
      </c>
      <c r="P2378" t="s">
        <v>3156</v>
      </c>
      <c r="Q2378">
        <v>250</v>
      </c>
      <c r="R2378" s="1" t="s">
        <v>1463</v>
      </c>
      <c r="S2378">
        <v>1560</v>
      </c>
      <c r="T2378">
        <v>390000</v>
      </c>
    </row>
    <row r="2379" spans="1:20" hidden="1" x14ac:dyDescent="0.4">
      <c r="A2379" s="1" t="s">
        <v>864</v>
      </c>
      <c r="B2379" s="1" t="s">
        <v>1453</v>
      </c>
      <c r="C2379" s="1" t="s">
        <v>1844</v>
      </c>
      <c r="D2379" s="1" t="s">
        <v>1462</v>
      </c>
      <c r="E2379">
        <v>20251203</v>
      </c>
      <c r="F2379" s="1" t="s">
        <v>1471</v>
      </c>
      <c r="G2379">
        <v>4</v>
      </c>
      <c r="H2379" s="1" t="s">
        <v>1526</v>
      </c>
      <c r="I2379" t="s">
        <v>1906</v>
      </c>
      <c r="J2379" s="1" t="s">
        <v>1460</v>
      </c>
      <c r="K2379" s="1" t="s">
        <v>1647</v>
      </c>
      <c r="L2379" s="1" t="s">
        <v>1731</v>
      </c>
      <c r="M2379" s="1" t="s">
        <v>1800</v>
      </c>
      <c r="N2379" t="s">
        <v>2029</v>
      </c>
      <c r="O2379" t="s">
        <v>2178</v>
      </c>
      <c r="P2379" t="s">
        <v>3161</v>
      </c>
      <c r="Q2379">
        <v>2000</v>
      </c>
      <c r="R2379" s="1" t="s">
        <v>1463</v>
      </c>
      <c r="S2379">
        <v>490</v>
      </c>
      <c r="T2379">
        <v>980000</v>
      </c>
    </row>
    <row r="2380" spans="1:20" hidden="1" x14ac:dyDescent="0.4">
      <c r="A2380" s="1" t="s">
        <v>864</v>
      </c>
      <c r="B2380" s="1" t="s">
        <v>1454</v>
      </c>
      <c r="C2380" s="1" t="s">
        <v>1844</v>
      </c>
      <c r="D2380" s="1" t="s">
        <v>1462</v>
      </c>
      <c r="E2380">
        <v>20251203</v>
      </c>
      <c r="F2380" s="1" t="s">
        <v>1471</v>
      </c>
      <c r="G2380">
        <v>4</v>
      </c>
      <c r="H2380" s="1" t="s">
        <v>1526</v>
      </c>
      <c r="I2380" t="s">
        <v>1906</v>
      </c>
      <c r="J2380" s="1" t="s">
        <v>1460</v>
      </c>
      <c r="K2380" s="1" t="s">
        <v>1652</v>
      </c>
      <c r="L2380" s="1" t="s">
        <v>1731</v>
      </c>
      <c r="M2380" s="1" t="s">
        <v>1801</v>
      </c>
      <c r="N2380" t="s">
        <v>2036</v>
      </c>
      <c r="O2380" t="s">
        <v>2178</v>
      </c>
      <c r="P2380" t="s">
        <v>3162</v>
      </c>
      <c r="Q2380">
        <v>2000</v>
      </c>
      <c r="R2380" s="1" t="s">
        <v>1463</v>
      </c>
      <c r="S2380">
        <v>490</v>
      </c>
      <c r="T2380">
        <v>980000</v>
      </c>
    </row>
    <row r="2381" spans="1:20" hidden="1" x14ac:dyDescent="0.4">
      <c r="A2381" s="1" t="s">
        <v>865</v>
      </c>
      <c r="B2381" s="1" t="s">
        <v>1453</v>
      </c>
      <c r="C2381" s="1" t="s">
        <v>1844</v>
      </c>
      <c r="D2381" s="1" t="s">
        <v>1462</v>
      </c>
      <c r="E2381">
        <v>20251203</v>
      </c>
      <c r="F2381" s="1" t="s">
        <v>1471</v>
      </c>
      <c r="G2381">
        <v>4</v>
      </c>
      <c r="H2381" s="1" t="s">
        <v>1526</v>
      </c>
      <c r="I2381" t="s">
        <v>1906</v>
      </c>
      <c r="J2381" s="1" t="s">
        <v>1460</v>
      </c>
      <c r="K2381" s="1" t="s">
        <v>1647</v>
      </c>
      <c r="L2381" s="1" t="s">
        <v>1731</v>
      </c>
      <c r="M2381" s="1" t="s">
        <v>1800</v>
      </c>
      <c r="N2381" t="s">
        <v>2029</v>
      </c>
      <c r="O2381" t="s">
        <v>2178</v>
      </c>
      <c r="P2381" t="s">
        <v>3161</v>
      </c>
      <c r="Q2381">
        <v>1250</v>
      </c>
      <c r="R2381" s="1" t="s">
        <v>1463</v>
      </c>
      <c r="S2381">
        <v>490</v>
      </c>
      <c r="T2381">
        <v>612500</v>
      </c>
    </row>
    <row r="2382" spans="1:20" hidden="1" x14ac:dyDescent="0.4">
      <c r="A2382" s="1" t="s">
        <v>866</v>
      </c>
      <c r="B2382" s="1" t="s">
        <v>1453</v>
      </c>
      <c r="C2382" s="1" t="s">
        <v>1844</v>
      </c>
      <c r="D2382" s="1" t="s">
        <v>1462</v>
      </c>
      <c r="E2382">
        <v>20251203</v>
      </c>
      <c r="F2382" s="1" t="s">
        <v>1471</v>
      </c>
      <c r="G2382">
        <v>4</v>
      </c>
      <c r="H2382" s="1" t="s">
        <v>1527</v>
      </c>
      <c r="I2382" t="s">
        <v>1907</v>
      </c>
      <c r="J2382" s="1" t="s">
        <v>1460</v>
      </c>
      <c r="K2382" s="1" t="s">
        <v>1649</v>
      </c>
      <c r="L2382" s="1" t="s">
        <v>1731</v>
      </c>
      <c r="M2382" s="1" t="s">
        <v>1761</v>
      </c>
      <c r="N2382" t="s">
        <v>2031</v>
      </c>
      <c r="O2382" t="s">
        <v>2178</v>
      </c>
      <c r="P2382" t="s">
        <v>3156</v>
      </c>
      <c r="Q2382">
        <v>1250</v>
      </c>
      <c r="R2382" s="1" t="s">
        <v>1463</v>
      </c>
      <c r="S2382">
        <v>1560</v>
      </c>
      <c r="T2382">
        <v>1950000</v>
      </c>
    </row>
    <row r="2383" spans="1:20" hidden="1" x14ac:dyDescent="0.4">
      <c r="A2383" s="1" t="s">
        <v>867</v>
      </c>
      <c r="B2383" s="1" t="s">
        <v>1453</v>
      </c>
      <c r="C2383" s="1" t="s">
        <v>1844</v>
      </c>
      <c r="D2383" s="1" t="s">
        <v>1462</v>
      </c>
      <c r="E2383">
        <v>20251203</v>
      </c>
      <c r="F2383" s="1" t="s">
        <v>1471</v>
      </c>
      <c r="G2383">
        <v>4</v>
      </c>
      <c r="H2383" s="1" t="s">
        <v>1522</v>
      </c>
      <c r="I2383" t="s">
        <v>1902</v>
      </c>
      <c r="J2383" s="1" t="s">
        <v>1460</v>
      </c>
      <c r="K2383" s="1" t="s">
        <v>1653</v>
      </c>
      <c r="L2383" s="1" t="s">
        <v>1731</v>
      </c>
      <c r="M2383" s="1" t="s">
        <v>1761</v>
      </c>
      <c r="N2383" t="s">
        <v>2037</v>
      </c>
      <c r="O2383" t="s">
        <v>2178</v>
      </c>
      <c r="P2383" t="s">
        <v>3156</v>
      </c>
      <c r="Q2383">
        <v>500</v>
      </c>
      <c r="R2383" s="1" t="s">
        <v>1463</v>
      </c>
      <c r="S2383">
        <v>700</v>
      </c>
      <c r="T2383">
        <v>350000</v>
      </c>
    </row>
    <row r="2384" spans="1:20" hidden="1" x14ac:dyDescent="0.4">
      <c r="A2384" s="1" t="s">
        <v>868</v>
      </c>
      <c r="B2384" s="1" t="s">
        <v>1453</v>
      </c>
      <c r="C2384" s="1" t="s">
        <v>1844</v>
      </c>
      <c r="D2384" s="1" t="s">
        <v>1462</v>
      </c>
      <c r="E2384">
        <v>20251203</v>
      </c>
      <c r="F2384" s="1" t="s">
        <v>1471</v>
      </c>
      <c r="G2384">
        <v>4</v>
      </c>
      <c r="H2384" s="1" t="s">
        <v>1528</v>
      </c>
      <c r="I2384" t="s">
        <v>1908</v>
      </c>
      <c r="J2384" s="1" t="s">
        <v>1460</v>
      </c>
      <c r="K2384" s="1" t="s">
        <v>1629</v>
      </c>
      <c r="L2384" s="1" t="s">
        <v>1731</v>
      </c>
      <c r="M2384" s="1" t="s">
        <v>1802</v>
      </c>
      <c r="N2384" t="s">
        <v>2038</v>
      </c>
      <c r="O2384" t="s">
        <v>2178</v>
      </c>
      <c r="P2384" t="s">
        <v>3163</v>
      </c>
      <c r="Q2384">
        <v>250</v>
      </c>
      <c r="R2384" s="1" t="s">
        <v>1463</v>
      </c>
      <c r="S2384">
        <v>567</v>
      </c>
      <c r="T2384">
        <v>141750</v>
      </c>
    </row>
    <row r="2385" spans="1:20" hidden="1" x14ac:dyDescent="0.4">
      <c r="A2385" s="1" t="s">
        <v>868</v>
      </c>
      <c r="B2385" s="1" t="s">
        <v>1454</v>
      </c>
      <c r="C2385" s="1" t="s">
        <v>1844</v>
      </c>
      <c r="D2385" s="1" t="s">
        <v>1462</v>
      </c>
      <c r="E2385">
        <v>20251203</v>
      </c>
      <c r="F2385" s="1" t="s">
        <v>1471</v>
      </c>
      <c r="G2385">
        <v>4</v>
      </c>
      <c r="H2385" s="1" t="s">
        <v>1528</v>
      </c>
      <c r="I2385" t="s">
        <v>1908</v>
      </c>
      <c r="J2385" s="1" t="s">
        <v>1460</v>
      </c>
      <c r="K2385" s="1" t="s">
        <v>1654</v>
      </c>
      <c r="L2385" s="1" t="s">
        <v>1731</v>
      </c>
      <c r="M2385" s="1" t="s">
        <v>1803</v>
      </c>
      <c r="N2385" t="s">
        <v>2039</v>
      </c>
      <c r="O2385" t="s">
        <v>2178</v>
      </c>
      <c r="P2385" t="s">
        <v>3164</v>
      </c>
      <c r="Q2385">
        <v>500</v>
      </c>
      <c r="R2385" s="1" t="s">
        <v>1463</v>
      </c>
      <c r="S2385">
        <v>600</v>
      </c>
      <c r="T2385">
        <v>300000</v>
      </c>
    </row>
    <row r="2386" spans="1:20" hidden="1" x14ac:dyDescent="0.4">
      <c r="A2386" s="1" t="s">
        <v>869</v>
      </c>
      <c r="B2386" s="1" t="s">
        <v>1453</v>
      </c>
      <c r="C2386" s="1" t="s">
        <v>1844</v>
      </c>
      <c r="D2386" s="1" t="s">
        <v>1462</v>
      </c>
      <c r="E2386">
        <v>20251203</v>
      </c>
      <c r="F2386" s="1" t="s">
        <v>1471</v>
      </c>
      <c r="G2386">
        <v>4</v>
      </c>
      <c r="H2386" s="1" t="s">
        <v>1528</v>
      </c>
      <c r="I2386" t="s">
        <v>1908</v>
      </c>
      <c r="J2386" s="1" t="s">
        <v>1460</v>
      </c>
      <c r="K2386" s="1" t="s">
        <v>1654</v>
      </c>
      <c r="L2386" s="1" t="s">
        <v>1731</v>
      </c>
      <c r="M2386" s="1" t="s">
        <v>1803</v>
      </c>
      <c r="N2386" t="s">
        <v>2039</v>
      </c>
      <c r="O2386" t="s">
        <v>2178</v>
      </c>
      <c r="P2386" t="s">
        <v>3164</v>
      </c>
      <c r="Q2386">
        <v>500</v>
      </c>
      <c r="R2386" s="1" t="s">
        <v>1463</v>
      </c>
      <c r="S2386">
        <v>600</v>
      </c>
      <c r="T2386">
        <v>300000</v>
      </c>
    </row>
    <row r="2387" spans="1:20" hidden="1" x14ac:dyDescent="0.4">
      <c r="A2387" s="1" t="s">
        <v>869</v>
      </c>
      <c r="B2387" s="1" t="s">
        <v>1454</v>
      </c>
      <c r="C2387" s="1" t="s">
        <v>1844</v>
      </c>
      <c r="D2387" s="1" t="s">
        <v>1462</v>
      </c>
      <c r="E2387">
        <v>20251203</v>
      </c>
      <c r="F2387" s="1" t="s">
        <v>1471</v>
      </c>
      <c r="G2387">
        <v>4</v>
      </c>
      <c r="H2387" s="1" t="s">
        <v>1528</v>
      </c>
      <c r="I2387" t="s">
        <v>1908</v>
      </c>
      <c r="J2387" s="1" t="s">
        <v>1460</v>
      </c>
      <c r="K2387" s="1" t="s">
        <v>1655</v>
      </c>
      <c r="L2387" s="1" t="s">
        <v>1731</v>
      </c>
      <c r="M2387" s="1" t="s">
        <v>1804</v>
      </c>
      <c r="N2387" t="s">
        <v>2040</v>
      </c>
      <c r="O2387" t="s">
        <v>2178</v>
      </c>
      <c r="P2387" t="s">
        <v>3165</v>
      </c>
      <c r="Q2387">
        <v>250</v>
      </c>
      <c r="R2387" s="1" t="s">
        <v>1463</v>
      </c>
      <c r="S2387">
        <v>589</v>
      </c>
      <c r="T2387">
        <v>147250</v>
      </c>
    </row>
    <row r="2388" spans="1:20" hidden="1" x14ac:dyDescent="0.4">
      <c r="A2388" s="1" t="s">
        <v>870</v>
      </c>
      <c r="B2388" s="1" t="s">
        <v>1453</v>
      </c>
      <c r="C2388" s="1" t="s">
        <v>1844</v>
      </c>
      <c r="D2388" s="1" t="s">
        <v>1462</v>
      </c>
      <c r="E2388">
        <v>20251203</v>
      </c>
      <c r="F2388" s="1" t="s">
        <v>1471</v>
      </c>
      <c r="G2388">
        <v>4</v>
      </c>
      <c r="H2388" s="1" t="s">
        <v>1528</v>
      </c>
      <c r="I2388" t="s">
        <v>1908</v>
      </c>
      <c r="J2388" s="1" t="s">
        <v>1460</v>
      </c>
      <c r="K2388" s="1" t="s">
        <v>1654</v>
      </c>
      <c r="L2388" s="1" t="s">
        <v>1731</v>
      </c>
      <c r="M2388" s="1" t="s">
        <v>1803</v>
      </c>
      <c r="N2388" t="s">
        <v>2039</v>
      </c>
      <c r="O2388" t="s">
        <v>2178</v>
      </c>
      <c r="P2388" t="s">
        <v>3164</v>
      </c>
      <c r="Q2388">
        <v>500</v>
      </c>
      <c r="R2388" s="1" t="s">
        <v>1463</v>
      </c>
      <c r="S2388">
        <v>600</v>
      </c>
      <c r="T2388">
        <v>300000</v>
      </c>
    </row>
    <row r="2389" spans="1:20" hidden="1" x14ac:dyDescent="0.4">
      <c r="A2389" s="1" t="s">
        <v>871</v>
      </c>
      <c r="B2389" s="1" t="s">
        <v>1453</v>
      </c>
      <c r="C2389" s="1" t="s">
        <v>1844</v>
      </c>
      <c r="D2389" s="1" t="s">
        <v>1462</v>
      </c>
      <c r="E2389">
        <v>20251203</v>
      </c>
      <c r="F2389" s="1" t="s">
        <v>1471</v>
      </c>
      <c r="G2389">
        <v>4</v>
      </c>
      <c r="H2389" s="1" t="s">
        <v>1528</v>
      </c>
      <c r="I2389" t="s">
        <v>1908</v>
      </c>
      <c r="J2389" s="1" t="s">
        <v>1460</v>
      </c>
      <c r="K2389" s="1" t="s">
        <v>1654</v>
      </c>
      <c r="L2389" s="1" t="s">
        <v>1731</v>
      </c>
      <c r="M2389" s="1" t="s">
        <v>1803</v>
      </c>
      <c r="N2389" t="s">
        <v>2039</v>
      </c>
      <c r="O2389" t="s">
        <v>2178</v>
      </c>
      <c r="P2389" t="s">
        <v>3164</v>
      </c>
      <c r="Q2389">
        <v>500</v>
      </c>
      <c r="R2389" s="1" t="s">
        <v>1463</v>
      </c>
      <c r="S2389">
        <v>600</v>
      </c>
      <c r="T2389">
        <v>300000</v>
      </c>
    </row>
    <row r="2390" spans="1:20" hidden="1" x14ac:dyDescent="0.4">
      <c r="A2390" s="1" t="s">
        <v>872</v>
      </c>
      <c r="B2390" s="1" t="s">
        <v>1453</v>
      </c>
      <c r="C2390" s="1" t="s">
        <v>1844</v>
      </c>
      <c r="D2390" s="1" t="s">
        <v>1462</v>
      </c>
      <c r="E2390">
        <v>20251203</v>
      </c>
      <c r="F2390" s="1" t="s">
        <v>1471</v>
      </c>
      <c r="G2390">
        <v>4</v>
      </c>
      <c r="H2390" s="1" t="s">
        <v>1526</v>
      </c>
      <c r="I2390" t="s">
        <v>1906</v>
      </c>
      <c r="J2390" s="1" t="s">
        <v>1460</v>
      </c>
      <c r="K2390" s="1" t="s">
        <v>1652</v>
      </c>
      <c r="L2390" s="1" t="s">
        <v>1731</v>
      </c>
      <c r="M2390" s="1" t="s">
        <v>1801</v>
      </c>
      <c r="N2390" t="s">
        <v>2036</v>
      </c>
      <c r="O2390" t="s">
        <v>2178</v>
      </c>
      <c r="P2390" t="s">
        <v>3162</v>
      </c>
      <c r="Q2390">
        <v>250</v>
      </c>
      <c r="R2390" s="1" t="s">
        <v>1463</v>
      </c>
      <c r="S2390">
        <v>490</v>
      </c>
      <c r="T2390">
        <v>122500</v>
      </c>
    </row>
    <row r="2391" spans="1:20" hidden="1" x14ac:dyDescent="0.4">
      <c r="A2391" s="1" t="s">
        <v>873</v>
      </c>
      <c r="B2391" s="1" t="s">
        <v>1453</v>
      </c>
      <c r="C2391" s="1" t="s">
        <v>1844</v>
      </c>
      <c r="D2391" s="1" t="s">
        <v>1467</v>
      </c>
      <c r="E2391">
        <v>20251204</v>
      </c>
      <c r="F2391" s="1" t="s">
        <v>1473</v>
      </c>
      <c r="G2391">
        <v>4</v>
      </c>
      <c r="H2391" s="1" t="s">
        <v>1521</v>
      </c>
      <c r="I2391" t="s">
        <v>1901</v>
      </c>
      <c r="J2391" s="1" t="s">
        <v>1453</v>
      </c>
      <c r="K2391" s="1" t="s">
        <v>1583</v>
      </c>
      <c r="L2391" s="1" t="s">
        <v>1718</v>
      </c>
      <c r="M2391" s="1" t="s">
        <v>1751</v>
      </c>
      <c r="N2391" t="s">
        <v>1958</v>
      </c>
      <c r="O2391" t="s">
        <v>2164</v>
      </c>
      <c r="P2391" t="s">
        <v>3064</v>
      </c>
      <c r="Q2391">
        <v>109.2</v>
      </c>
      <c r="R2391" s="1" t="s">
        <v>1839</v>
      </c>
      <c r="S2391">
        <v>2345</v>
      </c>
      <c r="T2391">
        <v>256074</v>
      </c>
    </row>
    <row r="2392" spans="1:20" hidden="1" x14ac:dyDescent="0.4">
      <c r="A2392" s="1" t="s">
        <v>874</v>
      </c>
      <c r="B2392" s="1" t="s">
        <v>1453</v>
      </c>
      <c r="C2392" s="1" t="s">
        <v>1844</v>
      </c>
      <c r="D2392" s="1" t="s">
        <v>1462</v>
      </c>
      <c r="E2392">
        <v>20251209</v>
      </c>
      <c r="F2392" s="1" t="s">
        <v>1473</v>
      </c>
      <c r="G2392">
        <v>4</v>
      </c>
      <c r="H2392" s="1" t="s">
        <v>1513</v>
      </c>
      <c r="I2392" t="s">
        <v>1893</v>
      </c>
      <c r="J2392" s="1" t="s">
        <v>1453</v>
      </c>
      <c r="K2392" s="1" t="s">
        <v>1588</v>
      </c>
      <c r="L2392" s="1" t="s">
        <v>1718</v>
      </c>
      <c r="M2392" s="1" t="s">
        <v>1825</v>
      </c>
      <c r="N2392" t="s">
        <v>1963</v>
      </c>
      <c r="O2392" t="s">
        <v>2164</v>
      </c>
      <c r="P2392" t="s">
        <v>3171</v>
      </c>
      <c r="Q2392">
        <v>109.2</v>
      </c>
      <c r="R2392" s="1" t="s">
        <v>1839</v>
      </c>
      <c r="S2392">
        <v>2957</v>
      </c>
      <c r="T2392">
        <v>322904</v>
      </c>
    </row>
    <row r="2393" spans="1:20" hidden="1" x14ac:dyDescent="0.4">
      <c r="A2393" s="1" t="s">
        <v>874</v>
      </c>
      <c r="B2393" s="1" t="s">
        <v>1454</v>
      </c>
      <c r="C2393" s="1" t="s">
        <v>1844</v>
      </c>
      <c r="D2393" s="1" t="s">
        <v>1462</v>
      </c>
      <c r="E2393">
        <v>20251209</v>
      </c>
      <c r="F2393" s="1" t="s">
        <v>1473</v>
      </c>
      <c r="G2393">
        <v>4</v>
      </c>
      <c r="H2393" s="1" t="s">
        <v>1513</v>
      </c>
      <c r="I2393" t="s">
        <v>1893</v>
      </c>
      <c r="J2393" s="1" t="s">
        <v>1453</v>
      </c>
      <c r="K2393" s="1" t="s">
        <v>1700</v>
      </c>
      <c r="L2393" s="1" t="s">
        <v>1718</v>
      </c>
      <c r="M2393" s="1" t="s">
        <v>1826</v>
      </c>
      <c r="N2393" t="s">
        <v>2124</v>
      </c>
      <c r="O2393" t="s">
        <v>2164</v>
      </c>
      <c r="P2393" t="s">
        <v>3321</v>
      </c>
      <c r="Q2393">
        <v>116.84</v>
      </c>
      <c r="R2393" s="1" t="s">
        <v>1839</v>
      </c>
      <c r="S2393">
        <v>2870</v>
      </c>
      <c r="T2393">
        <v>335216</v>
      </c>
    </row>
    <row r="2394" spans="1:20" hidden="1" x14ac:dyDescent="0.4">
      <c r="A2394" s="1" t="s">
        <v>874</v>
      </c>
      <c r="B2394" s="1" t="s">
        <v>1455</v>
      </c>
      <c r="C2394" s="1" t="s">
        <v>1844</v>
      </c>
      <c r="D2394" s="1" t="s">
        <v>1462</v>
      </c>
      <c r="E2394">
        <v>20251209</v>
      </c>
      <c r="F2394" s="1" t="s">
        <v>1473</v>
      </c>
      <c r="G2394">
        <v>4</v>
      </c>
      <c r="H2394" s="1" t="s">
        <v>1513</v>
      </c>
      <c r="I2394" t="s">
        <v>1893</v>
      </c>
      <c r="J2394" s="1" t="s">
        <v>1453</v>
      </c>
      <c r="K2394" s="1" t="s">
        <v>1700</v>
      </c>
      <c r="L2394" s="1" t="s">
        <v>1718</v>
      </c>
      <c r="M2394" s="1" t="s">
        <v>1742</v>
      </c>
      <c r="N2394" t="s">
        <v>2124</v>
      </c>
      <c r="O2394" t="s">
        <v>2164</v>
      </c>
      <c r="P2394" t="s">
        <v>3322</v>
      </c>
      <c r="Q2394">
        <v>127.76</v>
      </c>
      <c r="R2394" s="1" t="s">
        <v>1839</v>
      </c>
      <c r="S2394">
        <v>2870</v>
      </c>
      <c r="T2394">
        <v>366786</v>
      </c>
    </row>
    <row r="2395" spans="1:20" hidden="1" x14ac:dyDescent="0.4">
      <c r="A2395" s="1" t="s">
        <v>874</v>
      </c>
      <c r="B2395" s="1" t="s">
        <v>1456</v>
      </c>
      <c r="C2395" s="1" t="s">
        <v>1844</v>
      </c>
      <c r="D2395" s="1" t="s">
        <v>1462</v>
      </c>
      <c r="E2395">
        <v>20251209</v>
      </c>
      <c r="F2395" s="1" t="s">
        <v>1473</v>
      </c>
      <c r="G2395">
        <v>4</v>
      </c>
      <c r="H2395" s="1" t="s">
        <v>1513</v>
      </c>
      <c r="I2395" t="s">
        <v>1893</v>
      </c>
      <c r="J2395" s="1" t="s">
        <v>1453</v>
      </c>
      <c r="K2395" s="1" t="s">
        <v>1584</v>
      </c>
      <c r="L2395" s="1" t="s">
        <v>1718</v>
      </c>
      <c r="M2395" s="1" t="s">
        <v>1753</v>
      </c>
      <c r="N2395" t="s">
        <v>1959</v>
      </c>
      <c r="O2395" t="s">
        <v>2164</v>
      </c>
      <c r="P2395" t="s">
        <v>3066</v>
      </c>
      <c r="Q2395">
        <v>116.48</v>
      </c>
      <c r="R2395" s="1" t="s">
        <v>1839</v>
      </c>
      <c r="S2395">
        <v>2643</v>
      </c>
      <c r="T2395">
        <v>307910</v>
      </c>
    </row>
    <row r="2396" spans="1:20" hidden="1" x14ac:dyDescent="0.4">
      <c r="A2396" s="1" t="s">
        <v>874</v>
      </c>
      <c r="B2396" s="1" t="s">
        <v>1457</v>
      </c>
      <c r="C2396" s="1" t="s">
        <v>1844</v>
      </c>
      <c r="D2396" s="1" t="s">
        <v>1462</v>
      </c>
      <c r="E2396">
        <v>20251209</v>
      </c>
      <c r="F2396" s="1" t="s">
        <v>1473</v>
      </c>
      <c r="G2396">
        <v>4</v>
      </c>
      <c r="H2396" s="1" t="s">
        <v>1513</v>
      </c>
      <c r="I2396" t="s">
        <v>1893</v>
      </c>
      <c r="J2396" s="1" t="s">
        <v>1453</v>
      </c>
      <c r="K2396" s="1" t="s">
        <v>1584</v>
      </c>
      <c r="L2396" s="1" t="s">
        <v>1718</v>
      </c>
      <c r="M2396" s="1" t="s">
        <v>1753</v>
      </c>
      <c r="N2396" t="s">
        <v>1959</v>
      </c>
      <c r="O2396" t="s">
        <v>2164</v>
      </c>
      <c r="P2396" t="s">
        <v>3066</v>
      </c>
      <c r="Q2396">
        <v>116.48</v>
      </c>
      <c r="R2396" s="1" t="s">
        <v>1839</v>
      </c>
      <c r="S2396">
        <v>2643</v>
      </c>
      <c r="T2396">
        <v>307910</v>
      </c>
    </row>
    <row r="2397" spans="1:20" hidden="1" x14ac:dyDescent="0.4">
      <c r="A2397" s="1" t="s">
        <v>874</v>
      </c>
      <c r="B2397" s="1" t="s">
        <v>1458</v>
      </c>
      <c r="C2397" s="1" t="s">
        <v>1844</v>
      </c>
      <c r="D2397" s="1" t="s">
        <v>1462</v>
      </c>
      <c r="E2397">
        <v>20251209</v>
      </c>
      <c r="F2397" s="1" t="s">
        <v>1473</v>
      </c>
      <c r="G2397">
        <v>4</v>
      </c>
      <c r="H2397" s="1" t="s">
        <v>1513</v>
      </c>
      <c r="I2397" t="s">
        <v>1893</v>
      </c>
      <c r="J2397" s="1" t="s">
        <v>1453</v>
      </c>
      <c r="K2397" s="1" t="s">
        <v>1694</v>
      </c>
      <c r="L2397" s="1" t="s">
        <v>1718</v>
      </c>
      <c r="M2397" s="1" t="s">
        <v>1761</v>
      </c>
      <c r="N2397" t="s">
        <v>2100</v>
      </c>
      <c r="O2397" t="s">
        <v>2164</v>
      </c>
      <c r="P2397" t="s">
        <v>3253</v>
      </c>
      <c r="Q2397">
        <v>109.25</v>
      </c>
      <c r="R2397" s="1" t="s">
        <v>1839</v>
      </c>
      <c r="S2397">
        <v>2508</v>
      </c>
      <c r="T2397">
        <v>274124</v>
      </c>
    </row>
    <row r="2398" spans="1:20" hidden="1" x14ac:dyDescent="0.4">
      <c r="A2398" s="1" t="s">
        <v>874</v>
      </c>
      <c r="B2398" s="1" t="s">
        <v>1459</v>
      </c>
      <c r="C2398" s="1" t="s">
        <v>1844</v>
      </c>
      <c r="D2398" s="1" t="s">
        <v>1462</v>
      </c>
      <c r="E2398">
        <v>20251209</v>
      </c>
      <c r="F2398" s="1" t="s">
        <v>1473</v>
      </c>
      <c r="G2398">
        <v>4</v>
      </c>
      <c r="H2398" s="1" t="s">
        <v>1513</v>
      </c>
      <c r="I2398" t="s">
        <v>1893</v>
      </c>
      <c r="J2398" s="1" t="s">
        <v>1453</v>
      </c>
      <c r="K2398" s="1" t="s">
        <v>1694</v>
      </c>
      <c r="L2398" s="1" t="s">
        <v>1718</v>
      </c>
      <c r="M2398" s="1" t="s">
        <v>1761</v>
      </c>
      <c r="N2398" t="s">
        <v>2100</v>
      </c>
      <c r="O2398" t="s">
        <v>2164</v>
      </c>
      <c r="P2398" t="s">
        <v>3253</v>
      </c>
      <c r="Q2398">
        <v>96.26</v>
      </c>
      <c r="R2398" s="1" t="s">
        <v>1839</v>
      </c>
      <c r="S2398">
        <v>2508</v>
      </c>
      <c r="T2398">
        <v>241520</v>
      </c>
    </row>
    <row r="2399" spans="1:20" hidden="1" x14ac:dyDescent="0.4">
      <c r="A2399" s="1" t="s">
        <v>874</v>
      </c>
      <c r="B2399" s="1" t="s">
        <v>1460</v>
      </c>
      <c r="C2399" s="1" t="s">
        <v>1844</v>
      </c>
      <c r="D2399" s="1" t="s">
        <v>1462</v>
      </c>
      <c r="E2399">
        <v>20251209</v>
      </c>
      <c r="F2399" s="1" t="s">
        <v>1473</v>
      </c>
      <c r="G2399">
        <v>4</v>
      </c>
      <c r="H2399" s="1" t="s">
        <v>1513</v>
      </c>
      <c r="I2399" t="s">
        <v>1893</v>
      </c>
      <c r="J2399" s="1" t="s">
        <v>1453</v>
      </c>
      <c r="K2399" s="1" t="s">
        <v>1694</v>
      </c>
      <c r="L2399" s="1" t="s">
        <v>1718</v>
      </c>
      <c r="M2399" s="1" t="s">
        <v>1820</v>
      </c>
      <c r="N2399" t="s">
        <v>2100</v>
      </c>
      <c r="O2399" t="s">
        <v>2164</v>
      </c>
      <c r="P2399" t="s">
        <v>3254</v>
      </c>
      <c r="Q2399">
        <v>114.6</v>
      </c>
      <c r="R2399" s="1" t="s">
        <v>1839</v>
      </c>
      <c r="S2399">
        <v>2508</v>
      </c>
      <c r="T2399">
        <v>287417</v>
      </c>
    </row>
    <row r="2400" spans="1:20" hidden="1" x14ac:dyDescent="0.4">
      <c r="A2400" s="1" t="s">
        <v>874</v>
      </c>
      <c r="B2400" s="1" t="s">
        <v>1461</v>
      </c>
      <c r="C2400" s="1" t="s">
        <v>1844</v>
      </c>
      <c r="D2400" s="1" t="s">
        <v>1462</v>
      </c>
      <c r="E2400">
        <v>20251209</v>
      </c>
      <c r="F2400" s="1" t="s">
        <v>1473</v>
      </c>
      <c r="G2400">
        <v>4</v>
      </c>
      <c r="H2400" s="1" t="s">
        <v>1513</v>
      </c>
      <c r="I2400" t="s">
        <v>1893</v>
      </c>
      <c r="J2400" s="1" t="s">
        <v>1453</v>
      </c>
      <c r="K2400" s="1" t="s">
        <v>1694</v>
      </c>
      <c r="L2400" s="1" t="s">
        <v>1724</v>
      </c>
      <c r="M2400" s="1" t="s">
        <v>1820</v>
      </c>
      <c r="N2400" t="s">
        <v>2100</v>
      </c>
      <c r="O2400" t="s">
        <v>2170</v>
      </c>
      <c r="P2400" t="s">
        <v>3254</v>
      </c>
      <c r="Q2400">
        <v>59.59</v>
      </c>
      <c r="R2400" s="1" t="s">
        <v>1839</v>
      </c>
      <c r="S2400">
        <v>2006</v>
      </c>
      <c r="T2400">
        <v>119558</v>
      </c>
    </row>
    <row r="2401" spans="1:20" hidden="1" x14ac:dyDescent="0.4">
      <c r="A2401" s="1" t="s">
        <v>875</v>
      </c>
      <c r="B2401" s="1" t="s">
        <v>1453</v>
      </c>
      <c r="C2401" s="1" t="s">
        <v>1844</v>
      </c>
      <c r="D2401" s="1" t="s">
        <v>1730</v>
      </c>
      <c r="E2401">
        <v>20251205</v>
      </c>
      <c r="F2401" s="1" t="s">
        <v>1470</v>
      </c>
      <c r="G2401">
        <v>4</v>
      </c>
      <c r="H2401" s="1" t="s">
        <v>1503</v>
      </c>
      <c r="I2401" t="s">
        <v>1883</v>
      </c>
      <c r="J2401" s="1" t="s">
        <v>1456</v>
      </c>
      <c r="K2401" s="1" t="s">
        <v>1570</v>
      </c>
      <c r="L2401" s="1" t="s">
        <v>1729</v>
      </c>
      <c r="M2401" s="1" t="s">
        <v>1742</v>
      </c>
      <c r="N2401" t="s">
        <v>1943</v>
      </c>
      <c r="O2401" t="s">
        <v>2339</v>
      </c>
      <c r="P2401" t="s">
        <v>3245</v>
      </c>
      <c r="Q2401">
        <v>6</v>
      </c>
      <c r="R2401" s="1" t="s">
        <v>1718</v>
      </c>
      <c r="S2401">
        <v>0</v>
      </c>
      <c r="T2401">
        <v>0</v>
      </c>
    </row>
    <row r="2402" spans="1:20" hidden="1" x14ac:dyDescent="0.4">
      <c r="A2402" s="1" t="s">
        <v>875</v>
      </c>
      <c r="B2402" s="1" t="s">
        <v>1454</v>
      </c>
      <c r="C2402" s="1" t="s">
        <v>1844</v>
      </c>
      <c r="D2402" s="1" t="s">
        <v>1730</v>
      </c>
      <c r="E2402">
        <v>20251205</v>
      </c>
      <c r="F2402" s="1" t="s">
        <v>1470</v>
      </c>
      <c r="G2402">
        <v>4</v>
      </c>
      <c r="H2402" s="1" t="s">
        <v>1503</v>
      </c>
      <c r="I2402" t="s">
        <v>1883</v>
      </c>
      <c r="J2402" s="1" t="s">
        <v>1456</v>
      </c>
      <c r="K2402" s="1" t="s">
        <v>1570</v>
      </c>
      <c r="L2402" s="1" t="s">
        <v>1729</v>
      </c>
      <c r="M2402" s="1" t="s">
        <v>1744</v>
      </c>
      <c r="N2402" t="s">
        <v>1943</v>
      </c>
      <c r="O2402" t="s">
        <v>2339</v>
      </c>
      <c r="P2402" t="s">
        <v>3244</v>
      </c>
      <c r="Q2402">
        <v>4</v>
      </c>
      <c r="R2402" s="1" t="s">
        <v>1718</v>
      </c>
      <c r="S2402">
        <v>0</v>
      </c>
      <c r="T2402">
        <v>0</v>
      </c>
    </row>
    <row r="2403" spans="1:20" hidden="1" x14ac:dyDescent="0.4">
      <c r="A2403" s="1" t="s">
        <v>875</v>
      </c>
      <c r="B2403" s="1" t="s">
        <v>1455</v>
      </c>
      <c r="C2403" s="1" t="s">
        <v>1844</v>
      </c>
      <c r="D2403" s="1" t="s">
        <v>1730</v>
      </c>
      <c r="E2403">
        <v>20251205</v>
      </c>
      <c r="F2403" s="1" t="s">
        <v>1470</v>
      </c>
      <c r="G2403">
        <v>4</v>
      </c>
      <c r="H2403" s="1" t="s">
        <v>1503</v>
      </c>
      <c r="I2403" t="s">
        <v>1883</v>
      </c>
      <c r="J2403" s="1" t="s">
        <v>1456</v>
      </c>
      <c r="K2403" s="1" t="s">
        <v>1570</v>
      </c>
      <c r="L2403" s="1" t="s">
        <v>1729</v>
      </c>
      <c r="M2403" s="1" t="s">
        <v>1741</v>
      </c>
      <c r="N2403" t="s">
        <v>1943</v>
      </c>
      <c r="O2403" t="s">
        <v>2340</v>
      </c>
      <c r="P2403" t="s">
        <v>3243</v>
      </c>
      <c r="Q2403">
        <v>30</v>
      </c>
      <c r="R2403" s="1" t="s">
        <v>1718</v>
      </c>
      <c r="S2403">
        <v>0</v>
      </c>
      <c r="T2403">
        <v>0</v>
      </c>
    </row>
    <row r="2404" spans="1:20" hidden="1" x14ac:dyDescent="0.4">
      <c r="A2404" s="1" t="s">
        <v>876</v>
      </c>
      <c r="B2404" s="1" t="s">
        <v>1453</v>
      </c>
      <c r="C2404" s="1" t="s">
        <v>1844</v>
      </c>
      <c r="D2404" s="1" t="s">
        <v>1462</v>
      </c>
      <c r="E2404">
        <v>20251205</v>
      </c>
      <c r="F2404" s="1" t="s">
        <v>1471</v>
      </c>
      <c r="G2404">
        <v>4</v>
      </c>
      <c r="H2404" s="1" t="s">
        <v>1516</v>
      </c>
      <c r="I2404" t="s">
        <v>1896</v>
      </c>
      <c r="J2404" s="1" t="s">
        <v>1460</v>
      </c>
      <c r="K2404" s="1" t="s">
        <v>1641</v>
      </c>
      <c r="L2404" s="1" t="s">
        <v>1730</v>
      </c>
      <c r="M2404" s="1" t="s">
        <v>1735</v>
      </c>
      <c r="N2404" t="s">
        <v>2102</v>
      </c>
      <c r="O2404" t="s">
        <v>2175</v>
      </c>
      <c r="P2404" t="s">
        <v>3151</v>
      </c>
      <c r="Q2404">
        <v>60</v>
      </c>
      <c r="R2404" s="1" t="s">
        <v>1718</v>
      </c>
      <c r="S2404">
        <v>1673</v>
      </c>
      <c r="T2404">
        <v>100380</v>
      </c>
    </row>
    <row r="2405" spans="1:20" hidden="1" x14ac:dyDescent="0.4">
      <c r="A2405" s="1" t="s">
        <v>876</v>
      </c>
      <c r="B2405" s="1" t="s">
        <v>1454</v>
      </c>
      <c r="C2405" s="1" t="s">
        <v>1844</v>
      </c>
      <c r="D2405" s="1" t="s">
        <v>1462</v>
      </c>
      <c r="E2405">
        <v>20251205</v>
      </c>
      <c r="F2405" s="1" t="s">
        <v>1471</v>
      </c>
      <c r="G2405">
        <v>4</v>
      </c>
      <c r="H2405" s="1" t="s">
        <v>1516</v>
      </c>
      <c r="I2405" t="s">
        <v>1896</v>
      </c>
      <c r="J2405" s="1" t="s">
        <v>1460</v>
      </c>
      <c r="K2405" s="1" t="s">
        <v>1642</v>
      </c>
      <c r="L2405" s="1" t="s">
        <v>1725</v>
      </c>
      <c r="M2405" s="1" t="s">
        <v>1737</v>
      </c>
      <c r="N2405" t="s">
        <v>2023</v>
      </c>
      <c r="O2405" t="s">
        <v>2157</v>
      </c>
      <c r="P2405" t="s">
        <v>2157</v>
      </c>
      <c r="Q2405">
        <v>3</v>
      </c>
      <c r="R2405" s="1" t="s">
        <v>1841</v>
      </c>
      <c r="S2405">
        <v>1000</v>
      </c>
      <c r="T2405">
        <v>3000</v>
      </c>
    </row>
    <row r="2406" spans="1:20" hidden="1" x14ac:dyDescent="0.4">
      <c r="A2406" s="1" t="s">
        <v>877</v>
      </c>
      <c r="B2406" s="1" t="s">
        <v>1453</v>
      </c>
      <c r="C2406" s="1" t="s">
        <v>1844</v>
      </c>
      <c r="D2406" s="1" t="s">
        <v>1462</v>
      </c>
      <c r="E2406">
        <v>20251205</v>
      </c>
      <c r="F2406" s="1" t="s">
        <v>1471</v>
      </c>
      <c r="G2406">
        <v>4</v>
      </c>
      <c r="H2406" s="1" t="s">
        <v>1516</v>
      </c>
      <c r="I2406" t="s">
        <v>1896</v>
      </c>
      <c r="J2406" s="1" t="s">
        <v>1460</v>
      </c>
      <c r="K2406" s="1" t="s">
        <v>1641</v>
      </c>
      <c r="L2406" s="1" t="s">
        <v>1730</v>
      </c>
      <c r="M2406" s="1" t="s">
        <v>1768</v>
      </c>
      <c r="N2406" t="s">
        <v>2102</v>
      </c>
      <c r="O2406" t="s">
        <v>2175</v>
      </c>
      <c r="P2406" t="s">
        <v>3167</v>
      </c>
      <c r="Q2406">
        <v>300</v>
      </c>
      <c r="R2406" s="1" t="s">
        <v>1718</v>
      </c>
      <c r="S2406">
        <v>1769</v>
      </c>
      <c r="T2406">
        <v>530700</v>
      </c>
    </row>
    <row r="2407" spans="1:20" hidden="1" x14ac:dyDescent="0.4">
      <c r="A2407" s="1" t="s">
        <v>877</v>
      </c>
      <c r="B2407" s="1" t="s">
        <v>1454</v>
      </c>
      <c r="C2407" s="1" t="s">
        <v>1844</v>
      </c>
      <c r="D2407" s="1" t="s">
        <v>1462</v>
      </c>
      <c r="E2407">
        <v>20251205</v>
      </c>
      <c r="F2407" s="1" t="s">
        <v>1471</v>
      </c>
      <c r="G2407">
        <v>4</v>
      </c>
      <c r="H2407" s="1" t="s">
        <v>1516</v>
      </c>
      <c r="I2407" t="s">
        <v>1896</v>
      </c>
      <c r="J2407" s="1" t="s">
        <v>1460</v>
      </c>
      <c r="K2407" s="1" t="s">
        <v>1642</v>
      </c>
      <c r="L2407" s="1" t="s">
        <v>1725</v>
      </c>
      <c r="M2407" s="1" t="s">
        <v>1737</v>
      </c>
      <c r="N2407" t="s">
        <v>2023</v>
      </c>
      <c r="O2407" t="s">
        <v>2157</v>
      </c>
      <c r="P2407" t="s">
        <v>2157</v>
      </c>
      <c r="Q2407">
        <v>10</v>
      </c>
      <c r="R2407" s="1" t="s">
        <v>1841</v>
      </c>
      <c r="S2407">
        <v>1000</v>
      </c>
      <c r="T2407">
        <v>10000</v>
      </c>
    </row>
    <row r="2408" spans="1:20" hidden="1" x14ac:dyDescent="0.4">
      <c r="A2408" s="1" t="s">
        <v>878</v>
      </c>
      <c r="B2408" s="1" t="s">
        <v>1453</v>
      </c>
      <c r="C2408" s="1" t="s">
        <v>1844</v>
      </c>
      <c r="D2408" s="1" t="s">
        <v>1730</v>
      </c>
      <c r="E2408">
        <v>20251208</v>
      </c>
      <c r="F2408" s="1" t="s">
        <v>1470</v>
      </c>
      <c r="G2408">
        <v>4</v>
      </c>
      <c r="H2408" s="1" t="s">
        <v>1503</v>
      </c>
      <c r="I2408" t="s">
        <v>1883</v>
      </c>
      <c r="J2408" s="1" t="s">
        <v>1456</v>
      </c>
      <c r="K2408" s="1" t="s">
        <v>1612</v>
      </c>
      <c r="L2408" s="1" t="s">
        <v>1729</v>
      </c>
      <c r="M2408" s="1" t="s">
        <v>1737</v>
      </c>
      <c r="N2408" t="s">
        <v>1986</v>
      </c>
      <c r="O2408" t="s">
        <v>2341</v>
      </c>
      <c r="P2408" t="s">
        <v>3323</v>
      </c>
      <c r="Q2408">
        <v>12.3</v>
      </c>
      <c r="R2408" s="1" t="s">
        <v>1839</v>
      </c>
      <c r="S2408">
        <v>0</v>
      </c>
      <c r="T2408">
        <v>0</v>
      </c>
    </row>
    <row r="2409" spans="1:20" hidden="1" x14ac:dyDescent="0.4">
      <c r="A2409" s="1" t="s">
        <v>879</v>
      </c>
      <c r="B2409" s="1" t="s">
        <v>1453</v>
      </c>
      <c r="C2409" s="1" t="s">
        <v>1844</v>
      </c>
      <c r="D2409" s="1" t="s">
        <v>1731</v>
      </c>
      <c r="E2409">
        <v>20251205</v>
      </c>
      <c r="F2409" s="1" t="s">
        <v>1473</v>
      </c>
      <c r="G2409">
        <v>1</v>
      </c>
      <c r="H2409" s="1" t="s">
        <v>1494</v>
      </c>
      <c r="I2409" t="s">
        <v>1874</v>
      </c>
      <c r="J2409" s="1" t="s">
        <v>1453</v>
      </c>
      <c r="K2409" s="1" t="s">
        <v>1601</v>
      </c>
      <c r="L2409" s="1" t="s">
        <v>1716</v>
      </c>
      <c r="M2409" s="1" t="s">
        <v>1763</v>
      </c>
      <c r="N2409" t="s">
        <v>1976</v>
      </c>
      <c r="O2409" t="s">
        <v>2162</v>
      </c>
      <c r="P2409" t="s">
        <v>3101</v>
      </c>
      <c r="Q2409">
        <v>2318.6</v>
      </c>
      <c r="R2409" s="1" t="s">
        <v>1463</v>
      </c>
      <c r="S2409">
        <v>560</v>
      </c>
      <c r="T2409">
        <v>1298416</v>
      </c>
    </row>
    <row r="2410" spans="1:20" hidden="1" x14ac:dyDescent="0.4">
      <c r="A2410" s="1" t="s">
        <v>880</v>
      </c>
      <c r="B2410" s="1" t="s">
        <v>1453</v>
      </c>
      <c r="C2410" s="1" t="s">
        <v>1844</v>
      </c>
      <c r="D2410" s="1" t="s">
        <v>1463</v>
      </c>
      <c r="E2410">
        <v>20251209</v>
      </c>
      <c r="F2410" s="1" t="s">
        <v>1473</v>
      </c>
      <c r="G2410">
        <v>4</v>
      </c>
      <c r="H2410" s="1" t="s">
        <v>1521</v>
      </c>
      <c r="I2410" t="s">
        <v>1901</v>
      </c>
      <c r="J2410" s="1" t="s">
        <v>1453</v>
      </c>
      <c r="K2410" s="1" t="s">
        <v>1672</v>
      </c>
      <c r="L2410" s="1" t="s">
        <v>1725</v>
      </c>
      <c r="M2410" s="1" t="s">
        <v>1811</v>
      </c>
      <c r="N2410" t="s">
        <v>2061</v>
      </c>
      <c r="O2410" t="s">
        <v>2157</v>
      </c>
      <c r="P2410" t="s">
        <v>3187</v>
      </c>
      <c r="Q2410">
        <v>2</v>
      </c>
      <c r="R2410" s="1" t="s">
        <v>1463</v>
      </c>
      <c r="S2410">
        <v>1500</v>
      </c>
      <c r="T2410">
        <v>3000</v>
      </c>
    </row>
    <row r="2411" spans="1:20" hidden="1" x14ac:dyDescent="0.4">
      <c r="A2411" s="1" t="s">
        <v>880</v>
      </c>
      <c r="B2411" s="1" t="s">
        <v>1454</v>
      </c>
      <c r="C2411" s="1" t="s">
        <v>1844</v>
      </c>
      <c r="D2411" s="1" t="s">
        <v>1463</v>
      </c>
      <c r="E2411">
        <v>20251209</v>
      </c>
      <c r="F2411" s="1" t="s">
        <v>1473</v>
      </c>
      <c r="G2411">
        <v>4</v>
      </c>
      <c r="H2411" s="1" t="s">
        <v>1521</v>
      </c>
      <c r="I2411" t="s">
        <v>1901</v>
      </c>
      <c r="J2411" s="1" t="s">
        <v>1453</v>
      </c>
      <c r="K2411" s="1" t="s">
        <v>1672</v>
      </c>
      <c r="L2411" s="1" t="s">
        <v>1725</v>
      </c>
      <c r="M2411" s="1" t="s">
        <v>1811</v>
      </c>
      <c r="N2411" t="s">
        <v>2061</v>
      </c>
      <c r="O2411" t="s">
        <v>2157</v>
      </c>
      <c r="P2411" t="s">
        <v>3187</v>
      </c>
      <c r="Q2411">
        <v>2</v>
      </c>
      <c r="R2411" s="1" t="s">
        <v>1463</v>
      </c>
      <c r="S2411">
        <v>1500</v>
      </c>
      <c r="T2411">
        <v>3000</v>
      </c>
    </row>
    <row r="2412" spans="1:20" hidden="1" x14ac:dyDescent="0.4">
      <c r="A2412" s="1" t="s">
        <v>881</v>
      </c>
      <c r="B2412" s="1" t="s">
        <v>1453</v>
      </c>
      <c r="C2412" s="1" t="s">
        <v>1844</v>
      </c>
      <c r="D2412" s="1" t="s">
        <v>1463</v>
      </c>
      <c r="E2412">
        <v>20251209</v>
      </c>
      <c r="F2412" s="1" t="s">
        <v>1473</v>
      </c>
      <c r="G2412">
        <v>4</v>
      </c>
      <c r="H2412" s="1" t="s">
        <v>1521</v>
      </c>
      <c r="I2412" t="s">
        <v>1901</v>
      </c>
      <c r="J2412" s="1" t="s">
        <v>1453</v>
      </c>
      <c r="K2412" s="1" t="s">
        <v>1672</v>
      </c>
      <c r="L2412" s="1" t="s">
        <v>1725</v>
      </c>
      <c r="M2412" s="1" t="s">
        <v>1762</v>
      </c>
      <c r="N2412" t="s">
        <v>2061</v>
      </c>
      <c r="O2412" t="s">
        <v>2157</v>
      </c>
      <c r="P2412" t="s">
        <v>3324</v>
      </c>
      <c r="Q2412">
        <v>1</v>
      </c>
      <c r="R2412" s="1" t="s">
        <v>1463</v>
      </c>
      <c r="S2412">
        <v>1500</v>
      </c>
      <c r="T2412">
        <v>1500</v>
      </c>
    </row>
    <row r="2413" spans="1:20" hidden="1" x14ac:dyDescent="0.4">
      <c r="A2413" s="1" t="s">
        <v>882</v>
      </c>
      <c r="B2413" s="1" t="s">
        <v>1453</v>
      </c>
      <c r="C2413" s="1" t="s">
        <v>1844</v>
      </c>
      <c r="D2413" s="1" t="s">
        <v>1462</v>
      </c>
      <c r="E2413">
        <v>20251205</v>
      </c>
      <c r="F2413" s="1" t="s">
        <v>1471</v>
      </c>
      <c r="G2413">
        <v>4</v>
      </c>
      <c r="H2413" s="1" t="s">
        <v>1515</v>
      </c>
      <c r="I2413" t="s">
        <v>1895</v>
      </c>
      <c r="J2413" s="1" t="s">
        <v>1460</v>
      </c>
      <c r="K2413" s="1" t="s">
        <v>1695</v>
      </c>
      <c r="L2413" s="1" t="s">
        <v>1720</v>
      </c>
      <c r="M2413" s="1" t="s">
        <v>1801</v>
      </c>
      <c r="N2413" t="s">
        <v>2101</v>
      </c>
      <c r="O2413" t="s">
        <v>2166</v>
      </c>
      <c r="P2413" t="s">
        <v>3257</v>
      </c>
      <c r="Q2413">
        <v>67.8</v>
      </c>
      <c r="R2413" s="1" t="s">
        <v>1840</v>
      </c>
      <c r="S2413">
        <v>917</v>
      </c>
      <c r="T2413">
        <v>62172</v>
      </c>
    </row>
    <row r="2414" spans="1:20" hidden="1" x14ac:dyDescent="0.4">
      <c r="A2414" s="1" t="s">
        <v>882</v>
      </c>
      <c r="B2414" s="1" t="s">
        <v>1454</v>
      </c>
      <c r="C2414" s="1" t="s">
        <v>1844</v>
      </c>
      <c r="D2414" s="1" t="s">
        <v>1462</v>
      </c>
      <c r="E2414">
        <v>20251205</v>
      </c>
      <c r="F2414" s="1" t="s">
        <v>1471</v>
      </c>
      <c r="G2414">
        <v>4</v>
      </c>
      <c r="H2414" s="1" t="s">
        <v>1515</v>
      </c>
      <c r="I2414" t="s">
        <v>1895</v>
      </c>
      <c r="J2414" s="1" t="s">
        <v>1460</v>
      </c>
      <c r="K2414" s="1" t="s">
        <v>1695</v>
      </c>
      <c r="L2414" s="1" t="s">
        <v>1720</v>
      </c>
      <c r="M2414" s="1" t="s">
        <v>1759</v>
      </c>
      <c r="N2414" t="s">
        <v>2101</v>
      </c>
      <c r="O2414" t="s">
        <v>2166</v>
      </c>
      <c r="P2414" t="s">
        <v>3258</v>
      </c>
      <c r="Q2414">
        <v>180</v>
      </c>
      <c r="R2414" s="1" t="s">
        <v>1840</v>
      </c>
      <c r="S2414">
        <v>917</v>
      </c>
      <c r="T2414">
        <v>165060</v>
      </c>
    </row>
    <row r="2415" spans="1:20" hidden="1" x14ac:dyDescent="0.4">
      <c r="A2415" s="1" t="s">
        <v>882</v>
      </c>
      <c r="B2415" s="1" t="s">
        <v>1455</v>
      </c>
      <c r="C2415" s="1" t="s">
        <v>1844</v>
      </c>
      <c r="D2415" s="1" t="s">
        <v>1462</v>
      </c>
      <c r="E2415">
        <v>20251205</v>
      </c>
      <c r="F2415" s="1" t="s">
        <v>1471</v>
      </c>
      <c r="G2415">
        <v>4</v>
      </c>
      <c r="H2415" s="1" t="s">
        <v>1515</v>
      </c>
      <c r="I2415" t="s">
        <v>1895</v>
      </c>
      <c r="J2415" s="1" t="s">
        <v>1460</v>
      </c>
      <c r="K2415" s="1" t="s">
        <v>1695</v>
      </c>
      <c r="L2415" s="1" t="s">
        <v>1720</v>
      </c>
      <c r="M2415" s="1" t="s">
        <v>1821</v>
      </c>
      <c r="N2415" t="s">
        <v>2101</v>
      </c>
      <c r="O2415" t="s">
        <v>2166</v>
      </c>
      <c r="P2415" t="s">
        <v>3074</v>
      </c>
      <c r="Q2415">
        <v>56.1</v>
      </c>
      <c r="R2415" s="1" t="s">
        <v>1840</v>
      </c>
      <c r="S2415">
        <v>917</v>
      </c>
      <c r="T2415">
        <v>51443</v>
      </c>
    </row>
    <row r="2416" spans="1:20" hidden="1" x14ac:dyDescent="0.4">
      <c r="A2416" s="1" t="s">
        <v>882</v>
      </c>
      <c r="B2416" s="1" t="s">
        <v>1456</v>
      </c>
      <c r="C2416" s="1" t="s">
        <v>1844</v>
      </c>
      <c r="D2416" s="1" t="s">
        <v>1462</v>
      </c>
      <c r="E2416">
        <v>20251205</v>
      </c>
      <c r="F2416" s="1" t="s">
        <v>1471</v>
      </c>
      <c r="G2416">
        <v>4</v>
      </c>
      <c r="H2416" s="1" t="s">
        <v>1515</v>
      </c>
      <c r="I2416" t="s">
        <v>1895</v>
      </c>
      <c r="J2416" s="1" t="s">
        <v>1460</v>
      </c>
      <c r="K2416" s="1" t="s">
        <v>1695</v>
      </c>
      <c r="L2416" s="1" t="s">
        <v>1720</v>
      </c>
      <c r="M2416" s="1" t="s">
        <v>1801</v>
      </c>
      <c r="N2416" t="s">
        <v>2101</v>
      </c>
      <c r="O2416" t="s">
        <v>2166</v>
      </c>
      <c r="P2416" t="s">
        <v>3257</v>
      </c>
      <c r="Q2416">
        <v>130.30000000000001</v>
      </c>
      <c r="R2416" s="1" t="s">
        <v>1840</v>
      </c>
      <c r="S2416">
        <v>1096</v>
      </c>
      <c r="T2416">
        <v>142808</v>
      </c>
    </row>
    <row r="2417" spans="1:20" hidden="1" x14ac:dyDescent="0.4">
      <c r="A2417" s="1" t="s">
        <v>882</v>
      </c>
      <c r="B2417" s="1" t="s">
        <v>1457</v>
      </c>
      <c r="C2417" s="1" t="s">
        <v>1844</v>
      </c>
      <c r="D2417" s="1" t="s">
        <v>1462</v>
      </c>
      <c r="E2417">
        <v>20251205</v>
      </c>
      <c r="F2417" s="1" t="s">
        <v>1471</v>
      </c>
      <c r="G2417">
        <v>4</v>
      </c>
      <c r="H2417" s="1" t="s">
        <v>1515</v>
      </c>
      <c r="I2417" t="s">
        <v>1895</v>
      </c>
      <c r="J2417" s="1" t="s">
        <v>1460</v>
      </c>
      <c r="K2417" s="1" t="s">
        <v>1695</v>
      </c>
      <c r="L2417" s="1" t="s">
        <v>1720</v>
      </c>
      <c r="M2417" s="1" t="s">
        <v>1759</v>
      </c>
      <c r="N2417" t="s">
        <v>2101</v>
      </c>
      <c r="O2417" t="s">
        <v>2166</v>
      </c>
      <c r="P2417" t="s">
        <v>3258</v>
      </c>
      <c r="Q2417">
        <v>120</v>
      </c>
      <c r="R2417" s="1" t="s">
        <v>1840</v>
      </c>
      <c r="S2417">
        <v>1096</v>
      </c>
      <c r="T2417">
        <v>131520</v>
      </c>
    </row>
    <row r="2418" spans="1:20" hidden="1" x14ac:dyDescent="0.4">
      <c r="A2418" s="1" t="s">
        <v>882</v>
      </c>
      <c r="B2418" s="1" t="s">
        <v>1458</v>
      </c>
      <c r="C2418" s="1" t="s">
        <v>1844</v>
      </c>
      <c r="D2418" s="1" t="s">
        <v>1462</v>
      </c>
      <c r="E2418">
        <v>20251205</v>
      </c>
      <c r="F2418" s="1" t="s">
        <v>1471</v>
      </c>
      <c r="G2418">
        <v>4</v>
      </c>
      <c r="H2418" s="1" t="s">
        <v>1515</v>
      </c>
      <c r="I2418" t="s">
        <v>1895</v>
      </c>
      <c r="J2418" s="1" t="s">
        <v>1460</v>
      </c>
      <c r="K2418" s="1" t="s">
        <v>1695</v>
      </c>
      <c r="L2418" s="1" t="s">
        <v>1720</v>
      </c>
      <c r="M2418" s="1" t="s">
        <v>1821</v>
      </c>
      <c r="N2418" t="s">
        <v>2101</v>
      </c>
      <c r="O2418" t="s">
        <v>2166</v>
      </c>
      <c r="P2418" t="s">
        <v>3074</v>
      </c>
      <c r="Q2418">
        <v>135.80000000000001</v>
      </c>
      <c r="R2418" s="1" t="s">
        <v>1840</v>
      </c>
      <c r="S2418">
        <v>1096</v>
      </c>
      <c r="T2418">
        <v>148836</v>
      </c>
    </row>
    <row r="2419" spans="1:20" hidden="1" x14ac:dyDescent="0.4">
      <c r="A2419" s="1" t="s">
        <v>883</v>
      </c>
      <c r="B2419" s="1" t="s">
        <v>1453</v>
      </c>
      <c r="C2419" s="1" t="s">
        <v>1844</v>
      </c>
      <c r="D2419" s="1" t="s">
        <v>1731</v>
      </c>
      <c r="E2419">
        <v>20251208</v>
      </c>
      <c r="F2419" s="1" t="s">
        <v>1470</v>
      </c>
      <c r="G2419">
        <v>1</v>
      </c>
      <c r="H2419" s="1" t="s">
        <v>1494</v>
      </c>
      <c r="I2419" t="s">
        <v>1874</v>
      </c>
      <c r="J2419" s="1" t="s">
        <v>1456</v>
      </c>
      <c r="K2419" s="1" t="s">
        <v>1630</v>
      </c>
      <c r="L2419" s="1" t="s">
        <v>1716</v>
      </c>
      <c r="M2419" s="1" t="s">
        <v>1741</v>
      </c>
      <c r="N2419" t="s">
        <v>2125</v>
      </c>
      <c r="O2419" t="s">
        <v>2162</v>
      </c>
      <c r="P2419" t="s">
        <v>3042</v>
      </c>
      <c r="Q2419">
        <v>2020.3</v>
      </c>
      <c r="R2419" s="1" t="s">
        <v>1463</v>
      </c>
      <c r="S2419">
        <v>1320</v>
      </c>
      <c r="T2419">
        <v>2666796</v>
      </c>
    </row>
    <row r="2420" spans="1:20" hidden="1" x14ac:dyDescent="0.4">
      <c r="A2420" s="1" t="s">
        <v>884</v>
      </c>
      <c r="B2420" s="1" t="s">
        <v>1453</v>
      </c>
      <c r="C2420" s="1" t="s">
        <v>1844</v>
      </c>
      <c r="D2420" s="1" t="s">
        <v>1733</v>
      </c>
      <c r="E2420">
        <v>20251208</v>
      </c>
      <c r="F2420" s="1" t="s">
        <v>1470</v>
      </c>
      <c r="G2420">
        <v>1</v>
      </c>
      <c r="H2420" s="1" t="s">
        <v>1494</v>
      </c>
      <c r="I2420" t="s">
        <v>1874</v>
      </c>
      <c r="J2420" s="1" t="s">
        <v>1456</v>
      </c>
      <c r="K2420" s="1" t="s">
        <v>1630</v>
      </c>
      <c r="L2420" s="1" t="s">
        <v>1716</v>
      </c>
      <c r="M2420" s="1" t="s">
        <v>1741</v>
      </c>
      <c r="N2420" t="s">
        <v>2125</v>
      </c>
      <c r="O2420" t="s">
        <v>2162</v>
      </c>
      <c r="P2420" t="s">
        <v>3042</v>
      </c>
      <c r="Q2420">
        <v>-2020.3</v>
      </c>
      <c r="R2420" s="1" t="s">
        <v>1463</v>
      </c>
      <c r="S2420">
        <v>1320</v>
      </c>
      <c r="T2420">
        <v>-2666796</v>
      </c>
    </row>
    <row r="2421" spans="1:20" hidden="1" x14ac:dyDescent="0.4">
      <c r="A2421" s="1" t="s">
        <v>885</v>
      </c>
      <c r="B2421" s="1" t="s">
        <v>1453</v>
      </c>
      <c r="C2421" s="1" t="s">
        <v>1844</v>
      </c>
      <c r="D2421" s="1" t="s">
        <v>1462</v>
      </c>
      <c r="E2421">
        <v>20251208</v>
      </c>
      <c r="F2421" s="1" t="s">
        <v>1470</v>
      </c>
      <c r="G2421">
        <v>4</v>
      </c>
      <c r="H2421" s="1" t="s">
        <v>1503</v>
      </c>
      <c r="I2421" t="s">
        <v>1883</v>
      </c>
      <c r="J2421" s="1" t="s">
        <v>1456</v>
      </c>
      <c r="K2421" s="1" t="s">
        <v>1554</v>
      </c>
      <c r="L2421" s="1" t="s">
        <v>1729</v>
      </c>
      <c r="M2421" s="1" t="s">
        <v>1737</v>
      </c>
      <c r="N2421" t="s">
        <v>2092</v>
      </c>
      <c r="O2421" t="s">
        <v>2342</v>
      </c>
      <c r="P2421">
        <v>82126</v>
      </c>
      <c r="Q2421">
        <v>2</v>
      </c>
      <c r="R2421" s="1" t="s">
        <v>1718</v>
      </c>
      <c r="S2421">
        <v>15050</v>
      </c>
      <c r="T2421">
        <v>30100</v>
      </c>
    </row>
    <row r="2422" spans="1:20" hidden="1" x14ac:dyDescent="0.4">
      <c r="A2422" s="1" t="s">
        <v>885</v>
      </c>
      <c r="B2422" s="1" t="s">
        <v>1454</v>
      </c>
      <c r="C2422" s="1" t="s">
        <v>1844</v>
      </c>
      <c r="D2422" s="1" t="s">
        <v>1462</v>
      </c>
      <c r="E2422">
        <v>20251208</v>
      </c>
      <c r="F2422" s="1" t="s">
        <v>1470</v>
      </c>
      <c r="G2422">
        <v>4</v>
      </c>
      <c r="H2422" s="1" t="s">
        <v>1503</v>
      </c>
      <c r="I2422" t="s">
        <v>1883</v>
      </c>
      <c r="J2422" s="1" t="s">
        <v>1456</v>
      </c>
      <c r="K2422" s="1" t="s">
        <v>1554</v>
      </c>
      <c r="L2422" s="1" t="s">
        <v>1729</v>
      </c>
      <c r="M2422" s="1" t="s">
        <v>1737</v>
      </c>
      <c r="N2422" t="s">
        <v>2110</v>
      </c>
      <c r="O2422" t="s">
        <v>2343</v>
      </c>
      <c r="P2422">
        <v>82127</v>
      </c>
      <c r="Q2422">
        <v>2</v>
      </c>
      <c r="R2422" s="1" t="s">
        <v>1718</v>
      </c>
      <c r="S2422">
        <v>29900</v>
      </c>
      <c r="T2422">
        <v>59800</v>
      </c>
    </row>
    <row r="2423" spans="1:20" hidden="1" x14ac:dyDescent="0.4">
      <c r="A2423" s="1" t="s">
        <v>886</v>
      </c>
      <c r="B2423" s="1" t="s">
        <v>1453</v>
      </c>
      <c r="C2423" s="1" t="s">
        <v>1844</v>
      </c>
      <c r="D2423" s="1" t="s">
        <v>1462</v>
      </c>
      <c r="E2423">
        <v>20251208</v>
      </c>
      <c r="F2423" s="1" t="s">
        <v>1470</v>
      </c>
      <c r="G2423">
        <v>4</v>
      </c>
      <c r="H2423" s="1" t="s">
        <v>1503</v>
      </c>
      <c r="I2423" t="s">
        <v>1883</v>
      </c>
      <c r="J2423" s="1" t="s">
        <v>1456</v>
      </c>
      <c r="K2423" s="1" t="s">
        <v>1554</v>
      </c>
      <c r="L2423" s="1" t="s">
        <v>1729</v>
      </c>
      <c r="M2423" s="1" t="s">
        <v>1737</v>
      </c>
      <c r="N2423" t="s">
        <v>2118</v>
      </c>
      <c r="O2423" t="s">
        <v>2344</v>
      </c>
      <c r="P2423">
        <v>82204</v>
      </c>
      <c r="Q2423">
        <v>2</v>
      </c>
      <c r="R2423" s="1" t="s">
        <v>1718</v>
      </c>
      <c r="S2423">
        <v>9350</v>
      </c>
      <c r="T2423">
        <v>18700</v>
      </c>
    </row>
    <row r="2424" spans="1:20" hidden="1" x14ac:dyDescent="0.4">
      <c r="A2424" s="1" t="s">
        <v>887</v>
      </c>
      <c r="B2424" s="1" t="s">
        <v>1453</v>
      </c>
      <c r="C2424" s="1" t="s">
        <v>1844</v>
      </c>
      <c r="D2424" s="1" t="s">
        <v>1462</v>
      </c>
      <c r="E2424">
        <v>20251208</v>
      </c>
      <c r="F2424" s="1" t="s">
        <v>1470</v>
      </c>
      <c r="G2424">
        <v>4</v>
      </c>
      <c r="H2424" s="1" t="s">
        <v>1503</v>
      </c>
      <c r="I2424" t="s">
        <v>1883</v>
      </c>
      <c r="J2424" s="1" t="s">
        <v>1456</v>
      </c>
      <c r="K2424" s="1" t="s">
        <v>1554</v>
      </c>
      <c r="L2424" s="1" t="s">
        <v>1729</v>
      </c>
      <c r="M2424" s="1" t="s">
        <v>1737</v>
      </c>
      <c r="N2424" t="s">
        <v>2092</v>
      </c>
      <c r="O2424" t="s">
        <v>2345</v>
      </c>
      <c r="P2424">
        <v>82223</v>
      </c>
      <c r="Q2424">
        <v>2</v>
      </c>
      <c r="R2424" s="1" t="s">
        <v>1718</v>
      </c>
      <c r="S2424">
        <v>14950</v>
      </c>
      <c r="T2424">
        <v>29900</v>
      </c>
    </row>
    <row r="2425" spans="1:20" hidden="1" x14ac:dyDescent="0.4">
      <c r="A2425" s="1" t="s">
        <v>888</v>
      </c>
      <c r="B2425" s="1" t="s">
        <v>1453</v>
      </c>
      <c r="C2425" s="1" t="s">
        <v>1844</v>
      </c>
      <c r="D2425" s="1" t="s">
        <v>1462</v>
      </c>
      <c r="E2425">
        <v>20251208</v>
      </c>
      <c r="F2425" s="1" t="s">
        <v>1470</v>
      </c>
      <c r="G2425">
        <v>4</v>
      </c>
      <c r="H2425" s="1" t="s">
        <v>1503</v>
      </c>
      <c r="I2425" t="s">
        <v>1883</v>
      </c>
      <c r="J2425" s="1" t="s">
        <v>1456</v>
      </c>
      <c r="K2425" s="1" t="s">
        <v>1554</v>
      </c>
      <c r="L2425" s="1" t="s">
        <v>1729</v>
      </c>
      <c r="M2425" s="1" t="s">
        <v>1737</v>
      </c>
      <c r="N2425" t="s">
        <v>2118</v>
      </c>
      <c r="O2425" t="s">
        <v>2346</v>
      </c>
      <c r="P2425">
        <v>82155</v>
      </c>
      <c r="Q2425">
        <v>2</v>
      </c>
      <c r="R2425" s="1" t="s">
        <v>1718</v>
      </c>
      <c r="S2425">
        <v>9350</v>
      </c>
      <c r="T2425">
        <v>18700</v>
      </c>
    </row>
    <row r="2426" spans="1:20" hidden="1" x14ac:dyDescent="0.4">
      <c r="A2426" s="1" t="s">
        <v>889</v>
      </c>
      <c r="B2426" s="1" t="s">
        <v>1453</v>
      </c>
      <c r="C2426" s="1" t="s">
        <v>1844</v>
      </c>
      <c r="D2426" s="1" t="s">
        <v>1462</v>
      </c>
      <c r="E2426">
        <v>20251208</v>
      </c>
      <c r="F2426" s="1" t="s">
        <v>1470</v>
      </c>
      <c r="G2426">
        <v>4</v>
      </c>
      <c r="H2426" s="1" t="s">
        <v>1503</v>
      </c>
      <c r="I2426" t="s">
        <v>1883</v>
      </c>
      <c r="J2426" s="1" t="s">
        <v>1456</v>
      </c>
      <c r="K2426" s="1" t="s">
        <v>1554</v>
      </c>
      <c r="L2426" s="1" t="s">
        <v>1729</v>
      </c>
      <c r="M2426" s="1" t="s">
        <v>1737</v>
      </c>
      <c r="N2426" t="s">
        <v>2091</v>
      </c>
      <c r="O2426" t="s">
        <v>2347</v>
      </c>
      <c r="P2426">
        <v>82198</v>
      </c>
      <c r="Q2426">
        <v>2</v>
      </c>
      <c r="R2426" s="1" t="s">
        <v>1718</v>
      </c>
      <c r="S2426">
        <v>5120</v>
      </c>
      <c r="T2426">
        <v>10240</v>
      </c>
    </row>
    <row r="2427" spans="1:20" hidden="1" x14ac:dyDescent="0.4">
      <c r="A2427" s="1" t="s">
        <v>889</v>
      </c>
      <c r="B2427" s="1" t="s">
        <v>1454</v>
      </c>
      <c r="C2427" s="1" t="s">
        <v>1844</v>
      </c>
      <c r="D2427" s="1" t="s">
        <v>1462</v>
      </c>
      <c r="E2427">
        <v>20251208</v>
      </c>
      <c r="F2427" s="1" t="s">
        <v>1470</v>
      </c>
      <c r="G2427">
        <v>4</v>
      </c>
      <c r="H2427" s="1" t="s">
        <v>1503</v>
      </c>
      <c r="I2427" t="s">
        <v>1883</v>
      </c>
      <c r="J2427" s="1" t="s">
        <v>1456</v>
      </c>
      <c r="K2427" s="1" t="s">
        <v>1554</v>
      </c>
      <c r="L2427" s="1" t="s">
        <v>1729</v>
      </c>
      <c r="M2427" s="1" t="s">
        <v>1737</v>
      </c>
      <c r="N2427" t="s">
        <v>2091</v>
      </c>
      <c r="O2427" t="s">
        <v>2348</v>
      </c>
      <c r="P2427">
        <v>82200</v>
      </c>
      <c r="Q2427">
        <v>2</v>
      </c>
      <c r="R2427" s="1" t="s">
        <v>1718</v>
      </c>
      <c r="S2427">
        <v>8810</v>
      </c>
      <c r="T2427">
        <v>17620</v>
      </c>
    </row>
    <row r="2428" spans="1:20" hidden="1" x14ac:dyDescent="0.4">
      <c r="A2428" s="1" t="s">
        <v>890</v>
      </c>
      <c r="B2428" s="1" t="s">
        <v>1453</v>
      </c>
      <c r="C2428" s="1" t="s">
        <v>1844</v>
      </c>
      <c r="D2428" s="1" t="s">
        <v>1462</v>
      </c>
      <c r="E2428">
        <v>20251208</v>
      </c>
      <c r="F2428" s="1" t="s">
        <v>1470</v>
      </c>
      <c r="G2428">
        <v>4</v>
      </c>
      <c r="H2428" s="1" t="s">
        <v>1503</v>
      </c>
      <c r="I2428" t="s">
        <v>1883</v>
      </c>
      <c r="J2428" s="1" t="s">
        <v>1456</v>
      </c>
      <c r="K2428" s="1" t="s">
        <v>1554</v>
      </c>
      <c r="L2428" s="1" t="s">
        <v>1729</v>
      </c>
      <c r="M2428" s="1" t="s">
        <v>1737</v>
      </c>
      <c r="N2428" t="s">
        <v>2118</v>
      </c>
      <c r="O2428" t="s">
        <v>2349</v>
      </c>
      <c r="P2428">
        <v>82186</v>
      </c>
      <c r="Q2428">
        <v>2</v>
      </c>
      <c r="R2428" s="1" t="s">
        <v>1718</v>
      </c>
      <c r="S2428">
        <v>9350</v>
      </c>
      <c r="T2428">
        <v>18700</v>
      </c>
    </row>
    <row r="2429" spans="1:20" hidden="1" x14ac:dyDescent="0.4">
      <c r="A2429" s="1" t="s">
        <v>891</v>
      </c>
      <c r="B2429" s="1" t="s">
        <v>1453</v>
      </c>
      <c r="C2429" s="1" t="s">
        <v>1844</v>
      </c>
      <c r="D2429" s="1" t="s">
        <v>1730</v>
      </c>
      <c r="E2429">
        <v>20251208</v>
      </c>
      <c r="F2429" s="1" t="s">
        <v>1470</v>
      </c>
      <c r="G2429">
        <v>4</v>
      </c>
      <c r="H2429" s="1" t="s">
        <v>1503</v>
      </c>
      <c r="I2429" t="s">
        <v>1883</v>
      </c>
      <c r="J2429" s="1" t="s">
        <v>1456</v>
      </c>
      <c r="K2429" s="1" t="s">
        <v>1697</v>
      </c>
      <c r="L2429" s="1" t="s">
        <v>1729</v>
      </c>
      <c r="M2429" s="1" t="s">
        <v>1747</v>
      </c>
      <c r="N2429" t="s">
        <v>2114</v>
      </c>
      <c r="O2429" t="s">
        <v>2350</v>
      </c>
      <c r="P2429" t="s">
        <v>3269</v>
      </c>
      <c r="Q2429">
        <v>20</v>
      </c>
      <c r="R2429" s="1" t="s">
        <v>1718</v>
      </c>
      <c r="S2429">
        <v>0</v>
      </c>
      <c r="T2429">
        <v>0</v>
      </c>
    </row>
    <row r="2430" spans="1:20" hidden="1" x14ac:dyDescent="0.4">
      <c r="A2430" s="1" t="s">
        <v>891</v>
      </c>
      <c r="B2430" s="1" t="s">
        <v>1454</v>
      </c>
      <c r="C2430" s="1" t="s">
        <v>1844</v>
      </c>
      <c r="D2430" s="1" t="s">
        <v>1730</v>
      </c>
      <c r="E2430">
        <v>20251208</v>
      </c>
      <c r="F2430" s="1" t="s">
        <v>1470</v>
      </c>
      <c r="G2430">
        <v>4</v>
      </c>
      <c r="H2430" s="1" t="s">
        <v>1503</v>
      </c>
      <c r="I2430" t="s">
        <v>1883</v>
      </c>
      <c r="J2430" s="1" t="s">
        <v>1456</v>
      </c>
      <c r="K2430" s="1" t="s">
        <v>1697</v>
      </c>
      <c r="L2430" s="1" t="s">
        <v>1729</v>
      </c>
      <c r="M2430" s="1" t="s">
        <v>1743</v>
      </c>
      <c r="N2430" t="s">
        <v>2114</v>
      </c>
      <c r="O2430" t="s">
        <v>2350</v>
      </c>
      <c r="P2430" t="s">
        <v>3325</v>
      </c>
      <c r="Q2430">
        <v>30</v>
      </c>
      <c r="R2430" s="1" t="s">
        <v>1718</v>
      </c>
      <c r="S2430">
        <v>0</v>
      </c>
      <c r="T2430">
        <v>0</v>
      </c>
    </row>
    <row r="2431" spans="1:20" hidden="1" x14ac:dyDescent="0.4">
      <c r="A2431" s="1" t="s">
        <v>891</v>
      </c>
      <c r="B2431" s="1" t="s">
        <v>1455</v>
      </c>
      <c r="C2431" s="1" t="s">
        <v>1844</v>
      </c>
      <c r="D2431" s="1" t="s">
        <v>1730</v>
      </c>
      <c r="E2431">
        <v>20251208</v>
      </c>
      <c r="F2431" s="1" t="s">
        <v>1470</v>
      </c>
      <c r="G2431">
        <v>4</v>
      </c>
      <c r="H2431" s="1" t="s">
        <v>1503</v>
      </c>
      <c r="I2431" t="s">
        <v>1883</v>
      </c>
      <c r="J2431" s="1" t="s">
        <v>1456</v>
      </c>
      <c r="K2431" s="1" t="s">
        <v>1697</v>
      </c>
      <c r="L2431" s="1" t="s">
        <v>1729</v>
      </c>
      <c r="M2431" s="1" t="s">
        <v>1827</v>
      </c>
      <c r="N2431" t="s">
        <v>2114</v>
      </c>
      <c r="O2431" t="s">
        <v>2350</v>
      </c>
      <c r="P2431" t="s">
        <v>3326</v>
      </c>
      <c r="Q2431">
        <v>20</v>
      </c>
      <c r="R2431" s="1" t="s">
        <v>1718</v>
      </c>
      <c r="S2431">
        <v>0</v>
      </c>
      <c r="T2431">
        <v>0</v>
      </c>
    </row>
    <row r="2432" spans="1:20" hidden="1" x14ac:dyDescent="0.4">
      <c r="A2432" s="1" t="s">
        <v>891</v>
      </c>
      <c r="B2432" s="1" t="s">
        <v>1456</v>
      </c>
      <c r="C2432" s="1" t="s">
        <v>1844</v>
      </c>
      <c r="D2432" s="1" t="s">
        <v>1730</v>
      </c>
      <c r="E2432">
        <v>20251208</v>
      </c>
      <c r="F2432" s="1" t="s">
        <v>1470</v>
      </c>
      <c r="G2432">
        <v>4</v>
      </c>
      <c r="H2432" s="1" t="s">
        <v>1503</v>
      </c>
      <c r="I2432" t="s">
        <v>1883</v>
      </c>
      <c r="J2432" s="1" t="s">
        <v>1456</v>
      </c>
      <c r="K2432" s="1" t="s">
        <v>1697</v>
      </c>
      <c r="L2432" s="1" t="s">
        <v>1729</v>
      </c>
      <c r="M2432" s="1" t="s">
        <v>1828</v>
      </c>
      <c r="N2432" t="s">
        <v>2114</v>
      </c>
      <c r="O2432" t="s">
        <v>2350</v>
      </c>
      <c r="P2432" t="s">
        <v>3327</v>
      </c>
      <c r="Q2432">
        <v>30</v>
      </c>
      <c r="R2432" s="1" t="s">
        <v>1718</v>
      </c>
      <c r="S2432">
        <v>0</v>
      </c>
      <c r="T2432">
        <v>0</v>
      </c>
    </row>
    <row r="2433" spans="1:20" hidden="1" x14ac:dyDescent="0.4">
      <c r="A2433" s="1" t="s">
        <v>892</v>
      </c>
      <c r="B2433" s="1" t="s">
        <v>1453</v>
      </c>
      <c r="C2433" s="1" t="s">
        <v>1844</v>
      </c>
      <c r="D2433" s="1" t="s">
        <v>1462</v>
      </c>
      <c r="E2433">
        <v>20251208</v>
      </c>
      <c r="F2433" s="1" t="s">
        <v>1470</v>
      </c>
      <c r="G2433">
        <v>4</v>
      </c>
      <c r="H2433" s="1" t="s">
        <v>1512</v>
      </c>
      <c r="I2433" t="s">
        <v>1892</v>
      </c>
      <c r="J2433" s="1" t="s">
        <v>1456</v>
      </c>
      <c r="K2433" s="1" t="s">
        <v>1558</v>
      </c>
      <c r="L2433" s="1" t="s">
        <v>1729</v>
      </c>
      <c r="M2433" s="1" t="s">
        <v>1737</v>
      </c>
      <c r="N2433" t="s">
        <v>2096</v>
      </c>
      <c r="O2433" t="s">
        <v>2351</v>
      </c>
      <c r="P2433" t="s">
        <v>3328</v>
      </c>
      <c r="Q2433">
        <v>2</v>
      </c>
      <c r="R2433" s="1" t="s">
        <v>1718</v>
      </c>
      <c r="S2433">
        <v>55313</v>
      </c>
      <c r="T2433">
        <v>110626</v>
      </c>
    </row>
    <row r="2434" spans="1:20" hidden="1" x14ac:dyDescent="0.4">
      <c r="A2434" s="1" t="s">
        <v>893</v>
      </c>
      <c r="B2434" s="1" t="s">
        <v>1453</v>
      </c>
      <c r="C2434" s="1" t="s">
        <v>1844</v>
      </c>
      <c r="D2434" s="1" t="s">
        <v>1462</v>
      </c>
      <c r="E2434">
        <v>20251208</v>
      </c>
      <c r="F2434" s="1" t="s">
        <v>1470</v>
      </c>
      <c r="G2434">
        <v>4</v>
      </c>
      <c r="H2434" s="1" t="s">
        <v>1512</v>
      </c>
      <c r="I2434" t="s">
        <v>1892</v>
      </c>
      <c r="J2434" s="1" t="s">
        <v>1456</v>
      </c>
      <c r="K2434" s="1" t="s">
        <v>1558</v>
      </c>
      <c r="L2434" s="1" t="s">
        <v>1729</v>
      </c>
      <c r="M2434" s="1" t="s">
        <v>1737</v>
      </c>
      <c r="N2434" t="s">
        <v>2096</v>
      </c>
      <c r="O2434" t="s">
        <v>2352</v>
      </c>
      <c r="P2434" t="s">
        <v>3329</v>
      </c>
      <c r="Q2434">
        <v>2</v>
      </c>
      <c r="R2434" s="1" t="s">
        <v>1718</v>
      </c>
      <c r="S2434">
        <v>13828</v>
      </c>
      <c r="T2434">
        <v>27656</v>
      </c>
    </row>
    <row r="2435" spans="1:20" hidden="1" x14ac:dyDescent="0.4">
      <c r="A2435" s="1" t="s">
        <v>893</v>
      </c>
      <c r="B2435" s="1" t="s">
        <v>1454</v>
      </c>
      <c r="C2435" s="1" t="s">
        <v>1844</v>
      </c>
      <c r="D2435" s="1" t="s">
        <v>1462</v>
      </c>
      <c r="E2435">
        <v>20251208</v>
      </c>
      <c r="F2435" s="1" t="s">
        <v>1470</v>
      </c>
      <c r="G2435">
        <v>4</v>
      </c>
      <c r="H2435" s="1" t="s">
        <v>1512</v>
      </c>
      <c r="I2435" t="s">
        <v>1892</v>
      </c>
      <c r="J2435" s="1" t="s">
        <v>1456</v>
      </c>
      <c r="K2435" s="1" t="s">
        <v>1558</v>
      </c>
      <c r="L2435" s="1" t="s">
        <v>1729</v>
      </c>
      <c r="M2435" s="1" t="s">
        <v>1737</v>
      </c>
      <c r="N2435" t="s">
        <v>2096</v>
      </c>
      <c r="O2435" t="s">
        <v>2353</v>
      </c>
      <c r="P2435" t="s">
        <v>3330</v>
      </c>
      <c r="Q2435">
        <v>2</v>
      </c>
      <c r="R2435" s="1" t="s">
        <v>1718</v>
      </c>
      <c r="S2435">
        <v>41516</v>
      </c>
      <c r="T2435">
        <v>83032</v>
      </c>
    </row>
    <row r="2436" spans="1:20" hidden="1" x14ac:dyDescent="0.4">
      <c r="A2436" s="1" t="s">
        <v>894</v>
      </c>
      <c r="B2436" s="1" t="s">
        <v>1453</v>
      </c>
      <c r="C2436" s="1" t="s">
        <v>1844</v>
      </c>
      <c r="D2436" s="1" t="s">
        <v>1462</v>
      </c>
      <c r="E2436">
        <v>20251208</v>
      </c>
      <c r="F2436" s="1" t="s">
        <v>1470</v>
      </c>
      <c r="G2436">
        <v>4</v>
      </c>
      <c r="H2436" s="1" t="s">
        <v>1512</v>
      </c>
      <c r="I2436" t="s">
        <v>1892</v>
      </c>
      <c r="J2436" s="1" t="s">
        <v>1456</v>
      </c>
      <c r="K2436" s="1" t="s">
        <v>1558</v>
      </c>
      <c r="L2436" s="1" t="s">
        <v>1729</v>
      </c>
      <c r="M2436" s="1" t="s">
        <v>1737</v>
      </c>
      <c r="N2436" t="s">
        <v>2096</v>
      </c>
      <c r="O2436" t="s">
        <v>2354</v>
      </c>
      <c r="P2436" t="s">
        <v>3331</v>
      </c>
      <c r="Q2436">
        <v>2</v>
      </c>
      <c r="R2436" s="1" t="s">
        <v>1718</v>
      </c>
      <c r="S2436">
        <v>3585</v>
      </c>
      <c r="T2436">
        <v>7170</v>
      </c>
    </row>
    <row r="2437" spans="1:20" hidden="1" x14ac:dyDescent="0.4">
      <c r="A2437" s="1" t="s">
        <v>895</v>
      </c>
      <c r="B2437" s="1" t="s">
        <v>1453</v>
      </c>
      <c r="C2437" s="1" t="s">
        <v>1844</v>
      </c>
      <c r="D2437" s="1" t="s">
        <v>1462</v>
      </c>
      <c r="E2437">
        <v>20251208</v>
      </c>
      <c r="F2437" s="1" t="s">
        <v>1470</v>
      </c>
      <c r="G2437">
        <v>4</v>
      </c>
      <c r="H2437" s="1" t="s">
        <v>1512</v>
      </c>
      <c r="I2437" t="s">
        <v>1892</v>
      </c>
      <c r="J2437" s="1" t="s">
        <v>1456</v>
      </c>
      <c r="K2437" s="1" t="s">
        <v>1558</v>
      </c>
      <c r="L2437" s="1" t="s">
        <v>1729</v>
      </c>
      <c r="M2437" s="1" t="s">
        <v>1737</v>
      </c>
      <c r="N2437" t="s">
        <v>2096</v>
      </c>
      <c r="O2437" t="s">
        <v>2355</v>
      </c>
      <c r="P2437" t="s">
        <v>3332</v>
      </c>
      <c r="Q2437">
        <v>4</v>
      </c>
      <c r="R2437" s="1" t="s">
        <v>1718</v>
      </c>
      <c r="S2437">
        <v>16261</v>
      </c>
      <c r="T2437">
        <v>65044</v>
      </c>
    </row>
    <row r="2438" spans="1:20" hidden="1" x14ac:dyDescent="0.4">
      <c r="A2438" s="1" t="s">
        <v>895</v>
      </c>
      <c r="B2438" s="1" t="s">
        <v>1454</v>
      </c>
      <c r="C2438" s="1" t="s">
        <v>1844</v>
      </c>
      <c r="D2438" s="1" t="s">
        <v>1462</v>
      </c>
      <c r="E2438">
        <v>20251208</v>
      </c>
      <c r="F2438" s="1" t="s">
        <v>1470</v>
      </c>
      <c r="G2438">
        <v>4</v>
      </c>
      <c r="H2438" s="1" t="s">
        <v>1512</v>
      </c>
      <c r="I2438" t="s">
        <v>1892</v>
      </c>
      <c r="J2438" s="1" t="s">
        <v>1456</v>
      </c>
      <c r="K2438" s="1" t="s">
        <v>1558</v>
      </c>
      <c r="L2438" s="1" t="s">
        <v>1729</v>
      </c>
      <c r="M2438" s="1" t="s">
        <v>1737</v>
      </c>
      <c r="N2438" t="s">
        <v>2096</v>
      </c>
      <c r="O2438" t="s">
        <v>2355</v>
      </c>
      <c r="P2438" t="s">
        <v>3333</v>
      </c>
      <c r="Q2438">
        <v>2</v>
      </c>
      <c r="R2438" s="1" t="s">
        <v>1718</v>
      </c>
      <c r="S2438">
        <v>23047</v>
      </c>
      <c r="T2438">
        <v>46094</v>
      </c>
    </row>
    <row r="2439" spans="1:20" hidden="1" x14ac:dyDescent="0.4">
      <c r="A2439" s="1" t="s">
        <v>895</v>
      </c>
      <c r="B2439" s="1" t="s">
        <v>1455</v>
      </c>
      <c r="C2439" s="1" t="s">
        <v>1844</v>
      </c>
      <c r="D2439" s="1" t="s">
        <v>1462</v>
      </c>
      <c r="E2439">
        <v>20251208</v>
      </c>
      <c r="F2439" s="1" t="s">
        <v>1470</v>
      </c>
      <c r="G2439">
        <v>4</v>
      </c>
      <c r="H2439" s="1" t="s">
        <v>1512</v>
      </c>
      <c r="I2439" t="s">
        <v>1892</v>
      </c>
      <c r="J2439" s="1" t="s">
        <v>1456</v>
      </c>
      <c r="K2439" s="1" t="s">
        <v>1558</v>
      </c>
      <c r="L2439" s="1" t="s">
        <v>1729</v>
      </c>
      <c r="M2439" s="1" t="s">
        <v>1737</v>
      </c>
      <c r="N2439" t="s">
        <v>2096</v>
      </c>
      <c r="O2439" t="s">
        <v>2356</v>
      </c>
      <c r="P2439" t="s">
        <v>3334</v>
      </c>
      <c r="Q2439">
        <v>2</v>
      </c>
      <c r="R2439" s="1" t="s">
        <v>1718</v>
      </c>
      <c r="S2439">
        <v>5890</v>
      </c>
      <c r="T2439">
        <v>11780</v>
      </c>
    </row>
    <row r="2440" spans="1:20" hidden="1" x14ac:dyDescent="0.4">
      <c r="A2440" s="1" t="s">
        <v>896</v>
      </c>
      <c r="B2440" s="1" t="s">
        <v>1453</v>
      </c>
      <c r="C2440" s="1" t="s">
        <v>1844</v>
      </c>
      <c r="D2440" s="1" t="s">
        <v>1462</v>
      </c>
      <c r="E2440">
        <v>20251208</v>
      </c>
      <c r="F2440" s="1" t="s">
        <v>1470</v>
      </c>
      <c r="G2440">
        <v>4</v>
      </c>
      <c r="H2440" s="1" t="s">
        <v>1512</v>
      </c>
      <c r="I2440" t="s">
        <v>1892</v>
      </c>
      <c r="J2440" s="1" t="s">
        <v>1456</v>
      </c>
      <c r="K2440" s="1" t="s">
        <v>1558</v>
      </c>
      <c r="L2440" s="1" t="s">
        <v>1729</v>
      </c>
      <c r="M2440" s="1" t="s">
        <v>1737</v>
      </c>
      <c r="N2440" t="s">
        <v>2096</v>
      </c>
      <c r="O2440" t="s">
        <v>2357</v>
      </c>
      <c r="P2440" t="s">
        <v>3335</v>
      </c>
      <c r="Q2440">
        <v>2</v>
      </c>
      <c r="R2440" s="1" t="s">
        <v>1718</v>
      </c>
      <c r="S2440">
        <v>10371</v>
      </c>
      <c r="T2440">
        <v>20742</v>
      </c>
    </row>
    <row r="2441" spans="1:20" hidden="1" x14ac:dyDescent="0.4">
      <c r="A2441" s="1" t="s">
        <v>896</v>
      </c>
      <c r="B2441" s="1" t="s">
        <v>1454</v>
      </c>
      <c r="C2441" s="1" t="s">
        <v>1844</v>
      </c>
      <c r="D2441" s="1" t="s">
        <v>1462</v>
      </c>
      <c r="E2441">
        <v>20251208</v>
      </c>
      <c r="F2441" s="1" t="s">
        <v>1470</v>
      </c>
      <c r="G2441">
        <v>4</v>
      </c>
      <c r="H2441" s="1" t="s">
        <v>1512</v>
      </c>
      <c r="I2441" t="s">
        <v>1892</v>
      </c>
      <c r="J2441" s="1" t="s">
        <v>1456</v>
      </c>
      <c r="K2441" s="1" t="s">
        <v>1558</v>
      </c>
      <c r="L2441" s="1" t="s">
        <v>1729</v>
      </c>
      <c r="M2441" s="1" t="s">
        <v>1737</v>
      </c>
      <c r="N2441" t="s">
        <v>2096</v>
      </c>
      <c r="O2441" t="s">
        <v>2357</v>
      </c>
      <c r="P2441" t="s">
        <v>3336</v>
      </c>
      <c r="Q2441">
        <v>2</v>
      </c>
      <c r="R2441" s="1" t="s">
        <v>1718</v>
      </c>
      <c r="S2441">
        <v>10371</v>
      </c>
      <c r="T2441">
        <v>20742</v>
      </c>
    </row>
    <row r="2442" spans="1:20" hidden="1" x14ac:dyDescent="0.4">
      <c r="A2442" s="1" t="s">
        <v>897</v>
      </c>
      <c r="B2442" s="1" t="s">
        <v>1453</v>
      </c>
      <c r="C2442" s="1" t="s">
        <v>1844</v>
      </c>
      <c r="D2442" s="1" t="s">
        <v>1462</v>
      </c>
      <c r="E2442">
        <v>20251208</v>
      </c>
      <c r="F2442" s="1" t="s">
        <v>1470</v>
      </c>
      <c r="G2442">
        <v>4</v>
      </c>
      <c r="H2442" s="1" t="s">
        <v>1512</v>
      </c>
      <c r="I2442" t="s">
        <v>1892</v>
      </c>
      <c r="J2442" s="1" t="s">
        <v>1456</v>
      </c>
      <c r="K2442" s="1" t="s">
        <v>1558</v>
      </c>
      <c r="L2442" s="1" t="s">
        <v>1729</v>
      </c>
      <c r="M2442" s="1" t="s">
        <v>1737</v>
      </c>
      <c r="N2442" t="s">
        <v>2096</v>
      </c>
      <c r="O2442" t="s">
        <v>2358</v>
      </c>
      <c r="P2442" t="s">
        <v>3337</v>
      </c>
      <c r="Q2442">
        <v>1</v>
      </c>
      <c r="R2442" s="1" t="s">
        <v>1718</v>
      </c>
      <c r="S2442">
        <v>13544</v>
      </c>
      <c r="T2442">
        <v>13544</v>
      </c>
    </row>
    <row r="2443" spans="1:20" hidden="1" x14ac:dyDescent="0.4">
      <c r="A2443" s="1" t="s">
        <v>898</v>
      </c>
      <c r="B2443" s="1" t="s">
        <v>1453</v>
      </c>
      <c r="C2443" s="1" t="s">
        <v>1844</v>
      </c>
      <c r="D2443" s="1" t="s">
        <v>1731</v>
      </c>
      <c r="E2443">
        <v>20251208</v>
      </c>
      <c r="F2443" s="1" t="s">
        <v>1470</v>
      </c>
      <c r="G2443">
        <v>1</v>
      </c>
      <c r="H2443" s="1" t="s">
        <v>1494</v>
      </c>
      <c r="I2443" t="s">
        <v>1874</v>
      </c>
      <c r="J2443" s="1" t="s">
        <v>1456</v>
      </c>
      <c r="K2443" s="1" t="s">
        <v>1630</v>
      </c>
      <c r="L2443" s="1" t="s">
        <v>1716</v>
      </c>
      <c r="M2443" s="1" t="s">
        <v>1741</v>
      </c>
      <c r="N2443" t="s">
        <v>2125</v>
      </c>
      <c r="O2443" t="s">
        <v>2162</v>
      </c>
      <c r="P2443" t="s">
        <v>3042</v>
      </c>
      <c r="Q2443">
        <v>2000.8</v>
      </c>
      <c r="R2443" s="1" t="s">
        <v>1463</v>
      </c>
      <c r="S2443">
        <v>1320</v>
      </c>
      <c r="T2443">
        <v>2641056</v>
      </c>
    </row>
    <row r="2444" spans="1:20" hidden="1" x14ac:dyDescent="0.4">
      <c r="A2444" s="1" t="s">
        <v>899</v>
      </c>
      <c r="B2444" s="1" t="s">
        <v>1453</v>
      </c>
      <c r="C2444" s="1" t="s">
        <v>1844</v>
      </c>
      <c r="D2444" s="1" t="s">
        <v>1467</v>
      </c>
      <c r="E2444">
        <v>20251209</v>
      </c>
      <c r="F2444" s="1" t="s">
        <v>1470</v>
      </c>
      <c r="G2444">
        <v>4</v>
      </c>
      <c r="H2444" s="1" t="s">
        <v>1511</v>
      </c>
      <c r="I2444" t="s">
        <v>1891</v>
      </c>
      <c r="J2444" s="1" t="s">
        <v>1456</v>
      </c>
      <c r="K2444" s="1" t="s">
        <v>1562</v>
      </c>
      <c r="L2444" s="1" t="s">
        <v>1729</v>
      </c>
      <c r="M2444" s="1" t="s">
        <v>1735</v>
      </c>
      <c r="N2444" t="s">
        <v>1939</v>
      </c>
      <c r="O2444" t="s">
        <v>2359</v>
      </c>
      <c r="P2444" t="s">
        <v>3037</v>
      </c>
      <c r="Q2444">
        <v>300</v>
      </c>
      <c r="R2444" s="1" t="s">
        <v>1718</v>
      </c>
      <c r="S2444">
        <v>3583</v>
      </c>
      <c r="T2444">
        <v>1074900</v>
      </c>
    </row>
    <row r="2445" spans="1:20" hidden="1" x14ac:dyDescent="0.4">
      <c r="A2445" s="1" t="s">
        <v>900</v>
      </c>
      <c r="B2445" s="1" t="s">
        <v>1453</v>
      </c>
      <c r="C2445" s="1" t="s">
        <v>1844</v>
      </c>
      <c r="D2445" s="1" t="s">
        <v>1467</v>
      </c>
      <c r="E2445">
        <v>20251209</v>
      </c>
      <c r="F2445" s="1" t="s">
        <v>1470</v>
      </c>
      <c r="G2445">
        <v>4</v>
      </c>
      <c r="H2445" s="1" t="s">
        <v>1503</v>
      </c>
      <c r="I2445" t="s">
        <v>1883</v>
      </c>
      <c r="J2445" s="1" t="s">
        <v>1456</v>
      </c>
      <c r="K2445" s="1" t="s">
        <v>1570</v>
      </c>
      <c r="L2445" s="1" t="s">
        <v>1729</v>
      </c>
      <c r="M2445" s="1" t="s">
        <v>1741</v>
      </c>
      <c r="N2445" t="s">
        <v>1943</v>
      </c>
      <c r="O2445" t="s">
        <v>2157</v>
      </c>
      <c r="P2445" t="s">
        <v>3243</v>
      </c>
      <c r="Q2445">
        <v>5</v>
      </c>
      <c r="R2445" s="1" t="s">
        <v>1718</v>
      </c>
      <c r="S2445">
        <v>5967</v>
      </c>
      <c r="T2445">
        <v>29835</v>
      </c>
    </row>
    <row r="2446" spans="1:20" hidden="1" x14ac:dyDescent="0.4">
      <c r="A2446" s="1" t="s">
        <v>900</v>
      </c>
      <c r="B2446" s="1" t="s">
        <v>1454</v>
      </c>
      <c r="C2446" s="1" t="s">
        <v>1844</v>
      </c>
      <c r="D2446" s="1" t="s">
        <v>1467</v>
      </c>
      <c r="E2446">
        <v>20251209</v>
      </c>
      <c r="F2446" s="1" t="s">
        <v>1470</v>
      </c>
      <c r="G2446">
        <v>4</v>
      </c>
      <c r="H2446" s="1" t="s">
        <v>1503</v>
      </c>
      <c r="I2446" t="s">
        <v>1883</v>
      </c>
      <c r="J2446" s="1" t="s">
        <v>1456</v>
      </c>
      <c r="K2446" s="1" t="s">
        <v>1570</v>
      </c>
      <c r="L2446" s="1" t="s">
        <v>1729</v>
      </c>
      <c r="M2446" s="1" t="s">
        <v>1741</v>
      </c>
      <c r="N2446" t="s">
        <v>1943</v>
      </c>
      <c r="O2446" t="s">
        <v>2157</v>
      </c>
      <c r="P2446" t="s">
        <v>3243</v>
      </c>
      <c r="Q2446">
        <v>20</v>
      </c>
      <c r="R2446" s="1" t="s">
        <v>1718</v>
      </c>
      <c r="S2446">
        <v>5967</v>
      </c>
      <c r="T2446">
        <v>119340</v>
      </c>
    </row>
    <row r="2447" spans="1:20" hidden="1" x14ac:dyDescent="0.4">
      <c r="A2447" s="1" t="s">
        <v>900</v>
      </c>
      <c r="B2447" s="1" t="s">
        <v>1455</v>
      </c>
      <c r="C2447" s="1" t="s">
        <v>1844</v>
      </c>
      <c r="D2447" s="1" t="s">
        <v>1467</v>
      </c>
      <c r="E2447">
        <v>20251209</v>
      </c>
      <c r="F2447" s="1" t="s">
        <v>1470</v>
      </c>
      <c r="G2447">
        <v>4</v>
      </c>
      <c r="H2447" s="1" t="s">
        <v>1503</v>
      </c>
      <c r="I2447" t="s">
        <v>1883</v>
      </c>
      <c r="J2447" s="1" t="s">
        <v>1456</v>
      </c>
      <c r="K2447" s="1" t="s">
        <v>1570</v>
      </c>
      <c r="L2447" s="1" t="s">
        <v>1729</v>
      </c>
      <c r="M2447" s="1" t="s">
        <v>1741</v>
      </c>
      <c r="N2447" t="s">
        <v>1943</v>
      </c>
      <c r="O2447" t="s">
        <v>2157</v>
      </c>
      <c r="P2447" t="s">
        <v>3243</v>
      </c>
      <c r="Q2447">
        <v>5</v>
      </c>
      <c r="R2447" s="1" t="s">
        <v>1718</v>
      </c>
      <c r="S2447">
        <v>5967</v>
      </c>
      <c r="T2447">
        <v>29835</v>
      </c>
    </row>
    <row r="2448" spans="1:20" hidden="1" x14ac:dyDescent="0.4">
      <c r="A2448" s="1" t="s">
        <v>901</v>
      </c>
      <c r="B2448" s="1" t="s">
        <v>1453</v>
      </c>
      <c r="C2448" s="1" t="s">
        <v>1844</v>
      </c>
      <c r="D2448" s="1" t="s">
        <v>1462</v>
      </c>
      <c r="E2448">
        <v>20251209</v>
      </c>
      <c r="F2448" s="1" t="s">
        <v>1470</v>
      </c>
      <c r="G2448">
        <v>4</v>
      </c>
      <c r="H2448" s="1" t="s">
        <v>1514</v>
      </c>
      <c r="I2448" t="s">
        <v>1894</v>
      </c>
      <c r="J2448" s="1" t="s">
        <v>1456</v>
      </c>
      <c r="K2448" s="1" t="s">
        <v>1568</v>
      </c>
      <c r="L2448" s="1" t="s">
        <v>1729</v>
      </c>
      <c r="M2448" s="1" t="s">
        <v>1737</v>
      </c>
      <c r="N2448" t="s">
        <v>2126</v>
      </c>
      <c r="O2448" t="s">
        <v>2360</v>
      </c>
      <c r="P2448" t="s">
        <v>3338</v>
      </c>
      <c r="Q2448">
        <v>6</v>
      </c>
      <c r="R2448" s="1" t="s">
        <v>1718</v>
      </c>
      <c r="S2448">
        <v>38418</v>
      </c>
      <c r="T2448">
        <v>230508</v>
      </c>
    </row>
    <row r="2449" spans="1:20" hidden="1" x14ac:dyDescent="0.4">
      <c r="A2449" s="1" t="s">
        <v>901</v>
      </c>
      <c r="B2449" s="1" t="s">
        <v>1454</v>
      </c>
      <c r="C2449" s="1" t="s">
        <v>1844</v>
      </c>
      <c r="D2449" s="1" t="s">
        <v>1462</v>
      </c>
      <c r="E2449">
        <v>20251209</v>
      </c>
      <c r="F2449" s="1" t="s">
        <v>1470</v>
      </c>
      <c r="G2449">
        <v>4</v>
      </c>
      <c r="H2449" s="1" t="s">
        <v>1514</v>
      </c>
      <c r="I2449" t="s">
        <v>1894</v>
      </c>
      <c r="J2449" s="1" t="s">
        <v>1456</v>
      </c>
      <c r="K2449" s="1" t="s">
        <v>1568</v>
      </c>
      <c r="L2449" s="1" t="s">
        <v>1729</v>
      </c>
      <c r="M2449" s="1" t="s">
        <v>1737</v>
      </c>
      <c r="N2449" t="s">
        <v>2126</v>
      </c>
      <c r="O2449" t="s">
        <v>2360</v>
      </c>
      <c r="P2449" t="s">
        <v>3339</v>
      </c>
      <c r="Q2449">
        <v>8</v>
      </c>
      <c r="R2449" s="1" t="s">
        <v>1718</v>
      </c>
      <c r="S2449">
        <v>10972</v>
      </c>
      <c r="T2449">
        <v>87776</v>
      </c>
    </row>
    <row r="2450" spans="1:20" hidden="1" x14ac:dyDescent="0.4">
      <c r="A2450" s="1" t="s">
        <v>901</v>
      </c>
      <c r="B2450" s="1" t="s">
        <v>1455</v>
      </c>
      <c r="C2450" s="1" t="s">
        <v>1844</v>
      </c>
      <c r="D2450" s="1" t="s">
        <v>1462</v>
      </c>
      <c r="E2450">
        <v>20251209</v>
      </c>
      <c r="F2450" s="1" t="s">
        <v>1470</v>
      </c>
      <c r="G2450">
        <v>4</v>
      </c>
      <c r="H2450" s="1" t="s">
        <v>1514</v>
      </c>
      <c r="I2450" t="s">
        <v>1894</v>
      </c>
      <c r="J2450" s="1" t="s">
        <v>1456</v>
      </c>
      <c r="K2450" s="1" t="s">
        <v>1568</v>
      </c>
      <c r="L2450" s="1" t="s">
        <v>1729</v>
      </c>
      <c r="M2450" s="1" t="s">
        <v>1737</v>
      </c>
      <c r="N2450" t="s">
        <v>2126</v>
      </c>
      <c r="O2450" t="s">
        <v>2360</v>
      </c>
      <c r="P2450" t="s">
        <v>3340</v>
      </c>
      <c r="Q2450">
        <v>2</v>
      </c>
      <c r="R2450" s="1" t="s">
        <v>1718</v>
      </c>
      <c r="S2450">
        <v>33724</v>
      </c>
      <c r="T2450">
        <v>67448</v>
      </c>
    </row>
    <row r="2451" spans="1:20" hidden="1" x14ac:dyDescent="0.4">
      <c r="A2451" s="1" t="s">
        <v>902</v>
      </c>
      <c r="B2451" s="1" t="s">
        <v>1453</v>
      </c>
      <c r="C2451" s="1" t="s">
        <v>1844</v>
      </c>
      <c r="D2451" s="1" t="s">
        <v>1462</v>
      </c>
      <c r="E2451">
        <v>20251209</v>
      </c>
      <c r="F2451" s="1" t="s">
        <v>1470</v>
      </c>
      <c r="G2451">
        <v>4</v>
      </c>
      <c r="H2451" s="1" t="s">
        <v>1503</v>
      </c>
      <c r="I2451" t="s">
        <v>1883</v>
      </c>
      <c r="J2451" s="1" t="s">
        <v>1456</v>
      </c>
      <c r="K2451" s="1" t="s">
        <v>1553</v>
      </c>
      <c r="L2451" s="1" t="s">
        <v>1729</v>
      </c>
      <c r="M2451" s="1" t="s">
        <v>1736</v>
      </c>
      <c r="N2451" t="s">
        <v>2093</v>
      </c>
      <c r="O2451" t="s">
        <v>2361</v>
      </c>
      <c r="P2451" t="s">
        <v>3341</v>
      </c>
      <c r="Q2451">
        <v>2</v>
      </c>
      <c r="R2451" s="1" t="s">
        <v>1718</v>
      </c>
      <c r="S2451">
        <v>4950</v>
      </c>
      <c r="T2451">
        <v>9900</v>
      </c>
    </row>
    <row r="2452" spans="1:20" hidden="1" x14ac:dyDescent="0.4">
      <c r="A2452" s="1" t="s">
        <v>902</v>
      </c>
      <c r="B2452" s="1" t="s">
        <v>1454</v>
      </c>
      <c r="C2452" s="1" t="s">
        <v>1844</v>
      </c>
      <c r="D2452" s="1" t="s">
        <v>1462</v>
      </c>
      <c r="E2452">
        <v>20251209</v>
      </c>
      <c r="F2452" s="1" t="s">
        <v>1470</v>
      </c>
      <c r="G2452">
        <v>4</v>
      </c>
      <c r="H2452" s="1" t="s">
        <v>1503</v>
      </c>
      <c r="I2452" t="s">
        <v>1883</v>
      </c>
      <c r="J2452" s="1" t="s">
        <v>1456</v>
      </c>
      <c r="K2452" s="1" t="s">
        <v>1553</v>
      </c>
      <c r="L2452" s="1" t="s">
        <v>1729</v>
      </c>
      <c r="M2452" s="1" t="s">
        <v>1736</v>
      </c>
      <c r="N2452" t="s">
        <v>2093</v>
      </c>
      <c r="O2452" t="s">
        <v>2362</v>
      </c>
      <c r="P2452" t="s">
        <v>3342</v>
      </c>
      <c r="Q2452">
        <v>2</v>
      </c>
      <c r="R2452" s="1" t="s">
        <v>1718</v>
      </c>
      <c r="S2452">
        <v>6630</v>
      </c>
      <c r="T2452">
        <v>13260</v>
      </c>
    </row>
    <row r="2453" spans="1:20" hidden="1" x14ac:dyDescent="0.4">
      <c r="A2453" s="1" t="s">
        <v>902</v>
      </c>
      <c r="B2453" s="1" t="s">
        <v>1455</v>
      </c>
      <c r="C2453" s="1" t="s">
        <v>1844</v>
      </c>
      <c r="D2453" s="1" t="s">
        <v>1462</v>
      </c>
      <c r="E2453">
        <v>20251209</v>
      </c>
      <c r="F2453" s="1" t="s">
        <v>1470</v>
      </c>
      <c r="G2453">
        <v>4</v>
      </c>
      <c r="H2453" s="1" t="s">
        <v>1503</v>
      </c>
      <c r="I2453" t="s">
        <v>1883</v>
      </c>
      <c r="J2453" s="1" t="s">
        <v>1456</v>
      </c>
      <c r="K2453" s="1" t="s">
        <v>1553</v>
      </c>
      <c r="L2453" s="1" t="s">
        <v>1729</v>
      </c>
      <c r="M2453" s="1" t="s">
        <v>1736</v>
      </c>
      <c r="N2453" t="s">
        <v>2093</v>
      </c>
      <c r="O2453" t="s">
        <v>2363</v>
      </c>
      <c r="P2453" t="s">
        <v>3343</v>
      </c>
      <c r="Q2453">
        <v>2</v>
      </c>
      <c r="R2453" s="1" t="s">
        <v>1718</v>
      </c>
      <c r="S2453">
        <v>6630</v>
      </c>
      <c r="T2453">
        <v>13260</v>
      </c>
    </row>
    <row r="2454" spans="1:20" hidden="1" x14ac:dyDescent="0.4">
      <c r="A2454" s="1" t="s">
        <v>902</v>
      </c>
      <c r="B2454" s="1" t="s">
        <v>1456</v>
      </c>
      <c r="C2454" s="1" t="s">
        <v>1844</v>
      </c>
      <c r="D2454" s="1" t="s">
        <v>1462</v>
      </c>
      <c r="E2454">
        <v>20251209</v>
      </c>
      <c r="F2454" s="1" t="s">
        <v>1470</v>
      </c>
      <c r="G2454">
        <v>4</v>
      </c>
      <c r="H2454" s="1" t="s">
        <v>1503</v>
      </c>
      <c r="I2454" t="s">
        <v>1883</v>
      </c>
      <c r="J2454" s="1" t="s">
        <v>1456</v>
      </c>
      <c r="K2454" s="1" t="s">
        <v>1553</v>
      </c>
      <c r="L2454" s="1" t="s">
        <v>1729</v>
      </c>
      <c r="M2454" s="1" t="s">
        <v>1736</v>
      </c>
      <c r="N2454" t="s">
        <v>2093</v>
      </c>
      <c r="O2454" t="s">
        <v>2364</v>
      </c>
      <c r="P2454" t="s">
        <v>3344</v>
      </c>
      <c r="Q2454">
        <v>2</v>
      </c>
      <c r="R2454" s="1" t="s">
        <v>1718</v>
      </c>
      <c r="S2454">
        <v>4950</v>
      </c>
      <c r="T2454">
        <v>9900</v>
      </c>
    </row>
    <row r="2455" spans="1:20" hidden="1" x14ac:dyDescent="0.4">
      <c r="A2455" s="1" t="s">
        <v>902</v>
      </c>
      <c r="B2455" s="1" t="s">
        <v>1457</v>
      </c>
      <c r="C2455" s="1" t="s">
        <v>1844</v>
      </c>
      <c r="D2455" s="1" t="s">
        <v>1462</v>
      </c>
      <c r="E2455">
        <v>20251209</v>
      </c>
      <c r="F2455" s="1" t="s">
        <v>1470</v>
      </c>
      <c r="G2455">
        <v>4</v>
      </c>
      <c r="H2455" s="1" t="s">
        <v>1503</v>
      </c>
      <c r="I2455" t="s">
        <v>1883</v>
      </c>
      <c r="J2455" s="1" t="s">
        <v>1456</v>
      </c>
      <c r="K2455" s="1" t="s">
        <v>1553</v>
      </c>
      <c r="L2455" s="1" t="s">
        <v>1729</v>
      </c>
      <c r="M2455" s="1" t="s">
        <v>1736</v>
      </c>
      <c r="N2455" t="s">
        <v>2093</v>
      </c>
      <c r="O2455" t="s">
        <v>2365</v>
      </c>
      <c r="P2455" t="s">
        <v>3345</v>
      </c>
      <c r="Q2455">
        <v>2</v>
      </c>
      <c r="R2455" s="1" t="s">
        <v>1718</v>
      </c>
      <c r="S2455">
        <v>6320</v>
      </c>
      <c r="T2455">
        <v>12640</v>
      </c>
    </row>
    <row r="2456" spans="1:20" hidden="1" x14ac:dyDescent="0.4">
      <c r="A2456" s="1" t="s">
        <v>902</v>
      </c>
      <c r="B2456" s="1" t="s">
        <v>1458</v>
      </c>
      <c r="C2456" s="1" t="s">
        <v>1844</v>
      </c>
      <c r="D2456" s="1" t="s">
        <v>1462</v>
      </c>
      <c r="E2456">
        <v>20251209</v>
      </c>
      <c r="F2456" s="1" t="s">
        <v>1470</v>
      </c>
      <c r="G2456">
        <v>4</v>
      </c>
      <c r="H2456" s="1" t="s">
        <v>1503</v>
      </c>
      <c r="I2456" t="s">
        <v>1883</v>
      </c>
      <c r="J2456" s="1" t="s">
        <v>1456</v>
      </c>
      <c r="K2456" s="1" t="s">
        <v>1553</v>
      </c>
      <c r="L2456" s="1" t="s">
        <v>1729</v>
      </c>
      <c r="M2456" s="1" t="s">
        <v>1736</v>
      </c>
      <c r="N2456" t="s">
        <v>2093</v>
      </c>
      <c r="O2456" t="s">
        <v>2366</v>
      </c>
      <c r="P2456" t="s">
        <v>3346</v>
      </c>
      <c r="Q2456">
        <v>2</v>
      </c>
      <c r="R2456" s="1" t="s">
        <v>1718</v>
      </c>
      <c r="S2456">
        <v>6320</v>
      </c>
      <c r="T2456">
        <v>12640</v>
      </c>
    </row>
    <row r="2457" spans="1:20" hidden="1" x14ac:dyDescent="0.4">
      <c r="A2457" s="1" t="s">
        <v>902</v>
      </c>
      <c r="B2457" s="1" t="s">
        <v>1459</v>
      </c>
      <c r="C2457" s="1" t="s">
        <v>1844</v>
      </c>
      <c r="D2457" s="1" t="s">
        <v>1462</v>
      </c>
      <c r="E2457">
        <v>20251209</v>
      </c>
      <c r="F2457" s="1" t="s">
        <v>1470</v>
      </c>
      <c r="G2457">
        <v>4</v>
      </c>
      <c r="H2457" s="1" t="s">
        <v>1503</v>
      </c>
      <c r="I2457" t="s">
        <v>1883</v>
      </c>
      <c r="J2457" s="1" t="s">
        <v>1456</v>
      </c>
      <c r="K2457" s="1" t="s">
        <v>1553</v>
      </c>
      <c r="L2457" s="1" t="s">
        <v>1729</v>
      </c>
      <c r="M2457" s="1" t="s">
        <v>1736</v>
      </c>
      <c r="N2457" t="s">
        <v>2093</v>
      </c>
      <c r="O2457" t="s">
        <v>2367</v>
      </c>
      <c r="P2457" t="s">
        <v>3347</v>
      </c>
      <c r="Q2457">
        <v>2</v>
      </c>
      <c r="R2457" s="1" t="s">
        <v>1718</v>
      </c>
      <c r="S2457">
        <v>4950</v>
      </c>
      <c r="T2457">
        <v>9900</v>
      </c>
    </row>
    <row r="2458" spans="1:20" hidden="1" x14ac:dyDescent="0.4">
      <c r="A2458" s="1" t="s">
        <v>902</v>
      </c>
      <c r="B2458" s="1" t="s">
        <v>1460</v>
      </c>
      <c r="C2458" s="1" t="s">
        <v>1844</v>
      </c>
      <c r="D2458" s="1" t="s">
        <v>1462</v>
      </c>
      <c r="E2458">
        <v>20251209</v>
      </c>
      <c r="F2458" s="1" t="s">
        <v>1470</v>
      </c>
      <c r="G2458">
        <v>4</v>
      </c>
      <c r="H2458" s="1" t="s">
        <v>1503</v>
      </c>
      <c r="I2458" t="s">
        <v>1883</v>
      </c>
      <c r="J2458" s="1" t="s">
        <v>1456</v>
      </c>
      <c r="K2458" s="1" t="s">
        <v>1553</v>
      </c>
      <c r="L2458" s="1" t="s">
        <v>1729</v>
      </c>
      <c r="M2458" s="1" t="s">
        <v>1736</v>
      </c>
      <c r="N2458" t="s">
        <v>2093</v>
      </c>
      <c r="O2458" t="s">
        <v>2368</v>
      </c>
      <c r="P2458" t="s">
        <v>3348</v>
      </c>
      <c r="Q2458">
        <v>2</v>
      </c>
      <c r="R2458" s="1" t="s">
        <v>1718</v>
      </c>
      <c r="S2458">
        <v>4950</v>
      </c>
      <c r="T2458">
        <v>9900</v>
      </c>
    </row>
    <row r="2459" spans="1:20" hidden="1" x14ac:dyDescent="0.4">
      <c r="A2459" s="1" t="s">
        <v>903</v>
      </c>
      <c r="B2459" s="1" t="s">
        <v>1453</v>
      </c>
      <c r="C2459" s="1" t="s">
        <v>1844</v>
      </c>
      <c r="D2459" s="1" t="s">
        <v>1462</v>
      </c>
      <c r="E2459">
        <v>20251209</v>
      </c>
      <c r="F2459" s="1" t="s">
        <v>1470</v>
      </c>
      <c r="G2459">
        <v>4</v>
      </c>
      <c r="H2459" s="1" t="s">
        <v>1503</v>
      </c>
      <c r="I2459" t="s">
        <v>1883</v>
      </c>
      <c r="J2459" s="1" t="s">
        <v>1456</v>
      </c>
      <c r="K2459" s="1" t="s">
        <v>1553</v>
      </c>
      <c r="L2459" s="1" t="s">
        <v>1729</v>
      </c>
      <c r="M2459" s="1" t="s">
        <v>1736</v>
      </c>
      <c r="N2459" t="s">
        <v>2093</v>
      </c>
      <c r="O2459" t="s">
        <v>2369</v>
      </c>
      <c r="P2459" t="s">
        <v>3349</v>
      </c>
      <c r="Q2459">
        <v>2</v>
      </c>
      <c r="R2459" s="1" t="s">
        <v>1718</v>
      </c>
      <c r="S2459">
        <v>5320</v>
      </c>
      <c r="T2459">
        <v>10640</v>
      </c>
    </row>
    <row r="2460" spans="1:20" hidden="1" x14ac:dyDescent="0.4">
      <c r="A2460" s="1" t="s">
        <v>903</v>
      </c>
      <c r="B2460" s="1" t="s">
        <v>1454</v>
      </c>
      <c r="C2460" s="1" t="s">
        <v>1844</v>
      </c>
      <c r="D2460" s="1" t="s">
        <v>1462</v>
      </c>
      <c r="E2460">
        <v>20251209</v>
      </c>
      <c r="F2460" s="1" t="s">
        <v>1470</v>
      </c>
      <c r="G2460">
        <v>4</v>
      </c>
      <c r="H2460" s="1" t="s">
        <v>1503</v>
      </c>
      <c r="I2460" t="s">
        <v>1883</v>
      </c>
      <c r="J2460" s="1" t="s">
        <v>1456</v>
      </c>
      <c r="K2460" s="1" t="s">
        <v>1553</v>
      </c>
      <c r="L2460" s="1" t="s">
        <v>1729</v>
      </c>
      <c r="M2460" s="1" t="s">
        <v>1736</v>
      </c>
      <c r="N2460" t="s">
        <v>2093</v>
      </c>
      <c r="O2460" t="s">
        <v>2370</v>
      </c>
      <c r="P2460" t="s">
        <v>3350</v>
      </c>
      <c r="Q2460">
        <v>2</v>
      </c>
      <c r="R2460" s="1" t="s">
        <v>1718</v>
      </c>
      <c r="S2460">
        <v>5320</v>
      </c>
      <c r="T2460">
        <v>10640</v>
      </c>
    </row>
    <row r="2461" spans="1:20" hidden="1" x14ac:dyDescent="0.4">
      <c r="A2461" s="1" t="s">
        <v>903</v>
      </c>
      <c r="B2461" s="1" t="s">
        <v>1455</v>
      </c>
      <c r="C2461" s="1" t="s">
        <v>1844</v>
      </c>
      <c r="D2461" s="1" t="s">
        <v>1462</v>
      </c>
      <c r="E2461">
        <v>20251209</v>
      </c>
      <c r="F2461" s="1" t="s">
        <v>1470</v>
      </c>
      <c r="G2461">
        <v>4</v>
      </c>
      <c r="H2461" s="1" t="s">
        <v>1503</v>
      </c>
      <c r="I2461" t="s">
        <v>1883</v>
      </c>
      <c r="J2461" s="1" t="s">
        <v>1456</v>
      </c>
      <c r="K2461" s="1" t="s">
        <v>1553</v>
      </c>
      <c r="L2461" s="1" t="s">
        <v>1729</v>
      </c>
      <c r="M2461" s="1" t="s">
        <v>1736</v>
      </c>
      <c r="N2461" t="s">
        <v>2093</v>
      </c>
      <c r="O2461" t="s">
        <v>2371</v>
      </c>
      <c r="P2461" t="s">
        <v>3351</v>
      </c>
      <c r="Q2461">
        <v>2</v>
      </c>
      <c r="R2461" s="1" t="s">
        <v>1718</v>
      </c>
      <c r="S2461">
        <v>3760</v>
      </c>
      <c r="T2461">
        <v>7520</v>
      </c>
    </row>
    <row r="2462" spans="1:20" hidden="1" x14ac:dyDescent="0.4">
      <c r="A2462" s="1" t="s">
        <v>903</v>
      </c>
      <c r="B2462" s="1" t="s">
        <v>1456</v>
      </c>
      <c r="C2462" s="1" t="s">
        <v>1844</v>
      </c>
      <c r="D2462" s="1" t="s">
        <v>1462</v>
      </c>
      <c r="E2462">
        <v>20251209</v>
      </c>
      <c r="F2462" s="1" t="s">
        <v>1470</v>
      </c>
      <c r="G2462">
        <v>4</v>
      </c>
      <c r="H2462" s="1" t="s">
        <v>1503</v>
      </c>
      <c r="I2462" t="s">
        <v>1883</v>
      </c>
      <c r="J2462" s="1" t="s">
        <v>1456</v>
      </c>
      <c r="K2462" s="1" t="s">
        <v>1553</v>
      </c>
      <c r="L2462" s="1" t="s">
        <v>1729</v>
      </c>
      <c r="M2462" s="1" t="s">
        <v>1736</v>
      </c>
      <c r="N2462" t="s">
        <v>2093</v>
      </c>
      <c r="O2462" t="s">
        <v>2372</v>
      </c>
      <c r="P2462" t="s">
        <v>3352</v>
      </c>
      <c r="Q2462">
        <v>2</v>
      </c>
      <c r="R2462" s="1" t="s">
        <v>1718</v>
      </c>
      <c r="S2462">
        <v>3760</v>
      </c>
      <c r="T2462">
        <v>7520</v>
      </c>
    </row>
    <row r="2463" spans="1:20" hidden="1" x14ac:dyDescent="0.4">
      <c r="A2463" s="1" t="s">
        <v>903</v>
      </c>
      <c r="B2463" s="1" t="s">
        <v>1457</v>
      </c>
      <c r="C2463" s="1" t="s">
        <v>1844</v>
      </c>
      <c r="D2463" s="1" t="s">
        <v>1462</v>
      </c>
      <c r="E2463">
        <v>20251209</v>
      </c>
      <c r="F2463" s="1" t="s">
        <v>1470</v>
      </c>
      <c r="G2463">
        <v>4</v>
      </c>
      <c r="H2463" s="1" t="s">
        <v>1503</v>
      </c>
      <c r="I2463" t="s">
        <v>1883</v>
      </c>
      <c r="J2463" s="1" t="s">
        <v>1456</v>
      </c>
      <c r="K2463" s="1" t="s">
        <v>1553</v>
      </c>
      <c r="L2463" s="1" t="s">
        <v>1729</v>
      </c>
      <c r="M2463" s="1" t="s">
        <v>1736</v>
      </c>
      <c r="N2463" t="s">
        <v>2093</v>
      </c>
      <c r="O2463" t="s">
        <v>2373</v>
      </c>
      <c r="P2463" t="s">
        <v>3353</v>
      </c>
      <c r="Q2463">
        <v>2</v>
      </c>
      <c r="R2463" s="1" t="s">
        <v>1718</v>
      </c>
      <c r="S2463">
        <v>3760</v>
      </c>
      <c r="T2463">
        <v>7520</v>
      </c>
    </row>
    <row r="2464" spans="1:20" hidden="1" x14ac:dyDescent="0.4">
      <c r="A2464" s="1" t="s">
        <v>904</v>
      </c>
      <c r="B2464" s="1" t="s">
        <v>1453</v>
      </c>
      <c r="C2464" s="1" t="s">
        <v>1844</v>
      </c>
      <c r="D2464" s="1" t="s">
        <v>1462</v>
      </c>
      <c r="E2464">
        <v>20251209</v>
      </c>
      <c r="F2464" s="1" t="s">
        <v>1470</v>
      </c>
      <c r="G2464">
        <v>4</v>
      </c>
      <c r="H2464" s="1" t="s">
        <v>1503</v>
      </c>
      <c r="I2464" t="s">
        <v>1883</v>
      </c>
      <c r="J2464" s="1" t="s">
        <v>1456</v>
      </c>
      <c r="K2464" s="1" t="s">
        <v>1553</v>
      </c>
      <c r="L2464" s="1" t="s">
        <v>1729</v>
      </c>
      <c r="M2464" s="1" t="s">
        <v>1736</v>
      </c>
      <c r="N2464" t="s">
        <v>2093</v>
      </c>
      <c r="O2464" t="s">
        <v>2374</v>
      </c>
      <c r="P2464" t="s">
        <v>3354</v>
      </c>
      <c r="Q2464">
        <v>2</v>
      </c>
      <c r="R2464" s="1" t="s">
        <v>1718</v>
      </c>
      <c r="S2464">
        <v>5320</v>
      </c>
      <c r="T2464">
        <v>10640</v>
      </c>
    </row>
    <row r="2465" spans="1:20" hidden="1" x14ac:dyDescent="0.4">
      <c r="A2465" s="1" t="s">
        <v>904</v>
      </c>
      <c r="B2465" s="1" t="s">
        <v>1454</v>
      </c>
      <c r="C2465" s="1" t="s">
        <v>1844</v>
      </c>
      <c r="D2465" s="1" t="s">
        <v>1462</v>
      </c>
      <c r="E2465">
        <v>20251209</v>
      </c>
      <c r="F2465" s="1" t="s">
        <v>1470</v>
      </c>
      <c r="G2465">
        <v>4</v>
      </c>
      <c r="H2465" s="1" t="s">
        <v>1503</v>
      </c>
      <c r="I2465" t="s">
        <v>1883</v>
      </c>
      <c r="J2465" s="1" t="s">
        <v>1456</v>
      </c>
      <c r="K2465" s="1" t="s">
        <v>1553</v>
      </c>
      <c r="L2465" s="1" t="s">
        <v>1729</v>
      </c>
      <c r="M2465" s="1" t="s">
        <v>1736</v>
      </c>
      <c r="N2465" t="s">
        <v>2093</v>
      </c>
      <c r="O2465" t="s">
        <v>2375</v>
      </c>
      <c r="P2465" t="s">
        <v>3355</v>
      </c>
      <c r="Q2465">
        <v>2</v>
      </c>
      <c r="R2465" s="1" t="s">
        <v>1718</v>
      </c>
      <c r="S2465">
        <v>3760</v>
      </c>
      <c r="T2465">
        <v>7520</v>
      </c>
    </row>
    <row r="2466" spans="1:20" hidden="1" x14ac:dyDescent="0.4">
      <c r="A2466" s="1" t="s">
        <v>904</v>
      </c>
      <c r="B2466" s="1" t="s">
        <v>1455</v>
      </c>
      <c r="C2466" s="1" t="s">
        <v>1844</v>
      </c>
      <c r="D2466" s="1" t="s">
        <v>1462</v>
      </c>
      <c r="E2466">
        <v>20251209</v>
      </c>
      <c r="F2466" s="1" t="s">
        <v>1470</v>
      </c>
      <c r="G2466">
        <v>4</v>
      </c>
      <c r="H2466" s="1" t="s">
        <v>1503</v>
      </c>
      <c r="I2466" t="s">
        <v>1883</v>
      </c>
      <c r="J2466" s="1" t="s">
        <v>1456</v>
      </c>
      <c r="K2466" s="1" t="s">
        <v>1553</v>
      </c>
      <c r="L2466" s="1" t="s">
        <v>1729</v>
      </c>
      <c r="M2466" s="1" t="s">
        <v>1736</v>
      </c>
      <c r="N2466" t="s">
        <v>2093</v>
      </c>
      <c r="O2466" t="s">
        <v>2376</v>
      </c>
      <c r="P2466" t="s">
        <v>3356</v>
      </c>
      <c r="Q2466">
        <v>2</v>
      </c>
      <c r="R2466" s="1" t="s">
        <v>1718</v>
      </c>
      <c r="S2466">
        <v>3700</v>
      </c>
      <c r="T2466">
        <v>7400</v>
      </c>
    </row>
    <row r="2467" spans="1:20" hidden="1" x14ac:dyDescent="0.4">
      <c r="A2467" s="1" t="s">
        <v>904</v>
      </c>
      <c r="B2467" s="1" t="s">
        <v>1456</v>
      </c>
      <c r="C2467" s="1" t="s">
        <v>1844</v>
      </c>
      <c r="D2467" s="1" t="s">
        <v>1462</v>
      </c>
      <c r="E2467">
        <v>20251209</v>
      </c>
      <c r="F2467" s="1" t="s">
        <v>1470</v>
      </c>
      <c r="G2467">
        <v>4</v>
      </c>
      <c r="H2467" s="1" t="s">
        <v>1503</v>
      </c>
      <c r="I2467" t="s">
        <v>1883</v>
      </c>
      <c r="J2467" s="1" t="s">
        <v>1456</v>
      </c>
      <c r="K2467" s="1" t="s">
        <v>1553</v>
      </c>
      <c r="L2467" s="1" t="s">
        <v>1729</v>
      </c>
      <c r="M2467" s="1" t="s">
        <v>1736</v>
      </c>
      <c r="N2467" t="s">
        <v>2093</v>
      </c>
      <c r="O2467" t="s">
        <v>2377</v>
      </c>
      <c r="P2467" t="s">
        <v>3357</v>
      </c>
      <c r="Q2467">
        <v>2</v>
      </c>
      <c r="R2467" s="1" t="s">
        <v>1718</v>
      </c>
      <c r="S2467">
        <v>4880</v>
      </c>
      <c r="T2467">
        <v>9760</v>
      </c>
    </row>
    <row r="2468" spans="1:20" hidden="1" x14ac:dyDescent="0.4">
      <c r="A2468" s="1" t="s">
        <v>904</v>
      </c>
      <c r="B2468" s="1" t="s">
        <v>1457</v>
      </c>
      <c r="C2468" s="1" t="s">
        <v>1844</v>
      </c>
      <c r="D2468" s="1" t="s">
        <v>1462</v>
      </c>
      <c r="E2468">
        <v>20251209</v>
      </c>
      <c r="F2468" s="1" t="s">
        <v>1470</v>
      </c>
      <c r="G2468">
        <v>4</v>
      </c>
      <c r="H2468" s="1" t="s">
        <v>1503</v>
      </c>
      <c r="I2468" t="s">
        <v>1883</v>
      </c>
      <c r="J2468" s="1" t="s">
        <v>1456</v>
      </c>
      <c r="K2468" s="1" t="s">
        <v>1553</v>
      </c>
      <c r="L2468" s="1" t="s">
        <v>1729</v>
      </c>
      <c r="M2468" s="1" t="s">
        <v>1736</v>
      </c>
      <c r="N2468" t="s">
        <v>2093</v>
      </c>
      <c r="O2468" t="s">
        <v>2378</v>
      </c>
      <c r="P2468" t="s">
        <v>3358</v>
      </c>
      <c r="Q2468">
        <v>2</v>
      </c>
      <c r="R2468" s="1" t="s">
        <v>1718</v>
      </c>
      <c r="S2468">
        <v>3760</v>
      </c>
      <c r="T2468">
        <v>7520</v>
      </c>
    </row>
    <row r="2469" spans="1:20" hidden="1" x14ac:dyDescent="0.4">
      <c r="A2469" s="1" t="s">
        <v>904</v>
      </c>
      <c r="B2469" s="1" t="s">
        <v>1458</v>
      </c>
      <c r="C2469" s="1" t="s">
        <v>1844</v>
      </c>
      <c r="D2469" s="1" t="s">
        <v>1462</v>
      </c>
      <c r="E2469">
        <v>20251209</v>
      </c>
      <c r="F2469" s="1" t="s">
        <v>1470</v>
      </c>
      <c r="G2469">
        <v>4</v>
      </c>
      <c r="H2469" s="1" t="s">
        <v>1503</v>
      </c>
      <c r="I2469" t="s">
        <v>1883</v>
      </c>
      <c r="J2469" s="1" t="s">
        <v>1456</v>
      </c>
      <c r="K2469" s="1" t="s">
        <v>1553</v>
      </c>
      <c r="L2469" s="1" t="s">
        <v>1729</v>
      </c>
      <c r="M2469" s="1" t="s">
        <v>1736</v>
      </c>
      <c r="N2469" t="s">
        <v>2093</v>
      </c>
      <c r="O2469" t="s">
        <v>2379</v>
      </c>
      <c r="P2469" t="s">
        <v>3359</v>
      </c>
      <c r="Q2469">
        <v>2</v>
      </c>
      <c r="R2469" s="1" t="s">
        <v>1718</v>
      </c>
      <c r="S2469">
        <v>3760</v>
      </c>
      <c r="T2469">
        <v>7520</v>
      </c>
    </row>
    <row r="2470" spans="1:20" hidden="1" x14ac:dyDescent="0.4">
      <c r="A2470" s="1" t="s">
        <v>905</v>
      </c>
      <c r="B2470" s="1" t="s">
        <v>1453</v>
      </c>
      <c r="C2470" s="1" t="s">
        <v>1844</v>
      </c>
      <c r="D2470" s="1" t="s">
        <v>1462</v>
      </c>
      <c r="E2470">
        <v>20251209</v>
      </c>
      <c r="F2470" s="1" t="s">
        <v>1470</v>
      </c>
      <c r="G2470">
        <v>4</v>
      </c>
      <c r="H2470" s="1" t="s">
        <v>1503</v>
      </c>
      <c r="I2470" t="s">
        <v>1883</v>
      </c>
      <c r="J2470" s="1" t="s">
        <v>1456</v>
      </c>
      <c r="K2470" s="1" t="s">
        <v>1553</v>
      </c>
      <c r="L2470" s="1" t="s">
        <v>1729</v>
      </c>
      <c r="M2470" s="1" t="s">
        <v>1736</v>
      </c>
      <c r="N2470" t="s">
        <v>2093</v>
      </c>
      <c r="O2470" t="s">
        <v>2380</v>
      </c>
      <c r="P2470" t="s">
        <v>3360</v>
      </c>
      <c r="Q2470">
        <v>2</v>
      </c>
      <c r="R2470" s="1" t="s">
        <v>1718</v>
      </c>
      <c r="S2470">
        <v>3570</v>
      </c>
      <c r="T2470">
        <v>7140</v>
      </c>
    </row>
    <row r="2471" spans="1:20" hidden="1" x14ac:dyDescent="0.4">
      <c r="A2471" s="1" t="s">
        <v>905</v>
      </c>
      <c r="B2471" s="1" t="s">
        <v>1454</v>
      </c>
      <c r="C2471" s="1" t="s">
        <v>1844</v>
      </c>
      <c r="D2471" s="1" t="s">
        <v>1462</v>
      </c>
      <c r="E2471">
        <v>20251209</v>
      </c>
      <c r="F2471" s="1" t="s">
        <v>1470</v>
      </c>
      <c r="G2471">
        <v>4</v>
      </c>
      <c r="H2471" s="1" t="s">
        <v>1503</v>
      </c>
      <c r="I2471" t="s">
        <v>1883</v>
      </c>
      <c r="J2471" s="1" t="s">
        <v>1456</v>
      </c>
      <c r="K2471" s="1" t="s">
        <v>1553</v>
      </c>
      <c r="L2471" s="1" t="s">
        <v>1729</v>
      </c>
      <c r="M2471" s="1" t="s">
        <v>1736</v>
      </c>
      <c r="N2471" t="s">
        <v>2093</v>
      </c>
      <c r="O2471" t="s">
        <v>2381</v>
      </c>
      <c r="P2471" t="s">
        <v>3361</v>
      </c>
      <c r="Q2471">
        <v>2</v>
      </c>
      <c r="R2471" s="1" t="s">
        <v>1718</v>
      </c>
      <c r="S2471">
        <v>4950</v>
      </c>
      <c r="T2471">
        <v>9900</v>
      </c>
    </row>
    <row r="2472" spans="1:20" hidden="1" x14ac:dyDescent="0.4">
      <c r="A2472" s="1" t="s">
        <v>905</v>
      </c>
      <c r="B2472" s="1" t="s">
        <v>1455</v>
      </c>
      <c r="C2472" s="1" t="s">
        <v>1844</v>
      </c>
      <c r="D2472" s="1" t="s">
        <v>1462</v>
      </c>
      <c r="E2472">
        <v>20251209</v>
      </c>
      <c r="F2472" s="1" t="s">
        <v>1470</v>
      </c>
      <c r="G2472">
        <v>4</v>
      </c>
      <c r="H2472" s="1" t="s">
        <v>1503</v>
      </c>
      <c r="I2472" t="s">
        <v>1883</v>
      </c>
      <c r="J2472" s="1" t="s">
        <v>1456</v>
      </c>
      <c r="K2472" s="1" t="s">
        <v>1553</v>
      </c>
      <c r="L2472" s="1" t="s">
        <v>1729</v>
      </c>
      <c r="M2472" s="1" t="s">
        <v>1736</v>
      </c>
      <c r="N2472" t="s">
        <v>2093</v>
      </c>
      <c r="O2472" t="s">
        <v>2382</v>
      </c>
      <c r="P2472" t="s">
        <v>3362</v>
      </c>
      <c r="Q2472">
        <v>2</v>
      </c>
      <c r="R2472" s="1" t="s">
        <v>1718</v>
      </c>
      <c r="S2472">
        <v>3570</v>
      </c>
      <c r="T2472">
        <v>7140</v>
      </c>
    </row>
    <row r="2473" spans="1:20" hidden="1" x14ac:dyDescent="0.4">
      <c r="A2473" s="1" t="s">
        <v>905</v>
      </c>
      <c r="B2473" s="1" t="s">
        <v>1456</v>
      </c>
      <c r="C2473" s="1" t="s">
        <v>1844</v>
      </c>
      <c r="D2473" s="1" t="s">
        <v>1462</v>
      </c>
      <c r="E2473">
        <v>20251209</v>
      </c>
      <c r="F2473" s="1" t="s">
        <v>1470</v>
      </c>
      <c r="G2473">
        <v>4</v>
      </c>
      <c r="H2473" s="1" t="s">
        <v>1503</v>
      </c>
      <c r="I2473" t="s">
        <v>1883</v>
      </c>
      <c r="J2473" s="1" t="s">
        <v>1456</v>
      </c>
      <c r="K2473" s="1" t="s">
        <v>1553</v>
      </c>
      <c r="L2473" s="1" t="s">
        <v>1729</v>
      </c>
      <c r="M2473" s="1" t="s">
        <v>1736</v>
      </c>
      <c r="N2473" t="s">
        <v>2093</v>
      </c>
      <c r="O2473" t="s">
        <v>2383</v>
      </c>
      <c r="P2473" t="s">
        <v>3363</v>
      </c>
      <c r="Q2473">
        <v>2</v>
      </c>
      <c r="R2473" s="1" t="s">
        <v>1718</v>
      </c>
      <c r="S2473">
        <v>3570</v>
      </c>
      <c r="T2473">
        <v>7140</v>
      </c>
    </row>
    <row r="2474" spans="1:20" hidden="1" x14ac:dyDescent="0.4">
      <c r="A2474" s="1" t="s">
        <v>905</v>
      </c>
      <c r="B2474" s="1" t="s">
        <v>1457</v>
      </c>
      <c r="C2474" s="1" t="s">
        <v>1844</v>
      </c>
      <c r="D2474" s="1" t="s">
        <v>1462</v>
      </c>
      <c r="E2474">
        <v>20251209</v>
      </c>
      <c r="F2474" s="1" t="s">
        <v>1470</v>
      </c>
      <c r="G2474">
        <v>4</v>
      </c>
      <c r="H2474" s="1" t="s">
        <v>1503</v>
      </c>
      <c r="I2474" t="s">
        <v>1883</v>
      </c>
      <c r="J2474" s="1" t="s">
        <v>1456</v>
      </c>
      <c r="K2474" s="1" t="s">
        <v>1553</v>
      </c>
      <c r="L2474" s="1" t="s">
        <v>1729</v>
      </c>
      <c r="M2474" s="1" t="s">
        <v>1736</v>
      </c>
      <c r="N2474" t="s">
        <v>2093</v>
      </c>
      <c r="O2474" t="s">
        <v>2384</v>
      </c>
      <c r="P2474" t="s">
        <v>3364</v>
      </c>
      <c r="Q2474">
        <v>2</v>
      </c>
      <c r="R2474" s="1" t="s">
        <v>1718</v>
      </c>
      <c r="S2474">
        <v>4950</v>
      </c>
      <c r="T2474">
        <v>9900</v>
      </c>
    </row>
    <row r="2475" spans="1:20" hidden="1" x14ac:dyDescent="0.4">
      <c r="A2475" s="1" t="s">
        <v>905</v>
      </c>
      <c r="B2475" s="1" t="s">
        <v>1458</v>
      </c>
      <c r="C2475" s="1" t="s">
        <v>1844</v>
      </c>
      <c r="D2475" s="1" t="s">
        <v>1462</v>
      </c>
      <c r="E2475">
        <v>20251209</v>
      </c>
      <c r="F2475" s="1" t="s">
        <v>1470</v>
      </c>
      <c r="G2475">
        <v>4</v>
      </c>
      <c r="H2475" s="1" t="s">
        <v>1503</v>
      </c>
      <c r="I2475" t="s">
        <v>1883</v>
      </c>
      <c r="J2475" s="1" t="s">
        <v>1456</v>
      </c>
      <c r="K2475" s="1" t="s">
        <v>1553</v>
      </c>
      <c r="L2475" s="1" t="s">
        <v>1729</v>
      </c>
      <c r="M2475" s="1" t="s">
        <v>1736</v>
      </c>
      <c r="N2475" t="s">
        <v>2093</v>
      </c>
      <c r="O2475" t="s">
        <v>2385</v>
      </c>
      <c r="P2475" t="s">
        <v>3365</v>
      </c>
      <c r="Q2475">
        <v>2</v>
      </c>
      <c r="R2475" s="1" t="s">
        <v>1718</v>
      </c>
      <c r="S2475">
        <v>3570</v>
      </c>
      <c r="T2475">
        <v>7140</v>
      </c>
    </row>
    <row r="2476" spans="1:20" hidden="1" x14ac:dyDescent="0.4">
      <c r="A2476" s="1" t="s">
        <v>905</v>
      </c>
      <c r="B2476" s="1" t="s">
        <v>1459</v>
      </c>
      <c r="C2476" s="1" t="s">
        <v>1844</v>
      </c>
      <c r="D2476" s="1" t="s">
        <v>1462</v>
      </c>
      <c r="E2476">
        <v>20251209</v>
      </c>
      <c r="F2476" s="1" t="s">
        <v>1470</v>
      </c>
      <c r="G2476">
        <v>4</v>
      </c>
      <c r="H2476" s="1" t="s">
        <v>1503</v>
      </c>
      <c r="I2476" t="s">
        <v>1883</v>
      </c>
      <c r="J2476" s="1" t="s">
        <v>1456</v>
      </c>
      <c r="K2476" s="1" t="s">
        <v>1553</v>
      </c>
      <c r="L2476" s="1" t="s">
        <v>1729</v>
      </c>
      <c r="M2476" s="1" t="s">
        <v>1736</v>
      </c>
      <c r="N2476" t="s">
        <v>2093</v>
      </c>
      <c r="O2476" t="s">
        <v>2386</v>
      </c>
      <c r="P2476" t="s">
        <v>3366</v>
      </c>
      <c r="Q2476">
        <v>2</v>
      </c>
      <c r="R2476" s="1" t="s">
        <v>1718</v>
      </c>
      <c r="S2476">
        <v>3570</v>
      </c>
      <c r="T2476">
        <v>7140</v>
      </c>
    </row>
    <row r="2477" spans="1:20" hidden="1" x14ac:dyDescent="0.4">
      <c r="A2477" s="1" t="s">
        <v>905</v>
      </c>
      <c r="B2477" s="1" t="s">
        <v>1460</v>
      </c>
      <c r="C2477" s="1" t="s">
        <v>1844</v>
      </c>
      <c r="D2477" s="1" t="s">
        <v>1462</v>
      </c>
      <c r="E2477">
        <v>20251209</v>
      </c>
      <c r="F2477" s="1" t="s">
        <v>1470</v>
      </c>
      <c r="G2477">
        <v>4</v>
      </c>
      <c r="H2477" s="1" t="s">
        <v>1503</v>
      </c>
      <c r="I2477" t="s">
        <v>1883</v>
      </c>
      <c r="J2477" s="1" t="s">
        <v>1456</v>
      </c>
      <c r="K2477" s="1" t="s">
        <v>1553</v>
      </c>
      <c r="L2477" s="1" t="s">
        <v>1729</v>
      </c>
      <c r="M2477" s="1" t="s">
        <v>1736</v>
      </c>
      <c r="N2477" t="s">
        <v>2093</v>
      </c>
      <c r="O2477" t="s">
        <v>2387</v>
      </c>
      <c r="P2477" t="s">
        <v>3367</v>
      </c>
      <c r="Q2477">
        <v>2</v>
      </c>
      <c r="R2477" s="1" t="s">
        <v>1718</v>
      </c>
      <c r="S2477">
        <v>4950</v>
      </c>
      <c r="T2477">
        <v>9900</v>
      </c>
    </row>
    <row r="2478" spans="1:20" hidden="1" x14ac:dyDescent="0.4">
      <c r="A2478" s="1" t="s">
        <v>905</v>
      </c>
      <c r="B2478" s="1" t="s">
        <v>1461</v>
      </c>
      <c r="C2478" s="1" t="s">
        <v>1844</v>
      </c>
      <c r="D2478" s="1" t="s">
        <v>1462</v>
      </c>
      <c r="E2478">
        <v>20251209</v>
      </c>
      <c r="F2478" s="1" t="s">
        <v>1470</v>
      </c>
      <c r="G2478">
        <v>4</v>
      </c>
      <c r="H2478" s="1" t="s">
        <v>1503</v>
      </c>
      <c r="I2478" t="s">
        <v>1883</v>
      </c>
      <c r="J2478" s="1" t="s">
        <v>1456</v>
      </c>
      <c r="K2478" s="1" t="s">
        <v>1553</v>
      </c>
      <c r="L2478" s="1" t="s">
        <v>1729</v>
      </c>
      <c r="M2478" s="1" t="s">
        <v>1736</v>
      </c>
      <c r="N2478" t="s">
        <v>2093</v>
      </c>
      <c r="O2478" t="s">
        <v>2388</v>
      </c>
      <c r="P2478" t="s">
        <v>3368</v>
      </c>
      <c r="Q2478">
        <v>2</v>
      </c>
      <c r="R2478" s="1" t="s">
        <v>1718</v>
      </c>
      <c r="S2478">
        <v>3570</v>
      </c>
      <c r="T2478">
        <v>7140</v>
      </c>
    </row>
    <row r="2479" spans="1:20" hidden="1" x14ac:dyDescent="0.4">
      <c r="A2479" s="1" t="s">
        <v>905</v>
      </c>
      <c r="B2479" s="1" t="s">
        <v>1462</v>
      </c>
      <c r="C2479" s="1" t="s">
        <v>1844</v>
      </c>
      <c r="D2479" s="1" t="s">
        <v>1462</v>
      </c>
      <c r="E2479">
        <v>20251209</v>
      </c>
      <c r="F2479" s="1" t="s">
        <v>1470</v>
      </c>
      <c r="G2479">
        <v>4</v>
      </c>
      <c r="H2479" s="1" t="s">
        <v>1503</v>
      </c>
      <c r="I2479" t="s">
        <v>1883</v>
      </c>
      <c r="J2479" s="1" t="s">
        <v>1456</v>
      </c>
      <c r="K2479" s="1" t="s">
        <v>1553</v>
      </c>
      <c r="L2479" s="1" t="s">
        <v>1729</v>
      </c>
      <c r="M2479" s="1" t="s">
        <v>1736</v>
      </c>
      <c r="N2479" t="s">
        <v>2093</v>
      </c>
      <c r="O2479" t="s">
        <v>2389</v>
      </c>
      <c r="P2479" t="s">
        <v>3369</v>
      </c>
      <c r="Q2479">
        <v>2</v>
      </c>
      <c r="R2479" s="1" t="s">
        <v>1718</v>
      </c>
      <c r="S2479">
        <v>3570</v>
      </c>
      <c r="T2479">
        <v>7140</v>
      </c>
    </row>
    <row r="2480" spans="1:20" hidden="1" x14ac:dyDescent="0.4">
      <c r="A2480" s="1" t="s">
        <v>905</v>
      </c>
      <c r="B2480" s="1" t="s">
        <v>1463</v>
      </c>
      <c r="C2480" s="1" t="s">
        <v>1844</v>
      </c>
      <c r="D2480" s="1" t="s">
        <v>1462</v>
      </c>
      <c r="E2480">
        <v>20251209</v>
      </c>
      <c r="F2480" s="1" t="s">
        <v>1470</v>
      </c>
      <c r="G2480">
        <v>4</v>
      </c>
      <c r="H2480" s="1" t="s">
        <v>1503</v>
      </c>
      <c r="I2480" t="s">
        <v>1883</v>
      </c>
      <c r="J2480" s="1" t="s">
        <v>1456</v>
      </c>
      <c r="K2480" s="1" t="s">
        <v>1553</v>
      </c>
      <c r="L2480" s="1" t="s">
        <v>1729</v>
      </c>
      <c r="M2480" s="1" t="s">
        <v>1736</v>
      </c>
      <c r="N2480" t="s">
        <v>2093</v>
      </c>
      <c r="O2480" t="s">
        <v>2390</v>
      </c>
      <c r="P2480" t="s">
        <v>3370</v>
      </c>
      <c r="Q2480">
        <v>2</v>
      </c>
      <c r="R2480" s="1" t="s">
        <v>1718</v>
      </c>
      <c r="S2480">
        <v>5690</v>
      </c>
      <c r="T2480">
        <v>11380</v>
      </c>
    </row>
    <row r="2481" spans="1:20" hidden="1" x14ac:dyDescent="0.4">
      <c r="A2481" s="1" t="s">
        <v>906</v>
      </c>
      <c r="B2481" s="1" t="s">
        <v>1453</v>
      </c>
      <c r="C2481" s="1" t="s">
        <v>1844</v>
      </c>
      <c r="D2481" s="1" t="s">
        <v>1462</v>
      </c>
      <c r="E2481">
        <v>20251209</v>
      </c>
      <c r="F2481" s="1" t="s">
        <v>1470</v>
      </c>
      <c r="G2481">
        <v>4</v>
      </c>
      <c r="H2481" s="1" t="s">
        <v>1503</v>
      </c>
      <c r="I2481" t="s">
        <v>1883</v>
      </c>
      <c r="J2481" s="1" t="s">
        <v>1456</v>
      </c>
      <c r="K2481" s="1" t="s">
        <v>1553</v>
      </c>
      <c r="L2481" s="1" t="s">
        <v>1729</v>
      </c>
      <c r="M2481" s="1" t="s">
        <v>1736</v>
      </c>
      <c r="N2481" t="s">
        <v>2093</v>
      </c>
      <c r="O2481" t="s">
        <v>2391</v>
      </c>
      <c r="P2481" t="s">
        <v>3371</v>
      </c>
      <c r="Q2481">
        <v>2</v>
      </c>
      <c r="R2481" s="1" t="s">
        <v>1718</v>
      </c>
      <c r="S2481">
        <v>3570</v>
      </c>
      <c r="T2481">
        <v>7140</v>
      </c>
    </row>
    <row r="2482" spans="1:20" hidden="1" x14ac:dyDescent="0.4">
      <c r="A2482" s="1" t="s">
        <v>906</v>
      </c>
      <c r="B2482" s="1" t="s">
        <v>1454</v>
      </c>
      <c r="C2482" s="1" t="s">
        <v>1844</v>
      </c>
      <c r="D2482" s="1" t="s">
        <v>1462</v>
      </c>
      <c r="E2482">
        <v>20251209</v>
      </c>
      <c r="F2482" s="1" t="s">
        <v>1470</v>
      </c>
      <c r="G2482">
        <v>4</v>
      </c>
      <c r="H2482" s="1" t="s">
        <v>1503</v>
      </c>
      <c r="I2482" t="s">
        <v>1883</v>
      </c>
      <c r="J2482" s="1" t="s">
        <v>1456</v>
      </c>
      <c r="K2482" s="1" t="s">
        <v>1553</v>
      </c>
      <c r="L2482" s="1" t="s">
        <v>1729</v>
      </c>
      <c r="M2482" s="1" t="s">
        <v>1736</v>
      </c>
      <c r="N2482" t="s">
        <v>2093</v>
      </c>
      <c r="O2482" t="s">
        <v>2392</v>
      </c>
      <c r="P2482" t="s">
        <v>3372</v>
      </c>
      <c r="Q2482">
        <v>2</v>
      </c>
      <c r="R2482" s="1" t="s">
        <v>1718</v>
      </c>
      <c r="S2482">
        <v>3570</v>
      </c>
      <c r="T2482">
        <v>7140</v>
      </c>
    </row>
    <row r="2483" spans="1:20" hidden="1" x14ac:dyDescent="0.4">
      <c r="A2483" s="1" t="s">
        <v>906</v>
      </c>
      <c r="B2483" s="1" t="s">
        <v>1455</v>
      </c>
      <c r="C2483" s="1" t="s">
        <v>1844</v>
      </c>
      <c r="D2483" s="1" t="s">
        <v>1462</v>
      </c>
      <c r="E2483">
        <v>20251209</v>
      </c>
      <c r="F2483" s="1" t="s">
        <v>1470</v>
      </c>
      <c r="G2483">
        <v>4</v>
      </c>
      <c r="H2483" s="1" t="s">
        <v>1503</v>
      </c>
      <c r="I2483" t="s">
        <v>1883</v>
      </c>
      <c r="J2483" s="1" t="s">
        <v>1456</v>
      </c>
      <c r="K2483" s="1" t="s">
        <v>1553</v>
      </c>
      <c r="L2483" s="1" t="s">
        <v>1729</v>
      </c>
      <c r="M2483" s="1" t="s">
        <v>1736</v>
      </c>
      <c r="N2483" t="s">
        <v>2093</v>
      </c>
      <c r="O2483" t="s">
        <v>2393</v>
      </c>
      <c r="P2483" t="s">
        <v>3373</v>
      </c>
      <c r="Q2483">
        <v>2</v>
      </c>
      <c r="R2483" s="1" t="s">
        <v>1718</v>
      </c>
      <c r="S2483">
        <v>4950</v>
      </c>
      <c r="T2483">
        <v>9900</v>
      </c>
    </row>
    <row r="2484" spans="1:20" hidden="1" x14ac:dyDescent="0.4">
      <c r="A2484" s="1" t="s">
        <v>906</v>
      </c>
      <c r="B2484" s="1" t="s">
        <v>1456</v>
      </c>
      <c r="C2484" s="1" t="s">
        <v>1844</v>
      </c>
      <c r="D2484" s="1" t="s">
        <v>1462</v>
      </c>
      <c r="E2484">
        <v>20251209</v>
      </c>
      <c r="F2484" s="1" t="s">
        <v>1470</v>
      </c>
      <c r="G2484">
        <v>4</v>
      </c>
      <c r="H2484" s="1" t="s">
        <v>1503</v>
      </c>
      <c r="I2484" t="s">
        <v>1883</v>
      </c>
      <c r="J2484" s="1" t="s">
        <v>1456</v>
      </c>
      <c r="K2484" s="1" t="s">
        <v>1553</v>
      </c>
      <c r="L2484" s="1" t="s">
        <v>1729</v>
      </c>
      <c r="M2484" s="1" t="s">
        <v>1736</v>
      </c>
      <c r="N2484" t="s">
        <v>2093</v>
      </c>
      <c r="O2484" t="s">
        <v>2394</v>
      </c>
      <c r="P2484" t="s">
        <v>3374</v>
      </c>
      <c r="Q2484">
        <v>2</v>
      </c>
      <c r="R2484" s="1" t="s">
        <v>1718</v>
      </c>
      <c r="S2484">
        <v>3570</v>
      </c>
      <c r="T2484">
        <v>7140</v>
      </c>
    </row>
    <row r="2485" spans="1:20" hidden="1" x14ac:dyDescent="0.4">
      <c r="A2485" s="1" t="s">
        <v>906</v>
      </c>
      <c r="B2485" s="1" t="s">
        <v>1457</v>
      </c>
      <c r="C2485" s="1" t="s">
        <v>1844</v>
      </c>
      <c r="D2485" s="1" t="s">
        <v>1462</v>
      </c>
      <c r="E2485">
        <v>20251209</v>
      </c>
      <c r="F2485" s="1" t="s">
        <v>1470</v>
      </c>
      <c r="G2485">
        <v>4</v>
      </c>
      <c r="H2485" s="1" t="s">
        <v>1503</v>
      </c>
      <c r="I2485" t="s">
        <v>1883</v>
      </c>
      <c r="J2485" s="1" t="s">
        <v>1456</v>
      </c>
      <c r="K2485" s="1" t="s">
        <v>1553</v>
      </c>
      <c r="L2485" s="1" t="s">
        <v>1729</v>
      </c>
      <c r="M2485" s="1" t="s">
        <v>1736</v>
      </c>
      <c r="N2485" t="s">
        <v>2093</v>
      </c>
      <c r="O2485" t="s">
        <v>2395</v>
      </c>
      <c r="P2485" t="s">
        <v>3375</v>
      </c>
      <c r="Q2485">
        <v>2</v>
      </c>
      <c r="R2485" s="1" t="s">
        <v>1718</v>
      </c>
      <c r="S2485">
        <v>3570</v>
      </c>
      <c r="T2485">
        <v>7140</v>
      </c>
    </row>
    <row r="2486" spans="1:20" hidden="1" x14ac:dyDescent="0.4">
      <c r="A2486" s="1" t="s">
        <v>906</v>
      </c>
      <c r="B2486" s="1" t="s">
        <v>1458</v>
      </c>
      <c r="C2486" s="1" t="s">
        <v>1844</v>
      </c>
      <c r="D2486" s="1" t="s">
        <v>1462</v>
      </c>
      <c r="E2486">
        <v>20251209</v>
      </c>
      <c r="F2486" s="1" t="s">
        <v>1470</v>
      </c>
      <c r="G2486">
        <v>4</v>
      </c>
      <c r="H2486" s="1" t="s">
        <v>1503</v>
      </c>
      <c r="I2486" t="s">
        <v>1883</v>
      </c>
      <c r="J2486" s="1" t="s">
        <v>1456</v>
      </c>
      <c r="K2486" s="1" t="s">
        <v>1553</v>
      </c>
      <c r="L2486" s="1" t="s">
        <v>1729</v>
      </c>
      <c r="M2486" s="1" t="s">
        <v>1736</v>
      </c>
      <c r="N2486" t="s">
        <v>2093</v>
      </c>
      <c r="O2486" t="s">
        <v>2396</v>
      </c>
      <c r="P2486" t="s">
        <v>3376</v>
      </c>
      <c r="Q2486">
        <v>2</v>
      </c>
      <c r="R2486" s="1" t="s">
        <v>1718</v>
      </c>
      <c r="S2486">
        <v>4950</v>
      </c>
      <c r="T2486">
        <v>9900</v>
      </c>
    </row>
    <row r="2487" spans="1:20" hidden="1" x14ac:dyDescent="0.4">
      <c r="A2487" s="1" t="s">
        <v>906</v>
      </c>
      <c r="B2487" s="1" t="s">
        <v>1459</v>
      </c>
      <c r="C2487" s="1" t="s">
        <v>1844</v>
      </c>
      <c r="D2487" s="1" t="s">
        <v>1462</v>
      </c>
      <c r="E2487">
        <v>20251209</v>
      </c>
      <c r="F2487" s="1" t="s">
        <v>1470</v>
      </c>
      <c r="G2487">
        <v>4</v>
      </c>
      <c r="H2487" s="1" t="s">
        <v>1503</v>
      </c>
      <c r="I2487" t="s">
        <v>1883</v>
      </c>
      <c r="J2487" s="1" t="s">
        <v>1456</v>
      </c>
      <c r="K2487" s="1" t="s">
        <v>1553</v>
      </c>
      <c r="L2487" s="1" t="s">
        <v>1729</v>
      </c>
      <c r="M2487" s="1" t="s">
        <v>1736</v>
      </c>
      <c r="N2487" t="s">
        <v>2093</v>
      </c>
      <c r="O2487" t="s">
        <v>2397</v>
      </c>
      <c r="P2487" t="s">
        <v>3377</v>
      </c>
      <c r="Q2487">
        <v>2</v>
      </c>
      <c r="R2487" s="1" t="s">
        <v>1718</v>
      </c>
      <c r="S2487">
        <v>3570</v>
      </c>
      <c r="T2487">
        <v>7140</v>
      </c>
    </row>
    <row r="2488" spans="1:20" hidden="1" x14ac:dyDescent="0.4">
      <c r="A2488" s="1" t="s">
        <v>907</v>
      </c>
      <c r="B2488" s="1" t="s">
        <v>1453</v>
      </c>
      <c r="C2488" s="1" t="s">
        <v>1844</v>
      </c>
      <c r="D2488" s="1" t="s">
        <v>1462</v>
      </c>
      <c r="E2488">
        <v>20251209</v>
      </c>
      <c r="F2488" s="1" t="s">
        <v>1470</v>
      </c>
      <c r="G2488">
        <v>4</v>
      </c>
      <c r="H2488" s="1" t="s">
        <v>1503</v>
      </c>
      <c r="I2488" t="s">
        <v>1883</v>
      </c>
      <c r="J2488" s="1" t="s">
        <v>1456</v>
      </c>
      <c r="K2488" s="1" t="s">
        <v>1553</v>
      </c>
      <c r="L2488" s="1" t="s">
        <v>1729</v>
      </c>
      <c r="M2488" s="1" t="s">
        <v>1736</v>
      </c>
      <c r="N2488" t="s">
        <v>2093</v>
      </c>
      <c r="O2488" t="s">
        <v>2398</v>
      </c>
      <c r="P2488" t="s">
        <v>3378</v>
      </c>
      <c r="Q2488">
        <v>2</v>
      </c>
      <c r="R2488" s="1" t="s">
        <v>1718</v>
      </c>
      <c r="S2488">
        <v>6820</v>
      </c>
      <c r="T2488">
        <v>13640</v>
      </c>
    </row>
    <row r="2489" spans="1:20" hidden="1" x14ac:dyDescent="0.4">
      <c r="A2489" s="1" t="s">
        <v>907</v>
      </c>
      <c r="B2489" s="1" t="s">
        <v>1454</v>
      </c>
      <c r="C2489" s="1" t="s">
        <v>1844</v>
      </c>
      <c r="D2489" s="1" t="s">
        <v>1462</v>
      </c>
      <c r="E2489">
        <v>20251209</v>
      </c>
      <c r="F2489" s="1" t="s">
        <v>1470</v>
      </c>
      <c r="G2489">
        <v>4</v>
      </c>
      <c r="H2489" s="1" t="s">
        <v>1503</v>
      </c>
      <c r="I2489" t="s">
        <v>1883</v>
      </c>
      <c r="J2489" s="1" t="s">
        <v>1456</v>
      </c>
      <c r="K2489" s="1" t="s">
        <v>1553</v>
      </c>
      <c r="L2489" s="1" t="s">
        <v>1729</v>
      </c>
      <c r="M2489" s="1" t="s">
        <v>1736</v>
      </c>
      <c r="N2489" t="s">
        <v>2093</v>
      </c>
      <c r="O2489" t="s">
        <v>2399</v>
      </c>
      <c r="P2489" t="s">
        <v>3379</v>
      </c>
      <c r="Q2489">
        <v>2</v>
      </c>
      <c r="R2489" s="1" t="s">
        <v>1718</v>
      </c>
      <c r="S2489">
        <v>6760</v>
      </c>
      <c r="T2489">
        <v>13520</v>
      </c>
    </row>
    <row r="2490" spans="1:20" hidden="1" x14ac:dyDescent="0.4">
      <c r="A2490" s="1" t="s">
        <v>907</v>
      </c>
      <c r="B2490" s="1" t="s">
        <v>1455</v>
      </c>
      <c r="C2490" s="1" t="s">
        <v>1844</v>
      </c>
      <c r="D2490" s="1" t="s">
        <v>1462</v>
      </c>
      <c r="E2490">
        <v>20251209</v>
      </c>
      <c r="F2490" s="1" t="s">
        <v>1470</v>
      </c>
      <c r="G2490">
        <v>4</v>
      </c>
      <c r="H2490" s="1" t="s">
        <v>1503</v>
      </c>
      <c r="I2490" t="s">
        <v>1883</v>
      </c>
      <c r="J2490" s="1" t="s">
        <v>1456</v>
      </c>
      <c r="K2490" s="1" t="s">
        <v>1553</v>
      </c>
      <c r="L2490" s="1" t="s">
        <v>1729</v>
      </c>
      <c r="M2490" s="1" t="s">
        <v>1736</v>
      </c>
      <c r="N2490" t="s">
        <v>2093</v>
      </c>
      <c r="O2490" t="s">
        <v>2400</v>
      </c>
      <c r="P2490" t="s">
        <v>3380</v>
      </c>
      <c r="Q2490">
        <v>2</v>
      </c>
      <c r="R2490" s="1" t="s">
        <v>1718</v>
      </c>
      <c r="S2490">
        <v>4950</v>
      </c>
      <c r="T2490">
        <v>9900</v>
      </c>
    </row>
    <row r="2491" spans="1:20" hidden="1" x14ac:dyDescent="0.4">
      <c r="A2491" s="1" t="s">
        <v>907</v>
      </c>
      <c r="B2491" s="1" t="s">
        <v>1456</v>
      </c>
      <c r="C2491" s="1" t="s">
        <v>1844</v>
      </c>
      <c r="D2491" s="1" t="s">
        <v>1462</v>
      </c>
      <c r="E2491">
        <v>20251209</v>
      </c>
      <c r="F2491" s="1" t="s">
        <v>1470</v>
      </c>
      <c r="G2491">
        <v>4</v>
      </c>
      <c r="H2491" s="1" t="s">
        <v>1503</v>
      </c>
      <c r="I2491" t="s">
        <v>1883</v>
      </c>
      <c r="J2491" s="1" t="s">
        <v>1456</v>
      </c>
      <c r="K2491" s="1" t="s">
        <v>1553</v>
      </c>
      <c r="L2491" s="1" t="s">
        <v>1729</v>
      </c>
      <c r="M2491" s="1" t="s">
        <v>1736</v>
      </c>
      <c r="N2491" t="s">
        <v>2093</v>
      </c>
      <c r="O2491" t="s">
        <v>2401</v>
      </c>
      <c r="P2491" t="s">
        <v>3381</v>
      </c>
      <c r="Q2491">
        <v>2</v>
      </c>
      <c r="R2491" s="1" t="s">
        <v>1718</v>
      </c>
      <c r="S2491">
        <v>4950</v>
      </c>
      <c r="T2491">
        <v>9900</v>
      </c>
    </row>
    <row r="2492" spans="1:20" hidden="1" x14ac:dyDescent="0.4">
      <c r="A2492" s="1" t="s">
        <v>907</v>
      </c>
      <c r="B2492" s="1" t="s">
        <v>1457</v>
      </c>
      <c r="C2492" s="1" t="s">
        <v>1844</v>
      </c>
      <c r="D2492" s="1" t="s">
        <v>1462</v>
      </c>
      <c r="E2492">
        <v>20251209</v>
      </c>
      <c r="F2492" s="1" t="s">
        <v>1470</v>
      </c>
      <c r="G2492">
        <v>4</v>
      </c>
      <c r="H2492" s="1" t="s">
        <v>1503</v>
      </c>
      <c r="I2492" t="s">
        <v>1883</v>
      </c>
      <c r="J2492" s="1" t="s">
        <v>1456</v>
      </c>
      <c r="K2492" s="1" t="s">
        <v>1553</v>
      </c>
      <c r="L2492" s="1" t="s">
        <v>1729</v>
      </c>
      <c r="M2492" s="1" t="s">
        <v>1736</v>
      </c>
      <c r="N2492" t="s">
        <v>2093</v>
      </c>
      <c r="O2492" t="s">
        <v>2402</v>
      </c>
      <c r="P2492" t="s">
        <v>3382</v>
      </c>
      <c r="Q2492">
        <v>2</v>
      </c>
      <c r="R2492" s="1" t="s">
        <v>1718</v>
      </c>
      <c r="S2492">
        <v>6380</v>
      </c>
      <c r="T2492">
        <v>12760</v>
      </c>
    </row>
    <row r="2493" spans="1:20" hidden="1" x14ac:dyDescent="0.4">
      <c r="A2493" s="1" t="s">
        <v>907</v>
      </c>
      <c r="B2493" s="1" t="s">
        <v>1458</v>
      </c>
      <c r="C2493" s="1" t="s">
        <v>1844</v>
      </c>
      <c r="D2493" s="1" t="s">
        <v>1462</v>
      </c>
      <c r="E2493">
        <v>20251209</v>
      </c>
      <c r="F2493" s="1" t="s">
        <v>1470</v>
      </c>
      <c r="G2493">
        <v>4</v>
      </c>
      <c r="H2493" s="1" t="s">
        <v>1503</v>
      </c>
      <c r="I2493" t="s">
        <v>1883</v>
      </c>
      <c r="J2493" s="1" t="s">
        <v>1456</v>
      </c>
      <c r="K2493" s="1" t="s">
        <v>1553</v>
      </c>
      <c r="L2493" s="1" t="s">
        <v>1729</v>
      </c>
      <c r="M2493" s="1" t="s">
        <v>1736</v>
      </c>
      <c r="N2493" t="s">
        <v>2093</v>
      </c>
      <c r="O2493" t="s">
        <v>2403</v>
      </c>
      <c r="P2493" t="s">
        <v>3383</v>
      </c>
      <c r="Q2493">
        <v>2</v>
      </c>
      <c r="R2493" s="1" t="s">
        <v>1718</v>
      </c>
      <c r="S2493">
        <v>6380</v>
      </c>
      <c r="T2493">
        <v>12760</v>
      </c>
    </row>
    <row r="2494" spans="1:20" hidden="1" x14ac:dyDescent="0.4">
      <c r="A2494" s="1" t="s">
        <v>907</v>
      </c>
      <c r="B2494" s="1" t="s">
        <v>1459</v>
      </c>
      <c r="C2494" s="1" t="s">
        <v>1844</v>
      </c>
      <c r="D2494" s="1" t="s">
        <v>1462</v>
      </c>
      <c r="E2494">
        <v>20251209</v>
      </c>
      <c r="F2494" s="1" t="s">
        <v>1470</v>
      </c>
      <c r="G2494">
        <v>4</v>
      </c>
      <c r="H2494" s="1" t="s">
        <v>1503</v>
      </c>
      <c r="I2494" t="s">
        <v>1883</v>
      </c>
      <c r="J2494" s="1" t="s">
        <v>1456</v>
      </c>
      <c r="K2494" s="1" t="s">
        <v>1553</v>
      </c>
      <c r="L2494" s="1" t="s">
        <v>1729</v>
      </c>
      <c r="M2494" s="1" t="s">
        <v>1736</v>
      </c>
      <c r="N2494" t="s">
        <v>2093</v>
      </c>
      <c r="O2494" t="s">
        <v>2404</v>
      </c>
      <c r="P2494" t="s">
        <v>3384</v>
      </c>
      <c r="Q2494">
        <v>2</v>
      </c>
      <c r="R2494" s="1" t="s">
        <v>1718</v>
      </c>
      <c r="S2494">
        <v>5010</v>
      </c>
      <c r="T2494">
        <v>10020</v>
      </c>
    </row>
    <row r="2495" spans="1:20" hidden="1" x14ac:dyDescent="0.4">
      <c r="A2495" s="1" t="s">
        <v>907</v>
      </c>
      <c r="B2495" s="1" t="s">
        <v>1460</v>
      </c>
      <c r="C2495" s="1" t="s">
        <v>1844</v>
      </c>
      <c r="D2495" s="1" t="s">
        <v>1462</v>
      </c>
      <c r="E2495">
        <v>20251209</v>
      </c>
      <c r="F2495" s="1" t="s">
        <v>1470</v>
      </c>
      <c r="G2495">
        <v>4</v>
      </c>
      <c r="H2495" s="1" t="s">
        <v>1503</v>
      </c>
      <c r="I2495" t="s">
        <v>1883</v>
      </c>
      <c r="J2495" s="1" t="s">
        <v>1456</v>
      </c>
      <c r="K2495" s="1" t="s">
        <v>1553</v>
      </c>
      <c r="L2495" s="1" t="s">
        <v>1729</v>
      </c>
      <c r="M2495" s="1" t="s">
        <v>1736</v>
      </c>
      <c r="N2495" t="s">
        <v>2093</v>
      </c>
      <c r="O2495" t="s">
        <v>2405</v>
      </c>
      <c r="P2495" t="s">
        <v>3385</v>
      </c>
      <c r="Q2495">
        <v>2</v>
      </c>
      <c r="R2495" s="1" t="s">
        <v>1718</v>
      </c>
      <c r="S2495">
        <v>5010</v>
      </c>
      <c r="T2495">
        <v>10020</v>
      </c>
    </row>
    <row r="2496" spans="1:20" hidden="1" x14ac:dyDescent="0.4">
      <c r="A2496" s="1" t="s">
        <v>908</v>
      </c>
      <c r="B2496" s="1" t="s">
        <v>1453</v>
      </c>
      <c r="C2496" s="1" t="s">
        <v>1844</v>
      </c>
      <c r="D2496" s="1" t="s">
        <v>1462</v>
      </c>
      <c r="E2496">
        <v>20251209</v>
      </c>
      <c r="F2496" s="1" t="s">
        <v>1470</v>
      </c>
      <c r="G2496">
        <v>4</v>
      </c>
      <c r="H2496" s="1" t="s">
        <v>1503</v>
      </c>
      <c r="I2496" t="s">
        <v>1883</v>
      </c>
      <c r="J2496" s="1" t="s">
        <v>1456</v>
      </c>
      <c r="K2496" s="1" t="s">
        <v>1553</v>
      </c>
      <c r="L2496" s="1" t="s">
        <v>1729</v>
      </c>
      <c r="M2496" s="1" t="s">
        <v>1736</v>
      </c>
      <c r="N2496" t="s">
        <v>2093</v>
      </c>
      <c r="O2496" t="s">
        <v>2406</v>
      </c>
      <c r="P2496" t="s">
        <v>3386</v>
      </c>
      <c r="Q2496">
        <v>2</v>
      </c>
      <c r="R2496" s="1" t="s">
        <v>1718</v>
      </c>
      <c r="S2496">
        <v>4070</v>
      </c>
      <c r="T2496">
        <v>8140</v>
      </c>
    </row>
    <row r="2497" spans="1:20" hidden="1" x14ac:dyDescent="0.4">
      <c r="A2497" s="1" t="s">
        <v>908</v>
      </c>
      <c r="B2497" s="1" t="s">
        <v>1454</v>
      </c>
      <c r="C2497" s="1" t="s">
        <v>1844</v>
      </c>
      <c r="D2497" s="1" t="s">
        <v>1462</v>
      </c>
      <c r="E2497">
        <v>20251209</v>
      </c>
      <c r="F2497" s="1" t="s">
        <v>1470</v>
      </c>
      <c r="G2497">
        <v>4</v>
      </c>
      <c r="H2497" s="1" t="s">
        <v>1503</v>
      </c>
      <c r="I2497" t="s">
        <v>1883</v>
      </c>
      <c r="J2497" s="1" t="s">
        <v>1456</v>
      </c>
      <c r="K2497" s="1" t="s">
        <v>1553</v>
      </c>
      <c r="L2497" s="1" t="s">
        <v>1729</v>
      </c>
      <c r="M2497" s="1" t="s">
        <v>1736</v>
      </c>
      <c r="N2497" t="s">
        <v>2093</v>
      </c>
      <c r="O2497" t="s">
        <v>2407</v>
      </c>
      <c r="P2497" t="s">
        <v>3387</v>
      </c>
      <c r="Q2497">
        <v>2</v>
      </c>
      <c r="R2497" s="1" t="s">
        <v>1718</v>
      </c>
      <c r="S2497">
        <v>4950</v>
      </c>
      <c r="T2497">
        <v>9900</v>
      </c>
    </row>
    <row r="2498" spans="1:20" hidden="1" x14ac:dyDescent="0.4">
      <c r="A2498" s="1" t="s">
        <v>908</v>
      </c>
      <c r="B2498" s="1" t="s">
        <v>1455</v>
      </c>
      <c r="C2498" s="1" t="s">
        <v>1844</v>
      </c>
      <c r="D2498" s="1" t="s">
        <v>1462</v>
      </c>
      <c r="E2498">
        <v>20251209</v>
      </c>
      <c r="F2498" s="1" t="s">
        <v>1470</v>
      </c>
      <c r="G2498">
        <v>4</v>
      </c>
      <c r="H2498" s="1" t="s">
        <v>1503</v>
      </c>
      <c r="I2498" t="s">
        <v>1883</v>
      </c>
      <c r="J2498" s="1" t="s">
        <v>1456</v>
      </c>
      <c r="K2498" s="1" t="s">
        <v>1553</v>
      </c>
      <c r="L2498" s="1" t="s">
        <v>1729</v>
      </c>
      <c r="M2498" s="1" t="s">
        <v>1736</v>
      </c>
      <c r="N2498" t="s">
        <v>2093</v>
      </c>
      <c r="O2498" t="s">
        <v>2408</v>
      </c>
      <c r="P2498" t="s">
        <v>3388</v>
      </c>
      <c r="Q2498">
        <v>2</v>
      </c>
      <c r="R2498" s="1" t="s">
        <v>1718</v>
      </c>
      <c r="S2498">
        <v>4070</v>
      </c>
      <c r="T2498">
        <v>8140</v>
      </c>
    </row>
    <row r="2499" spans="1:20" hidden="1" x14ac:dyDescent="0.4">
      <c r="A2499" s="1" t="s">
        <v>908</v>
      </c>
      <c r="B2499" s="1" t="s">
        <v>1456</v>
      </c>
      <c r="C2499" s="1" t="s">
        <v>1844</v>
      </c>
      <c r="D2499" s="1" t="s">
        <v>1462</v>
      </c>
      <c r="E2499">
        <v>20251209</v>
      </c>
      <c r="F2499" s="1" t="s">
        <v>1470</v>
      </c>
      <c r="G2499">
        <v>4</v>
      </c>
      <c r="H2499" s="1" t="s">
        <v>1503</v>
      </c>
      <c r="I2499" t="s">
        <v>1883</v>
      </c>
      <c r="J2499" s="1" t="s">
        <v>1456</v>
      </c>
      <c r="K2499" s="1" t="s">
        <v>1553</v>
      </c>
      <c r="L2499" s="1" t="s">
        <v>1729</v>
      </c>
      <c r="M2499" s="1" t="s">
        <v>1736</v>
      </c>
      <c r="N2499" t="s">
        <v>2093</v>
      </c>
      <c r="O2499" t="s">
        <v>2409</v>
      </c>
      <c r="P2499" t="s">
        <v>3389</v>
      </c>
      <c r="Q2499">
        <v>2</v>
      </c>
      <c r="R2499" s="1" t="s">
        <v>1718</v>
      </c>
      <c r="S2499">
        <v>4260</v>
      </c>
      <c r="T2499">
        <v>8520</v>
      </c>
    </row>
    <row r="2500" spans="1:20" hidden="1" x14ac:dyDescent="0.4">
      <c r="A2500" s="1" t="s">
        <v>908</v>
      </c>
      <c r="B2500" s="1" t="s">
        <v>1457</v>
      </c>
      <c r="C2500" s="1" t="s">
        <v>1844</v>
      </c>
      <c r="D2500" s="1" t="s">
        <v>1462</v>
      </c>
      <c r="E2500">
        <v>20251209</v>
      </c>
      <c r="F2500" s="1" t="s">
        <v>1470</v>
      </c>
      <c r="G2500">
        <v>4</v>
      </c>
      <c r="H2500" s="1" t="s">
        <v>1503</v>
      </c>
      <c r="I2500" t="s">
        <v>1883</v>
      </c>
      <c r="J2500" s="1" t="s">
        <v>1456</v>
      </c>
      <c r="K2500" s="1" t="s">
        <v>1553</v>
      </c>
      <c r="L2500" s="1" t="s">
        <v>1729</v>
      </c>
      <c r="M2500" s="1" t="s">
        <v>1736</v>
      </c>
      <c r="N2500" t="s">
        <v>2093</v>
      </c>
      <c r="O2500" t="s">
        <v>2410</v>
      </c>
      <c r="P2500" t="s">
        <v>3390</v>
      </c>
      <c r="Q2500">
        <v>2</v>
      </c>
      <c r="R2500" s="1" t="s">
        <v>1718</v>
      </c>
      <c r="S2500">
        <v>4950</v>
      </c>
      <c r="T2500">
        <v>9900</v>
      </c>
    </row>
    <row r="2501" spans="1:20" hidden="1" x14ac:dyDescent="0.4">
      <c r="A2501" s="1" t="s">
        <v>908</v>
      </c>
      <c r="B2501" s="1" t="s">
        <v>1458</v>
      </c>
      <c r="C2501" s="1" t="s">
        <v>1844</v>
      </c>
      <c r="D2501" s="1" t="s">
        <v>1462</v>
      </c>
      <c r="E2501">
        <v>20251209</v>
      </c>
      <c r="F2501" s="1" t="s">
        <v>1470</v>
      </c>
      <c r="G2501">
        <v>4</v>
      </c>
      <c r="H2501" s="1" t="s">
        <v>1503</v>
      </c>
      <c r="I2501" t="s">
        <v>1883</v>
      </c>
      <c r="J2501" s="1" t="s">
        <v>1456</v>
      </c>
      <c r="K2501" s="1" t="s">
        <v>1553</v>
      </c>
      <c r="L2501" s="1" t="s">
        <v>1729</v>
      </c>
      <c r="M2501" s="1" t="s">
        <v>1736</v>
      </c>
      <c r="N2501" t="s">
        <v>2093</v>
      </c>
      <c r="O2501" t="s">
        <v>2411</v>
      </c>
      <c r="P2501" t="s">
        <v>3391</v>
      </c>
      <c r="Q2501">
        <v>2</v>
      </c>
      <c r="R2501" s="1" t="s">
        <v>1718</v>
      </c>
      <c r="S2501">
        <v>4260</v>
      </c>
      <c r="T2501">
        <v>8520</v>
      </c>
    </row>
    <row r="2502" spans="1:20" hidden="1" x14ac:dyDescent="0.4">
      <c r="A2502" s="1" t="s">
        <v>908</v>
      </c>
      <c r="B2502" s="1" t="s">
        <v>1459</v>
      </c>
      <c r="C2502" s="1" t="s">
        <v>1844</v>
      </c>
      <c r="D2502" s="1" t="s">
        <v>1462</v>
      </c>
      <c r="E2502">
        <v>20251209</v>
      </c>
      <c r="F2502" s="1" t="s">
        <v>1470</v>
      </c>
      <c r="G2502">
        <v>4</v>
      </c>
      <c r="H2502" s="1" t="s">
        <v>1503</v>
      </c>
      <c r="I2502" t="s">
        <v>1883</v>
      </c>
      <c r="J2502" s="1" t="s">
        <v>1456</v>
      </c>
      <c r="K2502" s="1" t="s">
        <v>1553</v>
      </c>
      <c r="L2502" s="1" t="s">
        <v>1729</v>
      </c>
      <c r="M2502" s="1" t="s">
        <v>1736</v>
      </c>
      <c r="N2502" t="s">
        <v>2093</v>
      </c>
      <c r="O2502" t="s">
        <v>2412</v>
      </c>
      <c r="P2502" t="s">
        <v>3392</v>
      </c>
      <c r="Q2502">
        <v>2</v>
      </c>
      <c r="R2502" s="1" t="s">
        <v>1718</v>
      </c>
      <c r="S2502">
        <v>4950</v>
      </c>
      <c r="T2502">
        <v>9900</v>
      </c>
    </row>
    <row r="2503" spans="1:20" hidden="1" x14ac:dyDescent="0.4">
      <c r="A2503" s="1" t="s">
        <v>908</v>
      </c>
      <c r="B2503" s="1" t="s">
        <v>1460</v>
      </c>
      <c r="C2503" s="1" t="s">
        <v>1844</v>
      </c>
      <c r="D2503" s="1" t="s">
        <v>1462</v>
      </c>
      <c r="E2503">
        <v>20251209</v>
      </c>
      <c r="F2503" s="1" t="s">
        <v>1470</v>
      </c>
      <c r="G2503">
        <v>4</v>
      </c>
      <c r="H2503" s="1" t="s">
        <v>1503</v>
      </c>
      <c r="I2503" t="s">
        <v>1883</v>
      </c>
      <c r="J2503" s="1" t="s">
        <v>1456</v>
      </c>
      <c r="K2503" s="1" t="s">
        <v>1553</v>
      </c>
      <c r="L2503" s="1" t="s">
        <v>1729</v>
      </c>
      <c r="M2503" s="1" t="s">
        <v>1736</v>
      </c>
      <c r="N2503" t="s">
        <v>2093</v>
      </c>
      <c r="O2503" t="s">
        <v>2413</v>
      </c>
      <c r="P2503" t="s">
        <v>3393</v>
      </c>
      <c r="Q2503">
        <v>2</v>
      </c>
      <c r="R2503" s="1" t="s">
        <v>1718</v>
      </c>
      <c r="S2503">
        <v>4950</v>
      </c>
      <c r="T2503">
        <v>9900</v>
      </c>
    </row>
    <row r="2504" spans="1:20" hidden="1" x14ac:dyDescent="0.4">
      <c r="A2504" s="1" t="s">
        <v>908</v>
      </c>
      <c r="B2504" s="1" t="s">
        <v>1461</v>
      </c>
      <c r="C2504" s="1" t="s">
        <v>1844</v>
      </c>
      <c r="D2504" s="1" t="s">
        <v>1462</v>
      </c>
      <c r="E2504">
        <v>20251209</v>
      </c>
      <c r="F2504" s="1" t="s">
        <v>1470</v>
      </c>
      <c r="G2504">
        <v>4</v>
      </c>
      <c r="H2504" s="1" t="s">
        <v>1503</v>
      </c>
      <c r="I2504" t="s">
        <v>1883</v>
      </c>
      <c r="J2504" s="1" t="s">
        <v>1456</v>
      </c>
      <c r="K2504" s="1" t="s">
        <v>1553</v>
      </c>
      <c r="L2504" s="1" t="s">
        <v>1729</v>
      </c>
      <c r="M2504" s="1" t="s">
        <v>1736</v>
      </c>
      <c r="N2504" t="s">
        <v>2093</v>
      </c>
      <c r="O2504" t="s">
        <v>2414</v>
      </c>
      <c r="P2504" t="s">
        <v>3394</v>
      </c>
      <c r="Q2504">
        <v>2</v>
      </c>
      <c r="R2504" s="1" t="s">
        <v>1718</v>
      </c>
      <c r="S2504">
        <v>3880</v>
      </c>
      <c r="T2504">
        <v>7760</v>
      </c>
    </row>
    <row r="2505" spans="1:20" hidden="1" x14ac:dyDescent="0.4">
      <c r="A2505" s="1" t="s">
        <v>908</v>
      </c>
      <c r="B2505" s="1" t="s">
        <v>1462</v>
      </c>
      <c r="C2505" s="1" t="s">
        <v>1844</v>
      </c>
      <c r="D2505" s="1" t="s">
        <v>1462</v>
      </c>
      <c r="E2505">
        <v>20251209</v>
      </c>
      <c r="F2505" s="1" t="s">
        <v>1470</v>
      </c>
      <c r="G2505">
        <v>4</v>
      </c>
      <c r="H2505" s="1" t="s">
        <v>1503</v>
      </c>
      <c r="I2505" t="s">
        <v>1883</v>
      </c>
      <c r="J2505" s="1" t="s">
        <v>1456</v>
      </c>
      <c r="K2505" s="1" t="s">
        <v>1553</v>
      </c>
      <c r="L2505" s="1" t="s">
        <v>1729</v>
      </c>
      <c r="M2505" s="1" t="s">
        <v>1736</v>
      </c>
      <c r="N2505" t="s">
        <v>2093</v>
      </c>
      <c r="O2505" t="s">
        <v>2415</v>
      </c>
      <c r="P2505" t="s">
        <v>3395</v>
      </c>
      <c r="Q2505">
        <v>2</v>
      </c>
      <c r="R2505" s="1" t="s">
        <v>1718</v>
      </c>
      <c r="S2505">
        <v>5630</v>
      </c>
      <c r="T2505">
        <v>11260</v>
      </c>
    </row>
    <row r="2506" spans="1:20" hidden="1" x14ac:dyDescent="0.4">
      <c r="A2506" s="1" t="s">
        <v>908</v>
      </c>
      <c r="B2506" s="1" t="s">
        <v>1463</v>
      </c>
      <c r="C2506" s="1" t="s">
        <v>1844</v>
      </c>
      <c r="D2506" s="1" t="s">
        <v>1462</v>
      </c>
      <c r="E2506">
        <v>20251209</v>
      </c>
      <c r="F2506" s="1" t="s">
        <v>1470</v>
      </c>
      <c r="G2506">
        <v>4</v>
      </c>
      <c r="H2506" s="1" t="s">
        <v>1503</v>
      </c>
      <c r="I2506" t="s">
        <v>1883</v>
      </c>
      <c r="J2506" s="1" t="s">
        <v>1456</v>
      </c>
      <c r="K2506" s="1" t="s">
        <v>1553</v>
      </c>
      <c r="L2506" s="1" t="s">
        <v>1729</v>
      </c>
      <c r="M2506" s="1" t="s">
        <v>1736</v>
      </c>
      <c r="N2506" t="s">
        <v>2093</v>
      </c>
      <c r="O2506" t="s">
        <v>2416</v>
      </c>
      <c r="P2506" t="s">
        <v>3396</v>
      </c>
      <c r="Q2506">
        <v>2</v>
      </c>
      <c r="R2506" s="1" t="s">
        <v>1718</v>
      </c>
      <c r="S2506">
        <v>3820</v>
      </c>
      <c r="T2506">
        <v>7640</v>
      </c>
    </row>
    <row r="2507" spans="1:20" hidden="1" x14ac:dyDescent="0.4">
      <c r="A2507" s="1" t="s">
        <v>909</v>
      </c>
      <c r="B2507" s="1" t="s">
        <v>1453</v>
      </c>
      <c r="C2507" s="1" t="s">
        <v>1844</v>
      </c>
      <c r="D2507" s="1" t="s">
        <v>1462</v>
      </c>
      <c r="E2507">
        <v>20251209</v>
      </c>
      <c r="F2507" s="1" t="s">
        <v>1470</v>
      </c>
      <c r="G2507">
        <v>4</v>
      </c>
      <c r="H2507" s="1" t="s">
        <v>1503</v>
      </c>
      <c r="I2507" t="s">
        <v>1883</v>
      </c>
      <c r="J2507" s="1" t="s">
        <v>1456</v>
      </c>
      <c r="K2507" s="1" t="s">
        <v>1553</v>
      </c>
      <c r="L2507" s="1" t="s">
        <v>1729</v>
      </c>
      <c r="M2507" s="1" t="s">
        <v>1736</v>
      </c>
      <c r="N2507" t="s">
        <v>2093</v>
      </c>
      <c r="O2507" t="s">
        <v>2417</v>
      </c>
      <c r="P2507" t="s">
        <v>3397</v>
      </c>
      <c r="Q2507">
        <v>2</v>
      </c>
      <c r="R2507" s="1" t="s">
        <v>1718</v>
      </c>
      <c r="S2507">
        <v>3820</v>
      </c>
      <c r="T2507">
        <v>7640</v>
      </c>
    </row>
    <row r="2508" spans="1:20" hidden="1" x14ac:dyDescent="0.4">
      <c r="A2508" s="1" t="s">
        <v>909</v>
      </c>
      <c r="B2508" s="1" t="s">
        <v>1454</v>
      </c>
      <c r="C2508" s="1" t="s">
        <v>1844</v>
      </c>
      <c r="D2508" s="1" t="s">
        <v>1462</v>
      </c>
      <c r="E2508">
        <v>20251209</v>
      </c>
      <c r="F2508" s="1" t="s">
        <v>1470</v>
      </c>
      <c r="G2508">
        <v>4</v>
      </c>
      <c r="H2508" s="1" t="s">
        <v>1503</v>
      </c>
      <c r="I2508" t="s">
        <v>1883</v>
      </c>
      <c r="J2508" s="1" t="s">
        <v>1456</v>
      </c>
      <c r="K2508" s="1" t="s">
        <v>1553</v>
      </c>
      <c r="L2508" s="1" t="s">
        <v>1729</v>
      </c>
      <c r="M2508" s="1" t="s">
        <v>1736</v>
      </c>
      <c r="N2508" t="s">
        <v>2093</v>
      </c>
      <c r="O2508" t="s">
        <v>2418</v>
      </c>
      <c r="P2508" t="s">
        <v>3398</v>
      </c>
      <c r="Q2508">
        <v>2</v>
      </c>
      <c r="R2508" s="1" t="s">
        <v>1718</v>
      </c>
      <c r="S2508">
        <v>5630</v>
      </c>
      <c r="T2508">
        <v>11260</v>
      </c>
    </row>
    <row r="2509" spans="1:20" hidden="1" x14ac:dyDescent="0.4">
      <c r="A2509" s="1" t="s">
        <v>909</v>
      </c>
      <c r="B2509" s="1" t="s">
        <v>1455</v>
      </c>
      <c r="C2509" s="1" t="s">
        <v>1844</v>
      </c>
      <c r="D2509" s="1" t="s">
        <v>1462</v>
      </c>
      <c r="E2509">
        <v>20251209</v>
      </c>
      <c r="F2509" s="1" t="s">
        <v>1470</v>
      </c>
      <c r="G2509">
        <v>4</v>
      </c>
      <c r="H2509" s="1" t="s">
        <v>1503</v>
      </c>
      <c r="I2509" t="s">
        <v>1883</v>
      </c>
      <c r="J2509" s="1" t="s">
        <v>1456</v>
      </c>
      <c r="K2509" s="1" t="s">
        <v>1553</v>
      </c>
      <c r="L2509" s="1" t="s">
        <v>1729</v>
      </c>
      <c r="M2509" s="1" t="s">
        <v>1736</v>
      </c>
      <c r="N2509" t="s">
        <v>2093</v>
      </c>
      <c r="O2509" t="s">
        <v>2419</v>
      </c>
      <c r="P2509" t="s">
        <v>3399</v>
      </c>
      <c r="Q2509">
        <v>2</v>
      </c>
      <c r="R2509" s="1" t="s">
        <v>1718</v>
      </c>
      <c r="S2509">
        <v>3820</v>
      </c>
      <c r="T2509">
        <v>7640</v>
      </c>
    </row>
    <row r="2510" spans="1:20" hidden="1" x14ac:dyDescent="0.4">
      <c r="A2510" s="1" t="s">
        <v>910</v>
      </c>
      <c r="B2510" s="1" t="s">
        <v>1453</v>
      </c>
      <c r="C2510" s="1" t="s">
        <v>1844</v>
      </c>
      <c r="D2510" s="1" t="s">
        <v>1462</v>
      </c>
      <c r="E2510">
        <v>20251209</v>
      </c>
      <c r="F2510" s="1" t="s">
        <v>1470</v>
      </c>
      <c r="G2510">
        <v>4</v>
      </c>
      <c r="H2510" s="1" t="s">
        <v>1503</v>
      </c>
      <c r="I2510" t="s">
        <v>1883</v>
      </c>
      <c r="J2510" s="1" t="s">
        <v>1456</v>
      </c>
      <c r="K2510" s="1" t="s">
        <v>1553</v>
      </c>
      <c r="L2510" s="1" t="s">
        <v>1729</v>
      </c>
      <c r="M2510" s="1" t="s">
        <v>1736</v>
      </c>
      <c r="N2510" t="s">
        <v>2093</v>
      </c>
      <c r="O2510" t="s">
        <v>2420</v>
      </c>
      <c r="P2510" t="s">
        <v>3400</v>
      </c>
      <c r="Q2510">
        <v>2</v>
      </c>
      <c r="R2510" s="1" t="s">
        <v>1718</v>
      </c>
      <c r="S2510">
        <v>6630</v>
      </c>
      <c r="T2510">
        <v>13260</v>
      </c>
    </row>
    <row r="2511" spans="1:20" hidden="1" x14ac:dyDescent="0.4">
      <c r="A2511" s="1" t="s">
        <v>910</v>
      </c>
      <c r="B2511" s="1" t="s">
        <v>1454</v>
      </c>
      <c r="C2511" s="1" t="s">
        <v>1844</v>
      </c>
      <c r="D2511" s="1" t="s">
        <v>1462</v>
      </c>
      <c r="E2511">
        <v>20251209</v>
      </c>
      <c r="F2511" s="1" t="s">
        <v>1470</v>
      </c>
      <c r="G2511">
        <v>4</v>
      </c>
      <c r="H2511" s="1" t="s">
        <v>1503</v>
      </c>
      <c r="I2511" t="s">
        <v>1883</v>
      </c>
      <c r="J2511" s="1" t="s">
        <v>1456</v>
      </c>
      <c r="K2511" s="1" t="s">
        <v>1553</v>
      </c>
      <c r="L2511" s="1" t="s">
        <v>1729</v>
      </c>
      <c r="M2511" s="1" t="s">
        <v>1736</v>
      </c>
      <c r="N2511" t="s">
        <v>2093</v>
      </c>
      <c r="O2511" t="s">
        <v>2421</v>
      </c>
      <c r="P2511" t="s">
        <v>3401</v>
      </c>
      <c r="Q2511">
        <v>4</v>
      </c>
      <c r="R2511" s="1" t="s">
        <v>1718</v>
      </c>
      <c r="S2511">
        <v>4950</v>
      </c>
      <c r="T2511">
        <v>19800</v>
      </c>
    </row>
    <row r="2512" spans="1:20" hidden="1" x14ac:dyDescent="0.4">
      <c r="A2512" s="1" t="s">
        <v>910</v>
      </c>
      <c r="B2512" s="1" t="s">
        <v>1455</v>
      </c>
      <c r="C2512" s="1" t="s">
        <v>1844</v>
      </c>
      <c r="D2512" s="1" t="s">
        <v>1462</v>
      </c>
      <c r="E2512">
        <v>20251209</v>
      </c>
      <c r="F2512" s="1" t="s">
        <v>1470</v>
      </c>
      <c r="G2512">
        <v>4</v>
      </c>
      <c r="H2512" s="1" t="s">
        <v>1503</v>
      </c>
      <c r="I2512" t="s">
        <v>1883</v>
      </c>
      <c r="J2512" s="1" t="s">
        <v>1456</v>
      </c>
      <c r="K2512" s="1" t="s">
        <v>1553</v>
      </c>
      <c r="L2512" s="1" t="s">
        <v>1729</v>
      </c>
      <c r="M2512" s="1" t="s">
        <v>1736</v>
      </c>
      <c r="N2512" t="s">
        <v>2093</v>
      </c>
      <c r="O2512" t="s">
        <v>2422</v>
      </c>
      <c r="P2512" t="s">
        <v>3402</v>
      </c>
      <c r="Q2512">
        <v>2</v>
      </c>
      <c r="R2512" s="1" t="s">
        <v>1718</v>
      </c>
      <c r="S2512">
        <v>6760</v>
      </c>
      <c r="T2512">
        <v>13520</v>
      </c>
    </row>
    <row r="2513" spans="1:20" hidden="1" x14ac:dyDescent="0.4">
      <c r="A2513" s="1" t="s">
        <v>910</v>
      </c>
      <c r="B2513" s="1" t="s">
        <v>1456</v>
      </c>
      <c r="C2513" s="1" t="s">
        <v>1844</v>
      </c>
      <c r="D2513" s="1" t="s">
        <v>1462</v>
      </c>
      <c r="E2513">
        <v>20251209</v>
      </c>
      <c r="F2513" s="1" t="s">
        <v>1470</v>
      </c>
      <c r="G2513">
        <v>4</v>
      </c>
      <c r="H2513" s="1" t="s">
        <v>1503</v>
      </c>
      <c r="I2513" t="s">
        <v>1883</v>
      </c>
      <c r="J2513" s="1" t="s">
        <v>1456</v>
      </c>
      <c r="K2513" s="1" t="s">
        <v>1553</v>
      </c>
      <c r="L2513" s="1" t="s">
        <v>1729</v>
      </c>
      <c r="M2513" s="1" t="s">
        <v>1736</v>
      </c>
      <c r="N2513" t="s">
        <v>2093</v>
      </c>
      <c r="O2513" t="s">
        <v>2423</v>
      </c>
      <c r="P2513" t="s">
        <v>3403</v>
      </c>
      <c r="Q2513">
        <v>8</v>
      </c>
      <c r="R2513" s="1" t="s">
        <v>1718</v>
      </c>
      <c r="S2513">
        <v>3570</v>
      </c>
      <c r="T2513">
        <v>28560</v>
      </c>
    </row>
    <row r="2514" spans="1:20" hidden="1" x14ac:dyDescent="0.4">
      <c r="A2514" s="1" t="s">
        <v>910</v>
      </c>
      <c r="B2514" s="1" t="s">
        <v>1457</v>
      </c>
      <c r="C2514" s="1" t="s">
        <v>1844</v>
      </c>
      <c r="D2514" s="1" t="s">
        <v>1462</v>
      </c>
      <c r="E2514">
        <v>20251209</v>
      </c>
      <c r="F2514" s="1" t="s">
        <v>1470</v>
      </c>
      <c r="G2514">
        <v>4</v>
      </c>
      <c r="H2514" s="1" t="s">
        <v>1503</v>
      </c>
      <c r="I2514" t="s">
        <v>1883</v>
      </c>
      <c r="J2514" s="1" t="s">
        <v>1456</v>
      </c>
      <c r="K2514" s="1" t="s">
        <v>1553</v>
      </c>
      <c r="L2514" s="1" t="s">
        <v>1729</v>
      </c>
      <c r="M2514" s="1" t="s">
        <v>1736</v>
      </c>
      <c r="N2514" t="s">
        <v>2093</v>
      </c>
      <c r="O2514" t="s">
        <v>2424</v>
      </c>
      <c r="P2514" t="s">
        <v>3404</v>
      </c>
      <c r="Q2514">
        <v>2</v>
      </c>
      <c r="R2514" s="1" t="s">
        <v>1718</v>
      </c>
      <c r="S2514">
        <v>6380</v>
      </c>
      <c r="T2514">
        <v>12760</v>
      </c>
    </row>
    <row r="2515" spans="1:20" hidden="1" x14ac:dyDescent="0.4">
      <c r="A2515" s="1" t="s">
        <v>910</v>
      </c>
      <c r="B2515" s="1" t="s">
        <v>1458</v>
      </c>
      <c r="C2515" s="1" t="s">
        <v>1844</v>
      </c>
      <c r="D2515" s="1" t="s">
        <v>1462</v>
      </c>
      <c r="E2515">
        <v>20251209</v>
      </c>
      <c r="F2515" s="1" t="s">
        <v>1470</v>
      </c>
      <c r="G2515">
        <v>4</v>
      </c>
      <c r="H2515" s="1" t="s">
        <v>1503</v>
      </c>
      <c r="I2515" t="s">
        <v>1883</v>
      </c>
      <c r="J2515" s="1" t="s">
        <v>1456</v>
      </c>
      <c r="K2515" s="1" t="s">
        <v>1553</v>
      </c>
      <c r="L2515" s="1" t="s">
        <v>1729</v>
      </c>
      <c r="M2515" s="1" t="s">
        <v>1736</v>
      </c>
      <c r="N2515" t="s">
        <v>2093</v>
      </c>
      <c r="O2515" t="s">
        <v>2425</v>
      </c>
      <c r="P2515" t="s">
        <v>3405</v>
      </c>
      <c r="Q2515">
        <v>2</v>
      </c>
      <c r="R2515" s="1" t="s">
        <v>1718</v>
      </c>
      <c r="S2515">
        <v>6320</v>
      </c>
      <c r="T2515">
        <v>12640</v>
      </c>
    </row>
    <row r="2516" spans="1:20" hidden="1" x14ac:dyDescent="0.4">
      <c r="A2516" s="1" t="s">
        <v>910</v>
      </c>
      <c r="B2516" s="1" t="s">
        <v>1459</v>
      </c>
      <c r="C2516" s="1" t="s">
        <v>1844</v>
      </c>
      <c r="D2516" s="1" t="s">
        <v>1462</v>
      </c>
      <c r="E2516">
        <v>20251209</v>
      </c>
      <c r="F2516" s="1" t="s">
        <v>1470</v>
      </c>
      <c r="G2516">
        <v>4</v>
      </c>
      <c r="H2516" s="1" t="s">
        <v>1503</v>
      </c>
      <c r="I2516" t="s">
        <v>1883</v>
      </c>
      <c r="J2516" s="1" t="s">
        <v>1456</v>
      </c>
      <c r="K2516" s="1" t="s">
        <v>1553</v>
      </c>
      <c r="L2516" s="1" t="s">
        <v>1729</v>
      </c>
      <c r="M2516" s="1" t="s">
        <v>1736</v>
      </c>
      <c r="N2516" t="s">
        <v>2093</v>
      </c>
      <c r="O2516" t="s">
        <v>2426</v>
      </c>
      <c r="P2516" t="s">
        <v>3406</v>
      </c>
      <c r="Q2516">
        <v>4</v>
      </c>
      <c r="R2516" s="1" t="s">
        <v>1718</v>
      </c>
      <c r="S2516">
        <v>4950</v>
      </c>
      <c r="T2516">
        <v>19800</v>
      </c>
    </row>
    <row r="2517" spans="1:20" hidden="1" x14ac:dyDescent="0.4">
      <c r="A2517" s="1" t="s">
        <v>911</v>
      </c>
      <c r="B2517" s="1" t="s">
        <v>1453</v>
      </c>
      <c r="C2517" s="1" t="s">
        <v>1844</v>
      </c>
      <c r="D2517" s="1" t="s">
        <v>1730</v>
      </c>
      <c r="E2517">
        <v>20251209</v>
      </c>
      <c r="F2517" s="1" t="s">
        <v>1470</v>
      </c>
      <c r="G2517">
        <v>4</v>
      </c>
      <c r="H2517" s="1" t="s">
        <v>1503</v>
      </c>
      <c r="I2517" t="s">
        <v>1883</v>
      </c>
      <c r="J2517" s="1" t="s">
        <v>1456</v>
      </c>
      <c r="K2517" s="1" t="s">
        <v>1570</v>
      </c>
      <c r="L2517" s="1" t="s">
        <v>1729</v>
      </c>
      <c r="M2517" s="1" t="s">
        <v>1741</v>
      </c>
      <c r="N2517" t="s">
        <v>1943</v>
      </c>
      <c r="O2517" t="s">
        <v>2340</v>
      </c>
      <c r="P2517" t="s">
        <v>3243</v>
      </c>
      <c r="Q2517">
        <v>5</v>
      </c>
      <c r="R2517" s="1" t="s">
        <v>1718</v>
      </c>
      <c r="S2517">
        <v>0</v>
      </c>
      <c r="T2517">
        <v>0</v>
      </c>
    </row>
    <row r="2518" spans="1:20" hidden="1" x14ac:dyDescent="0.4">
      <c r="A2518" s="1" t="s">
        <v>911</v>
      </c>
      <c r="B2518" s="1" t="s">
        <v>1454</v>
      </c>
      <c r="C2518" s="1" t="s">
        <v>1844</v>
      </c>
      <c r="D2518" s="1" t="s">
        <v>1730</v>
      </c>
      <c r="E2518">
        <v>20251209</v>
      </c>
      <c r="F2518" s="1" t="s">
        <v>1470</v>
      </c>
      <c r="G2518">
        <v>4</v>
      </c>
      <c r="H2518" s="1" t="s">
        <v>1503</v>
      </c>
      <c r="I2518" t="s">
        <v>1883</v>
      </c>
      <c r="J2518" s="1" t="s">
        <v>1456</v>
      </c>
      <c r="K2518" s="1" t="s">
        <v>1570</v>
      </c>
      <c r="L2518" s="1" t="s">
        <v>1729</v>
      </c>
      <c r="M2518" s="1" t="s">
        <v>1741</v>
      </c>
      <c r="N2518" t="s">
        <v>1943</v>
      </c>
      <c r="O2518" t="s">
        <v>2340</v>
      </c>
      <c r="P2518" t="s">
        <v>3243</v>
      </c>
      <c r="Q2518">
        <v>20</v>
      </c>
      <c r="R2518" s="1" t="s">
        <v>1718</v>
      </c>
      <c r="S2518">
        <v>0</v>
      </c>
      <c r="T2518">
        <v>0</v>
      </c>
    </row>
    <row r="2519" spans="1:20" hidden="1" x14ac:dyDescent="0.4">
      <c r="A2519" s="1" t="s">
        <v>911</v>
      </c>
      <c r="B2519" s="1" t="s">
        <v>1455</v>
      </c>
      <c r="C2519" s="1" t="s">
        <v>1844</v>
      </c>
      <c r="D2519" s="1" t="s">
        <v>1730</v>
      </c>
      <c r="E2519">
        <v>20251209</v>
      </c>
      <c r="F2519" s="1" t="s">
        <v>1470</v>
      </c>
      <c r="G2519">
        <v>4</v>
      </c>
      <c r="H2519" s="1" t="s">
        <v>1503</v>
      </c>
      <c r="I2519" t="s">
        <v>1883</v>
      </c>
      <c r="J2519" s="1" t="s">
        <v>1456</v>
      </c>
      <c r="K2519" s="1" t="s">
        <v>1570</v>
      </c>
      <c r="L2519" s="1" t="s">
        <v>1729</v>
      </c>
      <c r="M2519" s="1" t="s">
        <v>1741</v>
      </c>
      <c r="N2519" t="s">
        <v>1943</v>
      </c>
      <c r="O2519" t="s">
        <v>2340</v>
      </c>
      <c r="P2519" t="s">
        <v>3243</v>
      </c>
      <c r="Q2519">
        <v>5</v>
      </c>
      <c r="R2519" s="1" t="s">
        <v>1718</v>
      </c>
      <c r="S2519">
        <v>0</v>
      </c>
      <c r="T2519">
        <v>0</v>
      </c>
    </row>
    <row r="2520" spans="1:20" hidden="1" x14ac:dyDescent="0.4">
      <c r="A2520" s="1" t="s">
        <v>912</v>
      </c>
      <c r="B2520" s="1" t="s">
        <v>1453</v>
      </c>
      <c r="C2520" s="1" t="s">
        <v>1844</v>
      </c>
      <c r="D2520" s="1" t="s">
        <v>1462</v>
      </c>
      <c r="E2520">
        <v>20251209</v>
      </c>
      <c r="F2520" s="1" t="s">
        <v>1470</v>
      </c>
      <c r="G2520">
        <v>4</v>
      </c>
      <c r="H2520" s="1" t="s">
        <v>1496</v>
      </c>
      <c r="I2520" t="s">
        <v>1876</v>
      </c>
      <c r="J2520" s="1" t="s">
        <v>1456</v>
      </c>
      <c r="K2520" s="1" t="s">
        <v>1557</v>
      </c>
      <c r="L2520" s="1" t="s">
        <v>1729</v>
      </c>
      <c r="M2520" s="1" t="s">
        <v>1737</v>
      </c>
      <c r="N2520" t="s">
        <v>1929</v>
      </c>
      <c r="O2520" t="s">
        <v>2427</v>
      </c>
      <c r="P2520" t="s">
        <v>3270</v>
      </c>
      <c r="Q2520">
        <v>2</v>
      </c>
      <c r="R2520" s="1" t="s">
        <v>1718</v>
      </c>
      <c r="S2520">
        <v>31090</v>
      </c>
      <c r="T2520">
        <v>62180</v>
      </c>
    </row>
    <row r="2521" spans="1:20" hidden="1" x14ac:dyDescent="0.4">
      <c r="A2521" s="1" t="s">
        <v>912</v>
      </c>
      <c r="B2521" s="1" t="s">
        <v>1454</v>
      </c>
      <c r="C2521" s="1" t="s">
        <v>1844</v>
      </c>
      <c r="D2521" s="1" t="s">
        <v>1462</v>
      </c>
      <c r="E2521">
        <v>20251209</v>
      </c>
      <c r="F2521" s="1" t="s">
        <v>1470</v>
      </c>
      <c r="G2521">
        <v>4</v>
      </c>
      <c r="H2521" s="1" t="s">
        <v>1496</v>
      </c>
      <c r="I2521" t="s">
        <v>1876</v>
      </c>
      <c r="J2521" s="1" t="s">
        <v>1456</v>
      </c>
      <c r="K2521" s="1" t="s">
        <v>1557</v>
      </c>
      <c r="L2521" s="1" t="s">
        <v>1729</v>
      </c>
      <c r="M2521" s="1" t="s">
        <v>1737</v>
      </c>
      <c r="N2521" t="s">
        <v>1929</v>
      </c>
      <c r="O2521" t="s">
        <v>2427</v>
      </c>
      <c r="P2521" t="s">
        <v>3270</v>
      </c>
      <c r="Q2521">
        <v>2</v>
      </c>
      <c r="R2521" s="1" t="s">
        <v>1718</v>
      </c>
      <c r="S2521">
        <v>25455</v>
      </c>
      <c r="T2521">
        <v>50910</v>
      </c>
    </row>
    <row r="2522" spans="1:20" hidden="1" x14ac:dyDescent="0.4">
      <c r="A2522" s="1" t="s">
        <v>913</v>
      </c>
      <c r="B2522" s="1" t="s">
        <v>1453</v>
      </c>
      <c r="C2522" s="1" t="s">
        <v>1844</v>
      </c>
      <c r="D2522" s="1" t="s">
        <v>1462</v>
      </c>
      <c r="E2522">
        <v>20251209</v>
      </c>
      <c r="F2522" s="1" t="s">
        <v>1470</v>
      </c>
      <c r="G2522">
        <v>4</v>
      </c>
      <c r="H2522" s="1" t="s">
        <v>1512</v>
      </c>
      <c r="I2522" t="s">
        <v>1892</v>
      </c>
      <c r="J2522" s="1" t="s">
        <v>1456</v>
      </c>
      <c r="K2522" s="1" t="s">
        <v>1558</v>
      </c>
      <c r="L2522" s="1" t="s">
        <v>1729</v>
      </c>
      <c r="M2522" s="1" t="s">
        <v>1737</v>
      </c>
      <c r="N2522" t="s">
        <v>2096</v>
      </c>
      <c r="O2522" t="s">
        <v>2256</v>
      </c>
      <c r="P2522" t="s">
        <v>3407</v>
      </c>
      <c r="Q2522">
        <v>2</v>
      </c>
      <c r="R2522" s="1" t="s">
        <v>1718</v>
      </c>
      <c r="S2522">
        <v>25608</v>
      </c>
      <c r="T2522">
        <v>51216</v>
      </c>
    </row>
    <row r="2523" spans="1:20" hidden="1" x14ac:dyDescent="0.4">
      <c r="A2523" s="1" t="s">
        <v>914</v>
      </c>
      <c r="B2523" s="1" t="s">
        <v>1453</v>
      </c>
      <c r="C2523" s="1" t="s">
        <v>1844</v>
      </c>
      <c r="D2523" s="1" t="s">
        <v>1731</v>
      </c>
      <c r="E2523">
        <v>20251208</v>
      </c>
      <c r="F2523" s="1" t="s">
        <v>1470</v>
      </c>
      <c r="G2523">
        <v>1</v>
      </c>
      <c r="H2523" s="1" t="s">
        <v>1490</v>
      </c>
      <c r="I2523" t="s">
        <v>1870</v>
      </c>
      <c r="J2523" s="1" t="s">
        <v>1456</v>
      </c>
      <c r="K2523" s="1" t="s">
        <v>1561</v>
      </c>
      <c r="L2523" s="1" t="s">
        <v>1716</v>
      </c>
      <c r="M2523" s="1" t="s">
        <v>1778</v>
      </c>
      <c r="N2523" t="s">
        <v>1954</v>
      </c>
      <c r="O2523" t="s">
        <v>2162</v>
      </c>
      <c r="P2523" t="s">
        <v>3054</v>
      </c>
      <c r="Q2523">
        <v>723.2</v>
      </c>
      <c r="R2523" s="1" t="s">
        <v>1463</v>
      </c>
      <c r="S2523">
        <v>1517</v>
      </c>
      <c r="T2523">
        <v>1097094</v>
      </c>
    </row>
    <row r="2524" spans="1:20" hidden="1" x14ac:dyDescent="0.4">
      <c r="A2524" s="1" t="s">
        <v>914</v>
      </c>
      <c r="B2524" s="1" t="s">
        <v>1454</v>
      </c>
      <c r="C2524" s="1" t="s">
        <v>1844</v>
      </c>
      <c r="D2524" s="1" t="s">
        <v>1731</v>
      </c>
      <c r="E2524">
        <v>20251208</v>
      </c>
      <c r="F2524" s="1" t="s">
        <v>1470</v>
      </c>
      <c r="G2524">
        <v>1</v>
      </c>
      <c r="H2524" s="1" t="s">
        <v>1490</v>
      </c>
      <c r="I2524" t="s">
        <v>1870</v>
      </c>
      <c r="J2524" s="1" t="s">
        <v>1456</v>
      </c>
      <c r="K2524" s="1" t="s">
        <v>1561</v>
      </c>
      <c r="L2524" s="1" t="s">
        <v>1716</v>
      </c>
      <c r="M2524" s="1" t="s">
        <v>1829</v>
      </c>
      <c r="N2524" t="s">
        <v>1954</v>
      </c>
      <c r="O2524" t="s">
        <v>2162</v>
      </c>
      <c r="P2524" t="s">
        <v>3055</v>
      </c>
      <c r="Q2524">
        <v>522.70000000000005</v>
      </c>
      <c r="R2524" s="1" t="s">
        <v>1463</v>
      </c>
      <c r="S2524">
        <v>1517</v>
      </c>
      <c r="T2524">
        <v>792935</v>
      </c>
    </row>
    <row r="2525" spans="1:20" hidden="1" x14ac:dyDescent="0.4">
      <c r="A2525" s="1" t="s">
        <v>914</v>
      </c>
      <c r="B2525" s="1" t="s">
        <v>1455</v>
      </c>
      <c r="C2525" s="1" t="s">
        <v>1844</v>
      </c>
      <c r="D2525" s="1" t="s">
        <v>1731</v>
      </c>
      <c r="E2525">
        <v>20251208</v>
      </c>
      <c r="F2525" s="1" t="s">
        <v>1470</v>
      </c>
      <c r="G2525">
        <v>1</v>
      </c>
      <c r="H2525" s="1" t="s">
        <v>1490</v>
      </c>
      <c r="I2525" t="s">
        <v>1870</v>
      </c>
      <c r="J2525" s="1" t="s">
        <v>1456</v>
      </c>
      <c r="K2525" s="1" t="s">
        <v>1561</v>
      </c>
      <c r="L2525" s="1" t="s">
        <v>1716</v>
      </c>
      <c r="M2525" s="1" t="s">
        <v>1759</v>
      </c>
      <c r="N2525" t="s">
        <v>1954</v>
      </c>
      <c r="O2525" t="s">
        <v>2162</v>
      </c>
      <c r="P2525" t="s">
        <v>3056</v>
      </c>
      <c r="Q2525">
        <v>523.79999999999995</v>
      </c>
      <c r="R2525" s="1" t="s">
        <v>1463</v>
      </c>
      <c r="S2525">
        <v>1517</v>
      </c>
      <c r="T2525">
        <v>794604</v>
      </c>
    </row>
    <row r="2526" spans="1:20" hidden="1" x14ac:dyDescent="0.4">
      <c r="A2526" s="1" t="s">
        <v>914</v>
      </c>
      <c r="B2526" s="1" t="s">
        <v>1456</v>
      </c>
      <c r="C2526" s="1" t="s">
        <v>1844</v>
      </c>
      <c r="D2526" s="1" t="s">
        <v>1731</v>
      </c>
      <c r="E2526">
        <v>20251208</v>
      </c>
      <c r="F2526" s="1" t="s">
        <v>1470</v>
      </c>
      <c r="G2526">
        <v>1</v>
      </c>
      <c r="H2526" s="1" t="s">
        <v>1490</v>
      </c>
      <c r="I2526" t="s">
        <v>1870</v>
      </c>
      <c r="J2526" s="1" t="s">
        <v>1456</v>
      </c>
      <c r="K2526" s="1" t="s">
        <v>1561</v>
      </c>
      <c r="L2526" s="1" t="s">
        <v>1716</v>
      </c>
      <c r="M2526" s="1" t="s">
        <v>1762</v>
      </c>
      <c r="N2526" t="s">
        <v>1954</v>
      </c>
      <c r="O2526" t="s">
        <v>2162</v>
      </c>
      <c r="P2526" t="s">
        <v>3057</v>
      </c>
      <c r="Q2526">
        <v>308.39999999999998</v>
      </c>
      <c r="R2526" s="1" t="s">
        <v>1463</v>
      </c>
      <c r="S2526">
        <v>1517</v>
      </c>
      <c r="T2526">
        <v>467842</v>
      </c>
    </row>
    <row r="2527" spans="1:20" hidden="1" x14ac:dyDescent="0.4">
      <c r="A2527" s="1" t="s">
        <v>914</v>
      </c>
      <c r="B2527" s="1" t="s">
        <v>1457</v>
      </c>
      <c r="C2527" s="1" t="s">
        <v>1844</v>
      </c>
      <c r="D2527" s="1" t="s">
        <v>1731</v>
      </c>
      <c r="E2527">
        <v>20251208</v>
      </c>
      <c r="F2527" s="1" t="s">
        <v>1470</v>
      </c>
      <c r="G2527">
        <v>1</v>
      </c>
      <c r="H2527" s="1" t="s">
        <v>1490</v>
      </c>
      <c r="I2527" t="s">
        <v>1870</v>
      </c>
      <c r="J2527" s="1" t="s">
        <v>1456</v>
      </c>
      <c r="K2527" s="1" t="s">
        <v>1580</v>
      </c>
      <c r="L2527" s="1" t="s">
        <v>1716</v>
      </c>
      <c r="M2527" s="1" t="s">
        <v>1830</v>
      </c>
      <c r="N2527" t="s">
        <v>1955</v>
      </c>
      <c r="O2527" t="s">
        <v>2162</v>
      </c>
      <c r="P2527" t="s">
        <v>3058</v>
      </c>
      <c r="Q2527">
        <v>308.89999999999998</v>
      </c>
      <c r="R2527" s="1" t="s">
        <v>1463</v>
      </c>
      <c r="S2527">
        <v>1517</v>
      </c>
      <c r="T2527">
        <v>468601</v>
      </c>
    </row>
    <row r="2528" spans="1:20" hidden="1" x14ac:dyDescent="0.4">
      <c r="A2528" s="1" t="s">
        <v>914</v>
      </c>
      <c r="B2528" s="1" t="s">
        <v>1458</v>
      </c>
      <c r="C2528" s="1" t="s">
        <v>1844</v>
      </c>
      <c r="D2528" s="1" t="s">
        <v>1731</v>
      </c>
      <c r="E2528">
        <v>20251208</v>
      </c>
      <c r="F2528" s="1" t="s">
        <v>1470</v>
      </c>
      <c r="G2528">
        <v>1</v>
      </c>
      <c r="H2528" s="1" t="s">
        <v>1490</v>
      </c>
      <c r="I2528" t="s">
        <v>1870</v>
      </c>
      <c r="J2528" s="1" t="s">
        <v>1456</v>
      </c>
      <c r="K2528" s="1" t="s">
        <v>1580</v>
      </c>
      <c r="L2528" s="1" t="s">
        <v>1716</v>
      </c>
      <c r="M2528" s="1" t="s">
        <v>1831</v>
      </c>
      <c r="N2528" t="s">
        <v>1955</v>
      </c>
      <c r="O2528" t="s">
        <v>2162</v>
      </c>
      <c r="P2528" t="s">
        <v>3059</v>
      </c>
      <c r="Q2528">
        <v>519</v>
      </c>
      <c r="R2528" s="1" t="s">
        <v>1463</v>
      </c>
      <c r="S2528">
        <v>1517</v>
      </c>
      <c r="T2528">
        <v>787323</v>
      </c>
    </row>
    <row r="2529" spans="1:20" hidden="1" x14ac:dyDescent="0.4">
      <c r="A2529" s="1" t="s">
        <v>915</v>
      </c>
      <c r="B2529" s="1" t="s">
        <v>1453</v>
      </c>
      <c r="C2529" s="1" t="s">
        <v>1844</v>
      </c>
      <c r="D2529" s="1" t="s">
        <v>1730</v>
      </c>
      <c r="E2529">
        <v>20251209</v>
      </c>
      <c r="F2529" s="1" t="s">
        <v>1470</v>
      </c>
      <c r="G2529">
        <v>4</v>
      </c>
      <c r="H2529" s="1" t="s">
        <v>1503</v>
      </c>
      <c r="I2529" t="s">
        <v>1883</v>
      </c>
      <c r="J2529" s="1" t="s">
        <v>1456</v>
      </c>
      <c r="K2529" s="1" t="s">
        <v>1612</v>
      </c>
      <c r="L2529" s="1" t="s">
        <v>1729</v>
      </c>
      <c r="M2529" s="1" t="s">
        <v>1737</v>
      </c>
      <c r="N2529" t="s">
        <v>1986</v>
      </c>
      <c r="O2529" t="s">
        <v>2428</v>
      </c>
      <c r="P2529" t="s">
        <v>3408</v>
      </c>
      <c r="Q2529">
        <v>12.3</v>
      </c>
      <c r="R2529" s="1" t="s">
        <v>1839</v>
      </c>
      <c r="S2529">
        <v>0</v>
      </c>
      <c r="T2529">
        <v>0</v>
      </c>
    </row>
    <row r="2530" spans="1:20" hidden="1" x14ac:dyDescent="0.4">
      <c r="A2530" s="1" t="s">
        <v>916</v>
      </c>
      <c r="B2530" s="1" t="s">
        <v>1453</v>
      </c>
      <c r="C2530" s="1" t="s">
        <v>1844</v>
      </c>
      <c r="D2530" s="1" t="s">
        <v>1462</v>
      </c>
      <c r="E2530">
        <v>20251208</v>
      </c>
      <c r="F2530" s="1" t="s">
        <v>1471</v>
      </c>
      <c r="G2530">
        <v>4</v>
      </c>
      <c r="H2530" s="1" t="s">
        <v>1529</v>
      </c>
      <c r="I2530" t="s">
        <v>1909</v>
      </c>
      <c r="J2530" s="1" t="s">
        <v>1460</v>
      </c>
      <c r="K2530" s="1" t="s">
        <v>1653</v>
      </c>
      <c r="L2530" s="1" t="s">
        <v>1733</v>
      </c>
      <c r="M2530" s="1" t="s">
        <v>1737</v>
      </c>
      <c r="N2530" t="s">
        <v>2037</v>
      </c>
      <c r="O2530" t="s">
        <v>2162</v>
      </c>
      <c r="P2530" t="s">
        <v>3409</v>
      </c>
      <c r="Q2530">
        <v>360</v>
      </c>
      <c r="R2530" s="1" t="s">
        <v>1463</v>
      </c>
      <c r="S2530">
        <v>1170</v>
      </c>
      <c r="T2530">
        <v>421200</v>
      </c>
    </row>
    <row r="2531" spans="1:20" hidden="1" x14ac:dyDescent="0.4">
      <c r="A2531" s="1" t="s">
        <v>917</v>
      </c>
      <c r="B2531" s="1" t="s">
        <v>1453</v>
      </c>
      <c r="C2531" s="1" t="s">
        <v>1844</v>
      </c>
      <c r="D2531" s="1" t="s">
        <v>1462</v>
      </c>
      <c r="E2531">
        <v>20251208</v>
      </c>
      <c r="F2531" s="1" t="s">
        <v>1473</v>
      </c>
      <c r="G2531">
        <v>4</v>
      </c>
      <c r="H2531" s="1" t="s">
        <v>1493</v>
      </c>
      <c r="I2531" t="s">
        <v>1873</v>
      </c>
      <c r="J2531" s="1" t="s">
        <v>1453</v>
      </c>
      <c r="K2531" s="1" t="s">
        <v>1605</v>
      </c>
      <c r="L2531" s="1" t="s">
        <v>1718</v>
      </c>
      <c r="M2531" s="1" t="s">
        <v>1735</v>
      </c>
      <c r="N2531" t="s">
        <v>2026</v>
      </c>
      <c r="O2531" t="s">
        <v>2164</v>
      </c>
      <c r="P2531" t="s">
        <v>3410</v>
      </c>
      <c r="Q2531">
        <v>89.54</v>
      </c>
      <c r="R2531" s="1" t="s">
        <v>1839</v>
      </c>
      <c r="S2531">
        <v>3079</v>
      </c>
      <c r="T2531">
        <v>275693</v>
      </c>
    </row>
    <row r="2532" spans="1:20" hidden="1" x14ac:dyDescent="0.4">
      <c r="A2532" s="1" t="s">
        <v>918</v>
      </c>
      <c r="B2532" s="1" t="s">
        <v>1453</v>
      </c>
      <c r="C2532" s="1" t="s">
        <v>1844</v>
      </c>
      <c r="D2532" s="1" t="s">
        <v>1462</v>
      </c>
      <c r="E2532">
        <v>20251208</v>
      </c>
      <c r="F2532" s="1" t="s">
        <v>1473</v>
      </c>
      <c r="G2532">
        <v>4</v>
      </c>
      <c r="H2532" s="1" t="s">
        <v>1493</v>
      </c>
      <c r="I2532" t="s">
        <v>1873</v>
      </c>
      <c r="J2532" s="1" t="s">
        <v>1453</v>
      </c>
      <c r="K2532" s="1" t="s">
        <v>1601</v>
      </c>
      <c r="L2532" s="1" t="s">
        <v>1718</v>
      </c>
      <c r="M2532" s="1" t="s">
        <v>1832</v>
      </c>
      <c r="N2532" t="s">
        <v>1976</v>
      </c>
      <c r="O2532" t="s">
        <v>2164</v>
      </c>
      <c r="P2532" t="s">
        <v>3411</v>
      </c>
      <c r="Q2532">
        <v>131.04</v>
      </c>
      <c r="R2532" s="1" t="s">
        <v>1839</v>
      </c>
      <c r="S2532">
        <v>954</v>
      </c>
      <c r="T2532">
        <v>125012</v>
      </c>
    </row>
    <row r="2533" spans="1:20" hidden="1" x14ac:dyDescent="0.4">
      <c r="A2533" s="1" t="s">
        <v>918</v>
      </c>
      <c r="B2533" s="1" t="s">
        <v>1454</v>
      </c>
      <c r="C2533" s="1" t="s">
        <v>1844</v>
      </c>
      <c r="D2533" s="1" t="s">
        <v>1462</v>
      </c>
      <c r="E2533">
        <v>20251208</v>
      </c>
      <c r="F2533" s="1" t="s">
        <v>1473</v>
      </c>
      <c r="G2533">
        <v>4</v>
      </c>
      <c r="H2533" s="1" t="s">
        <v>1493</v>
      </c>
      <c r="I2533" t="s">
        <v>1873</v>
      </c>
      <c r="J2533" s="1" t="s">
        <v>1453</v>
      </c>
      <c r="K2533" s="1" t="s">
        <v>1601</v>
      </c>
      <c r="L2533" s="1" t="s">
        <v>1718</v>
      </c>
      <c r="M2533" s="1" t="s">
        <v>1832</v>
      </c>
      <c r="N2533" t="s">
        <v>1976</v>
      </c>
      <c r="O2533" t="s">
        <v>2164</v>
      </c>
      <c r="P2533" t="s">
        <v>3411</v>
      </c>
      <c r="Q2533">
        <v>131.04</v>
      </c>
      <c r="R2533" s="1" t="s">
        <v>1839</v>
      </c>
      <c r="S2533">
        <v>954</v>
      </c>
      <c r="T2533">
        <v>125012</v>
      </c>
    </row>
    <row r="2534" spans="1:20" hidden="1" x14ac:dyDescent="0.4">
      <c r="A2534" s="1" t="s">
        <v>919</v>
      </c>
      <c r="B2534" s="1" t="s">
        <v>1453</v>
      </c>
      <c r="C2534" s="1" t="s">
        <v>1844</v>
      </c>
      <c r="D2534" s="1" t="s">
        <v>1462</v>
      </c>
      <c r="E2534">
        <v>20251208</v>
      </c>
      <c r="F2534" s="1" t="s">
        <v>1473</v>
      </c>
      <c r="G2534">
        <v>4</v>
      </c>
      <c r="H2534" s="1" t="s">
        <v>1493</v>
      </c>
      <c r="I2534" t="s">
        <v>1873</v>
      </c>
      <c r="J2534" s="1" t="s">
        <v>1453</v>
      </c>
      <c r="K2534" s="1" t="s">
        <v>1701</v>
      </c>
      <c r="L2534" s="1" t="s">
        <v>1718</v>
      </c>
      <c r="M2534" s="1" t="s">
        <v>1833</v>
      </c>
      <c r="N2534" t="s">
        <v>2127</v>
      </c>
      <c r="O2534" t="s">
        <v>2164</v>
      </c>
      <c r="P2534" t="s">
        <v>3412</v>
      </c>
      <c r="Q2534">
        <v>131.04</v>
      </c>
      <c r="R2534" s="1" t="s">
        <v>1839</v>
      </c>
      <c r="S2534">
        <v>2107</v>
      </c>
      <c r="T2534">
        <v>276101</v>
      </c>
    </row>
    <row r="2535" spans="1:20" hidden="1" x14ac:dyDescent="0.4">
      <c r="A2535" s="1" t="s">
        <v>919</v>
      </c>
      <c r="B2535" s="1" t="s">
        <v>1454</v>
      </c>
      <c r="C2535" s="1" t="s">
        <v>1844</v>
      </c>
      <c r="D2535" s="1" t="s">
        <v>1462</v>
      </c>
      <c r="E2535">
        <v>20251208</v>
      </c>
      <c r="F2535" s="1" t="s">
        <v>1473</v>
      </c>
      <c r="G2535">
        <v>4</v>
      </c>
      <c r="H2535" s="1" t="s">
        <v>1493</v>
      </c>
      <c r="I2535" t="s">
        <v>1873</v>
      </c>
      <c r="J2535" s="1" t="s">
        <v>1453</v>
      </c>
      <c r="K2535" s="1" t="s">
        <v>1701</v>
      </c>
      <c r="L2535" s="1" t="s">
        <v>1718</v>
      </c>
      <c r="M2535" s="1" t="s">
        <v>1833</v>
      </c>
      <c r="N2535" t="s">
        <v>2127</v>
      </c>
      <c r="O2535" t="s">
        <v>2164</v>
      </c>
      <c r="P2535" t="s">
        <v>3412</v>
      </c>
      <c r="Q2535">
        <v>131.04</v>
      </c>
      <c r="R2535" s="1" t="s">
        <v>1839</v>
      </c>
      <c r="S2535">
        <v>2107</v>
      </c>
      <c r="T2535">
        <v>276101</v>
      </c>
    </row>
    <row r="2536" spans="1:20" hidden="1" x14ac:dyDescent="0.4">
      <c r="A2536" s="1" t="s">
        <v>919</v>
      </c>
      <c r="B2536" s="1" t="s">
        <v>1455</v>
      </c>
      <c r="C2536" s="1" t="s">
        <v>1844</v>
      </c>
      <c r="D2536" s="1" t="s">
        <v>1462</v>
      </c>
      <c r="E2536">
        <v>20251208</v>
      </c>
      <c r="F2536" s="1" t="s">
        <v>1473</v>
      </c>
      <c r="G2536">
        <v>4</v>
      </c>
      <c r="H2536" s="1" t="s">
        <v>1493</v>
      </c>
      <c r="I2536" t="s">
        <v>1873</v>
      </c>
      <c r="J2536" s="1" t="s">
        <v>1453</v>
      </c>
      <c r="K2536" s="1" t="s">
        <v>1701</v>
      </c>
      <c r="L2536" s="1" t="s">
        <v>1718</v>
      </c>
      <c r="M2536" s="1" t="s">
        <v>1833</v>
      </c>
      <c r="N2536" t="s">
        <v>2127</v>
      </c>
      <c r="O2536" t="s">
        <v>2164</v>
      </c>
      <c r="P2536" t="s">
        <v>3412</v>
      </c>
      <c r="Q2536">
        <v>130.31</v>
      </c>
      <c r="R2536" s="1" t="s">
        <v>1839</v>
      </c>
      <c r="S2536">
        <v>2107</v>
      </c>
      <c r="T2536">
        <v>274563</v>
      </c>
    </row>
    <row r="2537" spans="1:20" hidden="1" x14ac:dyDescent="0.4">
      <c r="A2537" s="1" t="s">
        <v>919</v>
      </c>
      <c r="B2537" s="1" t="s">
        <v>1456</v>
      </c>
      <c r="C2537" s="1" t="s">
        <v>1844</v>
      </c>
      <c r="D2537" s="1" t="s">
        <v>1462</v>
      </c>
      <c r="E2537">
        <v>20251208</v>
      </c>
      <c r="F2537" s="1" t="s">
        <v>1473</v>
      </c>
      <c r="G2537">
        <v>4</v>
      </c>
      <c r="H2537" s="1" t="s">
        <v>1493</v>
      </c>
      <c r="I2537" t="s">
        <v>1873</v>
      </c>
      <c r="J2537" s="1" t="s">
        <v>1453</v>
      </c>
      <c r="K2537" s="1" t="s">
        <v>1701</v>
      </c>
      <c r="L2537" s="1" t="s">
        <v>1718</v>
      </c>
      <c r="M2537" s="1" t="s">
        <v>1833</v>
      </c>
      <c r="N2537" t="s">
        <v>2127</v>
      </c>
      <c r="O2537" t="s">
        <v>2164</v>
      </c>
      <c r="P2537" t="s">
        <v>3412</v>
      </c>
      <c r="Q2537">
        <v>57.14</v>
      </c>
      <c r="R2537" s="1" t="s">
        <v>1839</v>
      </c>
      <c r="S2537">
        <v>2107</v>
      </c>
      <c r="T2537">
        <v>120393</v>
      </c>
    </row>
    <row r="2538" spans="1:20" hidden="1" x14ac:dyDescent="0.4">
      <c r="A2538" s="1" t="s">
        <v>919</v>
      </c>
      <c r="B2538" s="1" t="s">
        <v>1457</v>
      </c>
      <c r="C2538" s="1" t="s">
        <v>1844</v>
      </c>
      <c r="D2538" s="1" t="s">
        <v>1462</v>
      </c>
      <c r="E2538">
        <v>20251208</v>
      </c>
      <c r="F2538" s="1" t="s">
        <v>1473</v>
      </c>
      <c r="G2538">
        <v>4</v>
      </c>
      <c r="H2538" s="1" t="s">
        <v>1493</v>
      </c>
      <c r="I2538" t="s">
        <v>1873</v>
      </c>
      <c r="J2538" s="1" t="s">
        <v>1453</v>
      </c>
      <c r="K2538" s="1" t="s">
        <v>1701</v>
      </c>
      <c r="L2538" s="1" t="s">
        <v>1718</v>
      </c>
      <c r="M2538" s="1" t="s">
        <v>1833</v>
      </c>
      <c r="N2538" t="s">
        <v>2127</v>
      </c>
      <c r="O2538" t="s">
        <v>2164</v>
      </c>
      <c r="P2538" t="s">
        <v>3412</v>
      </c>
      <c r="Q2538">
        <v>25.84</v>
      </c>
      <c r="R2538" s="1" t="s">
        <v>1839</v>
      </c>
      <c r="S2538">
        <v>2107</v>
      </c>
      <c r="T2538">
        <v>54444</v>
      </c>
    </row>
    <row r="2539" spans="1:20" hidden="1" x14ac:dyDescent="0.4">
      <c r="A2539" s="1" t="s">
        <v>919</v>
      </c>
      <c r="B2539" s="1" t="s">
        <v>1458</v>
      </c>
      <c r="C2539" s="1" t="s">
        <v>1844</v>
      </c>
      <c r="D2539" s="1" t="s">
        <v>1462</v>
      </c>
      <c r="E2539">
        <v>20251208</v>
      </c>
      <c r="F2539" s="1" t="s">
        <v>1473</v>
      </c>
      <c r="G2539">
        <v>4</v>
      </c>
      <c r="H2539" s="1" t="s">
        <v>1493</v>
      </c>
      <c r="I2539" t="s">
        <v>1873</v>
      </c>
      <c r="J2539" s="1" t="s">
        <v>1453</v>
      </c>
      <c r="K2539" s="1" t="s">
        <v>1701</v>
      </c>
      <c r="L2539" s="1" t="s">
        <v>1718</v>
      </c>
      <c r="M2539" s="1" t="s">
        <v>1833</v>
      </c>
      <c r="N2539" t="s">
        <v>2127</v>
      </c>
      <c r="O2539" t="s">
        <v>2164</v>
      </c>
      <c r="P2539" t="s">
        <v>3412</v>
      </c>
      <c r="Q2539">
        <v>108.83</v>
      </c>
      <c r="R2539" s="1" t="s">
        <v>1839</v>
      </c>
      <c r="S2539">
        <v>2107</v>
      </c>
      <c r="T2539">
        <v>229304</v>
      </c>
    </row>
    <row r="2540" spans="1:20" hidden="1" x14ac:dyDescent="0.4">
      <c r="A2540" s="1" t="s">
        <v>920</v>
      </c>
      <c r="B2540" s="1" t="s">
        <v>1453</v>
      </c>
      <c r="C2540" s="1" t="s">
        <v>1844</v>
      </c>
      <c r="D2540" s="1" t="s">
        <v>1462</v>
      </c>
      <c r="E2540">
        <v>20251208</v>
      </c>
      <c r="F2540" s="1" t="s">
        <v>1473</v>
      </c>
      <c r="G2540">
        <v>4</v>
      </c>
      <c r="H2540" s="1" t="s">
        <v>1493</v>
      </c>
      <c r="I2540" t="s">
        <v>1873</v>
      </c>
      <c r="J2540" s="1" t="s">
        <v>1453</v>
      </c>
      <c r="K2540" s="1" t="s">
        <v>1582</v>
      </c>
      <c r="L2540" s="1" t="s">
        <v>1718</v>
      </c>
      <c r="M2540" s="1" t="s">
        <v>1750</v>
      </c>
      <c r="N2540" t="s">
        <v>1957</v>
      </c>
      <c r="O2540" t="s">
        <v>2164</v>
      </c>
      <c r="P2540" t="s">
        <v>3063</v>
      </c>
      <c r="Q2540">
        <v>101.19</v>
      </c>
      <c r="R2540" s="1" t="s">
        <v>1839</v>
      </c>
      <c r="S2540">
        <v>1582</v>
      </c>
      <c r="T2540">
        <v>160082</v>
      </c>
    </row>
    <row r="2541" spans="1:20" hidden="1" x14ac:dyDescent="0.4">
      <c r="A2541" s="1" t="s">
        <v>920</v>
      </c>
      <c r="B2541" s="1" t="s">
        <v>1454</v>
      </c>
      <c r="C2541" s="1" t="s">
        <v>1844</v>
      </c>
      <c r="D2541" s="1" t="s">
        <v>1462</v>
      </c>
      <c r="E2541">
        <v>20251208</v>
      </c>
      <c r="F2541" s="1" t="s">
        <v>1473</v>
      </c>
      <c r="G2541">
        <v>4</v>
      </c>
      <c r="H2541" s="1" t="s">
        <v>1493</v>
      </c>
      <c r="I2541" t="s">
        <v>1873</v>
      </c>
      <c r="J2541" s="1" t="s">
        <v>1453</v>
      </c>
      <c r="K2541" s="1" t="s">
        <v>1582</v>
      </c>
      <c r="L2541" s="1" t="s">
        <v>1718</v>
      </c>
      <c r="M2541" s="1" t="s">
        <v>1750</v>
      </c>
      <c r="N2541" t="s">
        <v>1957</v>
      </c>
      <c r="O2541" t="s">
        <v>2164</v>
      </c>
      <c r="P2541" t="s">
        <v>3063</v>
      </c>
      <c r="Q2541">
        <v>106.28</v>
      </c>
      <c r="R2541" s="1" t="s">
        <v>1839</v>
      </c>
      <c r="S2541">
        <v>1582</v>
      </c>
      <c r="T2541">
        <v>168134</v>
      </c>
    </row>
    <row r="2542" spans="1:20" hidden="1" x14ac:dyDescent="0.4">
      <c r="A2542" s="1" t="s">
        <v>920</v>
      </c>
      <c r="B2542" s="1" t="s">
        <v>1455</v>
      </c>
      <c r="C2542" s="1" t="s">
        <v>1844</v>
      </c>
      <c r="D2542" s="1" t="s">
        <v>1462</v>
      </c>
      <c r="E2542">
        <v>20251208</v>
      </c>
      <c r="F2542" s="1" t="s">
        <v>1473</v>
      </c>
      <c r="G2542">
        <v>4</v>
      </c>
      <c r="H2542" s="1" t="s">
        <v>1493</v>
      </c>
      <c r="I2542" t="s">
        <v>1873</v>
      </c>
      <c r="J2542" s="1" t="s">
        <v>1453</v>
      </c>
      <c r="K2542" s="1" t="s">
        <v>1582</v>
      </c>
      <c r="L2542" s="1" t="s">
        <v>1718</v>
      </c>
      <c r="M2542" s="1" t="s">
        <v>1750</v>
      </c>
      <c r="N2542" t="s">
        <v>1957</v>
      </c>
      <c r="O2542" t="s">
        <v>2164</v>
      </c>
      <c r="P2542" t="s">
        <v>3063</v>
      </c>
      <c r="Q2542">
        <v>131.04</v>
      </c>
      <c r="R2542" s="1" t="s">
        <v>1839</v>
      </c>
      <c r="S2542">
        <v>1582</v>
      </c>
      <c r="T2542">
        <v>207305</v>
      </c>
    </row>
    <row r="2543" spans="1:20" hidden="1" x14ac:dyDescent="0.4">
      <c r="A2543" s="1" t="s">
        <v>920</v>
      </c>
      <c r="B2543" s="1" t="s">
        <v>1456</v>
      </c>
      <c r="C2543" s="1" t="s">
        <v>1844</v>
      </c>
      <c r="D2543" s="1" t="s">
        <v>1462</v>
      </c>
      <c r="E2543">
        <v>20251208</v>
      </c>
      <c r="F2543" s="1" t="s">
        <v>1473</v>
      </c>
      <c r="G2543">
        <v>4</v>
      </c>
      <c r="H2543" s="1" t="s">
        <v>1493</v>
      </c>
      <c r="I2543" t="s">
        <v>1873</v>
      </c>
      <c r="J2543" s="1" t="s">
        <v>1453</v>
      </c>
      <c r="K2543" s="1" t="s">
        <v>1582</v>
      </c>
      <c r="L2543" s="1" t="s">
        <v>1718</v>
      </c>
      <c r="M2543" s="1" t="s">
        <v>1750</v>
      </c>
      <c r="N2543" t="s">
        <v>1957</v>
      </c>
      <c r="O2543" t="s">
        <v>2164</v>
      </c>
      <c r="P2543" t="s">
        <v>3063</v>
      </c>
      <c r="Q2543">
        <v>109.92</v>
      </c>
      <c r="R2543" s="1" t="s">
        <v>1839</v>
      </c>
      <c r="S2543">
        <v>1582</v>
      </c>
      <c r="T2543">
        <v>173893</v>
      </c>
    </row>
    <row r="2544" spans="1:20" hidden="1" x14ac:dyDescent="0.4">
      <c r="A2544" s="1" t="s">
        <v>920</v>
      </c>
      <c r="B2544" s="1" t="s">
        <v>1457</v>
      </c>
      <c r="C2544" s="1" t="s">
        <v>1844</v>
      </c>
      <c r="D2544" s="1" t="s">
        <v>1462</v>
      </c>
      <c r="E2544">
        <v>20251208</v>
      </c>
      <c r="F2544" s="1" t="s">
        <v>1473</v>
      </c>
      <c r="G2544">
        <v>4</v>
      </c>
      <c r="H2544" s="1" t="s">
        <v>1493</v>
      </c>
      <c r="I2544" t="s">
        <v>1873</v>
      </c>
      <c r="J2544" s="1" t="s">
        <v>1453</v>
      </c>
      <c r="K2544" s="1" t="s">
        <v>1582</v>
      </c>
      <c r="L2544" s="1" t="s">
        <v>1718</v>
      </c>
      <c r="M2544" s="1" t="s">
        <v>1750</v>
      </c>
      <c r="N2544" t="s">
        <v>1957</v>
      </c>
      <c r="O2544" t="s">
        <v>2164</v>
      </c>
      <c r="P2544" t="s">
        <v>3063</v>
      </c>
      <c r="Q2544">
        <v>99</v>
      </c>
      <c r="R2544" s="1" t="s">
        <v>1839</v>
      </c>
      <c r="S2544">
        <v>1582</v>
      </c>
      <c r="T2544">
        <v>156618</v>
      </c>
    </row>
    <row r="2545" spans="1:20" hidden="1" x14ac:dyDescent="0.4">
      <c r="A2545" s="1" t="s">
        <v>920</v>
      </c>
      <c r="B2545" s="1" t="s">
        <v>1458</v>
      </c>
      <c r="C2545" s="1" t="s">
        <v>1844</v>
      </c>
      <c r="D2545" s="1" t="s">
        <v>1462</v>
      </c>
      <c r="E2545">
        <v>20251208</v>
      </c>
      <c r="F2545" s="1" t="s">
        <v>1473</v>
      </c>
      <c r="G2545">
        <v>4</v>
      </c>
      <c r="H2545" s="1" t="s">
        <v>1493</v>
      </c>
      <c r="I2545" t="s">
        <v>1873</v>
      </c>
      <c r="J2545" s="1" t="s">
        <v>1453</v>
      </c>
      <c r="K2545" s="1" t="s">
        <v>1582</v>
      </c>
      <c r="L2545" s="1" t="s">
        <v>1718</v>
      </c>
      <c r="M2545" s="1" t="s">
        <v>1750</v>
      </c>
      <c r="N2545" t="s">
        <v>1957</v>
      </c>
      <c r="O2545" t="s">
        <v>2164</v>
      </c>
      <c r="P2545" t="s">
        <v>3063</v>
      </c>
      <c r="Q2545">
        <v>111.02</v>
      </c>
      <c r="R2545" s="1" t="s">
        <v>1839</v>
      </c>
      <c r="S2545">
        <v>1582</v>
      </c>
      <c r="T2545">
        <v>175633</v>
      </c>
    </row>
    <row r="2546" spans="1:20" hidden="1" x14ac:dyDescent="0.4">
      <c r="A2546" s="1" t="s">
        <v>920</v>
      </c>
      <c r="B2546" s="1" t="s">
        <v>1459</v>
      </c>
      <c r="C2546" s="1" t="s">
        <v>1844</v>
      </c>
      <c r="D2546" s="1" t="s">
        <v>1462</v>
      </c>
      <c r="E2546">
        <v>20251208</v>
      </c>
      <c r="F2546" s="1" t="s">
        <v>1473</v>
      </c>
      <c r="G2546">
        <v>4</v>
      </c>
      <c r="H2546" s="1" t="s">
        <v>1493</v>
      </c>
      <c r="I2546" t="s">
        <v>1873</v>
      </c>
      <c r="J2546" s="1" t="s">
        <v>1453</v>
      </c>
      <c r="K2546" s="1" t="s">
        <v>1582</v>
      </c>
      <c r="L2546" s="1" t="s">
        <v>1718</v>
      </c>
      <c r="M2546" s="1" t="s">
        <v>1750</v>
      </c>
      <c r="N2546" t="s">
        <v>1957</v>
      </c>
      <c r="O2546" t="s">
        <v>2164</v>
      </c>
      <c r="P2546" t="s">
        <v>3063</v>
      </c>
      <c r="Q2546">
        <v>72.8</v>
      </c>
      <c r="R2546" s="1" t="s">
        <v>1839</v>
      </c>
      <c r="S2546">
        <v>1582</v>
      </c>
      <c r="T2546">
        <v>115169</v>
      </c>
    </row>
    <row r="2547" spans="1:20" hidden="1" x14ac:dyDescent="0.4">
      <c r="A2547" s="1" t="s">
        <v>920</v>
      </c>
      <c r="B2547" s="1" t="s">
        <v>1460</v>
      </c>
      <c r="C2547" s="1" t="s">
        <v>1844</v>
      </c>
      <c r="D2547" s="1" t="s">
        <v>1462</v>
      </c>
      <c r="E2547">
        <v>20251208</v>
      </c>
      <c r="F2547" s="1" t="s">
        <v>1473</v>
      </c>
      <c r="G2547">
        <v>4</v>
      </c>
      <c r="H2547" s="1" t="s">
        <v>1493</v>
      </c>
      <c r="I2547" t="s">
        <v>1873</v>
      </c>
      <c r="J2547" s="1" t="s">
        <v>1453</v>
      </c>
      <c r="K2547" s="1" t="s">
        <v>1582</v>
      </c>
      <c r="L2547" s="1" t="s">
        <v>1718</v>
      </c>
      <c r="M2547" s="1" t="s">
        <v>1750</v>
      </c>
      <c r="N2547" t="s">
        <v>1957</v>
      </c>
      <c r="O2547" t="s">
        <v>2164</v>
      </c>
      <c r="P2547" t="s">
        <v>3063</v>
      </c>
      <c r="Q2547">
        <v>107.38</v>
      </c>
      <c r="R2547" s="1" t="s">
        <v>1839</v>
      </c>
      <c r="S2547">
        <v>1582</v>
      </c>
      <c r="T2547">
        <v>169875</v>
      </c>
    </row>
    <row r="2548" spans="1:20" hidden="1" x14ac:dyDescent="0.4">
      <c r="A2548" s="1" t="s">
        <v>921</v>
      </c>
      <c r="B2548" s="1" t="s">
        <v>1453</v>
      </c>
      <c r="C2548" s="1" t="s">
        <v>1844</v>
      </c>
      <c r="D2548" s="1" t="s">
        <v>1462</v>
      </c>
      <c r="E2548">
        <v>20251208</v>
      </c>
      <c r="F2548" s="1" t="s">
        <v>1473</v>
      </c>
      <c r="G2548">
        <v>4</v>
      </c>
      <c r="H2548" s="1" t="s">
        <v>1493</v>
      </c>
      <c r="I2548" t="s">
        <v>1873</v>
      </c>
      <c r="J2548" s="1" t="s">
        <v>1453</v>
      </c>
      <c r="K2548" s="1" t="s">
        <v>1702</v>
      </c>
      <c r="L2548" s="1" t="s">
        <v>1718</v>
      </c>
      <c r="M2548" s="1" t="s">
        <v>1834</v>
      </c>
      <c r="N2548" t="s">
        <v>2128</v>
      </c>
      <c r="O2548" t="s">
        <v>2164</v>
      </c>
      <c r="P2548" t="s">
        <v>3413</v>
      </c>
      <c r="Q2548">
        <v>81.900000000000006</v>
      </c>
      <c r="R2548" s="1" t="s">
        <v>1839</v>
      </c>
      <c r="S2548">
        <v>2048</v>
      </c>
      <c r="T2548">
        <v>167731</v>
      </c>
    </row>
    <row r="2549" spans="1:20" hidden="1" x14ac:dyDescent="0.4">
      <c r="A2549" s="1" t="s">
        <v>921</v>
      </c>
      <c r="B2549" s="1" t="s">
        <v>1454</v>
      </c>
      <c r="C2549" s="1" t="s">
        <v>1844</v>
      </c>
      <c r="D2549" s="1" t="s">
        <v>1462</v>
      </c>
      <c r="E2549">
        <v>20251208</v>
      </c>
      <c r="F2549" s="1" t="s">
        <v>1473</v>
      </c>
      <c r="G2549">
        <v>4</v>
      </c>
      <c r="H2549" s="1" t="s">
        <v>1493</v>
      </c>
      <c r="I2549" t="s">
        <v>1873</v>
      </c>
      <c r="J2549" s="1" t="s">
        <v>1453</v>
      </c>
      <c r="K2549" s="1" t="s">
        <v>1702</v>
      </c>
      <c r="L2549" s="1" t="s">
        <v>1718</v>
      </c>
      <c r="M2549" s="1" t="s">
        <v>1834</v>
      </c>
      <c r="N2549" t="s">
        <v>2128</v>
      </c>
      <c r="O2549" t="s">
        <v>2164</v>
      </c>
      <c r="P2549" t="s">
        <v>3413</v>
      </c>
      <c r="Q2549">
        <v>81.900000000000006</v>
      </c>
      <c r="R2549" s="1" t="s">
        <v>1839</v>
      </c>
      <c r="S2549">
        <v>2048</v>
      </c>
      <c r="T2549">
        <v>167731</v>
      </c>
    </row>
    <row r="2550" spans="1:20" hidden="1" x14ac:dyDescent="0.4">
      <c r="A2550" s="1" t="s">
        <v>921</v>
      </c>
      <c r="B2550" s="1" t="s">
        <v>1455</v>
      </c>
      <c r="C2550" s="1" t="s">
        <v>1844</v>
      </c>
      <c r="D2550" s="1" t="s">
        <v>1462</v>
      </c>
      <c r="E2550">
        <v>20251208</v>
      </c>
      <c r="F2550" s="1" t="s">
        <v>1473</v>
      </c>
      <c r="G2550">
        <v>4</v>
      </c>
      <c r="H2550" s="1" t="s">
        <v>1493</v>
      </c>
      <c r="I2550" t="s">
        <v>1873</v>
      </c>
      <c r="J2550" s="1" t="s">
        <v>1453</v>
      </c>
      <c r="K2550" s="1" t="s">
        <v>1702</v>
      </c>
      <c r="L2550" s="1" t="s">
        <v>1718</v>
      </c>
      <c r="M2550" s="1" t="s">
        <v>1834</v>
      </c>
      <c r="N2550" t="s">
        <v>2128</v>
      </c>
      <c r="O2550" t="s">
        <v>2164</v>
      </c>
      <c r="P2550" t="s">
        <v>3413</v>
      </c>
      <c r="Q2550">
        <v>81.900000000000006</v>
      </c>
      <c r="R2550" s="1" t="s">
        <v>1839</v>
      </c>
      <c r="S2550">
        <v>2048</v>
      </c>
      <c r="T2550">
        <v>167731</v>
      </c>
    </row>
    <row r="2551" spans="1:20" hidden="1" x14ac:dyDescent="0.4">
      <c r="A2551" s="1" t="s">
        <v>921</v>
      </c>
      <c r="B2551" s="1" t="s">
        <v>1456</v>
      </c>
      <c r="C2551" s="1" t="s">
        <v>1844</v>
      </c>
      <c r="D2551" s="1" t="s">
        <v>1462</v>
      </c>
      <c r="E2551">
        <v>20251208</v>
      </c>
      <c r="F2551" s="1" t="s">
        <v>1473</v>
      </c>
      <c r="G2551">
        <v>4</v>
      </c>
      <c r="H2551" s="1" t="s">
        <v>1493</v>
      </c>
      <c r="I2551" t="s">
        <v>1873</v>
      </c>
      <c r="J2551" s="1" t="s">
        <v>1453</v>
      </c>
      <c r="K2551" s="1" t="s">
        <v>1702</v>
      </c>
      <c r="L2551" s="1" t="s">
        <v>1718</v>
      </c>
      <c r="M2551" s="1" t="s">
        <v>1834</v>
      </c>
      <c r="N2551" t="s">
        <v>2128</v>
      </c>
      <c r="O2551" t="s">
        <v>2164</v>
      </c>
      <c r="P2551" t="s">
        <v>3413</v>
      </c>
      <c r="Q2551">
        <v>78.62</v>
      </c>
      <c r="R2551" s="1" t="s">
        <v>1839</v>
      </c>
      <c r="S2551">
        <v>2048</v>
      </c>
      <c r="T2551">
        <v>161013</v>
      </c>
    </row>
    <row r="2552" spans="1:20" hidden="1" x14ac:dyDescent="0.4">
      <c r="A2552" s="1" t="s">
        <v>922</v>
      </c>
      <c r="B2552" s="1" t="s">
        <v>1453</v>
      </c>
      <c r="C2552" s="1" t="s">
        <v>1844</v>
      </c>
      <c r="D2552" s="1" t="s">
        <v>1462</v>
      </c>
      <c r="E2552">
        <v>20251208</v>
      </c>
      <c r="F2552" s="1" t="s">
        <v>1473</v>
      </c>
      <c r="G2552">
        <v>4</v>
      </c>
      <c r="H2552" s="1" t="s">
        <v>1493</v>
      </c>
      <c r="I2552" t="s">
        <v>1873</v>
      </c>
      <c r="J2552" s="1" t="s">
        <v>1453</v>
      </c>
      <c r="K2552" s="1" t="s">
        <v>1703</v>
      </c>
      <c r="L2552" s="1" t="s">
        <v>1718</v>
      </c>
      <c r="M2552" s="1" t="s">
        <v>1835</v>
      </c>
      <c r="N2552" t="s">
        <v>2129</v>
      </c>
      <c r="O2552" t="s">
        <v>2164</v>
      </c>
      <c r="P2552" t="s">
        <v>3414</v>
      </c>
      <c r="Q2552">
        <v>91</v>
      </c>
      <c r="R2552" s="1" t="s">
        <v>1839</v>
      </c>
      <c r="S2552">
        <v>2116</v>
      </c>
      <c r="T2552">
        <v>192556</v>
      </c>
    </row>
    <row r="2553" spans="1:20" hidden="1" x14ac:dyDescent="0.4">
      <c r="A2553" s="1" t="s">
        <v>922</v>
      </c>
      <c r="B2553" s="1" t="s">
        <v>1454</v>
      </c>
      <c r="C2553" s="1" t="s">
        <v>1844</v>
      </c>
      <c r="D2553" s="1" t="s">
        <v>1462</v>
      </c>
      <c r="E2553">
        <v>20251208</v>
      </c>
      <c r="F2553" s="1" t="s">
        <v>1473</v>
      </c>
      <c r="G2553">
        <v>4</v>
      </c>
      <c r="H2553" s="1" t="s">
        <v>1493</v>
      </c>
      <c r="I2553" t="s">
        <v>1873</v>
      </c>
      <c r="J2553" s="1" t="s">
        <v>1453</v>
      </c>
      <c r="K2553" s="1" t="s">
        <v>1703</v>
      </c>
      <c r="L2553" s="1" t="s">
        <v>1718</v>
      </c>
      <c r="M2553" s="1" t="s">
        <v>1835</v>
      </c>
      <c r="N2553" t="s">
        <v>2129</v>
      </c>
      <c r="O2553" t="s">
        <v>2164</v>
      </c>
      <c r="P2553" t="s">
        <v>3414</v>
      </c>
      <c r="Q2553">
        <v>72.8</v>
      </c>
      <c r="R2553" s="1" t="s">
        <v>1839</v>
      </c>
      <c r="S2553">
        <v>2116</v>
      </c>
      <c r="T2553">
        <v>154044</v>
      </c>
    </row>
    <row r="2554" spans="1:20" hidden="1" x14ac:dyDescent="0.4">
      <c r="A2554" s="1" t="s">
        <v>922</v>
      </c>
      <c r="B2554" s="1" t="s">
        <v>1455</v>
      </c>
      <c r="C2554" s="1" t="s">
        <v>1844</v>
      </c>
      <c r="D2554" s="1" t="s">
        <v>1462</v>
      </c>
      <c r="E2554">
        <v>20251208</v>
      </c>
      <c r="F2554" s="1" t="s">
        <v>1473</v>
      </c>
      <c r="G2554">
        <v>4</v>
      </c>
      <c r="H2554" s="1" t="s">
        <v>1493</v>
      </c>
      <c r="I2554" t="s">
        <v>1873</v>
      </c>
      <c r="J2554" s="1" t="s">
        <v>1453</v>
      </c>
      <c r="K2554" s="1" t="s">
        <v>1703</v>
      </c>
      <c r="L2554" s="1" t="s">
        <v>1718</v>
      </c>
      <c r="M2554" s="1" t="s">
        <v>1835</v>
      </c>
      <c r="N2554" t="s">
        <v>2129</v>
      </c>
      <c r="O2554" t="s">
        <v>2164</v>
      </c>
      <c r="P2554" t="s">
        <v>3414</v>
      </c>
      <c r="Q2554">
        <v>43.68</v>
      </c>
      <c r="R2554" s="1" t="s">
        <v>1839</v>
      </c>
      <c r="S2554">
        <v>2116</v>
      </c>
      <c r="T2554">
        <v>92426</v>
      </c>
    </row>
    <row r="2555" spans="1:20" hidden="1" x14ac:dyDescent="0.4">
      <c r="A2555" s="1" t="s">
        <v>923</v>
      </c>
      <c r="B2555" s="1" t="s">
        <v>1453</v>
      </c>
      <c r="C2555" s="1" t="s">
        <v>1844</v>
      </c>
      <c r="D2555" s="1" t="s">
        <v>1462</v>
      </c>
      <c r="E2555">
        <v>20251208</v>
      </c>
      <c r="F2555" s="1" t="s">
        <v>1473</v>
      </c>
      <c r="G2555">
        <v>4</v>
      </c>
      <c r="H2555" s="1" t="s">
        <v>1493</v>
      </c>
      <c r="I2555" t="s">
        <v>1873</v>
      </c>
      <c r="J2555" s="1" t="s">
        <v>1453</v>
      </c>
      <c r="K2555" s="1" t="s">
        <v>1585</v>
      </c>
      <c r="L2555" s="1" t="s">
        <v>1718</v>
      </c>
      <c r="M2555" s="1" t="s">
        <v>1754</v>
      </c>
      <c r="N2555" t="s">
        <v>1960</v>
      </c>
      <c r="O2555" t="s">
        <v>2164</v>
      </c>
      <c r="P2555" t="s">
        <v>3067</v>
      </c>
      <c r="Q2555">
        <v>120.12</v>
      </c>
      <c r="R2555" s="1" t="s">
        <v>1839</v>
      </c>
      <c r="S2555">
        <v>3105</v>
      </c>
      <c r="T2555">
        <v>372972</v>
      </c>
    </row>
    <row r="2556" spans="1:20" hidden="1" x14ac:dyDescent="0.4">
      <c r="A2556" s="1" t="s">
        <v>923</v>
      </c>
      <c r="B2556" s="1" t="s">
        <v>1454</v>
      </c>
      <c r="C2556" s="1" t="s">
        <v>1844</v>
      </c>
      <c r="D2556" s="1" t="s">
        <v>1462</v>
      </c>
      <c r="E2556">
        <v>20251208</v>
      </c>
      <c r="F2556" s="1" t="s">
        <v>1473</v>
      </c>
      <c r="G2556">
        <v>4</v>
      </c>
      <c r="H2556" s="1" t="s">
        <v>1493</v>
      </c>
      <c r="I2556" t="s">
        <v>1873</v>
      </c>
      <c r="J2556" s="1" t="s">
        <v>1453</v>
      </c>
      <c r="K2556" s="1" t="s">
        <v>1585</v>
      </c>
      <c r="L2556" s="1" t="s">
        <v>1718</v>
      </c>
      <c r="M2556" s="1" t="s">
        <v>1754</v>
      </c>
      <c r="N2556" t="s">
        <v>1960</v>
      </c>
      <c r="O2556" t="s">
        <v>2164</v>
      </c>
      <c r="P2556" t="s">
        <v>3067</v>
      </c>
      <c r="Q2556">
        <v>120.12</v>
      </c>
      <c r="R2556" s="1" t="s">
        <v>1839</v>
      </c>
      <c r="S2556">
        <v>3105</v>
      </c>
      <c r="T2556">
        <v>372972</v>
      </c>
    </row>
    <row r="2557" spans="1:20" hidden="1" x14ac:dyDescent="0.4">
      <c r="A2557" s="1" t="s">
        <v>923</v>
      </c>
      <c r="B2557" s="1" t="s">
        <v>1455</v>
      </c>
      <c r="C2557" s="1" t="s">
        <v>1844</v>
      </c>
      <c r="D2557" s="1" t="s">
        <v>1462</v>
      </c>
      <c r="E2557">
        <v>20251208</v>
      </c>
      <c r="F2557" s="1" t="s">
        <v>1473</v>
      </c>
      <c r="G2557">
        <v>4</v>
      </c>
      <c r="H2557" s="1" t="s">
        <v>1493</v>
      </c>
      <c r="I2557" t="s">
        <v>1873</v>
      </c>
      <c r="J2557" s="1" t="s">
        <v>1453</v>
      </c>
      <c r="K2557" s="1" t="s">
        <v>1585</v>
      </c>
      <c r="L2557" s="1" t="s">
        <v>1718</v>
      </c>
      <c r="M2557" s="1" t="s">
        <v>1754</v>
      </c>
      <c r="N2557" t="s">
        <v>1960</v>
      </c>
      <c r="O2557" t="s">
        <v>2164</v>
      </c>
      <c r="P2557" t="s">
        <v>3067</v>
      </c>
      <c r="Q2557">
        <v>115.75</v>
      </c>
      <c r="R2557" s="1" t="s">
        <v>1839</v>
      </c>
      <c r="S2557">
        <v>3105</v>
      </c>
      <c r="T2557">
        <v>359403</v>
      </c>
    </row>
    <row r="2558" spans="1:20" hidden="1" x14ac:dyDescent="0.4">
      <c r="A2558" s="1" t="s">
        <v>923</v>
      </c>
      <c r="B2558" s="1" t="s">
        <v>1456</v>
      </c>
      <c r="C2558" s="1" t="s">
        <v>1844</v>
      </c>
      <c r="D2558" s="1" t="s">
        <v>1462</v>
      </c>
      <c r="E2558">
        <v>20251208</v>
      </c>
      <c r="F2558" s="1" t="s">
        <v>1473</v>
      </c>
      <c r="G2558">
        <v>4</v>
      </c>
      <c r="H2558" s="1" t="s">
        <v>1493</v>
      </c>
      <c r="I2558" t="s">
        <v>1873</v>
      </c>
      <c r="J2558" s="1" t="s">
        <v>1453</v>
      </c>
      <c r="K2558" s="1" t="s">
        <v>1585</v>
      </c>
      <c r="L2558" s="1" t="s">
        <v>1718</v>
      </c>
      <c r="M2558" s="1" t="s">
        <v>1754</v>
      </c>
      <c r="N2558" t="s">
        <v>1960</v>
      </c>
      <c r="O2558" t="s">
        <v>2164</v>
      </c>
      <c r="P2558" t="s">
        <v>3067</v>
      </c>
      <c r="Q2558">
        <v>101.92</v>
      </c>
      <c r="R2558" s="1" t="s">
        <v>1839</v>
      </c>
      <c r="S2558">
        <v>3105</v>
      </c>
      <c r="T2558">
        <v>316461</v>
      </c>
    </row>
    <row r="2559" spans="1:20" hidden="1" x14ac:dyDescent="0.4">
      <c r="A2559" s="1" t="s">
        <v>923</v>
      </c>
      <c r="B2559" s="1" t="s">
        <v>1457</v>
      </c>
      <c r="C2559" s="1" t="s">
        <v>1844</v>
      </c>
      <c r="D2559" s="1" t="s">
        <v>1462</v>
      </c>
      <c r="E2559">
        <v>20251208</v>
      </c>
      <c r="F2559" s="1" t="s">
        <v>1473</v>
      </c>
      <c r="G2559">
        <v>4</v>
      </c>
      <c r="H2559" s="1" t="s">
        <v>1493</v>
      </c>
      <c r="I2559" t="s">
        <v>1873</v>
      </c>
      <c r="J2559" s="1" t="s">
        <v>1453</v>
      </c>
      <c r="K2559" s="1" t="s">
        <v>1585</v>
      </c>
      <c r="L2559" s="1" t="s">
        <v>1718</v>
      </c>
      <c r="M2559" s="1" t="s">
        <v>1754</v>
      </c>
      <c r="N2559" t="s">
        <v>1960</v>
      </c>
      <c r="O2559" t="s">
        <v>2164</v>
      </c>
      <c r="P2559" t="s">
        <v>3067</v>
      </c>
      <c r="Q2559">
        <v>101.92</v>
      </c>
      <c r="R2559" s="1" t="s">
        <v>1839</v>
      </c>
      <c r="S2559">
        <v>3105</v>
      </c>
      <c r="T2559">
        <v>316461</v>
      </c>
    </row>
    <row r="2560" spans="1:20" hidden="1" x14ac:dyDescent="0.4">
      <c r="A2560" s="1" t="s">
        <v>923</v>
      </c>
      <c r="B2560" s="1" t="s">
        <v>1458</v>
      </c>
      <c r="C2560" s="1" t="s">
        <v>1844</v>
      </c>
      <c r="D2560" s="1" t="s">
        <v>1462</v>
      </c>
      <c r="E2560">
        <v>20251208</v>
      </c>
      <c r="F2560" s="1" t="s">
        <v>1473</v>
      </c>
      <c r="G2560">
        <v>4</v>
      </c>
      <c r="H2560" s="1" t="s">
        <v>1493</v>
      </c>
      <c r="I2560" t="s">
        <v>1873</v>
      </c>
      <c r="J2560" s="1" t="s">
        <v>1453</v>
      </c>
      <c r="K2560" s="1" t="s">
        <v>1585</v>
      </c>
      <c r="L2560" s="1" t="s">
        <v>1718</v>
      </c>
      <c r="M2560" s="1" t="s">
        <v>1754</v>
      </c>
      <c r="N2560" t="s">
        <v>1960</v>
      </c>
      <c r="O2560" t="s">
        <v>2164</v>
      </c>
      <c r="P2560" t="s">
        <v>3067</v>
      </c>
      <c r="Q2560">
        <v>97.18</v>
      </c>
      <c r="R2560" s="1" t="s">
        <v>1839</v>
      </c>
      <c r="S2560">
        <v>3105</v>
      </c>
      <c r="T2560">
        <v>301743</v>
      </c>
    </row>
    <row r="2561" spans="1:20" hidden="1" x14ac:dyDescent="0.4">
      <c r="A2561" s="1" t="s">
        <v>923</v>
      </c>
      <c r="B2561" s="1" t="s">
        <v>1459</v>
      </c>
      <c r="C2561" s="1" t="s">
        <v>1844</v>
      </c>
      <c r="D2561" s="1" t="s">
        <v>1462</v>
      </c>
      <c r="E2561">
        <v>20251208</v>
      </c>
      <c r="F2561" s="1" t="s">
        <v>1473</v>
      </c>
      <c r="G2561">
        <v>4</v>
      </c>
      <c r="H2561" s="1" t="s">
        <v>1493</v>
      </c>
      <c r="I2561" t="s">
        <v>1873</v>
      </c>
      <c r="J2561" s="1" t="s">
        <v>1453</v>
      </c>
      <c r="K2561" s="1" t="s">
        <v>1585</v>
      </c>
      <c r="L2561" s="1" t="s">
        <v>1718</v>
      </c>
      <c r="M2561" s="1" t="s">
        <v>1754</v>
      </c>
      <c r="N2561" t="s">
        <v>1960</v>
      </c>
      <c r="O2561" t="s">
        <v>2164</v>
      </c>
      <c r="P2561" t="s">
        <v>3067</v>
      </c>
      <c r="Q2561">
        <v>36.4</v>
      </c>
      <c r="R2561" s="1" t="s">
        <v>1839</v>
      </c>
      <c r="S2561">
        <v>3105</v>
      </c>
      <c r="T2561">
        <v>113022</v>
      </c>
    </row>
    <row r="2562" spans="1:20" hidden="1" x14ac:dyDescent="0.4">
      <c r="A2562" s="1" t="s">
        <v>923</v>
      </c>
      <c r="B2562" s="1" t="s">
        <v>1460</v>
      </c>
      <c r="C2562" s="1" t="s">
        <v>1844</v>
      </c>
      <c r="D2562" s="1" t="s">
        <v>1462</v>
      </c>
      <c r="E2562">
        <v>20251208</v>
      </c>
      <c r="F2562" s="1" t="s">
        <v>1473</v>
      </c>
      <c r="G2562">
        <v>4</v>
      </c>
      <c r="H2562" s="1" t="s">
        <v>1493</v>
      </c>
      <c r="I2562" t="s">
        <v>1873</v>
      </c>
      <c r="J2562" s="1" t="s">
        <v>1453</v>
      </c>
      <c r="K2562" s="1" t="s">
        <v>1585</v>
      </c>
      <c r="L2562" s="1" t="s">
        <v>1718</v>
      </c>
      <c r="M2562" s="1" t="s">
        <v>1754</v>
      </c>
      <c r="N2562" t="s">
        <v>1960</v>
      </c>
      <c r="O2562" t="s">
        <v>2164</v>
      </c>
      <c r="P2562" t="s">
        <v>3067</v>
      </c>
      <c r="Q2562">
        <v>21.84</v>
      </c>
      <c r="R2562" s="1" t="s">
        <v>1839</v>
      </c>
      <c r="S2562">
        <v>3105</v>
      </c>
      <c r="T2562">
        <v>67813</v>
      </c>
    </row>
    <row r="2563" spans="1:20" hidden="1" x14ac:dyDescent="0.4">
      <c r="A2563" s="1" t="s">
        <v>924</v>
      </c>
      <c r="B2563" s="1" t="s">
        <v>1453</v>
      </c>
      <c r="C2563" s="1" t="s">
        <v>1844</v>
      </c>
      <c r="D2563" s="1" t="s">
        <v>1467</v>
      </c>
      <c r="E2563">
        <v>20251208</v>
      </c>
      <c r="F2563" s="1" t="s">
        <v>1473</v>
      </c>
      <c r="G2563">
        <v>4</v>
      </c>
      <c r="H2563" s="1" t="s">
        <v>1519</v>
      </c>
      <c r="I2563" t="s">
        <v>1899</v>
      </c>
      <c r="J2563" s="1" t="s">
        <v>1453</v>
      </c>
      <c r="K2563" s="1" t="s">
        <v>1589</v>
      </c>
      <c r="L2563" s="1" t="s">
        <v>1718</v>
      </c>
      <c r="M2563" s="1" t="s">
        <v>1757</v>
      </c>
      <c r="N2563" t="s">
        <v>1964</v>
      </c>
      <c r="O2563" t="s">
        <v>2164</v>
      </c>
      <c r="P2563" t="s">
        <v>3071</v>
      </c>
      <c r="Q2563">
        <v>116.48</v>
      </c>
      <c r="R2563" s="1" t="s">
        <v>1839</v>
      </c>
      <c r="S2563">
        <v>1582</v>
      </c>
      <c r="T2563">
        <v>184271</v>
      </c>
    </row>
    <row r="2564" spans="1:20" hidden="1" x14ac:dyDescent="0.4">
      <c r="A2564" s="1" t="s">
        <v>924</v>
      </c>
      <c r="B2564" s="1" t="s">
        <v>1454</v>
      </c>
      <c r="C2564" s="1" t="s">
        <v>1844</v>
      </c>
      <c r="D2564" s="1" t="s">
        <v>1467</v>
      </c>
      <c r="E2564">
        <v>20251208</v>
      </c>
      <c r="F2564" s="1" t="s">
        <v>1473</v>
      </c>
      <c r="G2564">
        <v>4</v>
      </c>
      <c r="H2564" s="1" t="s">
        <v>1519</v>
      </c>
      <c r="I2564" t="s">
        <v>1899</v>
      </c>
      <c r="J2564" s="1" t="s">
        <v>1453</v>
      </c>
      <c r="K2564" s="1" t="s">
        <v>1589</v>
      </c>
      <c r="L2564" s="1" t="s">
        <v>1718</v>
      </c>
      <c r="M2564" s="1" t="s">
        <v>1757</v>
      </c>
      <c r="N2564" t="s">
        <v>1964</v>
      </c>
      <c r="O2564" t="s">
        <v>2164</v>
      </c>
      <c r="P2564" t="s">
        <v>3071</v>
      </c>
      <c r="Q2564">
        <v>116.48</v>
      </c>
      <c r="R2564" s="1" t="s">
        <v>1839</v>
      </c>
      <c r="S2564">
        <v>1582</v>
      </c>
      <c r="T2564">
        <v>184271</v>
      </c>
    </row>
    <row r="2565" spans="1:20" hidden="1" x14ac:dyDescent="0.4">
      <c r="A2565" s="1" t="s">
        <v>924</v>
      </c>
      <c r="B2565" s="1" t="s">
        <v>1455</v>
      </c>
      <c r="C2565" s="1" t="s">
        <v>1844</v>
      </c>
      <c r="D2565" s="1" t="s">
        <v>1467</v>
      </c>
      <c r="E2565">
        <v>20251208</v>
      </c>
      <c r="F2565" s="1" t="s">
        <v>1473</v>
      </c>
      <c r="G2565">
        <v>4</v>
      </c>
      <c r="H2565" s="1" t="s">
        <v>1519</v>
      </c>
      <c r="I2565" t="s">
        <v>1899</v>
      </c>
      <c r="J2565" s="1" t="s">
        <v>1453</v>
      </c>
      <c r="K2565" s="1" t="s">
        <v>1589</v>
      </c>
      <c r="L2565" s="1" t="s">
        <v>1718</v>
      </c>
      <c r="M2565" s="1" t="s">
        <v>1757</v>
      </c>
      <c r="N2565" t="s">
        <v>1964</v>
      </c>
      <c r="O2565" t="s">
        <v>2164</v>
      </c>
      <c r="P2565" t="s">
        <v>3071</v>
      </c>
      <c r="Q2565">
        <v>116.48</v>
      </c>
      <c r="R2565" s="1" t="s">
        <v>1839</v>
      </c>
      <c r="S2565">
        <v>1582</v>
      </c>
      <c r="T2565">
        <v>184271</v>
      </c>
    </row>
    <row r="2566" spans="1:20" hidden="1" x14ac:dyDescent="0.4">
      <c r="A2566" s="1" t="s">
        <v>924</v>
      </c>
      <c r="B2566" s="1" t="s">
        <v>1456</v>
      </c>
      <c r="C2566" s="1" t="s">
        <v>1844</v>
      </c>
      <c r="D2566" s="1" t="s">
        <v>1467</v>
      </c>
      <c r="E2566">
        <v>20251208</v>
      </c>
      <c r="F2566" s="1" t="s">
        <v>1473</v>
      </c>
      <c r="G2566">
        <v>4</v>
      </c>
      <c r="H2566" s="1" t="s">
        <v>1519</v>
      </c>
      <c r="I2566" t="s">
        <v>1899</v>
      </c>
      <c r="J2566" s="1" t="s">
        <v>1453</v>
      </c>
      <c r="K2566" s="1" t="s">
        <v>1589</v>
      </c>
      <c r="L2566" s="1" t="s">
        <v>1718</v>
      </c>
      <c r="M2566" s="1" t="s">
        <v>1757</v>
      </c>
      <c r="N2566" t="s">
        <v>1964</v>
      </c>
      <c r="O2566" t="s">
        <v>2164</v>
      </c>
      <c r="P2566" t="s">
        <v>3071</v>
      </c>
      <c r="Q2566">
        <v>116.48</v>
      </c>
      <c r="R2566" s="1" t="s">
        <v>1839</v>
      </c>
      <c r="S2566">
        <v>1582</v>
      </c>
      <c r="T2566">
        <v>184271</v>
      </c>
    </row>
    <row r="2567" spans="1:20" hidden="1" x14ac:dyDescent="0.4">
      <c r="A2567" s="1" t="s">
        <v>924</v>
      </c>
      <c r="B2567" s="1" t="s">
        <v>1457</v>
      </c>
      <c r="C2567" s="1" t="s">
        <v>1844</v>
      </c>
      <c r="D2567" s="1" t="s">
        <v>1467</v>
      </c>
      <c r="E2567">
        <v>20251208</v>
      </c>
      <c r="F2567" s="1" t="s">
        <v>1473</v>
      </c>
      <c r="G2567">
        <v>4</v>
      </c>
      <c r="H2567" s="1" t="s">
        <v>1519</v>
      </c>
      <c r="I2567" t="s">
        <v>1899</v>
      </c>
      <c r="J2567" s="1" t="s">
        <v>1453</v>
      </c>
      <c r="K2567" s="1" t="s">
        <v>1589</v>
      </c>
      <c r="L2567" s="1" t="s">
        <v>1718</v>
      </c>
      <c r="M2567" s="1" t="s">
        <v>1757</v>
      </c>
      <c r="N2567" t="s">
        <v>1964</v>
      </c>
      <c r="O2567" t="s">
        <v>2164</v>
      </c>
      <c r="P2567" t="s">
        <v>3071</v>
      </c>
      <c r="Q2567">
        <v>134.31</v>
      </c>
      <c r="R2567" s="1" t="s">
        <v>1839</v>
      </c>
      <c r="S2567">
        <v>1582</v>
      </c>
      <c r="T2567">
        <v>212478</v>
      </c>
    </row>
    <row r="2568" spans="1:20" hidden="1" x14ac:dyDescent="0.4">
      <c r="A2568" s="1" t="s">
        <v>924</v>
      </c>
      <c r="B2568" s="1" t="s">
        <v>1458</v>
      </c>
      <c r="C2568" s="1" t="s">
        <v>1844</v>
      </c>
      <c r="D2568" s="1" t="s">
        <v>1467</v>
      </c>
      <c r="E2568">
        <v>20251208</v>
      </c>
      <c r="F2568" s="1" t="s">
        <v>1473</v>
      </c>
      <c r="G2568">
        <v>4</v>
      </c>
      <c r="H2568" s="1" t="s">
        <v>1519</v>
      </c>
      <c r="I2568" t="s">
        <v>1899</v>
      </c>
      <c r="J2568" s="1" t="s">
        <v>1453</v>
      </c>
      <c r="K2568" s="1" t="s">
        <v>1589</v>
      </c>
      <c r="L2568" s="1" t="s">
        <v>1718</v>
      </c>
      <c r="M2568" s="1" t="s">
        <v>1757</v>
      </c>
      <c r="N2568" t="s">
        <v>1964</v>
      </c>
      <c r="O2568" t="s">
        <v>2164</v>
      </c>
      <c r="P2568" t="s">
        <v>3071</v>
      </c>
      <c r="Q2568">
        <v>120.12</v>
      </c>
      <c r="R2568" s="1" t="s">
        <v>1839</v>
      </c>
      <c r="S2568">
        <v>1582</v>
      </c>
      <c r="T2568">
        <v>190029</v>
      </c>
    </row>
    <row r="2569" spans="1:20" hidden="1" x14ac:dyDescent="0.4">
      <c r="A2569" s="1" t="s">
        <v>924</v>
      </c>
      <c r="B2569" s="1" t="s">
        <v>1459</v>
      </c>
      <c r="C2569" s="1" t="s">
        <v>1844</v>
      </c>
      <c r="D2569" s="1" t="s">
        <v>1467</v>
      </c>
      <c r="E2569">
        <v>20251208</v>
      </c>
      <c r="F2569" s="1" t="s">
        <v>1473</v>
      </c>
      <c r="G2569">
        <v>4</v>
      </c>
      <c r="H2569" s="1" t="s">
        <v>1519</v>
      </c>
      <c r="I2569" t="s">
        <v>1899</v>
      </c>
      <c r="J2569" s="1" t="s">
        <v>1453</v>
      </c>
      <c r="K2569" s="1" t="s">
        <v>1589</v>
      </c>
      <c r="L2569" s="1" t="s">
        <v>1718</v>
      </c>
      <c r="M2569" s="1" t="s">
        <v>1757</v>
      </c>
      <c r="N2569" t="s">
        <v>1964</v>
      </c>
      <c r="O2569" t="s">
        <v>2164</v>
      </c>
      <c r="P2569" t="s">
        <v>3071</v>
      </c>
      <c r="Q2569">
        <v>113.93</v>
      </c>
      <c r="R2569" s="1" t="s">
        <v>1839</v>
      </c>
      <c r="S2569">
        <v>1582</v>
      </c>
      <c r="T2569">
        <v>180237</v>
      </c>
    </row>
    <row r="2570" spans="1:20" hidden="1" x14ac:dyDescent="0.4">
      <c r="A2570" s="1" t="s">
        <v>924</v>
      </c>
      <c r="B2570" s="1" t="s">
        <v>1460</v>
      </c>
      <c r="C2570" s="1" t="s">
        <v>1844</v>
      </c>
      <c r="D2570" s="1" t="s">
        <v>1467</v>
      </c>
      <c r="E2570">
        <v>20251208</v>
      </c>
      <c r="F2570" s="1" t="s">
        <v>1473</v>
      </c>
      <c r="G2570">
        <v>4</v>
      </c>
      <c r="H2570" s="1" t="s">
        <v>1519</v>
      </c>
      <c r="I2570" t="s">
        <v>1899</v>
      </c>
      <c r="J2570" s="1" t="s">
        <v>1453</v>
      </c>
      <c r="K2570" s="1" t="s">
        <v>1589</v>
      </c>
      <c r="L2570" s="1" t="s">
        <v>1718</v>
      </c>
      <c r="M2570" s="1" t="s">
        <v>1757</v>
      </c>
      <c r="N2570" t="s">
        <v>1964</v>
      </c>
      <c r="O2570" t="s">
        <v>2164</v>
      </c>
      <c r="P2570" t="s">
        <v>3071</v>
      </c>
      <c r="Q2570">
        <v>116.48</v>
      </c>
      <c r="R2570" s="1" t="s">
        <v>1839</v>
      </c>
      <c r="S2570">
        <v>1582</v>
      </c>
      <c r="T2570">
        <v>184271</v>
      </c>
    </row>
    <row r="2571" spans="1:20" hidden="1" x14ac:dyDescent="0.4">
      <c r="A2571" s="1" t="s">
        <v>924</v>
      </c>
      <c r="B2571" s="1" t="s">
        <v>1461</v>
      </c>
      <c r="C2571" s="1" t="s">
        <v>1844</v>
      </c>
      <c r="D2571" s="1" t="s">
        <v>1467</v>
      </c>
      <c r="E2571">
        <v>20251208</v>
      </c>
      <c r="F2571" s="1" t="s">
        <v>1473</v>
      </c>
      <c r="G2571">
        <v>4</v>
      </c>
      <c r="H2571" s="1" t="s">
        <v>1519</v>
      </c>
      <c r="I2571" t="s">
        <v>1899</v>
      </c>
      <c r="J2571" s="1" t="s">
        <v>1453</v>
      </c>
      <c r="K2571" s="1" t="s">
        <v>1589</v>
      </c>
      <c r="L2571" s="1" t="s">
        <v>1718</v>
      </c>
      <c r="M2571" s="1" t="s">
        <v>1757</v>
      </c>
      <c r="N2571" t="s">
        <v>1964</v>
      </c>
      <c r="O2571" t="s">
        <v>2164</v>
      </c>
      <c r="P2571" t="s">
        <v>3071</v>
      </c>
      <c r="Q2571">
        <v>116.48</v>
      </c>
      <c r="R2571" s="1" t="s">
        <v>1839</v>
      </c>
      <c r="S2571">
        <v>1582</v>
      </c>
      <c r="T2571">
        <v>184271</v>
      </c>
    </row>
    <row r="2572" spans="1:20" hidden="1" x14ac:dyDescent="0.4">
      <c r="A2572" s="1" t="s">
        <v>924</v>
      </c>
      <c r="B2572" s="1" t="s">
        <v>1462</v>
      </c>
      <c r="C2572" s="1" t="s">
        <v>1844</v>
      </c>
      <c r="D2572" s="1" t="s">
        <v>1467</v>
      </c>
      <c r="E2572">
        <v>20251208</v>
      </c>
      <c r="F2572" s="1" t="s">
        <v>1473</v>
      </c>
      <c r="G2572">
        <v>4</v>
      </c>
      <c r="H2572" s="1" t="s">
        <v>1519</v>
      </c>
      <c r="I2572" t="s">
        <v>1899</v>
      </c>
      <c r="J2572" s="1" t="s">
        <v>1453</v>
      </c>
      <c r="K2572" s="1" t="s">
        <v>1589</v>
      </c>
      <c r="L2572" s="1" t="s">
        <v>1718</v>
      </c>
      <c r="M2572" s="1" t="s">
        <v>1757</v>
      </c>
      <c r="N2572" t="s">
        <v>1964</v>
      </c>
      <c r="O2572" t="s">
        <v>2164</v>
      </c>
      <c r="P2572" t="s">
        <v>3071</v>
      </c>
      <c r="Q2572">
        <v>125.94</v>
      </c>
      <c r="R2572" s="1" t="s">
        <v>1839</v>
      </c>
      <c r="S2572">
        <v>1582</v>
      </c>
      <c r="T2572">
        <v>199237</v>
      </c>
    </row>
    <row r="2573" spans="1:20" hidden="1" x14ac:dyDescent="0.4">
      <c r="A2573" s="1" t="s">
        <v>925</v>
      </c>
      <c r="B2573" s="1" t="s">
        <v>1453</v>
      </c>
      <c r="C2573" s="1" t="s">
        <v>1844</v>
      </c>
      <c r="D2573" s="1" t="s">
        <v>1467</v>
      </c>
      <c r="E2573">
        <v>20251208</v>
      </c>
      <c r="F2573" s="1" t="s">
        <v>1473</v>
      </c>
      <c r="G2573">
        <v>4</v>
      </c>
      <c r="H2573" s="1" t="s">
        <v>1519</v>
      </c>
      <c r="I2573" t="s">
        <v>1899</v>
      </c>
      <c r="J2573" s="1" t="s">
        <v>1453</v>
      </c>
      <c r="K2573" s="1" t="s">
        <v>1589</v>
      </c>
      <c r="L2573" s="1" t="s">
        <v>1718</v>
      </c>
      <c r="M2573" s="1" t="s">
        <v>1758</v>
      </c>
      <c r="N2573" t="s">
        <v>1964</v>
      </c>
      <c r="O2573" t="s">
        <v>2164</v>
      </c>
      <c r="P2573" t="s">
        <v>3073</v>
      </c>
      <c r="Q2573">
        <v>120.12</v>
      </c>
      <c r="R2573" s="1" t="s">
        <v>1839</v>
      </c>
      <c r="S2573">
        <v>1582</v>
      </c>
      <c r="T2573">
        <v>190029</v>
      </c>
    </row>
    <row r="2574" spans="1:20" hidden="1" x14ac:dyDescent="0.4">
      <c r="A2574" s="1" t="s">
        <v>925</v>
      </c>
      <c r="B2574" s="1" t="s">
        <v>1454</v>
      </c>
      <c r="C2574" s="1" t="s">
        <v>1844</v>
      </c>
      <c r="D2574" s="1" t="s">
        <v>1467</v>
      </c>
      <c r="E2574">
        <v>20251208</v>
      </c>
      <c r="F2574" s="1" t="s">
        <v>1473</v>
      </c>
      <c r="G2574">
        <v>4</v>
      </c>
      <c r="H2574" s="1" t="s">
        <v>1519</v>
      </c>
      <c r="I2574" t="s">
        <v>1899</v>
      </c>
      <c r="J2574" s="1" t="s">
        <v>1453</v>
      </c>
      <c r="K2574" s="1" t="s">
        <v>1589</v>
      </c>
      <c r="L2574" s="1" t="s">
        <v>1718</v>
      </c>
      <c r="M2574" s="1" t="s">
        <v>1758</v>
      </c>
      <c r="N2574" t="s">
        <v>1964</v>
      </c>
      <c r="O2574" t="s">
        <v>2164</v>
      </c>
      <c r="P2574" t="s">
        <v>3073</v>
      </c>
      <c r="Q2574">
        <v>120.12</v>
      </c>
      <c r="R2574" s="1" t="s">
        <v>1839</v>
      </c>
      <c r="S2574">
        <v>1582</v>
      </c>
      <c r="T2574">
        <v>190029</v>
      </c>
    </row>
    <row r="2575" spans="1:20" hidden="1" x14ac:dyDescent="0.4">
      <c r="A2575" s="1" t="s">
        <v>925</v>
      </c>
      <c r="B2575" s="1" t="s">
        <v>1455</v>
      </c>
      <c r="C2575" s="1" t="s">
        <v>1844</v>
      </c>
      <c r="D2575" s="1" t="s">
        <v>1467</v>
      </c>
      <c r="E2575">
        <v>20251208</v>
      </c>
      <c r="F2575" s="1" t="s">
        <v>1473</v>
      </c>
      <c r="G2575">
        <v>4</v>
      </c>
      <c r="H2575" s="1" t="s">
        <v>1519</v>
      </c>
      <c r="I2575" t="s">
        <v>1899</v>
      </c>
      <c r="J2575" s="1" t="s">
        <v>1453</v>
      </c>
      <c r="K2575" s="1" t="s">
        <v>1589</v>
      </c>
      <c r="L2575" s="1" t="s">
        <v>1718</v>
      </c>
      <c r="M2575" s="1" t="s">
        <v>1758</v>
      </c>
      <c r="N2575" t="s">
        <v>1964</v>
      </c>
      <c r="O2575" t="s">
        <v>2164</v>
      </c>
      <c r="P2575" t="s">
        <v>3073</v>
      </c>
      <c r="Q2575">
        <v>120.12</v>
      </c>
      <c r="R2575" s="1" t="s">
        <v>1839</v>
      </c>
      <c r="S2575">
        <v>1582</v>
      </c>
      <c r="T2575">
        <v>190029</v>
      </c>
    </row>
    <row r="2576" spans="1:20" hidden="1" x14ac:dyDescent="0.4">
      <c r="A2576" s="1" t="s">
        <v>925</v>
      </c>
      <c r="B2576" s="1" t="s">
        <v>1456</v>
      </c>
      <c r="C2576" s="1" t="s">
        <v>1844</v>
      </c>
      <c r="D2576" s="1" t="s">
        <v>1467</v>
      </c>
      <c r="E2576">
        <v>20251208</v>
      </c>
      <c r="F2576" s="1" t="s">
        <v>1473</v>
      </c>
      <c r="G2576">
        <v>4</v>
      </c>
      <c r="H2576" s="1" t="s">
        <v>1519</v>
      </c>
      <c r="I2576" t="s">
        <v>1899</v>
      </c>
      <c r="J2576" s="1" t="s">
        <v>1453</v>
      </c>
      <c r="K2576" s="1" t="s">
        <v>1589</v>
      </c>
      <c r="L2576" s="1" t="s">
        <v>1718</v>
      </c>
      <c r="M2576" s="1" t="s">
        <v>1758</v>
      </c>
      <c r="N2576" t="s">
        <v>1964</v>
      </c>
      <c r="O2576" t="s">
        <v>2164</v>
      </c>
      <c r="P2576" t="s">
        <v>3073</v>
      </c>
      <c r="Q2576">
        <v>110.29</v>
      </c>
      <c r="R2576" s="1" t="s">
        <v>1839</v>
      </c>
      <c r="S2576">
        <v>1582</v>
      </c>
      <c r="T2576">
        <v>174478</v>
      </c>
    </row>
    <row r="2577" spans="1:20" hidden="1" x14ac:dyDescent="0.4">
      <c r="A2577" s="1" t="s">
        <v>925</v>
      </c>
      <c r="B2577" s="1" t="s">
        <v>1457</v>
      </c>
      <c r="C2577" s="1" t="s">
        <v>1844</v>
      </c>
      <c r="D2577" s="1" t="s">
        <v>1467</v>
      </c>
      <c r="E2577">
        <v>20251208</v>
      </c>
      <c r="F2577" s="1" t="s">
        <v>1473</v>
      </c>
      <c r="G2577">
        <v>4</v>
      </c>
      <c r="H2577" s="1" t="s">
        <v>1519</v>
      </c>
      <c r="I2577" t="s">
        <v>1899</v>
      </c>
      <c r="J2577" s="1" t="s">
        <v>1453</v>
      </c>
      <c r="K2577" s="1" t="s">
        <v>1589</v>
      </c>
      <c r="L2577" s="1" t="s">
        <v>1718</v>
      </c>
      <c r="M2577" s="1" t="s">
        <v>1758</v>
      </c>
      <c r="N2577" t="s">
        <v>1964</v>
      </c>
      <c r="O2577" t="s">
        <v>2164</v>
      </c>
      <c r="P2577" t="s">
        <v>3073</v>
      </c>
      <c r="Q2577">
        <v>126.67</v>
      </c>
      <c r="R2577" s="1" t="s">
        <v>1839</v>
      </c>
      <c r="S2577">
        <v>1582</v>
      </c>
      <c r="T2577">
        <v>200391</v>
      </c>
    </row>
    <row r="2578" spans="1:20" hidden="1" x14ac:dyDescent="0.4">
      <c r="A2578" s="1" t="s">
        <v>925</v>
      </c>
      <c r="B2578" s="1" t="s">
        <v>1458</v>
      </c>
      <c r="C2578" s="1" t="s">
        <v>1844</v>
      </c>
      <c r="D2578" s="1" t="s">
        <v>1467</v>
      </c>
      <c r="E2578">
        <v>20251208</v>
      </c>
      <c r="F2578" s="1" t="s">
        <v>1473</v>
      </c>
      <c r="G2578">
        <v>4</v>
      </c>
      <c r="H2578" s="1" t="s">
        <v>1519</v>
      </c>
      <c r="I2578" t="s">
        <v>1899</v>
      </c>
      <c r="J2578" s="1" t="s">
        <v>1453</v>
      </c>
      <c r="K2578" s="1" t="s">
        <v>1589</v>
      </c>
      <c r="L2578" s="1" t="s">
        <v>1718</v>
      </c>
      <c r="M2578" s="1" t="s">
        <v>1758</v>
      </c>
      <c r="N2578" t="s">
        <v>1964</v>
      </c>
      <c r="O2578" t="s">
        <v>2164</v>
      </c>
      <c r="P2578" t="s">
        <v>3073</v>
      </c>
      <c r="Q2578">
        <v>109.2</v>
      </c>
      <c r="R2578" s="1" t="s">
        <v>1839</v>
      </c>
      <c r="S2578">
        <v>1582</v>
      </c>
      <c r="T2578">
        <v>172754</v>
      </c>
    </row>
    <row r="2579" spans="1:20" hidden="1" x14ac:dyDescent="0.4">
      <c r="A2579" s="1" t="s">
        <v>925</v>
      </c>
      <c r="B2579" s="1" t="s">
        <v>1459</v>
      </c>
      <c r="C2579" s="1" t="s">
        <v>1844</v>
      </c>
      <c r="D2579" s="1" t="s">
        <v>1467</v>
      </c>
      <c r="E2579">
        <v>20251208</v>
      </c>
      <c r="F2579" s="1" t="s">
        <v>1473</v>
      </c>
      <c r="G2579">
        <v>4</v>
      </c>
      <c r="H2579" s="1" t="s">
        <v>1519</v>
      </c>
      <c r="I2579" t="s">
        <v>1899</v>
      </c>
      <c r="J2579" s="1" t="s">
        <v>1453</v>
      </c>
      <c r="K2579" s="1" t="s">
        <v>1589</v>
      </c>
      <c r="L2579" s="1" t="s">
        <v>1718</v>
      </c>
      <c r="M2579" s="1" t="s">
        <v>1758</v>
      </c>
      <c r="N2579" t="s">
        <v>1964</v>
      </c>
      <c r="O2579" t="s">
        <v>2164</v>
      </c>
      <c r="P2579" t="s">
        <v>3073</v>
      </c>
      <c r="Q2579">
        <v>109.2</v>
      </c>
      <c r="R2579" s="1" t="s">
        <v>1839</v>
      </c>
      <c r="S2579">
        <v>1582</v>
      </c>
      <c r="T2579">
        <v>172754</v>
      </c>
    </row>
    <row r="2580" spans="1:20" hidden="1" x14ac:dyDescent="0.4">
      <c r="A2580" s="1" t="s">
        <v>925</v>
      </c>
      <c r="B2580" s="1" t="s">
        <v>1460</v>
      </c>
      <c r="C2580" s="1" t="s">
        <v>1844</v>
      </c>
      <c r="D2580" s="1" t="s">
        <v>1467</v>
      </c>
      <c r="E2580">
        <v>20251208</v>
      </c>
      <c r="F2580" s="1" t="s">
        <v>1473</v>
      </c>
      <c r="G2580">
        <v>4</v>
      </c>
      <c r="H2580" s="1" t="s">
        <v>1519</v>
      </c>
      <c r="I2580" t="s">
        <v>1899</v>
      </c>
      <c r="J2580" s="1" t="s">
        <v>1453</v>
      </c>
      <c r="K2580" s="1" t="s">
        <v>1589</v>
      </c>
      <c r="L2580" s="1" t="s">
        <v>1718</v>
      </c>
      <c r="M2580" s="1" t="s">
        <v>1758</v>
      </c>
      <c r="N2580" t="s">
        <v>1964</v>
      </c>
      <c r="O2580" t="s">
        <v>2164</v>
      </c>
      <c r="P2580" t="s">
        <v>3073</v>
      </c>
      <c r="Q2580">
        <v>109.2</v>
      </c>
      <c r="R2580" s="1" t="s">
        <v>1839</v>
      </c>
      <c r="S2580">
        <v>1582</v>
      </c>
      <c r="T2580">
        <v>172754</v>
      </c>
    </row>
    <row r="2581" spans="1:20" hidden="1" x14ac:dyDescent="0.4">
      <c r="A2581" s="1" t="s">
        <v>925</v>
      </c>
      <c r="B2581" s="1" t="s">
        <v>1461</v>
      </c>
      <c r="C2581" s="1" t="s">
        <v>1844</v>
      </c>
      <c r="D2581" s="1" t="s">
        <v>1467</v>
      </c>
      <c r="E2581">
        <v>20251208</v>
      </c>
      <c r="F2581" s="1" t="s">
        <v>1473</v>
      </c>
      <c r="G2581">
        <v>4</v>
      </c>
      <c r="H2581" s="1" t="s">
        <v>1519</v>
      </c>
      <c r="I2581" t="s">
        <v>1899</v>
      </c>
      <c r="J2581" s="1" t="s">
        <v>1453</v>
      </c>
      <c r="K2581" s="1" t="s">
        <v>1589</v>
      </c>
      <c r="L2581" s="1" t="s">
        <v>1718</v>
      </c>
      <c r="M2581" s="1" t="s">
        <v>1758</v>
      </c>
      <c r="N2581" t="s">
        <v>1964</v>
      </c>
      <c r="O2581" t="s">
        <v>2164</v>
      </c>
      <c r="P2581" t="s">
        <v>3073</v>
      </c>
      <c r="Q2581">
        <v>109.2</v>
      </c>
      <c r="R2581" s="1" t="s">
        <v>1839</v>
      </c>
      <c r="S2581">
        <v>1582</v>
      </c>
      <c r="T2581">
        <v>172754</v>
      </c>
    </row>
    <row r="2582" spans="1:20" hidden="1" x14ac:dyDescent="0.4">
      <c r="A2582" s="1" t="s">
        <v>925</v>
      </c>
      <c r="B2582" s="1" t="s">
        <v>1462</v>
      </c>
      <c r="C2582" s="1" t="s">
        <v>1844</v>
      </c>
      <c r="D2582" s="1" t="s">
        <v>1467</v>
      </c>
      <c r="E2582">
        <v>20251208</v>
      </c>
      <c r="F2582" s="1" t="s">
        <v>1473</v>
      </c>
      <c r="G2582">
        <v>4</v>
      </c>
      <c r="H2582" s="1" t="s">
        <v>1519</v>
      </c>
      <c r="I2582" t="s">
        <v>1899</v>
      </c>
      <c r="J2582" s="1" t="s">
        <v>1453</v>
      </c>
      <c r="K2582" s="1" t="s">
        <v>1589</v>
      </c>
      <c r="L2582" s="1" t="s">
        <v>1718</v>
      </c>
      <c r="M2582" s="1" t="s">
        <v>1758</v>
      </c>
      <c r="N2582" t="s">
        <v>1964</v>
      </c>
      <c r="O2582" t="s">
        <v>2164</v>
      </c>
      <c r="P2582" t="s">
        <v>3073</v>
      </c>
      <c r="Q2582">
        <v>107.01</v>
      </c>
      <c r="R2582" s="1" t="s">
        <v>1839</v>
      </c>
      <c r="S2582">
        <v>1582</v>
      </c>
      <c r="T2582">
        <v>169289</v>
      </c>
    </row>
    <row r="2583" spans="1:20" hidden="1" x14ac:dyDescent="0.4">
      <c r="A2583" s="1" t="s">
        <v>926</v>
      </c>
      <c r="B2583" s="1" t="s">
        <v>1453</v>
      </c>
      <c r="C2583" s="1" t="s">
        <v>1844</v>
      </c>
      <c r="D2583" s="1" t="s">
        <v>1462</v>
      </c>
      <c r="E2583">
        <v>20251201</v>
      </c>
      <c r="F2583" s="1" t="s">
        <v>1474</v>
      </c>
      <c r="G2583">
        <v>4</v>
      </c>
      <c r="H2583" s="1" t="s">
        <v>1530</v>
      </c>
      <c r="I2583" t="s">
        <v>1910</v>
      </c>
      <c r="J2583" s="1" t="s">
        <v>1455</v>
      </c>
      <c r="K2583" s="1" t="s">
        <v>1657</v>
      </c>
      <c r="L2583" s="1" t="s">
        <v>1720</v>
      </c>
      <c r="M2583" s="1" t="s">
        <v>1737</v>
      </c>
      <c r="N2583" t="s">
        <v>2042</v>
      </c>
      <c r="O2583" t="s">
        <v>2166</v>
      </c>
      <c r="P2583" t="s">
        <v>2157</v>
      </c>
      <c r="Q2583">
        <v>1177.3900000000001</v>
      </c>
      <c r="R2583" s="1" t="s">
        <v>1839</v>
      </c>
      <c r="S2583">
        <v>1532.36</v>
      </c>
      <c r="T2583">
        <v>1804185</v>
      </c>
    </row>
    <row r="2584" spans="1:20" hidden="1" x14ac:dyDescent="0.4">
      <c r="A2584" s="1" t="s">
        <v>926</v>
      </c>
      <c r="B2584" s="1" t="s">
        <v>1454</v>
      </c>
      <c r="C2584" s="1" t="s">
        <v>1844</v>
      </c>
      <c r="D2584" s="1" t="s">
        <v>1462</v>
      </c>
      <c r="E2584">
        <v>20251201</v>
      </c>
      <c r="F2584" s="1" t="s">
        <v>1474</v>
      </c>
      <c r="G2584">
        <v>4</v>
      </c>
      <c r="H2584" s="1" t="s">
        <v>1530</v>
      </c>
      <c r="I2584" t="s">
        <v>1910</v>
      </c>
      <c r="J2584" s="1" t="s">
        <v>1455</v>
      </c>
      <c r="K2584" s="1" t="s">
        <v>1657</v>
      </c>
      <c r="L2584" s="1" t="s">
        <v>1720</v>
      </c>
      <c r="M2584" s="1" t="s">
        <v>1737</v>
      </c>
      <c r="N2584" t="s">
        <v>2043</v>
      </c>
      <c r="O2584" t="s">
        <v>2166</v>
      </c>
      <c r="P2584" t="s">
        <v>2157</v>
      </c>
      <c r="Q2584">
        <v>2023.58</v>
      </c>
      <c r="R2584" s="1" t="s">
        <v>1839</v>
      </c>
      <c r="S2584">
        <v>1532.36</v>
      </c>
      <c r="T2584">
        <v>3100853</v>
      </c>
    </row>
    <row r="2585" spans="1:20" hidden="1" x14ac:dyDescent="0.4">
      <c r="A2585" s="1" t="s">
        <v>926</v>
      </c>
      <c r="B2585" s="1" t="s">
        <v>1455</v>
      </c>
      <c r="C2585" s="1" t="s">
        <v>1844</v>
      </c>
      <c r="D2585" s="1" t="s">
        <v>1462</v>
      </c>
      <c r="E2585">
        <v>20251201</v>
      </c>
      <c r="F2585" s="1" t="s">
        <v>1474</v>
      </c>
      <c r="G2585">
        <v>4</v>
      </c>
      <c r="H2585" s="1" t="s">
        <v>1530</v>
      </c>
      <c r="I2585" t="s">
        <v>1910</v>
      </c>
      <c r="J2585" s="1" t="s">
        <v>1455</v>
      </c>
      <c r="K2585" s="1" t="s">
        <v>1658</v>
      </c>
      <c r="L2585" s="1" t="s">
        <v>1720</v>
      </c>
      <c r="M2585" s="1" t="s">
        <v>1762</v>
      </c>
      <c r="N2585" t="s">
        <v>2044</v>
      </c>
      <c r="O2585" t="s">
        <v>2166</v>
      </c>
      <c r="P2585" t="s">
        <v>3172</v>
      </c>
      <c r="Q2585">
        <v>658.48</v>
      </c>
      <c r="R2585" s="1" t="s">
        <v>1839</v>
      </c>
      <c r="S2585">
        <v>905.41</v>
      </c>
      <c r="T2585">
        <v>596194</v>
      </c>
    </row>
    <row r="2586" spans="1:20" hidden="1" x14ac:dyDescent="0.4">
      <c r="A2586" s="1" t="s">
        <v>927</v>
      </c>
      <c r="B2586" s="1" t="s">
        <v>1453</v>
      </c>
      <c r="C2586" s="1" t="s">
        <v>1844</v>
      </c>
      <c r="D2586" s="1" t="s">
        <v>1850</v>
      </c>
      <c r="E2586">
        <v>20251201</v>
      </c>
      <c r="F2586" s="1" t="s">
        <v>1474</v>
      </c>
      <c r="G2586">
        <v>4</v>
      </c>
      <c r="H2586" s="1" t="s">
        <v>1530</v>
      </c>
      <c r="I2586" t="s">
        <v>1910</v>
      </c>
      <c r="J2586" s="1" t="s">
        <v>1455</v>
      </c>
      <c r="K2586" s="1" t="s">
        <v>1657</v>
      </c>
      <c r="L2586" s="1" t="s">
        <v>1720</v>
      </c>
      <c r="M2586" s="1" t="s">
        <v>1737</v>
      </c>
      <c r="N2586" t="s">
        <v>2042</v>
      </c>
      <c r="O2586" t="s">
        <v>2166</v>
      </c>
      <c r="P2586" t="s">
        <v>2157</v>
      </c>
      <c r="Q2586">
        <v>-1177.3900000000001</v>
      </c>
      <c r="R2586" s="1" t="s">
        <v>1839</v>
      </c>
      <c r="S2586">
        <v>1532.36</v>
      </c>
      <c r="T2586">
        <v>-1804185</v>
      </c>
    </row>
    <row r="2587" spans="1:20" hidden="1" x14ac:dyDescent="0.4">
      <c r="A2587" s="1" t="s">
        <v>927</v>
      </c>
      <c r="B2587" s="1" t="s">
        <v>1454</v>
      </c>
      <c r="C2587" s="1" t="s">
        <v>1844</v>
      </c>
      <c r="D2587" s="1" t="s">
        <v>1850</v>
      </c>
      <c r="E2587">
        <v>20251201</v>
      </c>
      <c r="F2587" s="1" t="s">
        <v>1474</v>
      </c>
      <c r="G2587">
        <v>4</v>
      </c>
      <c r="H2587" s="1" t="s">
        <v>1530</v>
      </c>
      <c r="I2587" t="s">
        <v>1910</v>
      </c>
      <c r="J2587" s="1" t="s">
        <v>1455</v>
      </c>
      <c r="K2587" s="1" t="s">
        <v>1657</v>
      </c>
      <c r="L2587" s="1" t="s">
        <v>1720</v>
      </c>
      <c r="M2587" s="1" t="s">
        <v>1737</v>
      </c>
      <c r="N2587" t="s">
        <v>2043</v>
      </c>
      <c r="O2587" t="s">
        <v>2166</v>
      </c>
      <c r="P2587" t="s">
        <v>2157</v>
      </c>
      <c r="Q2587">
        <v>-2023.58</v>
      </c>
      <c r="R2587" s="1" t="s">
        <v>1839</v>
      </c>
      <c r="S2587">
        <v>1532.36</v>
      </c>
      <c r="T2587">
        <v>-3100853</v>
      </c>
    </row>
    <row r="2588" spans="1:20" hidden="1" x14ac:dyDescent="0.4">
      <c r="A2588" s="1" t="s">
        <v>927</v>
      </c>
      <c r="B2588" s="1" t="s">
        <v>1455</v>
      </c>
      <c r="C2588" s="1" t="s">
        <v>1844</v>
      </c>
      <c r="D2588" s="1" t="s">
        <v>1850</v>
      </c>
      <c r="E2588">
        <v>20251201</v>
      </c>
      <c r="F2588" s="1" t="s">
        <v>1474</v>
      </c>
      <c r="G2588">
        <v>4</v>
      </c>
      <c r="H2588" s="1" t="s">
        <v>1530</v>
      </c>
      <c r="I2588" t="s">
        <v>1910</v>
      </c>
      <c r="J2588" s="1" t="s">
        <v>1455</v>
      </c>
      <c r="K2588" s="1" t="s">
        <v>1658</v>
      </c>
      <c r="L2588" s="1" t="s">
        <v>1720</v>
      </c>
      <c r="M2588" s="1" t="s">
        <v>1762</v>
      </c>
      <c r="N2588" t="s">
        <v>2044</v>
      </c>
      <c r="O2588" t="s">
        <v>2166</v>
      </c>
      <c r="P2588" t="s">
        <v>3172</v>
      </c>
      <c r="Q2588">
        <v>-658.48</v>
      </c>
      <c r="R2588" s="1" t="s">
        <v>1839</v>
      </c>
      <c r="S2588">
        <v>905.41</v>
      </c>
      <c r="T2588">
        <v>-596194</v>
      </c>
    </row>
    <row r="2589" spans="1:20" hidden="1" x14ac:dyDescent="0.4">
      <c r="A2589" s="1" t="s">
        <v>928</v>
      </c>
      <c r="B2589" s="1" t="s">
        <v>1453</v>
      </c>
      <c r="C2589" s="1" t="s">
        <v>1844</v>
      </c>
      <c r="D2589" s="1" t="s">
        <v>1462</v>
      </c>
      <c r="E2589">
        <v>20251201</v>
      </c>
      <c r="F2589" s="1" t="s">
        <v>1474</v>
      </c>
      <c r="G2589">
        <v>4</v>
      </c>
      <c r="H2589" s="1" t="s">
        <v>1530</v>
      </c>
      <c r="I2589" t="s">
        <v>1910</v>
      </c>
      <c r="J2589" s="1" t="s">
        <v>1455</v>
      </c>
      <c r="K2589" s="1" t="s">
        <v>1657</v>
      </c>
      <c r="L2589" s="1" t="s">
        <v>1720</v>
      </c>
      <c r="M2589" s="1" t="s">
        <v>1737</v>
      </c>
      <c r="N2589" t="s">
        <v>2042</v>
      </c>
      <c r="O2589" t="s">
        <v>2166</v>
      </c>
      <c r="P2589" t="s">
        <v>2157</v>
      </c>
      <c r="Q2589">
        <v>1177.3900000000001</v>
      </c>
      <c r="R2589" s="1" t="s">
        <v>1839</v>
      </c>
      <c r="S2589">
        <v>1748.87</v>
      </c>
      <c r="T2589">
        <v>2059102</v>
      </c>
    </row>
    <row r="2590" spans="1:20" hidden="1" x14ac:dyDescent="0.4">
      <c r="A2590" s="1" t="s">
        <v>928</v>
      </c>
      <c r="B2590" s="1" t="s">
        <v>1454</v>
      </c>
      <c r="C2590" s="1" t="s">
        <v>1844</v>
      </c>
      <c r="D2590" s="1" t="s">
        <v>1462</v>
      </c>
      <c r="E2590">
        <v>20251201</v>
      </c>
      <c r="F2590" s="1" t="s">
        <v>1474</v>
      </c>
      <c r="G2590">
        <v>4</v>
      </c>
      <c r="H2590" s="1" t="s">
        <v>1530</v>
      </c>
      <c r="I2590" t="s">
        <v>1910</v>
      </c>
      <c r="J2590" s="1" t="s">
        <v>1455</v>
      </c>
      <c r="K2590" s="1" t="s">
        <v>1657</v>
      </c>
      <c r="L2590" s="1" t="s">
        <v>1720</v>
      </c>
      <c r="M2590" s="1" t="s">
        <v>1737</v>
      </c>
      <c r="N2590" t="s">
        <v>2043</v>
      </c>
      <c r="O2590" t="s">
        <v>2166</v>
      </c>
      <c r="P2590" t="s">
        <v>2157</v>
      </c>
      <c r="Q2590">
        <v>2023.58</v>
      </c>
      <c r="R2590" s="1" t="s">
        <v>1839</v>
      </c>
      <c r="S2590">
        <v>1879.79</v>
      </c>
      <c r="T2590">
        <v>3803905</v>
      </c>
    </row>
    <row r="2591" spans="1:20" hidden="1" x14ac:dyDescent="0.4">
      <c r="A2591" s="1" t="s">
        <v>928</v>
      </c>
      <c r="B2591" s="1" t="s">
        <v>1455</v>
      </c>
      <c r="C2591" s="1" t="s">
        <v>1844</v>
      </c>
      <c r="D2591" s="1" t="s">
        <v>1462</v>
      </c>
      <c r="E2591">
        <v>20251201</v>
      </c>
      <c r="F2591" s="1" t="s">
        <v>1474</v>
      </c>
      <c r="G2591">
        <v>4</v>
      </c>
      <c r="H2591" s="1" t="s">
        <v>1530</v>
      </c>
      <c r="I2591" t="s">
        <v>1910</v>
      </c>
      <c r="J2591" s="1" t="s">
        <v>1455</v>
      </c>
      <c r="K2591" s="1" t="s">
        <v>1658</v>
      </c>
      <c r="L2591" s="1" t="s">
        <v>1720</v>
      </c>
      <c r="M2591" s="1" t="s">
        <v>1762</v>
      </c>
      <c r="N2591" t="s">
        <v>2044</v>
      </c>
      <c r="O2591" t="s">
        <v>2166</v>
      </c>
      <c r="P2591" t="s">
        <v>3172</v>
      </c>
      <c r="Q2591">
        <v>658.48</v>
      </c>
      <c r="R2591" s="1" t="s">
        <v>1839</v>
      </c>
      <c r="S2591">
        <v>1142.52</v>
      </c>
      <c r="T2591">
        <v>752326</v>
      </c>
    </row>
    <row r="2592" spans="1:20" hidden="1" x14ac:dyDescent="0.4">
      <c r="A2592" s="1" t="s">
        <v>929</v>
      </c>
      <c r="B2592" s="1" t="s">
        <v>1453</v>
      </c>
      <c r="C2592" s="1" t="s">
        <v>1844</v>
      </c>
      <c r="D2592" s="1" t="s">
        <v>1462</v>
      </c>
      <c r="E2592">
        <v>20251209</v>
      </c>
      <c r="F2592" s="1" t="s">
        <v>1470</v>
      </c>
      <c r="G2592">
        <v>4</v>
      </c>
      <c r="H2592" s="1" t="s">
        <v>1503</v>
      </c>
      <c r="I2592" t="s">
        <v>1883</v>
      </c>
      <c r="J2592" s="1" t="s">
        <v>1456</v>
      </c>
      <c r="K2592" s="1" t="s">
        <v>1554</v>
      </c>
      <c r="L2592" s="1" t="s">
        <v>1729</v>
      </c>
      <c r="M2592" s="1" t="s">
        <v>1737</v>
      </c>
      <c r="N2592" t="s">
        <v>2130</v>
      </c>
      <c r="O2592" t="s">
        <v>2429</v>
      </c>
      <c r="P2592">
        <v>82137</v>
      </c>
      <c r="Q2592">
        <v>1</v>
      </c>
      <c r="R2592" s="1" t="s">
        <v>1718</v>
      </c>
      <c r="S2592">
        <v>7500</v>
      </c>
      <c r="T2592">
        <v>7500</v>
      </c>
    </row>
    <row r="2593" spans="1:20" hidden="1" x14ac:dyDescent="0.4">
      <c r="A2593" s="1" t="s">
        <v>930</v>
      </c>
      <c r="B2593" s="1" t="s">
        <v>1453</v>
      </c>
      <c r="C2593" s="1" t="s">
        <v>1844</v>
      </c>
      <c r="D2593" s="1" t="s">
        <v>1850</v>
      </c>
      <c r="E2593">
        <v>20251201</v>
      </c>
      <c r="F2593" s="1" t="s">
        <v>1474</v>
      </c>
      <c r="G2593">
        <v>4</v>
      </c>
      <c r="H2593" s="1" t="s">
        <v>1530</v>
      </c>
      <c r="I2593" t="s">
        <v>1910</v>
      </c>
      <c r="J2593" s="1" t="s">
        <v>1455</v>
      </c>
      <c r="K2593" s="1" t="s">
        <v>1657</v>
      </c>
      <c r="L2593" s="1" t="s">
        <v>1720</v>
      </c>
      <c r="M2593" s="1" t="s">
        <v>1737</v>
      </c>
      <c r="N2593" t="s">
        <v>2042</v>
      </c>
      <c r="O2593" t="s">
        <v>2166</v>
      </c>
      <c r="P2593" t="s">
        <v>2157</v>
      </c>
      <c r="Q2593">
        <v>-1177.3900000000001</v>
      </c>
      <c r="R2593" s="1" t="s">
        <v>1839</v>
      </c>
      <c r="S2593">
        <v>1748.87</v>
      </c>
      <c r="T2593">
        <v>-2059102</v>
      </c>
    </row>
    <row r="2594" spans="1:20" hidden="1" x14ac:dyDescent="0.4">
      <c r="A2594" s="1" t="s">
        <v>930</v>
      </c>
      <c r="B2594" s="1" t="s">
        <v>1454</v>
      </c>
      <c r="C2594" s="1" t="s">
        <v>1844</v>
      </c>
      <c r="D2594" s="1" t="s">
        <v>1850</v>
      </c>
      <c r="E2594">
        <v>20251201</v>
      </c>
      <c r="F2594" s="1" t="s">
        <v>1474</v>
      </c>
      <c r="G2594">
        <v>4</v>
      </c>
      <c r="H2594" s="1" t="s">
        <v>1530</v>
      </c>
      <c r="I2594" t="s">
        <v>1910</v>
      </c>
      <c r="J2594" s="1" t="s">
        <v>1455</v>
      </c>
      <c r="K2594" s="1" t="s">
        <v>1657</v>
      </c>
      <c r="L2594" s="1" t="s">
        <v>1720</v>
      </c>
      <c r="M2594" s="1" t="s">
        <v>1737</v>
      </c>
      <c r="N2594" t="s">
        <v>2043</v>
      </c>
      <c r="O2594" t="s">
        <v>2166</v>
      </c>
      <c r="P2594" t="s">
        <v>2157</v>
      </c>
      <c r="Q2594">
        <v>-2023.58</v>
      </c>
      <c r="R2594" s="1" t="s">
        <v>1839</v>
      </c>
      <c r="S2594">
        <v>1879.79</v>
      </c>
      <c r="T2594">
        <v>-3803905</v>
      </c>
    </row>
    <row r="2595" spans="1:20" hidden="1" x14ac:dyDescent="0.4">
      <c r="A2595" s="1" t="s">
        <v>930</v>
      </c>
      <c r="B2595" s="1" t="s">
        <v>1455</v>
      </c>
      <c r="C2595" s="1" t="s">
        <v>1844</v>
      </c>
      <c r="D2595" s="1" t="s">
        <v>1850</v>
      </c>
      <c r="E2595">
        <v>20251201</v>
      </c>
      <c r="F2595" s="1" t="s">
        <v>1474</v>
      </c>
      <c r="G2595">
        <v>4</v>
      </c>
      <c r="H2595" s="1" t="s">
        <v>1530</v>
      </c>
      <c r="I2595" t="s">
        <v>1910</v>
      </c>
      <c r="J2595" s="1" t="s">
        <v>1455</v>
      </c>
      <c r="K2595" s="1" t="s">
        <v>1658</v>
      </c>
      <c r="L2595" s="1" t="s">
        <v>1720</v>
      </c>
      <c r="M2595" s="1" t="s">
        <v>1762</v>
      </c>
      <c r="N2595" t="s">
        <v>2044</v>
      </c>
      <c r="O2595" t="s">
        <v>2166</v>
      </c>
      <c r="P2595" t="s">
        <v>3172</v>
      </c>
      <c r="Q2595">
        <v>-658.48</v>
      </c>
      <c r="R2595" s="1" t="s">
        <v>1839</v>
      </c>
      <c r="S2595">
        <v>1142.52</v>
      </c>
      <c r="T2595">
        <v>-752326</v>
      </c>
    </row>
    <row r="2596" spans="1:20" hidden="1" x14ac:dyDescent="0.4">
      <c r="A2596" s="1" t="s">
        <v>931</v>
      </c>
      <c r="B2596" s="1" t="s">
        <v>1453</v>
      </c>
      <c r="C2596" s="1" t="s">
        <v>1844</v>
      </c>
      <c r="D2596" s="1" t="s">
        <v>1462</v>
      </c>
      <c r="E2596">
        <v>20251201</v>
      </c>
      <c r="F2596" s="1" t="s">
        <v>1474</v>
      </c>
      <c r="G2596">
        <v>4</v>
      </c>
      <c r="H2596" s="1" t="s">
        <v>1530</v>
      </c>
      <c r="I2596" t="s">
        <v>1910</v>
      </c>
      <c r="J2596" s="1" t="s">
        <v>1455</v>
      </c>
      <c r="K2596" s="1" t="s">
        <v>1657</v>
      </c>
      <c r="L2596" s="1" t="s">
        <v>1720</v>
      </c>
      <c r="M2596" s="1" t="s">
        <v>1737</v>
      </c>
      <c r="N2596" t="s">
        <v>2042</v>
      </c>
      <c r="O2596" t="s">
        <v>2166</v>
      </c>
      <c r="P2596" t="s">
        <v>2157</v>
      </c>
      <c r="Q2596">
        <v>1177.3900000000001</v>
      </c>
      <c r="R2596" s="1" t="s">
        <v>1839</v>
      </c>
      <c r="S2596">
        <v>1535.32</v>
      </c>
      <c r="T2596">
        <v>1807670</v>
      </c>
    </row>
    <row r="2597" spans="1:20" hidden="1" x14ac:dyDescent="0.4">
      <c r="A2597" s="1" t="s">
        <v>931</v>
      </c>
      <c r="B2597" s="1" t="s">
        <v>1454</v>
      </c>
      <c r="C2597" s="1" t="s">
        <v>1844</v>
      </c>
      <c r="D2597" s="1" t="s">
        <v>1462</v>
      </c>
      <c r="E2597">
        <v>20251201</v>
      </c>
      <c r="F2597" s="1" t="s">
        <v>1474</v>
      </c>
      <c r="G2597">
        <v>4</v>
      </c>
      <c r="H2597" s="1" t="s">
        <v>1530</v>
      </c>
      <c r="I2597" t="s">
        <v>1910</v>
      </c>
      <c r="J2597" s="1" t="s">
        <v>1455</v>
      </c>
      <c r="K2597" s="1" t="s">
        <v>1657</v>
      </c>
      <c r="L2597" s="1" t="s">
        <v>1720</v>
      </c>
      <c r="M2597" s="1" t="s">
        <v>1737</v>
      </c>
      <c r="N2597" t="s">
        <v>2043</v>
      </c>
      <c r="O2597" t="s">
        <v>2166</v>
      </c>
      <c r="P2597" t="s">
        <v>2157</v>
      </c>
      <c r="Q2597">
        <v>2023.58</v>
      </c>
      <c r="R2597" s="1" t="s">
        <v>1839</v>
      </c>
      <c r="S2597">
        <v>1535.32</v>
      </c>
      <c r="T2597">
        <v>3106842</v>
      </c>
    </row>
    <row r="2598" spans="1:20" hidden="1" x14ac:dyDescent="0.4">
      <c r="A2598" s="1" t="s">
        <v>931</v>
      </c>
      <c r="B2598" s="1" t="s">
        <v>1455</v>
      </c>
      <c r="C2598" s="1" t="s">
        <v>1844</v>
      </c>
      <c r="D2598" s="1" t="s">
        <v>1462</v>
      </c>
      <c r="E2598">
        <v>20251201</v>
      </c>
      <c r="F2598" s="1" t="s">
        <v>1474</v>
      </c>
      <c r="G2598">
        <v>4</v>
      </c>
      <c r="H2598" s="1" t="s">
        <v>1530</v>
      </c>
      <c r="I2598" t="s">
        <v>1910</v>
      </c>
      <c r="J2598" s="1" t="s">
        <v>1455</v>
      </c>
      <c r="K2598" s="1" t="s">
        <v>1658</v>
      </c>
      <c r="L2598" s="1" t="s">
        <v>1720</v>
      </c>
      <c r="M2598" s="1" t="s">
        <v>1762</v>
      </c>
      <c r="N2598" t="s">
        <v>2044</v>
      </c>
      <c r="O2598" t="s">
        <v>2166</v>
      </c>
      <c r="P2598" t="s">
        <v>3172</v>
      </c>
      <c r="Q2598">
        <v>658.48</v>
      </c>
      <c r="R2598" s="1" t="s">
        <v>1839</v>
      </c>
      <c r="S2598">
        <v>907.16</v>
      </c>
      <c r="T2598">
        <v>597346</v>
      </c>
    </row>
    <row r="2599" spans="1:20" hidden="1" x14ac:dyDescent="0.4">
      <c r="A2599" s="1" t="s">
        <v>932</v>
      </c>
      <c r="B2599" s="1" t="s">
        <v>1453</v>
      </c>
      <c r="C2599" s="1" t="s">
        <v>1844</v>
      </c>
      <c r="D2599" s="1" t="s">
        <v>1462</v>
      </c>
      <c r="E2599">
        <v>20251210</v>
      </c>
      <c r="F2599" s="1" t="s">
        <v>1470</v>
      </c>
      <c r="G2599">
        <v>4</v>
      </c>
      <c r="H2599" s="1" t="s">
        <v>1511</v>
      </c>
      <c r="I2599" t="s">
        <v>1891</v>
      </c>
      <c r="J2599" s="1" t="s">
        <v>1456</v>
      </c>
      <c r="K2599" s="1" t="s">
        <v>1562</v>
      </c>
      <c r="L2599" s="1" t="s">
        <v>1729</v>
      </c>
      <c r="M2599" s="1" t="s">
        <v>1735</v>
      </c>
      <c r="N2599" t="s">
        <v>2107</v>
      </c>
      <c r="O2599" t="s">
        <v>2430</v>
      </c>
      <c r="P2599" t="s">
        <v>2222</v>
      </c>
      <c r="Q2599">
        <v>2</v>
      </c>
      <c r="R2599" s="1" t="s">
        <v>1718</v>
      </c>
      <c r="S2599">
        <v>25952</v>
      </c>
      <c r="T2599">
        <v>51904</v>
      </c>
    </row>
    <row r="2600" spans="1:20" hidden="1" x14ac:dyDescent="0.4">
      <c r="A2600" s="1" t="s">
        <v>932</v>
      </c>
      <c r="B2600" s="1" t="s">
        <v>1454</v>
      </c>
      <c r="C2600" s="1" t="s">
        <v>1844</v>
      </c>
      <c r="D2600" s="1" t="s">
        <v>1462</v>
      </c>
      <c r="E2600">
        <v>20251210</v>
      </c>
      <c r="F2600" s="1" t="s">
        <v>1470</v>
      </c>
      <c r="G2600">
        <v>4</v>
      </c>
      <c r="H2600" s="1" t="s">
        <v>1511</v>
      </c>
      <c r="I2600" t="s">
        <v>1891</v>
      </c>
      <c r="J2600" s="1" t="s">
        <v>1456</v>
      </c>
      <c r="K2600" s="1" t="s">
        <v>1562</v>
      </c>
      <c r="L2600" s="1" t="s">
        <v>1729</v>
      </c>
      <c r="M2600" s="1" t="s">
        <v>1735</v>
      </c>
      <c r="N2600" t="s">
        <v>2107</v>
      </c>
      <c r="O2600" t="s">
        <v>2430</v>
      </c>
      <c r="P2600" t="s">
        <v>2222</v>
      </c>
      <c r="Q2600">
        <v>8</v>
      </c>
      <c r="R2600" s="1" t="s">
        <v>1718</v>
      </c>
      <c r="S2600">
        <v>22346</v>
      </c>
      <c r="T2600">
        <v>178768</v>
      </c>
    </row>
    <row r="2601" spans="1:20" hidden="1" x14ac:dyDescent="0.4">
      <c r="A2601" s="1" t="s">
        <v>933</v>
      </c>
      <c r="B2601" s="1" t="s">
        <v>1453</v>
      </c>
      <c r="C2601" s="1" t="s">
        <v>1844</v>
      </c>
      <c r="D2601" s="1" t="s">
        <v>1462</v>
      </c>
      <c r="E2601">
        <v>20251210</v>
      </c>
      <c r="F2601" s="1" t="s">
        <v>1470</v>
      </c>
      <c r="G2601">
        <v>4</v>
      </c>
      <c r="H2601" s="1" t="s">
        <v>1511</v>
      </c>
      <c r="I2601" t="s">
        <v>1891</v>
      </c>
      <c r="J2601" s="1" t="s">
        <v>1456</v>
      </c>
      <c r="K2601" s="1" t="s">
        <v>1555</v>
      </c>
      <c r="L2601" s="1" t="s">
        <v>1729</v>
      </c>
      <c r="M2601" s="1" t="s">
        <v>1736</v>
      </c>
      <c r="N2601" t="s">
        <v>2088</v>
      </c>
      <c r="O2601" t="s">
        <v>2431</v>
      </c>
      <c r="P2601" t="s">
        <v>3415</v>
      </c>
      <c r="Q2601">
        <v>1</v>
      </c>
      <c r="R2601" s="1" t="s">
        <v>1718</v>
      </c>
      <c r="S2601">
        <v>13421</v>
      </c>
      <c r="T2601">
        <v>13421</v>
      </c>
    </row>
    <row r="2602" spans="1:20" hidden="1" x14ac:dyDescent="0.4">
      <c r="A2602" s="1" t="s">
        <v>933</v>
      </c>
      <c r="B2602" s="1" t="s">
        <v>1454</v>
      </c>
      <c r="C2602" s="1" t="s">
        <v>1844</v>
      </c>
      <c r="D2602" s="1" t="s">
        <v>1462</v>
      </c>
      <c r="E2602">
        <v>20251210</v>
      </c>
      <c r="F2602" s="1" t="s">
        <v>1470</v>
      </c>
      <c r="G2602">
        <v>4</v>
      </c>
      <c r="H2602" s="1" t="s">
        <v>1511</v>
      </c>
      <c r="I2602" t="s">
        <v>1891</v>
      </c>
      <c r="J2602" s="1" t="s">
        <v>1456</v>
      </c>
      <c r="K2602" s="1" t="s">
        <v>1555</v>
      </c>
      <c r="L2602" s="1" t="s">
        <v>1729</v>
      </c>
      <c r="M2602" s="1" t="s">
        <v>1736</v>
      </c>
      <c r="N2602" t="s">
        <v>2088</v>
      </c>
      <c r="O2602" t="s">
        <v>2431</v>
      </c>
      <c r="P2602" t="s">
        <v>3263</v>
      </c>
      <c r="Q2602">
        <v>1</v>
      </c>
      <c r="R2602" s="1" t="s">
        <v>1718</v>
      </c>
      <c r="S2602">
        <v>13421</v>
      </c>
      <c r="T2602">
        <v>13421</v>
      </c>
    </row>
    <row r="2603" spans="1:20" hidden="1" x14ac:dyDescent="0.4">
      <c r="A2603" s="1" t="s">
        <v>933</v>
      </c>
      <c r="B2603" s="1" t="s">
        <v>1455</v>
      </c>
      <c r="C2603" s="1" t="s">
        <v>1844</v>
      </c>
      <c r="D2603" s="1" t="s">
        <v>1462</v>
      </c>
      <c r="E2603">
        <v>20251210</v>
      </c>
      <c r="F2603" s="1" t="s">
        <v>1470</v>
      </c>
      <c r="G2603">
        <v>4</v>
      </c>
      <c r="H2603" s="1" t="s">
        <v>1511</v>
      </c>
      <c r="I2603" t="s">
        <v>1891</v>
      </c>
      <c r="J2603" s="1" t="s">
        <v>1456</v>
      </c>
      <c r="K2603" s="1" t="s">
        <v>1555</v>
      </c>
      <c r="L2603" s="1" t="s">
        <v>1729</v>
      </c>
      <c r="M2603" s="1" t="s">
        <v>1736</v>
      </c>
      <c r="N2603" t="s">
        <v>2088</v>
      </c>
      <c r="O2603" t="s">
        <v>2431</v>
      </c>
      <c r="P2603" t="s">
        <v>3415</v>
      </c>
      <c r="Q2603">
        <v>1</v>
      </c>
      <c r="R2603" s="1" t="s">
        <v>1718</v>
      </c>
      <c r="S2603">
        <v>17962</v>
      </c>
      <c r="T2603">
        <v>17962</v>
      </c>
    </row>
    <row r="2604" spans="1:20" hidden="1" x14ac:dyDescent="0.4">
      <c r="A2604" s="1" t="s">
        <v>933</v>
      </c>
      <c r="B2604" s="1" t="s">
        <v>1456</v>
      </c>
      <c r="C2604" s="1" t="s">
        <v>1844</v>
      </c>
      <c r="D2604" s="1" t="s">
        <v>1462</v>
      </c>
      <c r="E2604">
        <v>20251210</v>
      </c>
      <c r="F2604" s="1" t="s">
        <v>1470</v>
      </c>
      <c r="G2604">
        <v>4</v>
      </c>
      <c r="H2604" s="1" t="s">
        <v>1511</v>
      </c>
      <c r="I2604" t="s">
        <v>1891</v>
      </c>
      <c r="J2604" s="1" t="s">
        <v>1456</v>
      </c>
      <c r="K2604" s="1" t="s">
        <v>1555</v>
      </c>
      <c r="L2604" s="1" t="s">
        <v>1729</v>
      </c>
      <c r="M2604" s="1" t="s">
        <v>1736</v>
      </c>
      <c r="N2604" t="s">
        <v>2088</v>
      </c>
      <c r="O2604" t="s">
        <v>2431</v>
      </c>
      <c r="P2604" t="s">
        <v>3263</v>
      </c>
      <c r="Q2604">
        <v>1</v>
      </c>
      <c r="R2604" s="1" t="s">
        <v>1718</v>
      </c>
      <c r="S2604">
        <v>17962</v>
      </c>
      <c r="T2604">
        <v>17962</v>
      </c>
    </row>
    <row r="2605" spans="1:20" hidden="1" x14ac:dyDescent="0.4">
      <c r="A2605" s="1" t="s">
        <v>934</v>
      </c>
      <c r="B2605" s="1" t="s">
        <v>1453</v>
      </c>
      <c r="C2605" s="1" t="s">
        <v>1844</v>
      </c>
      <c r="D2605" s="1" t="s">
        <v>1462</v>
      </c>
      <c r="E2605">
        <v>20251210</v>
      </c>
      <c r="F2605" s="1" t="s">
        <v>1470</v>
      </c>
      <c r="G2605">
        <v>4</v>
      </c>
      <c r="H2605" s="1" t="s">
        <v>1511</v>
      </c>
      <c r="I2605" t="s">
        <v>1891</v>
      </c>
      <c r="J2605" s="1" t="s">
        <v>1456</v>
      </c>
      <c r="K2605" s="1" t="s">
        <v>1562</v>
      </c>
      <c r="L2605" s="1" t="s">
        <v>1729</v>
      </c>
      <c r="M2605" s="1" t="s">
        <v>1735</v>
      </c>
      <c r="N2605" t="s">
        <v>2107</v>
      </c>
      <c r="O2605" t="s">
        <v>2432</v>
      </c>
      <c r="P2605" t="s">
        <v>2222</v>
      </c>
      <c r="Q2605">
        <v>4</v>
      </c>
      <c r="R2605" s="1" t="s">
        <v>1718</v>
      </c>
      <c r="S2605">
        <v>12390</v>
      </c>
      <c r="T2605">
        <v>49560</v>
      </c>
    </row>
    <row r="2606" spans="1:20" hidden="1" x14ac:dyDescent="0.4">
      <c r="A2606" s="1" t="s">
        <v>934</v>
      </c>
      <c r="B2606" s="1" t="s">
        <v>1454</v>
      </c>
      <c r="C2606" s="1" t="s">
        <v>1844</v>
      </c>
      <c r="D2606" s="1" t="s">
        <v>1462</v>
      </c>
      <c r="E2606">
        <v>20251210</v>
      </c>
      <c r="F2606" s="1" t="s">
        <v>1470</v>
      </c>
      <c r="G2606">
        <v>4</v>
      </c>
      <c r="H2606" s="1" t="s">
        <v>1511</v>
      </c>
      <c r="I2606" t="s">
        <v>1891</v>
      </c>
      <c r="J2606" s="1" t="s">
        <v>1456</v>
      </c>
      <c r="K2606" s="1" t="s">
        <v>1562</v>
      </c>
      <c r="L2606" s="1" t="s">
        <v>1729</v>
      </c>
      <c r="M2606" s="1" t="s">
        <v>1735</v>
      </c>
      <c r="N2606" t="s">
        <v>2107</v>
      </c>
      <c r="O2606" t="s">
        <v>2432</v>
      </c>
      <c r="P2606" t="s">
        <v>2222</v>
      </c>
      <c r="Q2606">
        <v>2</v>
      </c>
      <c r="R2606" s="1" t="s">
        <v>1718</v>
      </c>
      <c r="S2606">
        <v>9746</v>
      </c>
      <c r="T2606">
        <v>19492</v>
      </c>
    </row>
    <row r="2607" spans="1:20" hidden="1" x14ac:dyDescent="0.4">
      <c r="A2607" s="1" t="s">
        <v>935</v>
      </c>
      <c r="B2607" s="1" t="s">
        <v>1453</v>
      </c>
      <c r="C2607" s="1" t="s">
        <v>1844</v>
      </c>
      <c r="D2607" s="1" t="s">
        <v>1462</v>
      </c>
      <c r="E2607">
        <v>20251210</v>
      </c>
      <c r="F2607" s="1" t="s">
        <v>1470</v>
      </c>
      <c r="G2607">
        <v>4</v>
      </c>
      <c r="H2607" s="1" t="s">
        <v>1511</v>
      </c>
      <c r="I2607" t="s">
        <v>1891</v>
      </c>
      <c r="J2607" s="1" t="s">
        <v>1456</v>
      </c>
      <c r="K2607" s="1" t="s">
        <v>1555</v>
      </c>
      <c r="L2607" s="1" t="s">
        <v>1729</v>
      </c>
      <c r="M2607" s="1" t="s">
        <v>1736</v>
      </c>
      <c r="N2607" t="s">
        <v>2088</v>
      </c>
      <c r="O2607" t="s">
        <v>2433</v>
      </c>
      <c r="P2607" t="s">
        <v>3303</v>
      </c>
      <c r="Q2607">
        <v>2</v>
      </c>
      <c r="R2607" s="1" t="s">
        <v>1718</v>
      </c>
      <c r="S2607">
        <v>13350</v>
      </c>
      <c r="T2607">
        <v>26700</v>
      </c>
    </row>
    <row r="2608" spans="1:20" hidden="1" x14ac:dyDescent="0.4">
      <c r="A2608" s="1" t="s">
        <v>936</v>
      </c>
      <c r="B2608" s="1" t="s">
        <v>1453</v>
      </c>
      <c r="C2608" s="1" t="s">
        <v>1844</v>
      </c>
      <c r="D2608" s="1" t="s">
        <v>1462</v>
      </c>
      <c r="E2608">
        <v>20251210</v>
      </c>
      <c r="F2608" s="1" t="s">
        <v>1470</v>
      </c>
      <c r="G2608">
        <v>4</v>
      </c>
      <c r="H2608" s="1" t="s">
        <v>1511</v>
      </c>
      <c r="I2608" t="s">
        <v>1891</v>
      </c>
      <c r="J2608" s="1" t="s">
        <v>1456</v>
      </c>
      <c r="K2608" s="1" t="s">
        <v>1555</v>
      </c>
      <c r="L2608" s="1" t="s">
        <v>1729</v>
      </c>
      <c r="M2608" s="1" t="s">
        <v>1736</v>
      </c>
      <c r="N2608" t="s">
        <v>2088</v>
      </c>
      <c r="O2608" t="s">
        <v>2434</v>
      </c>
      <c r="P2608" t="s">
        <v>3048</v>
      </c>
      <c r="Q2608">
        <v>2</v>
      </c>
      <c r="R2608" s="1" t="s">
        <v>1718</v>
      </c>
      <c r="S2608">
        <v>13150</v>
      </c>
      <c r="T2608">
        <v>26300</v>
      </c>
    </row>
    <row r="2609" spans="1:20" hidden="1" x14ac:dyDescent="0.4">
      <c r="A2609" s="1" t="s">
        <v>937</v>
      </c>
      <c r="B2609" s="1" t="s">
        <v>1453</v>
      </c>
      <c r="C2609" s="1" t="s">
        <v>1844</v>
      </c>
      <c r="D2609" s="1" t="s">
        <v>1462</v>
      </c>
      <c r="E2609">
        <v>20251210</v>
      </c>
      <c r="F2609" s="1" t="s">
        <v>1470</v>
      </c>
      <c r="G2609">
        <v>4</v>
      </c>
      <c r="H2609" s="1" t="s">
        <v>1511</v>
      </c>
      <c r="I2609" t="s">
        <v>1891</v>
      </c>
      <c r="J2609" s="1" t="s">
        <v>1456</v>
      </c>
      <c r="K2609" s="1" t="s">
        <v>1555</v>
      </c>
      <c r="L2609" s="1" t="s">
        <v>1729</v>
      </c>
      <c r="M2609" s="1" t="s">
        <v>1736</v>
      </c>
      <c r="N2609" t="s">
        <v>2088</v>
      </c>
      <c r="O2609" t="s">
        <v>2435</v>
      </c>
      <c r="P2609" t="s">
        <v>3303</v>
      </c>
      <c r="Q2609">
        <v>2</v>
      </c>
      <c r="R2609" s="1" t="s">
        <v>1718</v>
      </c>
      <c r="S2609">
        <v>7343</v>
      </c>
      <c r="T2609">
        <v>14686</v>
      </c>
    </row>
    <row r="2610" spans="1:20" hidden="1" x14ac:dyDescent="0.4">
      <c r="A2610" s="1" t="s">
        <v>937</v>
      </c>
      <c r="B2610" s="1" t="s">
        <v>1454</v>
      </c>
      <c r="C2610" s="1" t="s">
        <v>1844</v>
      </c>
      <c r="D2610" s="1" t="s">
        <v>1462</v>
      </c>
      <c r="E2610">
        <v>20251210</v>
      </c>
      <c r="F2610" s="1" t="s">
        <v>1470</v>
      </c>
      <c r="G2610">
        <v>4</v>
      </c>
      <c r="H2610" s="1" t="s">
        <v>1511</v>
      </c>
      <c r="I2610" t="s">
        <v>1891</v>
      </c>
      <c r="J2610" s="1" t="s">
        <v>1456</v>
      </c>
      <c r="K2610" s="1" t="s">
        <v>1555</v>
      </c>
      <c r="L2610" s="1" t="s">
        <v>1729</v>
      </c>
      <c r="M2610" s="1" t="s">
        <v>1736</v>
      </c>
      <c r="N2610" t="s">
        <v>2088</v>
      </c>
      <c r="O2610" t="s">
        <v>2435</v>
      </c>
      <c r="P2610" t="s">
        <v>3303</v>
      </c>
      <c r="Q2610">
        <v>2</v>
      </c>
      <c r="R2610" s="1" t="s">
        <v>1718</v>
      </c>
      <c r="S2610">
        <v>14756</v>
      </c>
      <c r="T2610">
        <v>29512</v>
      </c>
    </row>
    <row r="2611" spans="1:20" hidden="1" x14ac:dyDescent="0.4">
      <c r="A2611" s="1" t="s">
        <v>938</v>
      </c>
      <c r="B2611" s="1" t="s">
        <v>1453</v>
      </c>
      <c r="C2611" s="1" t="s">
        <v>1844</v>
      </c>
      <c r="D2611" s="1" t="s">
        <v>1462</v>
      </c>
      <c r="E2611">
        <v>20251210</v>
      </c>
      <c r="F2611" s="1" t="s">
        <v>1470</v>
      </c>
      <c r="G2611">
        <v>4</v>
      </c>
      <c r="H2611" s="1" t="s">
        <v>1503</v>
      </c>
      <c r="I2611" t="s">
        <v>1883</v>
      </c>
      <c r="J2611" s="1" t="s">
        <v>1456</v>
      </c>
      <c r="K2611" s="1" t="s">
        <v>1554</v>
      </c>
      <c r="L2611" s="1" t="s">
        <v>1729</v>
      </c>
      <c r="M2611" s="1" t="s">
        <v>1737</v>
      </c>
      <c r="N2611" t="s">
        <v>2112</v>
      </c>
      <c r="O2611" t="s">
        <v>2436</v>
      </c>
      <c r="P2611">
        <v>82238</v>
      </c>
      <c r="Q2611">
        <v>2</v>
      </c>
      <c r="R2611" s="1" t="s">
        <v>1718</v>
      </c>
      <c r="S2611">
        <v>22840</v>
      </c>
      <c r="T2611">
        <v>45680</v>
      </c>
    </row>
    <row r="2612" spans="1:20" hidden="1" x14ac:dyDescent="0.4">
      <c r="A2612" s="1" t="s">
        <v>939</v>
      </c>
      <c r="B2612" s="1" t="s">
        <v>1453</v>
      </c>
      <c r="C2612" s="1" t="s">
        <v>1844</v>
      </c>
      <c r="D2612" s="1" t="s">
        <v>1462</v>
      </c>
      <c r="E2612">
        <v>20251210</v>
      </c>
      <c r="F2612" s="1" t="s">
        <v>1470</v>
      </c>
      <c r="G2612">
        <v>4</v>
      </c>
      <c r="H2612" s="1" t="s">
        <v>1503</v>
      </c>
      <c r="I2612" t="s">
        <v>1883</v>
      </c>
      <c r="J2612" s="1" t="s">
        <v>1456</v>
      </c>
      <c r="K2612" s="1" t="s">
        <v>1553</v>
      </c>
      <c r="L2612" s="1" t="s">
        <v>1729</v>
      </c>
      <c r="M2612" s="1" t="s">
        <v>1736</v>
      </c>
      <c r="N2612" t="s">
        <v>2093</v>
      </c>
      <c r="O2612" t="s">
        <v>2437</v>
      </c>
      <c r="P2612" t="s">
        <v>3416</v>
      </c>
      <c r="Q2612">
        <v>1</v>
      </c>
      <c r="R2612" s="1" t="s">
        <v>1718</v>
      </c>
      <c r="S2612">
        <v>17210</v>
      </c>
      <c r="T2612">
        <v>17210</v>
      </c>
    </row>
    <row r="2613" spans="1:20" hidden="1" x14ac:dyDescent="0.4">
      <c r="A2613" s="1" t="s">
        <v>940</v>
      </c>
      <c r="B2613" s="1" t="s">
        <v>1453</v>
      </c>
      <c r="C2613" s="1" t="s">
        <v>1844</v>
      </c>
      <c r="D2613" s="1" t="s">
        <v>1462</v>
      </c>
      <c r="E2613">
        <v>20251210</v>
      </c>
      <c r="F2613" s="1" t="s">
        <v>1470</v>
      </c>
      <c r="G2613">
        <v>4</v>
      </c>
      <c r="H2613" s="1" t="s">
        <v>1503</v>
      </c>
      <c r="I2613" t="s">
        <v>1883</v>
      </c>
      <c r="J2613" s="1" t="s">
        <v>1456</v>
      </c>
      <c r="K2613" s="1" t="s">
        <v>1554</v>
      </c>
      <c r="L2613" s="1" t="s">
        <v>1729</v>
      </c>
      <c r="M2613" s="1" t="s">
        <v>1737</v>
      </c>
      <c r="N2613" t="s">
        <v>2092</v>
      </c>
      <c r="O2613" t="s">
        <v>2438</v>
      </c>
      <c r="P2613">
        <v>82226</v>
      </c>
      <c r="Q2613">
        <v>2</v>
      </c>
      <c r="R2613" s="1" t="s">
        <v>1718</v>
      </c>
      <c r="S2613">
        <v>15050</v>
      </c>
      <c r="T2613">
        <v>30100</v>
      </c>
    </row>
    <row r="2614" spans="1:20" hidden="1" x14ac:dyDescent="0.4">
      <c r="A2614" s="1" t="s">
        <v>940</v>
      </c>
      <c r="B2614" s="1" t="s">
        <v>1454</v>
      </c>
      <c r="C2614" s="1" t="s">
        <v>1844</v>
      </c>
      <c r="D2614" s="1" t="s">
        <v>1462</v>
      </c>
      <c r="E2614">
        <v>20251210</v>
      </c>
      <c r="F2614" s="1" t="s">
        <v>1470</v>
      </c>
      <c r="G2614">
        <v>4</v>
      </c>
      <c r="H2614" s="1" t="s">
        <v>1503</v>
      </c>
      <c r="I2614" t="s">
        <v>1883</v>
      </c>
      <c r="J2614" s="1" t="s">
        <v>1456</v>
      </c>
      <c r="K2614" s="1" t="s">
        <v>1554</v>
      </c>
      <c r="L2614" s="1" t="s">
        <v>1729</v>
      </c>
      <c r="M2614" s="1" t="s">
        <v>1737</v>
      </c>
      <c r="N2614" t="s">
        <v>2092</v>
      </c>
      <c r="O2614" t="s">
        <v>2439</v>
      </c>
      <c r="P2614">
        <v>82227</v>
      </c>
      <c r="Q2614">
        <v>2</v>
      </c>
      <c r="R2614" s="1" t="s">
        <v>1718</v>
      </c>
      <c r="S2614">
        <v>15050</v>
      </c>
      <c r="T2614">
        <v>30100</v>
      </c>
    </row>
    <row r="2615" spans="1:20" hidden="1" x14ac:dyDescent="0.4">
      <c r="A2615" s="1" t="s">
        <v>940</v>
      </c>
      <c r="B2615" s="1" t="s">
        <v>1455</v>
      </c>
      <c r="C2615" s="1" t="s">
        <v>1844</v>
      </c>
      <c r="D2615" s="1" t="s">
        <v>1462</v>
      </c>
      <c r="E2615">
        <v>20251210</v>
      </c>
      <c r="F2615" s="1" t="s">
        <v>1470</v>
      </c>
      <c r="G2615">
        <v>4</v>
      </c>
      <c r="H2615" s="1" t="s">
        <v>1503</v>
      </c>
      <c r="I2615" t="s">
        <v>1883</v>
      </c>
      <c r="J2615" s="1" t="s">
        <v>1456</v>
      </c>
      <c r="K2615" s="1" t="s">
        <v>1554</v>
      </c>
      <c r="L2615" s="1" t="s">
        <v>1729</v>
      </c>
      <c r="M2615" s="1" t="s">
        <v>1737</v>
      </c>
      <c r="N2615" t="s">
        <v>2092</v>
      </c>
      <c r="O2615" t="s">
        <v>2440</v>
      </c>
      <c r="P2615">
        <v>82228</v>
      </c>
      <c r="Q2615">
        <v>2</v>
      </c>
      <c r="R2615" s="1" t="s">
        <v>1718</v>
      </c>
      <c r="S2615">
        <v>15050</v>
      </c>
      <c r="T2615">
        <v>30100</v>
      </c>
    </row>
    <row r="2616" spans="1:20" hidden="1" x14ac:dyDescent="0.4">
      <c r="A2616" s="1" t="s">
        <v>941</v>
      </c>
      <c r="B2616" s="1" t="s">
        <v>1453</v>
      </c>
      <c r="C2616" s="1" t="s">
        <v>1844</v>
      </c>
      <c r="D2616" s="1" t="s">
        <v>1462</v>
      </c>
      <c r="E2616">
        <v>20251210</v>
      </c>
      <c r="F2616" s="1" t="s">
        <v>1470</v>
      </c>
      <c r="G2616">
        <v>4</v>
      </c>
      <c r="H2616" s="1" t="s">
        <v>1503</v>
      </c>
      <c r="I2616" t="s">
        <v>1883</v>
      </c>
      <c r="J2616" s="1" t="s">
        <v>1456</v>
      </c>
      <c r="K2616" s="1" t="s">
        <v>1554</v>
      </c>
      <c r="L2616" s="1" t="s">
        <v>1729</v>
      </c>
      <c r="M2616" s="1" t="s">
        <v>1737</v>
      </c>
      <c r="N2616" t="s">
        <v>2091</v>
      </c>
      <c r="O2616" t="s">
        <v>2441</v>
      </c>
      <c r="P2616">
        <v>82194</v>
      </c>
      <c r="Q2616">
        <v>2</v>
      </c>
      <c r="R2616" s="1" t="s">
        <v>1718</v>
      </c>
      <c r="S2616">
        <v>49110</v>
      </c>
      <c r="T2616">
        <v>98220</v>
      </c>
    </row>
    <row r="2617" spans="1:20" hidden="1" x14ac:dyDescent="0.4">
      <c r="A2617" s="1" t="s">
        <v>941</v>
      </c>
      <c r="B2617" s="1" t="s">
        <v>1454</v>
      </c>
      <c r="C2617" s="1" t="s">
        <v>1844</v>
      </c>
      <c r="D2617" s="1" t="s">
        <v>1462</v>
      </c>
      <c r="E2617">
        <v>20251210</v>
      </c>
      <c r="F2617" s="1" t="s">
        <v>1470</v>
      </c>
      <c r="G2617">
        <v>4</v>
      </c>
      <c r="H2617" s="1" t="s">
        <v>1503</v>
      </c>
      <c r="I2617" t="s">
        <v>1883</v>
      </c>
      <c r="J2617" s="1" t="s">
        <v>1456</v>
      </c>
      <c r="K2617" s="1" t="s">
        <v>1553</v>
      </c>
      <c r="L2617" s="1" t="s">
        <v>1729</v>
      </c>
      <c r="M2617" s="1" t="s">
        <v>1736</v>
      </c>
      <c r="N2617" t="s">
        <v>2108</v>
      </c>
      <c r="O2617" t="s">
        <v>2442</v>
      </c>
      <c r="P2617" t="s">
        <v>3417</v>
      </c>
      <c r="Q2617">
        <v>2</v>
      </c>
      <c r="R2617" s="1" t="s">
        <v>1718</v>
      </c>
      <c r="S2617">
        <v>7850</v>
      </c>
      <c r="T2617">
        <v>15700</v>
      </c>
    </row>
    <row r="2618" spans="1:20" hidden="1" x14ac:dyDescent="0.4">
      <c r="A2618" s="1" t="s">
        <v>941</v>
      </c>
      <c r="B2618" s="1" t="s">
        <v>1455</v>
      </c>
      <c r="C2618" s="1" t="s">
        <v>1844</v>
      </c>
      <c r="D2618" s="1" t="s">
        <v>1462</v>
      </c>
      <c r="E2618">
        <v>20251210</v>
      </c>
      <c r="F2618" s="1" t="s">
        <v>1470</v>
      </c>
      <c r="G2618">
        <v>4</v>
      </c>
      <c r="H2618" s="1" t="s">
        <v>1503</v>
      </c>
      <c r="I2618" t="s">
        <v>1883</v>
      </c>
      <c r="J2618" s="1" t="s">
        <v>1456</v>
      </c>
      <c r="K2618" s="1" t="s">
        <v>1553</v>
      </c>
      <c r="L2618" s="1" t="s">
        <v>1729</v>
      </c>
      <c r="M2618" s="1" t="s">
        <v>1736</v>
      </c>
      <c r="N2618" t="s">
        <v>2108</v>
      </c>
      <c r="O2618" t="s">
        <v>2443</v>
      </c>
      <c r="P2618" t="s">
        <v>3418</v>
      </c>
      <c r="Q2618">
        <v>2</v>
      </c>
      <c r="R2618" s="1" t="s">
        <v>1718</v>
      </c>
      <c r="S2618">
        <v>10350</v>
      </c>
      <c r="T2618">
        <v>20700</v>
      </c>
    </row>
    <row r="2619" spans="1:20" hidden="1" x14ac:dyDescent="0.4">
      <c r="A2619" s="1" t="s">
        <v>941</v>
      </c>
      <c r="B2619" s="1" t="s">
        <v>1456</v>
      </c>
      <c r="C2619" s="1" t="s">
        <v>1844</v>
      </c>
      <c r="D2619" s="1" t="s">
        <v>1462</v>
      </c>
      <c r="E2619">
        <v>20251210</v>
      </c>
      <c r="F2619" s="1" t="s">
        <v>1470</v>
      </c>
      <c r="G2619">
        <v>4</v>
      </c>
      <c r="H2619" s="1" t="s">
        <v>1503</v>
      </c>
      <c r="I2619" t="s">
        <v>1883</v>
      </c>
      <c r="J2619" s="1" t="s">
        <v>1456</v>
      </c>
      <c r="K2619" s="1" t="s">
        <v>1553</v>
      </c>
      <c r="L2619" s="1" t="s">
        <v>1729</v>
      </c>
      <c r="M2619" s="1" t="s">
        <v>1736</v>
      </c>
      <c r="N2619" t="s">
        <v>2093</v>
      </c>
      <c r="O2619" t="s">
        <v>2444</v>
      </c>
      <c r="P2619" t="s">
        <v>3419</v>
      </c>
      <c r="Q2619">
        <v>2</v>
      </c>
      <c r="R2619" s="1" t="s">
        <v>1718</v>
      </c>
      <c r="S2619">
        <v>15820</v>
      </c>
      <c r="T2619">
        <v>31640</v>
      </c>
    </row>
    <row r="2620" spans="1:20" hidden="1" x14ac:dyDescent="0.4">
      <c r="A2620" s="1" t="s">
        <v>942</v>
      </c>
      <c r="B2620" s="1" t="s">
        <v>1453</v>
      </c>
      <c r="C2620" s="1" t="s">
        <v>1844</v>
      </c>
      <c r="D2620" s="1" t="s">
        <v>1462</v>
      </c>
      <c r="E2620">
        <v>20251210</v>
      </c>
      <c r="F2620" s="1" t="s">
        <v>1470</v>
      </c>
      <c r="G2620">
        <v>4</v>
      </c>
      <c r="H2620" s="1" t="s">
        <v>1503</v>
      </c>
      <c r="I2620" t="s">
        <v>1883</v>
      </c>
      <c r="J2620" s="1" t="s">
        <v>1456</v>
      </c>
      <c r="K2620" s="1" t="s">
        <v>1553</v>
      </c>
      <c r="L2620" s="1" t="s">
        <v>1729</v>
      </c>
      <c r="M2620" s="1" t="s">
        <v>1736</v>
      </c>
      <c r="N2620" t="s">
        <v>2093</v>
      </c>
      <c r="O2620" t="s">
        <v>2445</v>
      </c>
      <c r="P2620" t="s">
        <v>3420</v>
      </c>
      <c r="Q2620">
        <v>2</v>
      </c>
      <c r="R2620" s="1" t="s">
        <v>1718</v>
      </c>
      <c r="S2620">
        <v>13180</v>
      </c>
      <c r="T2620">
        <v>26360</v>
      </c>
    </row>
    <row r="2621" spans="1:20" hidden="1" x14ac:dyDescent="0.4">
      <c r="A2621" s="1" t="s">
        <v>943</v>
      </c>
      <c r="B2621" s="1" t="s">
        <v>1453</v>
      </c>
      <c r="C2621" s="1" t="s">
        <v>1844</v>
      </c>
      <c r="D2621" s="1" t="s">
        <v>1462</v>
      </c>
      <c r="E2621">
        <v>20251210</v>
      </c>
      <c r="F2621" s="1" t="s">
        <v>1470</v>
      </c>
      <c r="G2621">
        <v>4</v>
      </c>
      <c r="H2621" s="1" t="s">
        <v>1503</v>
      </c>
      <c r="I2621" t="s">
        <v>1883</v>
      </c>
      <c r="J2621" s="1" t="s">
        <v>1456</v>
      </c>
      <c r="K2621" s="1" t="s">
        <v>1554</v>
      </c>
      <c r="L2621" s="1" t="s">
        <v>1729</v>
      </c>
      <c r="M2621" s="1" t="s">
        <v>1737</v>
      </c>
      <c r="N2621" t="s">
        <v>2109</v>
      </c>
      <c r="O2621" t="s">
        <v>2446</v>
      </c>
      <c r="P2621">
        <v>82211</v>
      </c>
      <c r="Q2621">
        <v>6</v>
      </c>
      <c r="R2621" s="1" t="s">
        <v>1718</v>
      </c>
      <c r="S2621">
        <v>24840</v>
      </c>
      <c r="T2621">
        <v>149040</v>
      </c>
    </row>
    <row r="2622" spans="1:20" hidden="1" x14ac:dyDescent="0.4">
      <c r="A2622" s="1" t="s">
        <v>943</v>
      </c>
      <c r="B2622" s="1" t="s">
        <v>1454</v>
      </c>
      <c r="C2622" s="1" t="s">
        <v>1844</v>
      </c>
      <c r="D2622" s="1" t="s">
        <v>1462</v>
      </c>
      <c r="E2622">
        <v>20251210</v>
      </c>
      <c r="F2622" s="1" t="s">
        <v>1470</v>
      </c>
      <c r="G2622">
        <v>4</v>
      </c>
      <c r="H2622" s="1" t="s">
        <v>1503</v>
      </c>
      <c r="I2622" t="s">
        <v>1883</v>
      </c>
      <c r="J2622" s="1" t="s">
        <v>1456</v>
      </c>
      <c r="K2622" s="1" t="s">
        <v>1554</v>
      </c>
      <c r="L2622" s="1" t="s">
        <v>1729</v>
      </c>
      <c r="M2622" s="1" t="s">
        <v>1737</v>
      </c>
      <c r="N2622" t="s">
        <v>2090</v>
      </c>
      <c r="O2622" t="s">
        <v>2447</v>
      </c>
      <c r="P2622">
        <v>82224</v>
      </c>
      <c r="Q2622">
        <v>6</v>
      </c>
      <c r="R2622" s="1" t="s">
        <v>1718</v>
      </c>
      <c r="S2622">
        <v>18740</v>
      </c>
      <c r="T2622">
        <v>112440</v>
      </c>
    </row>
    <row r="2623" spans="1:20" hidden="1" x14ac:dyDescent="0.4">
      <c r="A2623" s="1" t="s">
        <v>943</v>
      </c>
      <c r="B2623" s="1" t="s">
        <v>1455</v>
      </c>
      <c r="C2623" s="1" t="s">
        <v>1844</v>
      </c>
      <c r="D2623" s="1" t="s">
        <v>1462</v>
      </c>
      <c r="E2623">
        <v>20251210</v>
      </c>
      <c r="F2623" s="1" t="s">
        <v>1470</v>
      </c>
      <c r="G2623">
        <v>4</v>
      </c>
      <c r="H2623" s="1" t="s">
        <v>1503</v>
      </c>
      <c r="I2623" t="s">
        <v>1883</v>
      </c>
      <c r="J2623" s="1" t="s">
        <v>1456</v>
      </c>
      <c r="K2623" s="1" t="s">
        <v>1554</v>
      </c>
      <c r="L2623" s="1" t="s">
        <v>1729</v>
      </c>
      <c r="M2623" s="1" t="s">
        <v>1737</v>
      </c>
      <c r="N2623" t="s">
        <v>2110</v>
      </c>
      <c r="O2623" t="s">
        <v>2448</v>
      </c>
      <c r="P2623">
        <v>82225</v>
      </c>
      <c r="Q2623">
        <v>3</v>
      </c>
      <c r="R2623" s="1" t="s">
        <v>1718</v>
      </c>
      <c r="S2623">
        <v>29900</v>
      </c>
      <c r="T2623">
        <v>89700</v>
      </c>
    </row>
    <row r="2624" spans="1:20" hidden="1" x14ac:dyDescent="0.4">
      <c r="A2624" s="1" t="s">
        <v>944</v>
      </c>
      <c r="B2624" s="1" t="s">
        <v>1453</v>
      </c>
      <c r="C2624" s="1" t="s">
        <v>1844</v>
      </c>
      <c r="D2624" s="1" t="s">
        <v>1462</v>
      </c>
      <c r="E2624">
        <v>20251210</v>
      </c>
      <c r="F2624" s="1" t="s">
        <v>1470</v>
      </c>
      <c r="G2624">
        <v>4</v>
      </c>
      <c r="H2624" s="1" t="s">
        <v>1503</v>
      </c>
      <c r="I2624" t="s">
        <v>1883</v>
      </c>
      <c r="J2624" s="1" t="s">
        <v>1456</v>
      </c>
      <c r="K2624" s="1" t="s">
        <v>1553</v>
      </c>
      <c r="L2624" s="1" t="s">
        <v>1729</v>
      </c>
      <c r="M2624" s="1" t="s">
        <v>1736</v>
      </c>
      <c r="N2624" t="s">
        <v>2093</v>
      </c>
      <c r="O2624" t="s">
        <v>2437</v>
      </c>
      <c r="P2624" t="s">
        <v>3416</v>
      </c>
      <c r="Q2624">
        <v>1</v>
      </c>
      <c r="R2624" s="1" t="s">
        <v>1718</v>
      </c>
      <c r="S2624">
        <v>17210</v>
      </c>
      <c r="T2624">
        <v>17210</v>
      </c>
    </row>
    <row r="2625" spans="1:20" hidden="1" x14ac:dyDescent="0.4">
      <c r="A2625" s="1" t="s">
        <v>945</v>
      </c>
      <c r="B2625" s="1" t="s">
        <v>1453</v>
      </c>
      <c r="C2625" s="1" t="s">
        <v>1844</v>
      </c>
      <c r="D2625" s="1" t="s">
        <v>1462</v>
      </c>
      <c r="E2625">
        <v>20251210</v>
      </c>
      <c r="F2625" s="1" t="s">
        <v>1470</v>
      </c>
      <c r="G2625">
        <v>4</v>
      </c>
      <c r="H2625" s="1" t="s">
        <v>1496</v>
      </c>
      <c r="I2625" t="s">
        <v>1876</v>
      </c>
      <c r="J2625" s="1" t="s">
        <v>1456</v>
      </c>
      <c r="K2625" s="1" t="s">
        <v>1559</v>
      </c>
      <c r="L2625" s="1" t="s">
        <v>1729</v>
      </c>
      <c r="M2625" s="1" t="s">
        <v>1743</v>
      </c>
      <c r="N2625" t="s">
        <v>1931</v>
      </c>
      <c r="O2625" t="s">
        <v>2449</v>
      </c>
      <c r="P2625" t="s">
        <v>3421</v>
      </c>
      <c r="Q2625">
        <v>3</v>
      </c>
      <c r="R2625" s="1" t="s">
        <v>1718</v>
      </c>
      <c r="S2625">
        <v>3518</v>
      </c>
      <c r="T2625">
        <v>10554</v>
      </c>
    </row>
    <row r="2626" spans="1:20" hidden="1" x14ac:dyDescent="0.4">
      <c r="A2626" s="1" t="s">
        <v>945</v>
      </c>
      <c r="B2626" s="1" t="s">
        <v>1454</v>
      </c>
      <c r="C2626" s="1" t="s">
        <v>1844</v>
      </c>
      <c r="D2626" s="1" t="s">
        <v>1462</v>
      </c>
      <c r="E2626">
        <v>20251210</v>
      </c>
      <c r="F2626" s="1" t="s">
        <v>1470</v>
      </c>
      <c r="G2626">
        <v>4</v>
      </c>
      <c r="H2626" s="1" t="s">
        <v>1496</v>
      </c>
      <c r="I2626" t="s">
        <v>1876</v>
      </c>
      <c r="J2626" s="1" t="s">
        <v>1456</v>
      </c>
      <c r="K2626" s="1" t="s">
        <v>1559</v>
      </c>
      <c r="L2626" s="1" t="s">
        <v>1729</v>
      </c>
      <c r="M2626" s="1" t="s">
        <v>1739</v>
      </c>
      <c r="N2626" t="s">
        <v>1931</v>
      </c>
      <c r="O2626" t="s">
        <v>2450</v>
      </c>
      <c r="P2626" t="s">
        <v>3422</v>
      </c>
      <c r="Q2626">
        <v>1</v>
      </c>
      <c r="R2626" s="1" t="s">
        <v>1718</v>
      </c>
      <c r="S2626">
        <v>6878</v>
      </c>
      <c r="T2626">
        <v>6878</v>
      </c>
    </row>
    <row r="2627" spans="1:20" hidden="1" x14ac:dyDescent="0.4">
      <c r="A2627" s="1" t="s">
        <v>946</v>
      </c>
      <c r="B2627" s="1" t="s">
        <v>1453</v>
      </c>
      <c r="C2627" s="1" t="s">
        <v>1844</v>
      </c>
      <c r="D2627" s="1" t="s">
        <v>1462</v>
      </c>
      <c r="E2627">
        <v>20251210</v>
      </c>
      <c r="F2627" s="1" t="s">
        <v>1470</v>
      </c>
      <c r="G2627">
        <v>4</v>
      </c>
      <c r="H2627" s="1" t="s">
        <v>1512</v>
      </c>
      <c r="I2627" t="s">
        <v>1892</v>
      </c>
      <c r="J2627" s="1" t="s">
        <v>1456</v>
      </c>
      <c r="K2627" s="1" t="s">
        <v>1558</v>
      </c>
      <c r="L2627" s="1" t="s">
        <v>1729</v>
      </c>
      <c r="M2627" s="1" t="s">
        <v>1737</v>
      </c>
      <c r="N2627" t="s">
        <v>2096</v>
      </c>
      <c r="O2627" t="s">
        <v>2451</v>
      </c>
      <c r="P2627" t="s">
        <v>3423</v>
      </c>
      <c r="Q2627">
        <v>2</v>
      </c>
      <c r="R2627" s="1" t="s">
        <v>1718</v>
      </c>
      <c r="S2627">
        <v>27708</v>
      </c>
      <c r="T2627">
        <v>55416</v>
      </c>
    </row>
    <row r="2628" spans="1:20" hidden="1" x14ac:dyDescent="0.4">
      <c r="A2628" s="1" t="s">
        <v>946</v>
      </c>
      <c r="B2628" s="1" t="s">
        <v>1454</v>
      </c>
      <c r="C2628" s="1" t="s">
        <v>1844</v>
      </c>
      <c r="D2628" s="1" t="s">
        <v>1462</v>
      </c>
      <c r="E2628">
        <v>20251210</v>
      </c>
      <c r="F2628" s="1" t="s">
        <v>1470</v>
      </c>
      <c r="G2628">
        <v>4</v>
      </c>
      <c r="H2628" s="1" t="s">
        <v>1512</v>
      </c>
      <c r="I2628" t="s">
        <v>1892</v>
      </c>
      <c r="J2628" s="1" t="s">
        <v>1456</v>
      </c>
      <c r="K2628" s="1" t="s">
        <v>1558</v>
      </c>
      <c r="L2628" s="1" t="s">
        <v>1729</v>
      </c>
      <c r="M2628" s="1" t="s">
        <v>1737</v>
      </c>
      <c r="N2628" t="s">
        <v>2096</v>
      </c>
      <c r="O2628" t="s">
        <v>2451</v>
      </c>
      <c r="P2628" t="s">
        <v>3424</v>
      </c>
      <c r="Q2628">
        <v>2</v>
      </c>
      <c r="R2628" s="1" t="s">
        <v>1718</v>
      </c>
      <c r="S2628">
        <v>23099</v>
      </c>
      <c r="T2628">
        <v>46198</v>
      </c>
    </row>
    <row r="2629" spans="1:20" hidden="1" x14ac:dyDescent="0.4">
      <c r="A2629" s="1" t="s">
        <v>946</v>
      </c>
      <c r="B2629" s="1" t="s">
        <v>1455</v>
      </c>
      <c r="C2629" s="1" t="s">
        <v>1844</v>
      </c>
      <c r="D2629" s="1" t="s">
        <v>1462</v>
      </c>
      <c r="E2629">
        <v>20251210</v>
      </c>
      <c r="F2629" s="1" t="s">
        <v>1470</v>
      </c>
      <c r="G2629">
        <v>4</v>
      </c>
      <c r="H2629" s="1" t="s">
        <v>1512</v>
      </c>
      <c r="I2629" t="s">
        <v>1892</v>
      </c>
      <c r="J2629" s="1" t="s">
        <v>1456</v>
      </c>
      <c r="K2629" s="1" t="s">
        <v>1558</v>
      </c>
      <c r="L2629" s="1" t="s">
        <v>1729</v>
      </c>
      <c r="M2629" s="1" t="s">
        <v>1737</v>
      </c>
      <c r="N2629" t="s">
        <v>2096</v>
      </c>
      <c r="O2629" t="s">
        <v>2451</v>
      </c>
      <c r="P2629" t="s">
        <v>3425</v>
      </c>
      <c r="Q2629">
        <v>2</v>
      </c>
      <c r="R2629" s="1" t="s">
        <v>1718</v>
      </c>
      <c r="S2629">
        <v>12776</v>
      </c>
      <c r="T2629">
        <v>25552</v>
      </c>
    </row>
    <row r="2630" spans="1:20" hidden="1" x14ac:dyDescent="0.4">
      <c r="A2630" s="1" t="s">
        <v>946</v>
      </c>
      <c r="B2630" s="1" t="s">
        <v>1456</v>
      </c>
      <c r="C2630" s="1" t="s">
        <v>1844</v>
      </c>
      <c r="D2630" s="1" t="s">
        <v>1462</v>
      </c>
      <c r="E2630">
        <v>20251210</v>
      </c>
      <c r="F2630" s="1" t="s">
        <v>1470</v>
      </c>
      <c r="G2630">
        <v>4</v>
      </c>
      <c r="H2630" s="1" t="s">
        <v>1512</v>
      </c>
      <c r="I2630" t="s">
        <v>1892</v>
      </c>
      <c r="J2630" s="1" t="s">
        <v>1456</v>
      </c>
      <c r="K2630" s="1" t="s">
        <v>1558</v>
      </c>
      <c r="L2630" s="1" t="s">
        <v>1729</v>
      </c>
      <c r="M2630" s="1" t="s">
        <v>1737</v>
      </c>
      <c r="N2630" t="s">
        <v>2096</v>
      </c>
      <c r="O2630" t="s">
        <v>2451</v>
      </c>
      <c r="P2630" t="s">
        <v>3426</v>
      </c>
      <c r="Q2630">
        <v>2</v>
      </c>
      <c r="R2630" s="1" t="s">
        <v>1718</v>
      </c>
      <c r="S2630">
        <v>34671</v>
      </c>
      <c r="T2630">
        <v>69342</v>
      </c>
    </row>
    <row r="2631" spans="1:20" hidden="1" x14ac:dyDescent="0.4">
      <c r="A2631" s="1" t="s">
        <v>946</v>
      </c>
      <c r="B2631" s="1" t="s">
        <v>1457</v>
      </c>
      <c r="C2631" s="1" t="s">
        <v>1844</v>
      </c>
      <c r="D2631" s="1" t="s">
        <v>1462</v>
      </c>
      <c r="E2631">
        <v>20251210</v>
      </c>
      <c r="F2631" s="1" t="s">
        <v>1470</v>
      </c>
      <c r="G2631">
        <v>4</v>
      </c>
      <c r="H2631" s="1" t="s">
        <v>1512</v>
      </c>
      <c r="I2631" t="s">
        <v>1892</v>
      </c>
      <c r="J2631" s="1" t="s">
        <v>1456</v>
      </c>
      <c r="K2631" s="1" t="s">
        <v>1558</v>
      </c>
      <c r="L2631" s="1" t="s">
        <v>1729</v>
      </c>
      <c r="M2631" s="1" t="s">
        <v>1737</v>
      </c>
      <c r="N2631" t="s">
        <v>2096</v>
      </c>
      <c r="O2631" t="s">
        <v>2451</v>
      </c>
      <c r="P2631" t="s">
        <v>3427</v>
      </c>
      <c r="Q2631">
        <v>2</v>
      </c>
      <c r="R2631" s="1" t="s">
        <v>1718</v>
      </c>
      <c r="S2631">
        <v>23787</v>
      </c>
      <c r="T2631">
        <v>47574</v>
      </c>
    </row>
    <row r="2632" spans="1:20" hidden="1" x14ac:dyDescent="0.4">
      <c r="A2632" s="1" t="s">
        <v>947</v>
      </c>
      <c r="B2632" s="1" t="s">
        <v>1453</v>
      </c>
      <c r="C2632" s="1" t="s">
        <v>1844</v>
      </c>
      <c r="D2632" s="1" t="s">
        <v>1462</v>
      </c>
      <c r="E2632">
        <v>20251210</v>
      </c>
      <c r="F2632" s="1" t="s">
        <v>1470</v>
      </c>
      <c r="G2632">
        <v>4</v>
      </c>
      <c r="H2632" s="1" t="s">
        <v>1512</v>
      </c>
      <c r="I2632" t="s">
        <v>1892</v>
      </c>
      <c r="J2632" s="1" t="s">
        <v>1456</v>
      </c>
      <c r="K2632" s="1" t="s">
        <v>1558</v>
      </c>
      <c r="L2632" s="1" t="s">
        <v>1729</v>
      </c>
      <c r="M2632" s="1" t="s">
        <v>1737</v>
      </c>
      <c r="N2632" t="s">
        <v>2096</v>
      </c>
      <c r="O2632" t="s">
        <v>2452</v>
      </c>
      <c r="P2632" t="s">
        <v>3428</v>
      </c>
      <c r="Q2632">
        <v>2</v>
      </c>
      <c r="R2632" s="1" t="s">
        <v>1718</v>
      </c>
      <c r="S2632">
        <v>8579</v>
      </c>
      <c r="T2632">
        <v>17158</v>
      </c>
    </row>
    <row r="2633" spans="1:20" hidden="1" x14ac:dyDescent="0.4">
      <c r="A2633" s="1" t="s">
        <v>947</v>
      </c>
      <c r="B2633" s="1" t="s">
        <v>1454</v>
      </c>
      <c r="C2633" s="1" t="s">
        <v>1844</v>
      </c>
      <c r="D2633" s="1" t="s">
        <v>1462</v>
      </c>
      <c r="E2633">
        <v>20251210</v>
      </c>
      <c r="F2633" s="1" t="s">
        <v>1470</v>
      </c>
      <c r="G2633">
        <v>4</v>
      </c>
      <c r="H2633" s="1" t="s">
        <v>1512</v>
      </c>
      <c r="I2633" t="s">
        <v>1892</v>
      </c>
      <c r="J2633" s="1" t="s">
        <v>1456</v>
      </c>
      <c r="K2633" s="1" t="s">
        <v>1558</v>
      </c>
      <c r="L2633" s="1" t="s">
        <v>1729</v>
      </c>
      <c r="M2633" s="1" t="s">
        <v>1737</v>
      </c>
      <c r="N2633" t="s">
        <v>2096</v>
      </c>
      <c r="O2633" t="s">
        <v>2452</v>
      </c>
      <c r="P2633" t="s">
        <v>3429</v>
      </c>
      <c r="Q2633">
        <v>2</v>
      </c>
      <c r="R2633" s="1" t="s">
        <v>1718</v>
      </c>
      <c r="S2633">
        <v>17285</v>
      </c>
      <c r="T2633">
        <v>34570</v>
      </c>
    </row>
    <row r="2634" spans="1:20" hidden="1" x14ac:dyDescent="0.4">
      <c r="A2634" s="1" t="s">
        <v>947</v>
      </c>
      <c r="B2634" s="1" t="s">
        <v>1455</v>
      </c>
      <c r="C2634" s="1" t="s">
        <v>1844</v>
      </c>
      <c r="D2634" s="1" t="s">
        <v>1462</v>
      </c>
      <c r="E2634">
        <v>20251210</v>
      </c>
      <c r="F2634" s="1" t="s">
        <v>1470</v>
      </c>
      <c r="G2634">
        <v>4</v>
      </c>
      <c r="H2634" s="1" t="s">
        <v>1512</v>
      </c>
      <c r="I2634" t="s">
        <v>1892</v>
      </c>
      <c r="J2634" s="1" t="s">
        <v>1456</v>
      </c>
      <c r="K2634" s="1" t="s">
        <v>1558</v>
      </c>
      <c r="L2634" s="1" t="s">
        <v>1729</v>
      </c>
      <c r="M2634" s="1" t="s">
        <v>1737</v>
      </c>
      <c r="N2634" t="s">
        <v>2096</v>
      </c>
      <c r="O2634" t="s">
        <v>2452</v>
      </c>
      <c r="P2634" t="s">
        <v>3430</v>
      </c>
      <c r="Q2634">
        <v>2</v>
      </c>
      <c r="R2634" s="1" t="s">
        <v>1718</v>
      </c>
      <c r="S2634">
        <v>19926</v>
      </c>
      <c r="T2634">
        <v>39852</v>
      </c>
    </row>
    <row r="2635" spans="1:20" hidden="1" x14ac:dyDescent="0.4">
      <c r="A2635" s="1" t="s">
        <v>948</v>
      </c>
      <c r="B2635" s="1" t="s">
        <v>1453</v>
      </c>
      <c r="C2635" s="1" t="s">
        <v>1844</v>
      </c>
      <c r="D2635" s="1" t="s">
        <v>1462</v>
      </c>
      <c r="E2635">
        <v>20251210</v>
      </c>
      <c r="F2635" s="1" t="s">
        <v>1470</v>
      </c>
      <c r="G2635">
        <v>4</v>
      </c>
      <c r="H2635" s="1" t="s">
        <v>1512</v>
      </c>
      <c r="I2635" t="s">
        <v>1892</v>
      </c>
      <c r="J2635" s="1" t="s">
        <v>1456</v>
      </c>
      <c r="K2635" s="1" t="s">
        <v>1558</v>
      </c>
      <c r="L2635" s="1" t="s">
        <v>1729</v>
      </c>
      <c r="M2635" s="1" t="s">
        <v>1737</v>
      </c>
      <c r="N2635" t="s">
        <v>2096</v>
      </c>
      <c r="O2635" t="s">
        <v>2453</v>
      </c>
      <c r="P2635" t="s">
        <v>3431</v>
      </c>
      <c r="Q2635">
        <v>2</v>
      </c>
      <c r="R2635" s="1" t="s">
        <v>1718</v>
      </c>
      <c r="S2635">
        <v>27657</v>
      </c>
      <c r="T2635">
        <v>55314</v>
      </c>
    </row>
    <row r="2636" spans="1:20" hidden="1" x14ac:dyDescent="0.4">
      <c r="A2636" s="1" t="s">
        <v>949</v>
      </c>
      <c r="B2636" s="1" t="s">
        <v>1453</v>
      </c>
      <c r="C2636" s="1" t="s">
        <v>1844</v>
      </c>
      <c r="D2636" s="1" t="s">
        <v>1462</v>
      </c>
      <c r="E2636">
        <v>20251210</v>
      </c>
      <c r="F2636" s="1" t="s">
        <v>1470</v>
      </c>
      <c r="G2636">
        <v>4</v>
      </c>
      <c r="H2636" s="1" t="s">
        <v>1512</v>
      </c>
      <c r="I2636" t="s">
        <v>1892</v>
      </c>
      <c r="J2636" s="1" t="s">
        <v>1456</v>
      </c>
      <c r="K2636" s="1" t="s">
        <v>1558</v>
      </c>
      <c r="L2636" s="1" t="s">
        <v>1729</v>
      </c>
      <c r="M2636" s="1" t="s">
        <v>1737</v>
      </c>
      <c r="N2636" t="s">
        <v>2096</v>
      </c>
      <c r="O2636" t="s">
        <v>2454</v>
      </c>
      <c r="P2636" t="s">
        <v>3432</v>
      </c>
      <c r="Q2636">
        <v>1</v>
      </c>
      <c r="R2636" s="1" t="s">
        <v>1718</v>
      </c>
      <c r="S2636">
        <v>8579</v>
      </c>
      <c r="T2636">
        <v>8579</v>
      </c>
    </row>
    <row r="2637" spans="1:20" hidden="1" x14ac:dyDescent="0.4">
      <c r="A2637" s="1" t="s">
        <v>950</v>
      </c>
      <c r="B2637" s="1" t="s">
        <v>1453</v>
      </c>
      <c r="C2637" s="1" t="s">
        <v>1844</v>
      </c>
      <c r="D2637" s="1" t="s">
        <v>1462</v>
      </c>
      <c r="E2637">
        <v>20251210</v>
      </c>
      <c r="F2637" s="1" t="s">
        <v>1470</v>
      </c>
      <c r="G2637">
        <v>4</v>
      </c>
      <c r="H2637" s="1" t="s">
        <v>1512</v>
      </c>
      <c r="I2637" t="s">
        <v>1892</v>
      </c>
      <c r="J2637" s="1" t="s">
        <v>1456</v>
      </c>
      <c r="K2637" s="1" t="s">
        <v>1558</v>
      </c>
      <c r="L2637" s="1" t="s">
        <v>1729</v>
      </c>
      <c r="M2637" s="1" t="s">
        <v>1737</v>
      </c>
      <c r="N2637" t="s">
        <v>2096</v>
      </c>
      <c r="O2637" t="s">
        <v>2455</v>
      </c>
      <c r="P2637" t="s">
        <v>3433</v>
      </c>
      <c r="Q2637">
        <v>1</v>
      </c>
      <c r="R2637" s="1" t="s">
        <v>1718</v>
      </c>
      <c r="S2637">
        <v>10371</v>
      </c>
      <c r="T2637">
        <v>10371</v>
      </c>
    </row>
    <row r="2638" spans="1:20" hidden="1" x14ac:dyDescent="0.4">
      <c r="A2638" s="1" t="s">
        <v>950</v>
      </c>
      <c r="B2638" s="1" t="s">
        <v>1454</v>
      </c>
      <c r="C2638" s="1" t="s">
        <v>1844</v>
      </c>
      <c r="D2638" s="1" t="s">
        <v>1462</v>
      </c>
      <c r="E2638">
        <v>20251210</v>
      </c>
      <c r="F2638" s="1" t="s">
        <v>1470</v>
      </c>
      <c r="G2638">
        <v>4</v>
      </c>
      <c r="H2638" s="1" t="s">
        <v>1512</v>
      </c>
      <c r="I2638" t="s">
        <v>1892</v>
      </c>
      <c r="J2638" s="1" t="s">
        <v>1456</v>
      </c>
      <c r="K2638" s="1" t="s">
        <v>1558</v>
      </c>
      <c r="L2638" s="1" t="s">
        <v>1729</v>
      </c>
      <c r="M2638" s="1" t="s">
        <v>1737</v>
      </c>
      <c r="N2638" t="s">
        <v>2096</v>
      </c>
      <c r="O2638" t="s">
        <v>2456</v>
      </c>
      <c r="P2638" t="s">
        <v>3434</v>
      </c>
      <c r="Q2638">
        <v>2</v>
      </c>
      <c r="R2638" s="1" t="s">
        <v>1718</v>
      </c>
      <c r="S2638">
        <v>34571</v>
      </c>
      <c r="T2638">
        <v>69142</v>
      </c>
    </row>
    <row r="2639" spans="1:20" hidden="1" x14ac:dyDescent="0.4">
      <c r="A2639" s="1" t="s">
        <v>950</v>
      </c>
      <c r="B2639" s="1" t="s">
        <v>1455</v>
      </c>
      <c r="C2639" s="1" t="s">
        <v>1844</v>
      </c>
      <c r="D2639" s="1" t="s">
        <v>1462</v>
      </c>
      <c r="E2639">
        <v>20251210</v>
      </c>
      <c r="F2639" s="1" t="s">
        <v>1470</v>
      </c>
      <c r="G2639">
        <v>4</v>
      </c>
      <c r="H2639" s="1" t="s">
        <v>1512</v>
      </c>
      <c r="I2639" t="s">
        <v>1892</v>
      </c>
      <c r="J2639" s="1" t="s">
        <v>1456</v>
      </c>
      <c r="K2639" s="1" t="s">
        <v>1558</v>
      </c>
      <c r="L2639" s="1" t="s">
        <v>1729</v>
      </c>
      <c r="M2639" s="1" t="s">
        <v>1737</v>
      </c>
      <c r="N2639" t="s">
        <v>2096</v>
      </c>
      <c r="O2639" t="s">
        <v>2457</v>
      </c>
      <c r="P2639" t="s">
        <v>3435</v>
      </c>
      <c r="Q2639">
        <v>2</v>
      </c>
      <c r="R2639" s="1" t="s">
        <v>1718</v>
      </c>
      <c r="S2639">
        <v>34571</v>
      </c>
      <c r="T2639">
        <v>69142</v>
      </c>
    </row>
    <row r="2640" spans="1:20" hidden="1" x14ac:dyDescent="0.4">
      <c r="A2640" s="1" t="s">
        <v>951</v>
      </c>
      <c r="B2640" s="1" t="s">
        <v>1453</v>
      </c>
      <c r="C2640" s="1" t="s">
        <v>1844</v>
      </c>
      <c r="D2640" s="1" t="s">
        <v>1462</v>
      </c>
      <c r="E2640">
        <v>20251210</v>
      </c>
      <c r="F2640" s="1" t="s">
        <v>1470</v>
      </c>
      <c r="G2640">
        <v>4</v>
      </c>
      <c r="H2640" s="1" t="s">
        <v>1512</v>
      </c>
      <c r="I2640" t="s">
        <v>1892</v>
      </c>
      <c r="J2640" s="1" t="s">
        <v>1456</v>
      </c>
      <c r="K2640" s="1" t="s">
        <v>1558</v>
      </c>
      <c r="L2640" s="1" t="s">
        <v>1729</v>
      </c>
      <c r="M2640" s="1" t="s">
        <v>1737</v>
      </c>
      <c r="N2640" t="s">
        <v>2096</v>
      </c>
      <c r="O2640" t="s">
        <v>2451</v>
      </c>
      <c r="P2640" t="s">
        <v>3436</v>
      </c>
      <c r="Q2640">
        <v>2</v>
      </c>
      <c r="R2640" s="1" t="s">
        <v>1718</v>
      </c>
      <c r="S2640">
        <v>38512</v>
      </c>
      <c r="T2640">
        <v>77024</v>
      </c>
    </row>
    <row r="2641" spans="1:20" hidden="1" x14ac:dyDescent="0.4">
      <c r="A2641" s="1" t="s">
        <v>951</v>
      </c>
      <c r="B2641" s="1" t="s">
        <v>1454</v>
      </c>
      <c r="C2641" s="1" t="s">
        <v>1844</v>
      </c>
      <c r="D2641" s="1" t="s">
        <v>1462</v>
      </c>
      <c r="E2641">
        <v>20251210</v>
      </c>
      <c r="F2641" s="1" t="s">
        <v>1470</v>
      </c>
      <c r="G2641">
        <v>4</v>
      </c>
      <c r="H2641" s="1" t="s">
        <v>1512</v>
      </c>
      <c r="I2641" t="s">
        <v>1892</v>
      </c>
      <c r="J2641" s="1" t="s">
        <v>1456</v>
      </c>
      <c r="K2641" s="1" t="s">
        <v>1558</v>
      </c>
      <c r="L2641" s="1" t="s">
        <v>1729</v>
      </c>
      <c r="M2641" s="1" t="s">
        <v>1737</v>
      </c>
      <c r="N2641" t="s">
        <v>2096</v>
      </c>
      <c r="O2641" t="s">
        <v>2458</v>
      </c>
      <c r="P2641" t="s">
        <v>3437</v>
      </c>
      <c r="Q2641">
        <v>2</v>
      </c>
      <c r="R2641" s="1" t="s">
        <v>1718</v>
      </c>
      <c r="S2641">
        <v>27452</v>
      </c>
      <c r="T2641">
        <v>54904</v>
      </c>
    </row>
    <row r="2642" spans="1:20" hidden="1" x14ac:dyDescent="0.4">
      <c r="A2642" s="1" t="s">
        <v>951</v>
      </c>
      <c r="B2642" s="1" t="s">
        <v>1455</v>
      </c>
      <c r="C2642" s="1" t="s">
        <v>1844</v>
      </c>
      <c r="D2642" s="1" t="s">
        <v>1462</v>
      </c>
      <c r="E2642">
        <v>20251210</v>
      </c>
      <c r="F2642" s="1" t="s">
        <v>1470</v>
      </c>
      <c r="G2642">
        <v>4</v>
      </c>
      <c r="H2642" s="1" t="s">
        <v>1512</v>
      </c>
      <c r="I2642" t="s">
        <v>1892</v>
      </c>
      <c r="J2642" s="1" t="s">
        <v>1456</v>
      </c>
      <c r="K2642" s="1" t="s">
        <v>1558</v>
      </c>
      <c r="L2642" s="1" t="s">
        <v>1729</v>
      </c>
      <c r="M2642" s="1" t="s">
        <v>1737</v>
      </c>
      <c r="N2642" t="s">
        <v>2096</v>
      </c>
      <c r="O2642" t="s">
        <v>2458</v>
      </c>
      <c r="P2642" t="s">
        <v>3438</v>
      </c>
      <c r="Q2642">
        <v>2</v>
      </c>
      <c r="R2642" s="1" t="s">
        <v>1718</v>
      </c>
      <c r="S2642">
        <v>22971</v>
      </c>
      <c r="T2642">
        <v>45942</v>
      </c>
    </row>
    <row r="2643" spans="1:20" hidden="1" x14ac:dyDescent="0.4">
      <c r="A2643" s="1" t="s">
        <v>952</v>
      </c>
      <c r="B2643" s="1" t="s">
        <v>1453</v>
      </c>
      <c r="C2643" s="1" t="s">
        <v>1844</v>
      </c>
      <c r="D2643" s="1" t="s">
        <v>1462</v>
      </c>
      <c r="E2643">
        <v>20251210</v>
      </c>
      <c r="F2643" s="1" t="s">
        <v>1470</v>
      </c>
      <c r="G2643">
        <v>4</v>
      </c>
      <c r="H2643" s="1" t="s">
        <v>1512</v>
      </c>
      <c r="I2643" t="s">
        <v>1892</v>
      </c>
      <c r="J2643" s="1" t="s">
        <v>1456</v>
      </c>
      <c r="K2643" s="1" t="s">
        <v>1558</v>
      </c>
      <c r="L2643" s="1" t="s">
        <v>1729</v>
      </c>
      <c r="M2643" s="1" t="s">
        <v>1737</v>
      </c>
      <c r="N2643" t="s">
        <v>2096</v>
      </c>
      <c r="O2643" t="s">
        <v>2459</v>
      </c>
      <c r="P2643" t="s">
        <v>3439</v>
      </c>
      <c r="Q2643">
        <v>2</v>
      </c>
      <c r="R2643" s="1" t="s">
        <v>1718</v>
      </c>
      <c r="S2643">
        <v>48399</v>
      </c>
      <c r="T2643">
        <v>96798</v>
      </c>
    </row>
    <row r="2644" spans="1:20" hidden="1" x14ac:dyDescent="0.4">
      <c r="A2644" s="1" t="s">
        <v>952</v>
      </c>
      <c r="B2644" s="1" t="s">
        <v>1454</v>
      </c>
      <c r="C2644" s="1" t="s">
        <v>1844</v>
      </c>
      <c r="D2644" s="1" t="s">
        <v>1462</v>
      </c>
      <c r="E2644">
        <v>20251210</v>
      </c>
      <c r="F2644" s="1" t="s">
        <v>1470</v>
      </c>
      <c r="G2644">
        <v>4</v>
      </c>
      <c r="H2644" s="1" t="s">
        <v>1512</v>
      </c>
      <c r="I2644" t="s">
        <v>1892</v>
      </c>
      <c r="J2644" s="1" t="s">
        <v>1456</v>
      </c>
      <c r="K2644" s="1" t="s">
        <v>1558</v>
      </c>
      <c r="L2644" s="1" t="s">
        <v>1729</v>
      </c>
      <c r="M2644" s="1" t="s">
        <v>1737</v>
      </c>
      <c r="N2644" t="s">
        <v>2096</v>
      </c>
      <c r="O2644" t="s">
        <v>2460</v>
      </c>
      <c r="P2644" t="s">
        <v>3440</v>
      </c>
      <c r="Q2644">
        <v>2</v>
      </c>
      <c r="R2644" s="1" t="s">
        <v>1718</v>
      </c>
      <c r="S2644">
        <v>16645</v>
      </c>
      <c r="T2644">
        <v>33290</v>
      </c>
    </row>
    <row r="2645" spans="1:20" hidden="1" x14ac:dyDescent="0.4">
      <c r="A2645" s="1" t="s">
        <v>952</v>
      </c>
      <c r="B2645" s="1" t="s">
        <v>1455</v>
      </c>
      <c r="C2645" s="1" t="s">
        <v>1844</v>
      </c>
      <c r="D2645" s="1" t="s">
        <v>1462</v>
      </c>
      <c r="E2645">
        <v>20251210</v>
      </c>
      <c r="F2645" s="1" t="s">
        <v>1470</v>
      </c>
      <c r="G2645">
        <v>4</v>
      </c>
      <c r="H2645" s="1" t="s">
        <v>1512</v>
      </c>
      <c r="I2645" t="s">
        <v>1892</v>
      </c>
      <c r="J2645" s="1" t="s">
        <v>1456</v>
      </c>
      <c r="K2645" s="1" t="s">
        <v>1558</v>
      </c>
      <c r="L2645" s="1" t="s">
        <v>1729</v>
      </c>
      <c r="M2645" s="1" t="s">
        <v>1737</v>
      </c>
      <c r="N2645" t="s">
        <v>2096</v>
      </c>
      <c r="O2645" t="s">
        <v>2460</v>
      </c>
      <c r="P2645" t="s">
        <v>3441</v>
      </c>
      <c r="Q2645">
        <v>2</v>
      </c>
      <c r="R2645" s="1" t="s">
        <v>1718</v>
      </c>
      <c r="S2645">
        <v>17285</v>
      </c>
      <c r="T2645">
        <v>34570</v>
      </c>
    </row>
    <row r="2646" spans="1:20" hidden="1" x14ac:dyDescent="0.4">
      <c r="A2646" s="1" t="s">
        <v>953</v>
      </c>
      <c r="B2646" s="1" t="s">
        <v>1453</v>
      </c>
      <c r="C2646" s="1" t="s">
        <v>1844</v>
      </c>
      <c r="D2646" s="1" t="s">
        <v>1462</v>
      </c>
      <c r="E2646">
        <v>20251210</v>
      </c>
      <c r="F2646" s="1" t="s">
        <v>1470</v>
      </c>
      <c r="G2646">
        <v>4</v>
      </c>
      <c r="H2646" s="1" t="s">
        <v>1512</v>
      </c>
      <c r="I2646" t="s">
        <v>1892</v>
      </c>
      <c r="J2646" s="1" t="s">
        <v>1456</v>
      </c>
      <c r="K2646" s="1" t="s">
        <v>1558</v>
      </c>
      <c r="L2646" s="1" t="s">
        <v>1729</v>
      </c>
      <c r="M2646" s="1" t="s">
        <v>1737</v>
      </c>
      <c r="N2646" t="s">
        <v>2096</v>
      </c>
      <c r="O2646" t="s">
        <v>2461</v>
      </c>
      <c r="P2646" t="s">
        <v>3442</v>
      </c>
      <c r="Q2646">
        <v>1</v>
      </c>
      <c r="R2646" s="1" t="s">
        <v>1718</v>
      </c>
      <c r="S2646">
        <v>34571</v>
      </c>
      <c r="T2646">
        <v>34571</v>
      </c>
    </row>
    <row r="2647" spans="1:20" hidden="1" x14ac:dyDescent="0.4">
      <c r="A2647" s="1" t="s">
        <v>953</v>
      </c>
      <c r="B2647" s="1" t="s">
        <v>1454</v>
      </c>
      <c r="C2647" s="1" t="s">
        <v>1844</v>
      </c>
      <c r="D2647" s="1" t="s">
        <v>1462</v>
      </c>
      <c r="E2647">
        <v>20251210</v>
      </c>
      <c r="F2647" s="1" t="s">
        <v>1470</v>
      </c>
      <c r="G2647">
        <v>4</v>
      </c>
      <c r="H2647" s="1" t="s">
        <v>1512</v>
      </c>
      <c r="I2647" t="s">
        <v>1892</v>
      </c>
      <c r="J2647" s="1" t="s">
        <v>1456</v>
      </c>
      <c r="K2647" s="1" t="s">
        <v>1558</v>
      </c>
      <c r="L2647" s="1" t="s">
        <v>1729</v>
      </c>
      <c r="M2647" s="1" t="s">
        <v>1737</v>
      </c>
      <c r="N2647" t="s">
        <v>2096</v>
      </c>
      <c r="O2647" t="s">
        <v>2461</v>
      </c>
      <c r="P2647" t="s">
        <v>3443</v>
      </c>
      <c r="Q2647">
        <v>1</v>
      </c>
      <c r="R2647" s="1" t="s">
        <v>1718</v>
      </c>
      <c r="S2647">
        <v>34571</v>
      </c>
      <c r="T2647">
        <v>34571</v>
      </c>
    </row>
    <row r="2648" spans="1:20" hidden="1" x14ac:dyDescent="0.4">
      <c r="A2648" s="1" t="s">
        <v>954</v>
      </c>
      <c r="B2648" s="1" t="s">
        <v>1453</v>
      </c>
      <c r="C2648" s="1" t="s">
        <v>1844</v>
      </c>
      <c r="D2648" s="1" t="s">
        <v>1730</v>
      </c>
      <c r="E2648">
        <v>20251209</v>
      </c>
      <c r="F2648" s="1" t="s">
        <v>1473</v>
      </c>
      <c r="G2648">
        <v>4</v>
      </c>
      <c r="H2648" s="1" t="s">
        <v>1521</v>
      </c>
      <c r="I2648" t="s">
        <v>1901</v>
      </c>
      <c r="J2648" s="1" t="s">
        <v>1453</v>
      </c>
      <c r="K2648" s="1" t="s">
        <v>1583</v>
      </c>
      <c r="L2648" s="1" t="s">
        <v>1718</v>
      </c>
      <c r="M2648" s="1" t="s">
        <v>1751</v>
      </c>
      <c r="N2648" t="s">
        <v>1958</v>
      </c>
      <c r="O2648" t="s">
        <v>2164</v>
      </c>
      <c r="P2648" t="s">
        <v>3064</v>
      </c>
      <c r="Q2648">
        <v>112.84</v>
      </c>
      <c r="R2648" s="1" t="s">
        <v>1839</v>
      </c>
      <c r="S2648">
        <v>0</v>
      </c>
      <c r="T2648">
        <v>0</v>
      </c>
    </row>
    <row r="2649" spans="1:20" hidden="1" x14ac:dyDescent="0.4">
      <c r="A2649" s="1" t="s">
        <v>954</v>
      </c>
      <c r="B2649" s="1" t="s">
        <v>1454</v>
      </c>
      <c r="C2649" s="1" t="s">
        <v>1844</v>
      </c>
      <c r="D2649" s="1" t="s">
        <v>1730</v>
      </c>
      <c r="E2649">
        <v>20251209</v>
      </c>
      <c r="F2649" s="1" t="s">
        <v>1473</v>
      </c>
      <c r="G2649">
        <v>4</v>
      </c>
      <c r="H2649" s="1" t="s">
        <v>1521</v>
      </c>
      <c r="I2649" t="s">
        <v>1901</v>
      </c>
      <c r="J2649" s="1" t="s">
        <v>1453</v>
      </c>
      <c r="K2649" s="1" t="s">
        <v>1583</v>
      </c>
      <c r="L2649" s="1" t="s">
        <v>1718</v>
      </c>
      <c r="M2649" s="1" t="s">
        <v>1751</v>
      </c>
      <c r="N2649" t="s">
        <v>1958</v>
      </c>
      <c r="O2649" t="s">
        <v>2164</v>
      </c>
      <c r="P2649" t="s">
        <v>3064</v>
      </c>
      <c r="Q2649">
        <v>112.84</v>
      </c>
      <c r="R2649" s="1" t="s">
        <v>1839</v>
      </c>
      <c r="S2649">
        <v>0</v>
      </c>
      <c r="T2649">
        <v>0</v>
      </c>
    </row>
    <row r="2650" spans="1:20" hidden="1" x14ac:dyDescent="0.4">
      <c r="A2650" s="1" t="s">
        <v>954</v>
      </c>
      <c r="B2650" s="1" t="s">
        <v>1455</v>
      </c>
      <c r="C2650" s="1" t="s">
        <v>1844</v>
      </c>
      <c r="D2650" s="1" t="s">
        <v>1730</v>
      </c>
      <c r="E2650">
        <v>20251209</v>
      </c>
      <c r="F2650" s="1" t="s">
        <v>1473</v>
      </c>
      <c r="G2650">
        <v>4</v>
      </c>
      <c r="H2650" s="1" t="s">
        <v>1521</v>
      </c>
      <c r="I2650" t="s">
        <v>1901</v>
      </c>
      <c r="J2650" s="1" t="s">
        <v>1453</v>
      </c>
      <c r="K2650" s="1" t="s">
        <v>1596</v>
      </c>
      <c r="L2650" s="1" t="s">
        <v>1718</v>
      </c>
      <c r="M2650" s="1" t="s">
        <v>1836</v>
      </c>
      <c r="N2650" t="s">
        <v>1971</v>
      </c>
      <c r="O2650" t="s">
        <v>2164</v>
      </c>
      <c r="P2650" t="s">
        <v>3444</v>
      </c>
      <c r="Q2650">
        <v>138.32</v>
      </c>
      <c r="R2650" s="1" t="s">
        <v>1839</v>
      </c>
      <c r="S2650">
        <v>0</v>
      </c>
      <c r="T2650">
        <v>0</v>
      </c>
    </row>
    <row r="2651" spans="1:20" hidden="1" x14ac:dyDescent="0.4">
      <c r="A2651" s="1" t="s">
        <v>955</v>
      </c>
      <c r="B2651" s="1" t="s">
        <v>1453</v>
      </c>
      <c r="C2651" s="1" t="s">
        <v>1844</v>
      </c>
      <c r="D2651" s="1" t="s">
        <v>1730</v>
      </c>
      <c r="E2651">
        <v>20251209</v>
      </c>
      <c r="F2651" s="1" t="s">
        <v>1473</v>
      </c>
      <c r="G2651">
        <v>4</v>
      </c>
      <c r="H2651" s="1" t="s">
        <v>1521</v>
      </c>
      <c r="I2651" t="s">
        <v>1901</v>
      </c>
      <c r="J2651" s="1" t="s">
        <v>1453</v>
      </c>
      <c r="K2651" s="1" t="s">
        <v>1583</v>
      </c>
      <c r="L2651" s="1" t="s">
        <v>1718</v>
      </c>
      <c r="M2651" s="1" t="s">
        <v>1751</v>
      </c>
      <c r="N2651" t="s">
        <v>1958</v>
      </c>
      <c r="O2651" t="s">
        <v>2164</v>
      </c>
      <c r="P2651" t="s">
        <v>3064</v>
      </c>
      <c r="Q2651">
        <v>122.66</v>
      </c>
      <c r="R2651" s="1" t="s">
        <v>1839</v>
      </c>
      <c r="S2651">
        <v>0</v>
      </c>
      <c r="T2651">
        <v>0</v>
      </c>
    </row>
    <row r="2652" spans="1:20" hidden="1" x14ac:dyDescent="0.4">
      <c r="A2652" s="1" t="s">
        <v>955</v>
      </c>
      <c r="B2652" s="1" t="s">
        <v>1454</v>
      </c>
      <c r="C2652" s="1" t="s">
        <v>1844</v>
      </c>
      <c r="D2652" s="1" t="s">
        <v>1730</v>
      </c>
      <c r="E2652">
        <v>20251209</v>
      </c>
      <c r="F2652" s="1" t="s">
        <v>1473</v>
      </c>
      <c r="G2652">
        <v>4</v>
      </c>
      <c r="H2652" s="1" t="s">
        <v>1521</v>
      </c>
      <c r="I2652" t="s">
        <v>1901</v>
      </c>
      <c r="J2652" s="1" t="s">
        <v>1453</v>
      </c>
      <c r="K2652" s="1" t="s">
        <v>1583</v>
      </c>
      <c r="L2652" s="1" t="s">
        <v>1718</v>
      </c>
      <c r="M2652" s="1" t="s">
        <v>1760</v>
      </c>
      <c r="N2652" t="s">
        <v>1958</v>
      </c>
      <c r="O2652" t="s">
        <v>2164</v>
      </c>
      <c r="P2652" t="s">
        <v>3075</v>
      </c>
      <c r="Q2652">
        <v>123.76</v>
      </c>
      <c r="R2652" s="1" t="s">
        <v>1839</v>
      </c>
      <c r="S2652">
        <v>0</v>
      </c>
      <c r="T2652">
        <v>0</v>
      </c>
    </row>
    <row r="2653" spans="1:20" hidden="1" x14ac:dyDescent="0.4">
      <c r="A2653" s="1" t="s">
        <v>955</v>
      </c>
      <c r="B2653" s="1" t="s">
        <v>1455</v>
      </c>
      <c r="C2653" s="1" t="s">
        <v>1844</v>
      </c>
      <c r="D2653" s="1" t="s">
        <v>1730</v>
      </c>
      <c r="E2653">
        <v>20251209</v>
      </c>
      <c r="F2653" s="1" t="s">
        <v>1473</v>
      </c>
      <c r="G2653">
        <v>4</v>
      </c>
      <c r="H2653" s="1" t="s">
        <v>1521</v>
      </c>
      <c r="I2653" t="s">
        <v>1901</v>
      </c>
      <c r="J2653" s="1" t="s">
        <v>1453</v>
      </c>
      <c r="K2653" s="1" t="s">
        <v>1596</v>
      </c>
      <c r="L2653" s="1" t="s">
        <v>1718</v>
      </c>
      <c r="M2653" s="1" t="s">
        <v>1836</v>
      </c>
      <c r="N2653" t="s">
        <v>1971</v>
      </c>
      <c r="O2653" t="s">
        <v>2164</v>
      </c>
      <c r="P2653" t="s">
        <v>3444</v>
      </c>
      <c r="Q2653">
        <v>131.04</v>
      </c>
      <c r="R2653" s="1" t="s">
        <v>1839</v>
      </c>
      <c r="S2653">
        <v>0</v>
      </c>
      <c r="T2653">
        <v>0</v>
      </c>
    </row>
    <row r="2654" spans="1:20" hidden="1" x14ac:dyDescent="0.4">
      <c r="A2654" s="1" t="s">
        <v>956</v>
      </c>
      <c r="B2654" s="1" t="s">
        <v>1453</v>
      </c>
      <c r="C2654" s="1" t="s">
        <v>1844</v>
      </c>
      <c r="D2654" s="1" t="s">
        <v>1730</v>
      </c>
      <c r="E2654">
        <v>20251209</v>
      </c>
      <c r="F2654" s="1" t="s">
        <v>1473</v>
      </c>
      <c r="G2654">
        <v>4</v>
      </c>
      <c r="H2654" s="1" t="s">
        <v>1521</v>
      </c>
      <c r="I2654" t="s">
        <v>1901</v>
      </c>
      <c r="J2654" s="1" t="s">
        <v>1453</v>
      </c>
      <c r="K2654" s="1" t="s">
        <v>1583</v>
      </c>
      <c r="L2654" s="1" t="s">
        <v>1718</v>
      </c>
      <c r="M2654" s="1" t="s">
        <v>1751</v>
      </c>
      <c r="N2654" t="s">
        <v>1958</v>
      </c>
      <c r="O2654" t="s">
        <v>2164</v>
      </c>
      <c r="P2654" t="s">
        <v>3064</v>
      </c>
      <c r="Q2654">
        <v>111.02</v>
      </c>
      <c r="R2654" s="1" t="s">
        <v>1839</v>
      </c>
      <c r="S2654">
        <v>0</v>
      </c>
      <c r="T2654">
        <v>0</v>
      </c>
    </row>
    <row r="2655" spans="1:20" hidden="1" x14ac:dyDescent="0.4">
      <c r="A2655" s="1" t="s">
        <v>956</v>
      </c>
      <c r="B2655" s="1" t="s">
        <v>1454</v>
      </c>
      <c r="C2655" s="1" t="s">
        <v>1844</v>
      </c>
      <c r="D2655" s="1" t="s">
        <v>1730</v>
      </c>
      <c r="E2655">
        <v>20251209</v>
      </c>
      <c r="F2655" s="1" t="s">
        <v>1473</v>
      </c>
      <c r="G2655">
        <v>4</v>
      </c>
      <c r="H2655" s="1" t="s">
        <v>1521</v>
      </c>
      <c r="I2655" t="s">
        <v>1901</v>
      </c>
      <c r="J2655" s="1" t="s">
        <v>1453</v>
      </c>
      <c r="K2655" s="1" t="s">
        <v>1583</v>
      </c>
      <c r="L2655" s="1" t="s">
        <v>1718</v>
      </c>
      <c r="M2655" s="1" t="s">
        <v>1824</v>
      </c>
      <c r="N2655" t="s">
        <v>1958</v>
      </c>
      <c r="O2655" t="s">
        <v>2164</v>
      </c>
      <c r="P2655" t="s">
        <v>3316</v>
      </c>
      <c r="Q2655">
        <v>109.2</v>
      </c>
      <c r="R2655" s="1" t="s">
        <v>1839</v>
      </c>
      <c r="S2655">
        <v>0</v>
      </c>
      <c r="T2655">
        <v>0</v>
      </c>
    </row>
    <row r="2656" spans="1:20" hidden="1" x14ac:dyDescent="0.4">
      <c r="A2656" s="1" t="s">
        <v>957</v>
      </c>
      <c r="B2656" s="1" t="s">
        <v>1453</v>
      </c>
      <c r="C2656" s="1" t="s">
        <v>1844</v>
      </c>
      <c r="D2656" s="1" t="s">
        <v>1467</v>
      </c>
      <c r="E2656">
        <v>20251209</v>
      </c>
      <c r="F2656" s="1" t="s">
        <v>1470</v>
      </c>
      <c r="G2656">
        <v>4</v>
      </c>
      <c r="H2656" s="1" t="s">
        <v>1503</v>
      </c>
      <c r="I2656" t="s">
        <v>1883</v>
      </c>
      <c r="J2656" s="1" t="s">
        <v>1456</v>
      </c>
      <c r="K2656" s="1" t="s">
        <v>1612</v>
      </c>
      <c r="L2656" s="1" t="s">
        <v>1729</v>
      </c>
      <c r="M2656" s="1" t="s">
        <v>1737</v>
      </c>
      <c r="N2656" t="s">
        <v>1986</v>
      </c>
      <c r="O2656" t="s">
        <v>2462</v>
      </c>
      <c r="P2656" t="s">
        <v>2157</v>
      </c>
      <c r="Q2656">
        <v>12.3</v>
      </c>
      <c r="R2656" s="1" t="s">
        <v>1839</v>
      </c>
      <c r="S2656">
        <v>1251</v>
      </c>
      <c r="T2656">
        <v>15387</v>
      </c>
    </row>
    <row r="2657" spans="1:20" hidden="1" x14ac:dyDescent="0.4">
      <c r="A2657" s="1" t="s">
        <v>957</v>
      </c>
      <c r="B2657" s="1" t="s">
        <v>1454</v>
      </c>
      <c r="C2657" s="1" t="s">
        <v>1844</v>
      </c>
      <c r="D2657" s="1" t="s">
        <v>1467</v>
      </c>
      <c r="E2657">
        <v>20251209</v>
      </c>
      <c r="F2657" s="1" t="s">
        <v>1470</v>
      </c>
      <c r="G2657">
        <v>4</v>
      </c>
      <c r="H2657" s="1" t="s">
        <v>1503</v>
      </c>
      <c r="I2657" t="s">
        <v>1883</v>
      </c>
      <c r="J2657" s="1" t="s">
        <v>1456</v>
      </c>
      <c r="K2657" s="1" t="s">
        <v>1612</v>
      </c>
      <c r="L2657" s="1" t="s">
        <v>1729</v>
      </c>
      <c r="M2657" s="1" t="s">
        <v>1737</v>
      </c>
      <c r="N2657" t="s">
        <v>1986</v>
      </c>
      <c r="O2657" t="s">
        <v>2463</v>
      </c>
      <c r="P2657" t="s">
        <v>2157</v>
      </c>
      <c r="Q2657">
        <v>12.3</v>
      </c>
      <c r="R2657" s="1" t="s">
        <v>1839</v>
      </c>
      <c r="S2657">
        <v>1251</v>
      </c>
      <c r="T2657">
        <v>15387</v>
      </c>
    </row>
    <row r="2658" spans="1:20" hidden="1" x14ac:dyDescent="0.4">
      <c r="A2658" s="1" t="s">
        <v>957</v>
      </c>
      <c r="B2658" s="1" t="s">
        <v>1455</v>
      </c>
      <c r="C2658" s="1" t="s">
        <v>1844</v>
      </c>
      <c r="D2658" s="1" t="s">
        <v>1467</v>
      </c>
      <c r="E2658">
        <v>20251209</v>
      </c>
      <c r="F2658" s="1" t="s">
        <v>1470</v>
      </c>
      <c r="G2658">
        <v>4</v>
      </c>
      <c r="H2658" s="1" t="s">
        <v>1503</v>
      </c>
      <c r="I2658" t="s">
        <v>1883</v>
      </c>
      <c r="J2658" s="1" t="s">
        <v>1456</v>
      </c>
      <c r="K2658" s="1" t="s">
        <v>1612</v>
      </c>
      <c r="L2658" s="1" t="s">
        <v>1729</v>
      </c>
      <c r="M2658" s="1" t="s">
        <v>1737</v>
      </c>
      <c r="N2658" t="s">
        <v>1986</v>
      </c>
      <c r="O2658" t="s">
        <v>2464</v>
      </c>
      <c r="P2658" t="s">
        <v>2157</v>
      </c>
      <c r="Q2658">
        <v>12.3</v>
      </c>
      <c r="R2658" s="1" t="s">
        <v>1839</v>
      </c>
      <c r="S2658">
        <v>1251</v>
      </c>
      <c r="T2658">
        <v>15387</v>
      </c>
    </row>
    <row r="2659" spans="1:20" hidden="1" x14ac:dyDescent="0.4">
      <c r="A2659" s="1" t="s">
        <v>957</v>
      </c>
      <c r="B2659" s="1" t="s">
        <v>1456</v>
      </c>
      <c r="C2659" s="1" t="s">
        <v>1844</v>
      </c>
      <c r="D2659" s="1" t="s">
        <v>1467</v>
      </c>
      <c r="E2659">
        <v>20251209</v>
      </c>
      <c r="F2659" s="1" t="s">
        <v>1470</v>
      </c>
      <c r="G2659">
        <v>4</v>
      </c>
      <c r="H2659" s="1" t="s">
        <v>1503</v>
      </c>
      <c r="I2659" t="s">
        <v>1883</v>
      </c>
      <c r="J2659" s="1" t="s">
        <v>1456</v>
      </c>
      <c r="K2659" s="1" t="s">
        <v>1612</v>
      </c>
      <c r="L2659" s="1" t="s">
        <v>1729</v>
      </c>
      <c r="M2659" s="1" t="s">
        <v>1737</v>
      </c>
      <c r="N2659" t="s">
        <v>1986</v>
      </c>
      <c r="O2659" t="s">
        <v>2465</v>
      </c>
      <c r="P2659" t="s">
        <v>2157</v>
      </c>
      <c r="Q2659">
        <v>12.3</v>
      </c>
      <c r="R2659" s="1" t="s">
        <v>1839</v>
      </c>
      <c r="S2659">
        <v>1251</v>
      </c>
      <c r="T2659">
        <v>15387</v>
      </c>
    </row>
    <row r="2660" spans="1:20" hidden="1" x14ac:dyDescent="0.4">
      <c r="A2660" s="1" t="s">
        <v>957</v>
      </c>
      <c r="B2660" s="1" t="s">
        <v>1457</v>
      </c>
      <c r="C2660" s="1" t="s">
        <v>1844</v>
      </c>
      <c r="D2660" s="1" t="s">
        <v>1467</v>
      </c>
      <c r="E2660">
        <v>20251209</v>
      </c>
      <c r="F2660" s="1" t="s">
        <v>1470</v>
      </c>
      <c r="G2660">
        <v>4</v>
      </c>
      <c r="H2660" s="1" t="s">
        <v>1503</v>
      </c>
      <c r="I2660" t="s">
        <v>1883</v>
      </c>
      <c r="J2660" s="1" t="s">
        <v>1456</v>
      </c>
      <c r="K2660" s="1" t="s">
        <v>1612</v>
      </c>
      <c r="L2660" s="1" t="s">
        <v>1729</v>
      </c>
      <c r="M2660" s="1" t="s">
        <v>1737</v>
      </c>
      <c r="N2660" t="s">
        <v>1986</v>
      </c>
      <c r="O2660" t="s">
        <v>2466</v>
      </c>
      <c r="P2660" t="s">
        <v>2157</v>
      </c>
      <c r="Q2660">
        <v>12.3</v>
      </c>
      <c r="R2660" s="1" t="s">
        <v>1839</v>
      </c>
      <c r="S2660">
        <v>1251</v>
      </c>
      <c r="T2660">
        <v>15387</v>
      </c>
    </row>
    <row r="2661" spans="1:20" hidden="1" x14ac:dyDescent="0.4">
      <c r="A2661" s="1" t="s">
        <v>957</v>
      </c>
      <c r="B2661" s="1" t="s">
        <v>1458</v>
      </c>
      <c r="C2661" s="1" t="s">
        <v>1844</v>
      </c>
      <c r="D2661" s="1" t="s">
        <v>1467</v>
      </c>
      <c r="E2661">
        <v>20251209</v>
      </c>
      <c r="F2661" s="1" t="s">
        <v>1470</v>
      </c>
      <c r="G2661">
        <v>4</v>
      </c>
      <c r="H2661" s="1" t="s">
        <v>1503</v>
      </c>
      <c r="I2661" t="s">
        <v>1883</v>
      </c>
      <c r="J2661" s="1" t="s">
        <v>1456</v>
      </c>
      <c r="K2661" s="1" t="s">
        <v>1612</v>
      </c>
      <c r="L2661" s="1" t="s">
        <v>1729</v>
      </c>
      <c r="M2661" s="1" t="s">
        <v>1737</v>
      </c>
      <c r="N2661" t="s">
        <v>1986</v>
      </c>
      <c r="O2661" t="s">
        <v>2467</v>
      </c>
      <c r="P2661" t="s">
        <v>2157</v>
      </c>
      <c r="Q2661">
        <v>12.3</v>
      </c>
      <c r="R2661" s="1" t="s">
        <v>1839</v>
      </c>
      <c r="S2661">
        <v>1251</v>
      </c>
      <c r="T2661">
        <v>15387</v>
      </c>
    </row>
    <row r="2662" spans="1:20" hidden="1" x14ac:dyDescent="0.4">
      <c r="A2662" s="1" t="s">
        <v>957</v>
      </c>
      <c r="B2662" s="1" t="s">
        <v>1459</v>
      </c>
      <c r="C2662" s="1" t="s">
        <v>1844</v>
      </c>
      <c r="D2662" s="1" t="s">
        <v>1467</v>
      </c>
      <c r="E2662">
        <v>20251209</v>
      </c>
      <c r="F2662" s="1" t="s">
        <v>1470</v>
      </c>
      <c r="G2662">
        <v>4</v>
      </c>
      <c r="H2662" s="1" t="s">
        <v>1503</v>
      </c>
      <c r="I2662" t="s">
        <v>1883</v>
      </c>
      <c r="J2662" s="1" t="s">
        <v>1456</v>
      </c>
      <c r="K2662" s="1" t="s">
        <v>1612</v>
      </c>
      <c r="L2662" s="1" t="s">
        <v>1729</v>
      </c>
      <c r="M2662" s="1" t="s">
        <v>1737</v>
      </c>
      <c r="N2662" t="s">
        <v>1986</v>
      </c>
      <c r="O2662" t="s">
        <v>2468</v>
      </c>
      <c r="P2662" t="s">
        <v>2157</v>
      </c>
      <c r="Q2662">
        <v>12.3</v>
      </c>
      <c r="R2662" s="1" t="s">
        <v>1839</v>
      </c>
      <c r="S2662">
        <v>1251</v>
      </c>
      <c r="T2662">
        <v>15387</v>
      </c>
    </row>
    <row r="2663" spans="1:20" hidden="1" x14ac:dyDescent="0.4">
      <c r="A2663" s="1" t="s">
        <v>958</v>
      </c>
      <c r="B2663" s="1" t="s">
        <v>1453</v>
      </c>
      <c r="C2663" s="1" t="s">
        <v>1844</v>
      </c>
      <c r="D2663" s="1" t="s">
        <v>1730</v>
      </c>
      <c r="E2663">
        <v>20251210</v>
      </c>
      <c r="F2663" s="1" t="s">
        <v>1470</v>
      </c>
      <c r="G2663">
        <v>4</v>
      </c>
      <c r="H2663" s="1" t="s">
        <v>1503</v>
      </c>
      <c r="I2663" t="s">
        <v>1883</v>
      </c>
      <c r="J2663" s="1" t="s">
        <v>1456</v>
      </c>
      <c r="K2663" s="1" t="s">
        <v>1612</v>
      </c>
      <c r="L2663" s="1" t="s">
        <v>1729</v>
      </c>
      <c r="M2663" s="1" t="s">
        <v>1737</v>
      </c>
      <c r="N2663" t="s">
        <v>1986</v>
      </c>
      <c r="O2663" t="s">
        <v>2469</v>
      </c>
      <c r="P2663" t="s">
        <v>3445</v>
      </c>
      <c r="Q2663">
        <v>12.3</v>
      </c>
      <c r="R2663" s="1" t="s">
        <v>1839</v>
      </c>
      <c r="S2663">
        <v>0</v>
      </c>
      <c r="T2663">
        <v>0</v>
      </c>
    </row>
    <row r="2664" spans="1:20" hidden="1" x14ac:dyDescent="0.4">
      <c r="A2664" s="1" t="s">
        <v>959</v>
      </c>
      <c r="B2664" s="1" t="s">
        <v>1453</v>
      </c>
      <c r="C2664" s="1" t="s">
        <v>1844</v>
      </c>
      <c r="D2664" s="1" t="s">
        <v>1730</v>
      </c>
      <c r="E2664">
        <v>20251210</v>
      </c>
      <c r="F2664" s="1" t="s">
        <v>1470</v>
      </c>
      <c r="G2664">
        <v>4</v>
      </c>
      <c r="H2664" s="1" t="s">
        <v>1503</v>
      </c>
      <c r="I2664" t="s">
        <v>1883</v>
      </c>
      <c r="J2664" s="1" t="s">
        <v>1456</v>
      </c>
      <c r="K2664" s="1" t="s">
        <v>1612</v>
      </c>
      <c r="L2664" s="1" t="s">
        <v>1729</v>
      </c>
      <c r="M2664" s="1" t="s">
        <v>1737</v>
      </c>
      <c r="N2664" t="s">
        <v>1986</v>
      </c>
      <c r="O2664" t="s">
        <v>2470</v>
      </c>
      <c r="P2664" t="s">
        <v>2462</v>
      </c>
      <c r="Q2664">
        <v>12.3</v>
      </c>
      <c r="R2664" s="1" t="s">
        <v>1839</v>
      </c>
      <c r="S2664">
        <v>0</v>
      </c>
      <c r="T2664">
        <v>0</v>
      </c>
    </row>
    <row r="2665" spans="1:20" hidden="1" x14ac:dyDescent="0.4">
      <c r="A2665" s="1" t="s">
        <v>959</v>
      </c>
      <c r="B2665" s="1" t="s">
        <v>1454</v>
      </c>
      <c r="C2665" s="1" t="s">
        <v>1844</v>
      </c>
      <c r="D2665" s="1" t="s">
        <v>1730</v>
      </c>
      <c r="E2665">
        <v>20251210</v>
      </c>
      <c r="F2665" s="1" t="s">
        <v>1470</v>
      </c>
      <c r="G2665">
        <v>4</v>
      </c>
      <c r="H2665" s="1" t="s">
        <v>1503</v>
      </c>
      <c r="I2665" t="s">
        <v>1883</v>
      </c>
      <c r="J2665" s="1" t="s">
        <v>1456</v>
      </c>
      <c r="K2665" s="1" t="s">
        <v>1612</v>
      </c>
      <c r="L2665" s="1" t="s">
        <v>1729</v>
      </c>
      <c r="M2665" s="1" t="s">
        <v>1737</v>
      </c>
      <c r="N2665" t="s">
        <v>1986</v>
      </c>
      <c r="O2665" t="s">
        <v>2470</v>
      </c>
      <c r="P2665" t="s">
        <v>2463</v>
      </c>
      <c r="Q2665">
        <v>12.3</v>
      </c>
      <c r="R2665" s="1" t="s">
        <v>1839</v>
      </c>
      <c r="S2665">
        <v>0</v>
      </c>
      <c r="T2665">
        <v>0</v>
      </c>
    </row>
    <row r="2666" spans="1:20" hidden="1" x14ac:dyDescent="0.4">
      <c r="A2666" s="1" t="s">
        <v>960</v>
      </c>
      <c r="B2666" s="1" t="s">
        <v>1453</v>
      </c>
      <c r="C2666" s="1" t="s">
        <v>1844</v>
      </c>
      <c r="D2666" s="1" t="s">
        <v>1462</v>
      </c>
      <c r="E2666">
        <v>20251209</v>
      </c>
      <c r="F2666" s="1" t="s">
        <v>1471</v>
      </c>
      <c r="G2666">
        <v>4</v>
      </c>
      <c r="H2666" s="1" t="s">
        <v>1516</v>
      </c>
      <c r="I2666" t="s">
        <v>1896</v>
      </c>
      <c r="J2666" s="1" t="s">
        <v>1460</v>
      </c>
      <c r="K2666" s="1" t="s">
        <v>1641</v>
      </c>
      <c r="L2666" s="1" t="s">
        <v>1730</v>
      </c>
      <c r="M2666" s="1" t="s">
        <v>1768</v>
      </c>
      <c r="N2666" t="s">
        <v>2102</v>
      </c>
      <c r="O2666" t="s">
        <v>2175</v>
      </c>
      <c r="P2666" t="s">
        <v>3167</v>
      </c>
      <c r="Q2666">
        <v>10</v>
      </c>
      <c r="R2666" s="1" t="s">
        <v>1718</v>
      </c>
      <c r="S2666">
        <v>3537</v>
      </c>
      <c r="T2666">
        <v>35370</v>
      </c>
    </row>
    <row r="2667" spans="1:20" hidden="1" x14ac:dyDescent="0.4">
      <c r="A2667" s="1" t="s">
        <v>960</v>
      </c>
      <c r="B2667" s="1" t="s">
        <v>1454</v>
      </c>
      <c r="C2667" s="1" t="s">
        <v>1844</v>
      </c>
      <c r="D2667" s="1" t="s">
        <v>1462</v>
      </c>
      <c r="E2667">
        <v>20251209</v>
      </c>
      <c r="F2667" s="1" t="s">
        <v>1471</v>
      </c>
      <c r="G2667">
        <v>4</v>
      </c>
      <c r="H2667" s="1" t="s">
        <v>1516</v>
      </c>
      <c r="I2667" t="s">
        <v>1896</v>
      </c>
      <c r="J2667" s="1" t="s">
        <v>1460</v>
      </c>
      <c r="K2667" s="1" t="s">
        <v>1642</v>
      </c>
      <c r="L2667" s="1" t="s">
        <v>1725</v>
      </c>
      <c r="M2667" s="1" t="s">
        <v>1737</v>
      </c>
      <c r="N2667" t="s">
        <v>2023</v>
      </c>
      <c r="O2667" t="s">
        <v>2157</v>
      </c>
      <c r="P2667" t="s">
        <v>2157</v>
      </c>
      <c r="Q2667">
        <v>1</v>
      </c>
      <c r="R2667" s="1" t="s">
        <v>1841</v>
      </c>
      <c r="S2667">
        <v>1000</v>
      </c>
      <c r="T2667">
        <v>1000</v>
      </c>
    </row>
    <row r="2668" spans="1:20" hidden="1" x14ac:dyDescent="0.4">
      <c r="A2668" s="1" t="s">
        <v>961</v>
      </c>
      <c r="B2668" s="1" t="s">
        <v>1453</v>
      </c>
      <c r="C2668" s="1" t="s">
        <v>1844</v>
      </c>
      <c r="D2668" s="1" t="s">
        <v>1462</v>
      </c>
      <c r="E2668">
        <v>20251208</v>
      </c>
      <c r="F2668" s="1" t="s">
        <v>1471</v>
      </c>
      <c r="G2668">
        <v>4</v>
      </c>
      <c r="H2668" s="1" t="s">
        <v>1524</v>
      </c>
      <c r="I2668" t="s">
        <v>1904</v>
      </c>
      <c r="J2668" s="1" t="s">
        <v>1460</v>
      </c>
      <c r="K2668" s="1" t="s">
        <v>1650</v>
      </c>
      <c r="L2668" s="1" t="s">
        <v>1731</v>
      </c>
      <c r="M2668" s="1" t="s">
        <v>1806</v>
      </c>
      <c r="N2668" t="s">
        <v>2032</v>
      </c>
      <c r="O2668" t="s">
        <v>2178</v>
      </c>
      <c r="P2668" t="s">
        <v>3173</v>
      </c>
      <c r="Q2668">
        <v>1000</v>
      </c>
      <c r="R2668" s="1" t="s">
        <v>1463</v>
      </c>
      <c r="S2668">
        <v>556</v>
      </c>
      <c r="T2668">
        <v>556000</v>
      </c>
    </row>
    <row r="2669" spans="1:20" hidden="1" x14ac:dyDescent="0.4">
      <c r="A2669" s="1" t="s">
        <v>962</v>
      </c>
      <c r="B2669" s="1" t="s">
        <v>1453</v>
      </c>
      <c r="C2669" s="1" t="s">
        <v>1844</v>
      </c>
      <c r="D2669" s="1" t="s">
        <v>1462</v>
      </c>
      <c r="E2669">
        <v>20251208</v>
      </c>
      <c r="F2669" s="1" t="s">
        <v>1471</v>
      </c>
      <c r="G2669">
        <v>4</v>
      </c>
      <c r="H2669" s="1" t="s">
        <v>1526</v>
      </c>
      <c r="I2669" t="s">
        <v>1906</v>
      </c>
      <c r="J2669" s="1" t="s">
        <v>1460</v>
      </c>
      <c r="K2669" s="1" t="s">
        <v>1647</v>
      </c>
      <c r="L2669" s="1" t="s">
        <v>1731</v>
      </c>
      <c r="M2669" s="1" t="s">
        <v>1800</v>
      </c>
      <c r="N2669" t="s">
        <v>2029</v>
      </c>
      <c r="O2669" t="s">
        <v>2178</v>
      </c>
      <c r="P2669" t="s">
        <v>3161</v>
      </c>
      <c r="Q2669">
        <v>2000</v>
      </c>
      <c r="R2669" s="1" t="s">
        <v>1463</v>
      </c>
      <c r="S2669">
        <v>490</v>
      </c>
      <c r="T2669">
        <v>980000</v>
      </c>
    </row>
    <row r="2670" spans="1:20" hidden="1" x14ac:dyDescent="0.4">
      <c r="A2670" s="1" t="s">
        <v>963</v>
      </c>
      <c r="B2670" s="1" t="s">
        <v>1453</v>
      </c>
      <c r="C2670" s="1" t="s">
        <v>1844</v>
      </c>
      <c r="D2670" s="1" t="s">
        <v>1462</v>
      </c>
      <c r="E2670">
        <v>20251208</v>
      </c>
      <c r="F2670" s="1" t="s">
        <v>1471</v>
      </c>
      <c r="G2670">
        <v>4</v>
      </c>
      <c r="H2670" s="1" t="s">
        <v>1526</v>
      </c>
      <c r="I2670" t="s">
        <v>1906</v>
      </c>
      <c r="J2670" s="1" t="s">
        <v>1460</v>
      </c>
      <c r="K2670" s="1" t="s">
        <v>1647</v>
      </c>
      <c r="L2670" s="1" t="s">
        <v>1731</v>
      </c>
      <c r="M2670" s="1" t="s">
        <v>1800</v>
      </c>
      <c r="N2670" t="s">
        <v>2029</v>
      </c>
      <c r="O2670" t="s">
        <v>2178</v>
      </c>
      <c r="P2670" t="s">
        <v>3161</v>
      </c>
      <c r="Q2670">
        <v>250</v>
      </c>
      <c r="R2670" s="1" t="s">
        <v>1463</v>
      </c>
      <c r="S2670">
        <v>490</v>
      </c>
      <c r="T2670">
        <v>122500</v>
      </c>
    </row>
    <row r="2671" spans="1:20" hidden="1" x14ac:dyDescent="0.4">
      <c r="A2671" s="1" t="s">
        <v>964</v>
      </c>
      <c r="B2671" s="1" t="s">
        <v>1453</v>
      </c>
      <c r="C2671" s="1" t="s">
        <v>1844</v>
      </c>
      <c r="D2671" s="1" t="s">
        <v>1731</v>
      </c>
      <c r="E2671">
        <v>20251209</v>
      </c>
      <c r="F2671" s="1" t="s">
        <v>1473</v>
      </c>
      <c r="G2671">
        <v>1</v>
      </c>
      <c r="H2671" s="1" t="s">
        <v>1494</v>
      </c>
      <c r="I2671" t="s">
        <v>1874</v>
      </c>
      <c r="J2671" s="1" t="s">
        <v>1453</v>
      </c>
      <c r="K2671" s="1" t="s">
        <v>1609</v>
      </c>
      <c r="L2671" s="1" t="s">
        <v>1716</v>
      </c>
      <c r="M2671" s="1" t="s">
        <v>1770</v>
      </c>
      <c r="N2671" t="s">
        <v>1983</v>
      </c>
      <c r="O2671" t="s">
        <v>2162</v>
      </c>
      <c r="P2671" t="s">
        <v>3094</v>
      </c>
      <c r="Q2671">
        <v>912.25</v>
      </c>
      <c r="R2671" s="1" t="s">
        <v>1463</v>
      </c>
      <c r="S2671">
        <v>1095</v>
      </c>
      <c r="T2671">
        <v>998913</v>
      </c>
    </row>
    <row r="2672" spans="1:20" hidden="1" x14ac:dyDescent="0.4">
      <c r="A2672" s="1" t="s">
        <v>965</v>
      </c>
      <c r="B2672" s="1" t="s">
        <v>1453</v>
      </c>
      <c r="C2672" s="1" t="s">
        <v>1844</v>
      </c>
      <c r="D2672" s="1" t="s">
        <v>1731</v>
      </c>
      <c r="E2672">
        <v>20251209</v>
      </c>
      <c r="F2672" s="1" t="s">
        <v>1470</v>
      </c>
      <c r="G2672">
        <v>1</v>
      </c>
      <c r="H2672" s="1" t="s">
        <v>1494</v>
      </c>
      <c r="I2672" t="s">
        <v>1874</v>
      </c>
      <c r="J2672" s="1" t="s">
        <v>1456</v>
      </c>
      <c r="K2672" s="1" t="s">
        <v>1632</v>
      </c>
      <c r="L2672" s="1" t="s">
        <v>1716</v>
      </c>
      <c r="M2672" s="1" t="s">
        <v>1735</v>
      </c>
      <c r="N2672" t="s">
        <v>2010</v>
      </c>
      <c r="O2672" t="s">
        <v>2162</v>
      </c>
      <c r="P2672" t="s">
        <v>3174</v>
      </c>
      <c r="Q2672">
        <v>1666.9</v>
      </c>
      <c r="R2672" s="1" t="s">
        <v>1463</v>
      </c>
      <c r="S2672">
        <v>2670</v>
      </c>
      <c r="T2672">
        <v>4450623</v>
      </c>
    </row>
    <row r="2673" spans="1:20" hidden="1" x14ac:dyDescent="0.4">
      <c r="A2673" s="1" t="s">
        <v>966</v>
      </c>
      <c r="B2673" s="1" t="s">
        <v>1453</v>
      </c>
      <c r="C2673" s="1" t="s">
        <v>1844</v>
      </c>
      <c r="D2673" s="1" t="s">
        <v>1467</v>
      </c>
      <c r="E2673">
        <v>20251209</v>
      </c>
      <c r="F2673" s="1" t="s">
        <v>1473</v>
      </c>
      <c r="G2673">
        <v>4</v>
      </c>
      <c r="H2673" s="1" t="s">
        <v>1521</v>
      </c>
      <c r="I2673" t="s">
        <v>1901</v>
      </c>
      <c r="J2673" s="1" t="s">
        <v>1453</v>
      </c>
      <c r="K2673" s="1" t="s">
        <v>1583</v>
      </c>
      <c r="L2673" s="1" t="s">
        <v>1718</v>
      </c>
      <c r="M2673" s="1" t="s">
        <v>1760</v>
      </c>
      <c r="N2673" t="s">
        <v>1958</v>
      </c>
      <c r="O2673" t="s">
        <v>2164</v>
      </c>
      <c r="P2673" t="s">
        <v>3075</v>
      </c>
      <c r="Q2673">
        <v>109.2</v>
      </c>
      <c r="R2673" s="1" t="s">
        <v>1839</v>
      </c>
      <c r="S2673">
        <v>2345</v>
      </c>
      <c r="T2673">
        <v>256074</v>
      </c>
    </row>
    <row r="2674" spans="1:20" hidden="1" x14ac:dyDescent="0.4">
      <c r="A2674" s="1" t="s">
        <v>966</v>
      </c>
      <c r="B2674" s="1" t="s">
        <v>1454</v>
      </c>
      <c r="C2674" s="1" t="s">
        <v>1844</v>
      </c>
      <c r="D2674" s="1" t="s">
        <v>1467</v>
      </c>
      <c r="E2674">
        <v>20251209</v>
      </c>
      <c r="F2674" s="1" t="s">
        <v>1473</v>
      </c>
      <c r="G2674">
        <v>4</v>
      </c>
      <c r="H2674" s="1" t="s">
        <v>1521</v>
      </c>
      <c r="I2674" t="s">
        <v>1901</v>
      </c>
      <c r="J2674" s="1" t="s">
        <v>1453</v>
      </c>
      <c r="K2674" s="1" t="s">
        <v>1583</v>
      </c>
      <c r="L2674" s="1" t="s">
        <v>1718</v>
      </c>
      <c r="M2674" s="1" t="s">
        <v>1760</v>
      </c>
      <c r="N2674" t="s">
        <v>1958</v>
      </c>
      <c r="O2674" t="s">
        <v>2164</v>
      </c>
      <c r="P2674" t="s">
        <v>3075</v>
      </c>
      <c r="Q2674">
        <v>109.2</v>
      </c>
      <c r="R2674" s="1" t="s">
        <v>1839</v>
      </c>
      <c r="S2674">
        <v>2345</v>
      </c>
      <c r="T2674">
        <v>256074</v>
      </c>
    </row>
    <row r="2675" spans="1:20" hidden="1" x14ac:dyDescent="0.4">
      <c r="A2675" s="1" t="s">
        <v>966</v>
      </c>
      <c r="B2675" s="1" t="s">
        <v>1455</v>
      </c>
      <c r="C2675" s="1" t="s">
        <v>1844</v>
      </c>
      <c r="D2675" s="1" t="s">
        <v>1467</v>
      </c>
      <c r="E2675">
        <v>20251209</v>
      </c>
      <c r="F2675" s="1" t="s">
        <v>1473</v>
      </c>
      <c r="G2675">
        <v>4</v>
      </c>
      <c r="H2675" s="1" t="s">
        <v>1521</v>
      </c>
      <c r="I2675" t="s">
        <v>1901</v>
      </c>
      <c r="J2675" s="1" t="s">
        <v>1453</v>
      </c>
      <c r="K2675" s="1" t="s">
        <v>1583</v>
      </c>
      <c r="L2675" s="1" t="s">
        <v>1718</v>
      </c>
      <c r="M2675" s="1" t="s">
        <v>1760</v>
      </c>
      <c r="N2675" t="s">
        <v>1958</v>
      </c>
      <c r="O2675" t="s">
        <v>2164</v>
      </c>
      <c r="P2675" t="s">
        <v>3075</v>
      </c>
      <c r="Q2675">
        <v>109.2</v>
      </c>
      <c r="R2675" s="1" t="s">
        <v>1839</v>
      </c>
      <c r="S2675">
        <v>2345</v>
      </c>
      <c r="T2675">
        <v>256074</v>
      </c>
    </row>
    <row r="2676" spans="1:20" hidden="1" x14ac:dyDescent="0.4">
      <c r="A2676" s="1" t="s">
        <v>966</v>
      </c>
      <c r="B2676" s="1" t="s">
        <v>1456</v>
      </c>
      <c r="C2676" s="1" t="s">
        <v>1844</v>
      </c>
      <c r="D2676" s="1" t="s">
        <v>1467</v>
      </c>
      <c r="E2676">
        <v>20251209</v>
      </c>
      <c r="F2676" s="1" t="s">
        <v>1473</v>
      </c>
      <c r="G2676">
        <v>4</v>
      </c>
      <c r="H2676" s="1" t="s">
        <v>1521</v>
      </c>
      <c r="I2676" t="s">
        <v>1901</v>
      </c>
      <c r="J2676" s="1" t="s">
        <v>1453</v>
      </c>
      <c r="K2676" s="1" t="s">
        <v>1583</v>
      </c>
      <c r="L2676" s="1" t="s">
        <v>1718</v>
      </c>
      <c r="M2676" s="1" t="s">
        <v>1760</v>
      </c>
      <c r="N2676" t="s">
        <v>1958</v>
      </c>
      <c r="O2676" t="s">
        <v>2164</v>
      </c>
      <c r="P2676" t="s">
        <v>3075</v>
      </c>
      <c r="Q2676">
        <v>107.38</v>
      </c>
      <c r="R2676" s="1" t="s">
        <v>1839</v>
      </c>
      <c r="S2676">
        <v>2345</v>
      </c>
      <c r="T2676">
        <v>251806</v>
      </c>
    </row>
    <row r="2677" spans="1:20" hidden="1" x14ac:dyDescent="0.4">
      <c r="A2677" s="1" t="s">
        <v>966</v>
      </c>
      <c r="B2677" s="1" t="s">
        <v>1457</v>
      </c>
      <c r="C2677" s="1" t="s">
        <v>1844</v>
      </c>
      <c r="D2677" s="1" t="s">
        <v>1467</v>
      </c>
      <c r="E2677">
        <v>20251209</v>
      </c>
      <c r="F2677" s="1" t="s">
        <v>1473</v>
      </c>
      <c r="G2677">
        <v>4</v>
      </c>
      <c r="H2677" s="1" t="s">
        <v>1521</v>
      </c>
      <c r="I2677" t="s">
        <v>1901</v>
      </c>
      <c r="J2677" s="1" t="s">
        <v>1453</v>
      </c>
      <c r="K2677" s="1" t="s">
        <v>1583</v>
      </c>
      <c r="L2677" s="1" t="s">
        <v>1718</v>
      </c>
      <c r="M2677" s="1" t="s">
        <v>1760</v>
      </c>
      <c r="N2677" t="s">
        <v>1958</v>
      </c>
      <c r="O2677" t="s">
        <v>2164</v>
      </c>
      <c r="P2677" t="s">
        <v>3075</v>
      </c>
      <c r="Q2677">
        <v>109.2</v>
      </c>
      <c r="R2677" s="1" t="s">
        <v>1839</v>
      </c>
      <c r="S2677">
        <v>2345</v>
      </c>
      <c r="T2677">
        <v>256074</v>
      </c>
    </row>
    <row r="2678" spans="1:20" hidden="1" x14ac:dyDescent="0.4">
      <c r="A2678" s="1" t="s">
        <v>966</v>
      </c>
      <c r="B2678" s="1" t="s">
        <v>1458</v>
      </c>
      <c r="C2678" s="1" t="s">
        <v>1844</v>
      </c>
      <c r="D2678" s="1" t="s">
        <v>1467</v>
      </c>
      <c r="E2678">
        <v>20251209</v>
      </c>
      <c r="F2678" s="1" t="s">
        <v>1473</v>
      </c>
      <c r="G2678">
        <v>4</v>
      </c>
      <c r="H2678" s="1" t="s">
        <v>1521</v>
      </c>
      <c r="I2678" t="s">
        <v>1901</v>
      </c>
      <c r="J2678" s="1" t="s">
        <v>1453</v>
      </c>
      <c r="K2678" s="1" t="s">
        <v>1583</v>
      </c>
      <c r="L2678" s="1" t="s">
        <v>1718</v>
      </c>
      <c r="M2678" s="1" t="s">
        <v>1760</v>
      </c>
      <c r="N2678" t="s">
        <v>1958</v>
      </c>
      <c r="O2678" t="s">
        <v>2164</v>
      </c>
      <c r="P2678" t="s">
        <v>3075</v>
      </c>
      <c r="Q2678">
        <v>115.75</v>
      </c>
      <c r="R2678" s="1" t="s">
        <v>1839</v>
      </c>
      <c r="S2678">
        <v>2345</v>
      </c>
      <c r="T2678">
        <v>271434</v>
      </c>
    </row>
    <row r="2679" spans="1:20" hidden="1" x14ac:dyDescent="0.4">
      <c r="A2679" s="1" t="s">
        <v>966</v>
      </c>
      <c r="B2679" s="1" t="s">
        <v>1459</v>
      </c>
      <c r="C2679" s="1" t="s">
        <v>1844</v>
      </c>
      <c r="D2679" s="1" t="s">
        <v>1467</v>
      </c>
      <c r="E2679">
        <v>20251209</v>
      </c>
      <c r="F2679" s="1" t="s">
        <v>1473</v>
      </c>
      <c r="G2679">
        <v>4</v>
      </c>
      <c r="H2679" s="1" t="s">
        <v>1521</v>
      </c>
      <c r="I2679" t="s">
        <v>1901</v>
      </c>
      <c r="J2679" s="1" t="s">
        <v>1453</v>
      </c>
      <c r="K2679" s="1" t="s">
        <v>1583</v>
      </c>
      <c r="L2679" s="1" t="s">
        <v>1718</v>
      </c>
      <c r="M2679" s="1" t="s">
        <v>1760</v>
      </c>
      <c r="N2679" t="s">
        <v>1958</v>
      </c>
      <c r="O2679" t="s">
        <v>2164</v>
      </c>
      <c r="P2679" t="s">
        <v>3075</v>
      </c>
      <c r="Q2679">
        <v>109.2</v>
      </c>
      <c r="R2679" s="1" t="s">
        <v>1839</v>
      </c>
      <c r="S2679">
        <v>2345</v>
      </c>
      <c r="T2679">
        <v>256074</v>
      </c>
    </row>
    <row r="2680" spans="1:20" hidden="1" x14ac:dyDescent="0.4">
      <c r="A2680" s="1" t="s">
        <v>966</v>
      </c>
      <c r="B2680" s="1" t="s">
        <v>1460</v>
      </c>
      <c r="C2680" s="1" t="s">
        <v>1844</v>
      </c>
      <c r="D2680" s="1" t="s">
        <v>1467</v>
      </c>
      <c r="E2680">
        <v>20251209</v>
      </c>
      <c r="F2680" s="1" t="s">
        <v>1473</v>
      </c>
      <c r="G2680">
        <v>4</v>
      </c>
      <c r="H2680" s="1" t="s">
        <v>1521</v>
      </c>
      <c r="I2680" t="s">
        <v>1901</v>
      </c>
      <c r="J2680" s="1" t="s">
        <v>1453</v>
      </c>
      <c r="K2680" s="1" t="s">
        <v>1583</v>
      </c>
      <c r="L2680" s="1" t="s">
        <v>1718</v>
      </c>
      <c r="M2680" s="1" t="s">
        <v>1760</v>
      </c>
      <c r="N2680" t="s">
        <v>1958</v>
      </c>
      <c r="O2680" t="s">
        <v>2164</v>
      </c>
      <c r="P2680" t="s">
        <v>3075</v>
      </c>
      <c r="Q2680">
        <v>109.2</v>
      </c>
      <c r="R2680" s="1" t="s">
        <v>1839</v>
      </c>
      <c r="S2680">
        <v>2345</v>
      </c>
      <c r="T2680">
        <v>256074</v>
      </c>
    </row>
    <row r="2681" spans="1:20" hidden="1" x14ac:dyDescent="0.4">
      <c r="A2681" s="1" t="s">
        <v>966</v>
      </c>
      <c r="B2681" s="1" t="s">
        <v>1461</v>
      </c>
      <c r="C2681" s="1" t="s">
        <v>1844</v>
      </c>
      <c r="D2681" s="1" t="s">
        <v>1467</v>
      </c>
      <c r="E2681">
        <v>20251209</v>
      </c>
      <c r="F2681" s="1" t="s">
        <v>1473</v>
      </c>
      <c r="G2681">
        <v>4</v>
      </c>
      <c r="H2681" s="1" t="s">
        <v>1521</v>
      </c>
      <c r="I2681" t="s">
        <v>1901</v>
      </c>
      <c r="J2681" s="1" t="s">
        <v>1453</v>
      </c>
      <c r="K2681" s="1" t="s">
        <v>1583</v>
      </c>
      <c r="L2681" s="1" t="s">
        <v>1718</v>
      </c>
      <c r="M2681" s="1" t="s">
        <v>1760</v>
      </c>
      <c r="N2681" t="s">
        <v>1958</v>
      </c>
      <c r="O2681" t="s">
        <v>2164</v>
      </c>
      <c r="P2681" t="s">
        <v>3075</v>
      </c>
      <c r="Q2681">
        <v>109.2</v>
      </c>
      <c r="R2681" s="1" t="s">
        <v>1839</v>
      </c>
      <c r="S2681">
        <v>2345</v>
      </c>
      <c r="T2681">
        <v>256074</v>
      </c>
    </row>
    <row r="2682" spans="1:20" hidden="1" x14ac:dyDescent="0.4">
      <c r="A2682" s="1" t="s">
        <v>966</v>
      </c>
      <c r="B2682" s="1" t="s">
        <v>1462</v>
      </c>
      <c r="C2682" s="1" t="s">
        <v>1844</v>
      </c>
      <c r="D2682" s="1" t="s">
        <v>1467</v>
      </c>
      <c r="E2682">
        <v>20251209</v>
      </c>
      <c r="F2682" s="1" t="s">
        <v>1473</v>
      </c>
      <c r="G2682">
        <v>4</v>
      </c>
      <c r="H2682" s="1" t="s">
        <v>1521</v>
      </c>
      <c r="I2682" t="s">
        <v>1901</v>
      </c>
      <c r="J2682" s="1" t="s">
        <v>1453</v>
      </c>
      <c r="K2682" s="1" t="s">
        <v>1583</v>
      </c>
      <c r="L2682" s="1" t="s">
        <v>1718</v>
      </c>
      <c r="M2682" s="1" t="s">
        <v>1760</v>
      </c>
      <c r="N2682" t="s">
        <v>1958</v>
      </c>
      <c r="O2682" t="s">
        <v>2164</v>
      </c>
      <c r="P2682" t="s">
        <v>3075</v>
      </c>
      <c r="Q2682">
        <v>107.38</v>
      </c>
      <c r="R2682" s="1" t="s">
        <v>1839</v>
      </c>
      <c r="S2682">
        <v>2345</v>
      </c>
      <c r="T2682">
        <v>251806</v>
      </c>
    </row>
    <row r="2683" spans="1:20" hidden="1" x14ac:dyDescent="0.4">
      <c r="A2683" s="1" t="s">
        <v>967</v>
      </c>
      <c r="B2683" s="1" t="s">
        <v>1453</v>
      </c>
      <c r="C2683" s="1" t="s">
        <v>1844</v>
      </c>
      <c r="D2683" s="1" t="s">
        <v>1730</v>
      </c>
      <c r="E2683">
        <v>20251210</v>
      </c>
      <c r="F2683" s="1" t="s">
        <v>1470</v>
      </c>
      <c r="G2683">
        <v>4</v>
      </c>
      <c r="H2683" s="1" t="s">
        <v>1503</v>
      </c>
      <c r="I2683" t="s">
        <v>1883</v>
      </c>
      <c r="J2683" s="1" t="s">
        <v>1456</v>
      </c>
      <c r="K2683" s="1" t="s">
        <v>1552</v>
      </c>
      <c r="L2683" s="1" t="s">
        <v>1729</v>
      </c>
      <c r="M2683" s="1" t="s">
        <v>1735</v>
      </c>
      <c r="N2683" t="s">
        <v>2097</v>
      </c>
      <c r="O2683" t="s">
        <v>2471</v>
      </c>
      <c r="P2683" t="s">
        <v>3037</v>
      </c>
      <c r="Q2683">
        <v>2</v>
      </c>
      <c r="R2683" s="1" t="s">
        <v>1718</v>
      </c>
      <c r="S2683">
        <v>0</v>
      </c>
      <c r="T2683">
        <v>0</v>
      </c>
    </row>
    <row r="2684" spans="1:20" hidden="1" x14ac:dyDescent="0.4">
      <c r="A2684" s="1" t="s">
        <v>968</v>
      </c>
      <c r="B2684" s="1" t="s">
        <v>1453</v>
      </c>
      <c r="C2684" s="1" t="s">
        <v>1844</v>
      </c>
      <c r="D2684" s="1" t="s">
        <v>1462</v>
      </c>
      <c r="E2684">
        <v>20251210</v>
      </c>
      <c r="F2684" s="1" t="s">
        <v>1471</v>
      </c>
      <c r="G2684">
        <v>4</v>
      </c>
      <c r="H2684" s="1" t="s">
        <v>1515</v>
      </c>
      <c r="I2684" t="s">
        <v>1895</v>
      </c>
      <c r="J2684" s="1" t="s">
        <v>1460</v>
      </c>
      <c r="K2684" s="1" t="s">
        <v>1695</v>
      </c>
      <c r="L2684" s="1" t="s">
        <v>1720</v>
      </c>
      <c r="M2684" s="1" t="s">
        <v>1801</v>
      </c>
      <c r="N2684" t="s">
        <v>2101</v>
      </c>
      <c r="O2684" t="s">
        <v>2166</v>
      </c>
      <c r="P2684" t="s">
        <v>3257</v>
      </c>
      <c r="Q2684">
        <v>45.3</v>
      </c>
      <c r="R2684" s="1" t="s">
        <v>1840</v>
      </c>
      <c r="S2684">
        <v>917</v>
      </c>
      <c r="T2684">
        <v>41540</v>
      </c>
    </row>
    <row r="2685" spans="1:20" hidden="1" x14ac:dyDescent="0.4">
      <c r="A2685" s="1" t="s">
        <v>968</v>
      </c>
      <c r="B2685" s="1" t="s">
        <v>1454</v>
      </c>
      <c r="C2685" s="1" t="s">
        <v>1844</v>
      </c>
      <c r="D2685" s="1" t="s">
        <v>1462</v>
      </c>
      <c r="E2685">
        <v>20251210</v>
      </c>
      <c r="F2685" s="1" t="s">
        <v>1471</v>
      </c>
      <c r="G2685">
        <v>4</v>
      </c>
      <c r="H2685" s="1" t="s">
        <v>1515</v>
      </c>
      <c r="I2685" t="s">
        <v>1895</v>
      </c>
      <c r="J2685" s="1" t="s">
        <v>1460</v>
      </c>
      <c r="K2685" s="1" t="s">
        <v>1695</v>
      </c>
      <c r="L2685" s="1" t="s">
        <v>1720</v>
      </c>
      <c r="M2685" s="1" t="s">
        <v>1759</v>
      </c>
      <c r="N2685" t="s">
        <v>2101</v>
      </c>
      <c r="O2685" t="s">
        <v>2166</v>
      </c>
      <c r="P2685" t="s">
        <v>3258</v>
      </c>
      <c r="Q2685">
        <v>90</v>
      </c>
      <c r="R2685" s="1" t="s">
        <v>1840</v>
      </c>
      <c r="S2685">
        <v>917</v>
      </c>
      <c r="T2685">
        <v>82530</v>
      </c>
    </row>
    <row r="2686" spans="1:20" hidden="1" x14ac:dyDescent="0.4">
      <c r="A2686" s="1" t="s">
        <v>968</v>
      </c>
      <c r="B2686" s="1" t="s">
        <v>1455</v>
      </c>
      <c r="C2686" s="1" t="s">
        <v>1844</v>
      </c>
      <c r="D2686" s="1" t="s">
        <v>1462</v>
      </c>
      <c r="E2686">
        <v>20251210</v>
      </c>
      <c r="F2686" s="1" t="s">
        <v>1471</v>
      </c>
      <c r="G2686">
        <v>4</v>
      </c>
      <c r="H2686" s="1" t="s">
        <v>1515</v>
      </c>
      <c r="I2686" t="s">
        <v>1895</v>
      </c>
      <c r="J2686" s="1" t="s">
        <v>1460</v>
      </c>
      <c r="K2686" s="1" t="s">
        <v>1695</v>
      </c>
      <c r="L2686" s="1" t="s">
        <v>1720</v>
      </c>
      <c r="M2686" s="1" t="s">
        <v>1821</v>
      </c>
      <c r="N2686" t="s">
        <v>2101</v>
      </c>
      <c r="O2686" t="s">
        <v>2166</v>
      </c>
      <c r="P2686" t="s">
        <v>3074</v>
      </c>
      <c r="Q2686">
        <v>203.8</v>
      </c>
      <c r="R2686" s="1" t="s">
        <v>1840</v>
      </c>
      <c r="S2686">
        <v>917</v>
      </c>
      <c r="T2686">
        <v>186884</v>
      </c>
    </row>
    <row r="2687" spans="1:20" hidden="1" x14ac:dyDescent="0.4">
      <c r="A2687" s="1" t="s">
        <v>968</v>
      </c>
      <c r="B2687" s="1" t="s">
        <v>1456</v>
      </c>
      <c r="C2687" s="1" t="s">
        <v>1844</v>
      </c>
      <c r="D2687" s="1" t="s">
        <v>1462</v>
      </c>
      <c r="E2687">
        <v>20251210</v>
      </c>
      <c r="F2687" s="1" t="s">
        <v>1471</v>
      </c>
      <c r="G2687">
        <v>4</v>
      </c>
      <c r="H2687" s="1" t="s">
        <v>1515</v>
      </c>
      <c r="I2687" t="s">
        <v>1895</v>
      </c>
      <c r="J2687" s="1" t="s">
        <v>1460</v>
      </c>
      <c r="K2687" s="1" t="s">
        <v>1695</v>
      </c>
      <c r="L2687" s="1" t="s">
        <v>1720</v>
      </c>
      <c r="M2687" s="1" t="s">
        <v>1801</v>
      </c>
      <c r="N2687" t="s">
        <v>2101</v>
      </c>
      <c r="O2687" t="s">
        <v>2166</v>
      </c>
      <c r="P2687" t="s">
        <v>3257</v>
      </c>
      <c r="Q2687">
        <v>94.7</v>
      </c>
      <c r="R2687" s="1" t="s">
        <v>1840</v>
      </c>
      <c r="S2687">
        <v>1096</v>
      </c>
      <c r="T2687">
        <v>103791</v>
      </c>
    </row>
    <row r="2688" spans="1:20" hidden="1" x14ac:dyDescent="0.4">
      <c r="A2688" s="1" t="s">
        <v>968</v>
      </c>
      <c r="B2688" s="1" t="s">
        <v>1457</v>
      </c>
      <c r="C2688" s="1" t="s">
        <v>1844</v>
      </c>
      <c r="D2688" s="1" t="s">
        <v>1462</v>
      </c>
      <c r="E2688">
        <v>20251210</v>
      </c>
      <c r="F2688" s="1" t="s">
        <v>1471</v>
      </c>
      <c r="G2688">
        <v>4</v>
      </c>
      <c r="H2688" s="1" t="s">
        <v>1515</v>
      </c>
      <c r="I2688" t="s">
        <v>1895</v>
      </c>
      <c r="J2688" s="1" t="s">
        <v>1460</v>
      </c>
      <c r="K2688" s="1" t="s">
        <v>1695</v>
      </c>
      <c r="L2688" s="1" t="s">
        <v>1720</v>
      </c>
      <c r="M2688" s="1" t="s">
        <v>1759</v>
      </c>
      <c r="N2688" t="s">
        <v>2101</v>
      </c>
      <c r="O2688" t="s">
        <v>2166</v>
      </c>
      <c r="P2688" t="s">
        <v>3258</v>
      </c>
      <c r="Q2688">
        <v>90</v>
      </c>
      <c r="R2688" s="1" t="s">
        <v>1840</v>
      </c>
      <c r="S2688">
        <v>1096</v>
      </c>
      <c r="T2688">
        <v>98640</v>
      </c>
    </row>
    <row r="2689" spans="1:20" hidden="1" x14ac:dyDescent="0.4">
      <c r="A2689" s="1" t="s">
        <v>968</v>
      </c>
      <c r="B2689" s="1" t="s">
        <v>1458</v>
      </c>
      <c r="C2689" s="1" t="s">
        <v>1844</v>
      </c>
      <c r="D2689" s="1" t="s">
        <v>1462</v>
      </c>
      <c r="E2689">
        <v>20251210</v>
      </c>
      <c r="F2689" s="1" t="s">
        <v>1471</v>
      </c>
      <c r="G2689">
        <v>4</v>
      </c>
      <c r="H2689" s="1" t="s">
        <v>1515</v>
      </c>
      <c r="I2689" t="s">
        <v>1895</v>
      </c>
      <c r="J2689" s="1" t="s">
        <v>1460</v>
      </c>
      <c r="K2689" s="1" t="s">
        <v>1695</v>
      </c>
      <c r="L2689" s="1" t="s">
        <v>1720</v>
      </c>
      <c r="M2689" s="1" t="s">
        <v>1821</v>
      </c>
      <c r="N2689" t="s">
        <v>2101</v>
      </c>
      <c r="O2689" t="s">
        <v>2166</v>
      </c>
      <c r="P2689" t="s">
        <v>3074</v>
      </c>
      <c r="Q2689">
        <v>148.5</v>
      </c>
      <c r="R2689" s="1" t="s">
        <v>1840</v>
      </c>
      <c r="S2689">
        <v>1096</v>
      </c>
      <c r="T2689">
        <v>162756</v>
      </c>
    </row>
    <row r="2690" spans="1:20" hidden="1" x14ac:dyDescent="0.4">
      <c r="A2690" s="1" t="s">
        <v>969</v>
      </c>
      <c r="B2690" s="1" t="s">
        <v>1453</v>
      </c>
      <c r="C2690" s="1" t="s">
        <v>1844</v>
      </c>
      <c r="D2690" s="1" t="s">
        <v>1467</v>
      </c>
      <c r="E2690">
        <v>20251215</v>
      </c>
      <c r="F2690" s="1" t="s">
        <v>1471</v>
      </c>
      <c r="G2690">
        <v>4</v>
      </c>
      <c r="H2690" s="1" t="s">
        <v>1531</v>
      </c>
      <c r="I2690" t="s">
        <v>1911</v>
      </c>
      <c r="J2690" s="1" t="s">
        <v>1454</v>
      </c>
      <c r="K2690" s="1" t="s">
        <v>1591</v>
      </c>
      <c r="L2690" s="1" t="s">
        <v>1732</v>
      </c>
      <c r="M2690" s="1" t="s">
        <v>1759</v>
      </c>
      <c r="N2690" t="s">
        <v>1966</v>
      </c>
      <c r="O2690" t="s">
        <v>2166</v>
      </c>
      <c r="P2690" t="s">
        <v>3074</v>
      </c>
      <c r="Q2690">
        <v>736.05</v>
      </c>
      <c r="R2690" s="1" t="s">
        <v>1840</v>
      </c>
      <c r="S2690">
        <v>3416</v>
      </c>
      <c r="T2690">
        <v>2514347</v>
      </c>
    </row>
    <row r="2691" spans="1:20" hidden="1" x14ac:dyDescent="0.4">
      <c r="A2691" s="1" t="s">
        <v>970</v>
      </c>
      <c r="B2691" s="1" t="s">
        <v>1453</v>
      </c>
      <c r="C2691" s="1" t="s">
        <v>1844</v>
      </c>
      <c r="D2691" s="1" t="s">
        <v>1731</v>
      </c>
      <c r="E2691">
        <v>20251209</v>
      </c>
      <c r="F2691" s="1" t="s">
        <v>1473</v>
      </c>
      <c r="G2691">
        <v>1</v>
      </c>
      <c r="H2691" s="1" t="s">
        <v>1494</v>
      </c>
      <c r="I2691" t="s">
        <v>1874</v>
      </c>
      <c r="J2691" s="1" t="s">
        <v>1453</v>
      </c>
      <c r="K2691" s="1" t="s">
        <v>1611</v>
      </c>
      <c r="L2691" s="1" t="s">
        <v>1716</v>
      </c>
      <c r="M2691" s="1" t="s">
        <v>1782</v>
      </c>
      <c r="N2691" t="s">
        <v>1985</v>
      </c>
      <c r="O2691" t="s">
        <v>2162</v>
      </c>
      <c r="P2691" t="s">
        <v>3127</v>
      </c>
      <c r="Q2691">
        <v>1028</v>
      </c>
      <c r="R2691" s="1" t="s">
        <v>1463</v>
      </c>
      <c r="S2691">
        <v>1350</v>
      </c>
      <c r="T2691">
        <v>1387800</v>
      </c>
    </row>
    <row r="2692" spans="1:20" hidden="1" x14ac:dyDescent="0.4">
      <c r="A2692" s="1" t="s">
        <v>971</v>
      </c>
      <c r="B2692" s="1" t="s">
        <v>1453</v>
      </c>
      <c r="C2692" s="1" t="s">
        <v>1844</v>
      </c>
      <c r="D2692" s="1" t="s">
        <v>1731</v>
      </c>
      <c r="E2692">
        <v>20251210</v>
      </c>
      <c r="F2692" s="1" t="s">
        <v>1473</v>
      </c>
      <c r="G2692">
        <v>1</v>
      </c>
      <c r="H2692" s="1" t="s">
        <v>1494</v>
      </c>
      <c r="I2692" t="s">
        <v>1874</v>
      </c>
      <c r="J2692" s="1" t="s">
        <v>1453</v>
      </c>
      <c r="K2692" s="1" t="s">
        <v>1598</v>
      </c>
      <c r="L2692" s="1" t="s">
        <v>1716</v>
      </c>
      <c r="M2692" s="1" t="s">
        <v>1783</v>
      </c>
      <c r="N2692" t="s">
        <v>1973</v>
      </c>
      <c r="O2692" t="s">
        <v>2162</v>
      </c>
      <c r="P2692" t="s">
        <v>3128</v>
      </c>
      <c r="Q2692">
        <v>1170</v>
      </c>
      <c r="R2692" s="1" t="s">
        <v>1463</v>
      </c>
      <c r="S2692">
        <v>1450</v>
      </c>
      <c r="T2692">
        <v>1696500</v>
      </c>
    </row>
    <row r="2693" spans="1:20" hidden="1" x14ac:dyDescent="0.4">
      <c r="A2693" s="1" t="s">
        <v>972</v>
      </c>
      <c r="B2693" s="1" t="s">
        <v>1453</v>
      </c>
      <c r="C2693" s="1" t="s">
        <v>1844</v>
      </c>
      <c r="D2693" s="1" t="s">
        <v>1467</v>
      </c>
      <c r="E2693">
        <v>20251211</v>
      </c>
      <c r="F2693" s="1" t="s">
        <v>1470</v>
      </c>
      <c r="G2693">
        <v>4</v>
      </c>
      <c r="H2693" s="1" t="s">
        <v>1503</v>
      </c>
      <c r="I2693" t="s">
        <v>1883</v>
      </c>
      <c r="J2693" s="1" t="s">
        <v>1456</v>
      </c>
      <c r="K2693" s="1" t="s">
        <v>1570</v>
      </c>
      <c r="L2693" s="1" t="s">
        <v>1729</v>
      </c>
      <c r="M2693" s="1" t="s">
        <v>1741</v>
      </c>
      <c r="N2693" t="s">
        <v>1943</v>
      </c>
      <c r="O2693" t="s">
        <v>2157</v>
      </c>
      <c r="P2693" t="s">
        <v>3243</v>
      </c>
      <c r="Q2693">
        <v>10</v>
      </c>
      <c r="R2693" s="1" t="s">
        <v>1718</v>
      </c>
      <c r="S2693">
        <v>2201</v>
      </c>
      <c r="T2693">
        <v>22010</v>
      </c>
    </row>
    <row r="2694" spans="1:20" hidden="1" x14ac:dyDescent="0.4">
      <c r="A2694" s="1" t="s">
        <v>973</v>
      </c>
      <c r="B2694" s="1" t="s">
        <v>1453</v>
      </c>
      <c r="C2694" s="1" t="s">
        <v>1844</v>
      </c>
      <c r="D2694" s="1" t="s">
        <v>1467</v>
      </c>
      <c r="E2694">
        <v>20251211</v>
      </c>
      <c r="F2694" s="1" t="s">
        <v>1470</v>
      </c>
      <c r="G2694">
        <v>4</v>
      </c>
      <c r="H2694" s="1" t="s">
        <v>1503</v>
      </c>
      <c r="I2694" t="s">
        <v>1883</v>
      </c>
      <c r="J2694" s="1" t="s">
        <v>1456</v>
      </c>
      <c r="K2694" s="1" t="s">
        <v>1570</v>
      </c>
      <c r="L2694" s="1" t="s">
        <v>1729</v>
      </c>
      <c r="M2694" s="1" t="s">
        <v>1741</v>
      </c>
      <c r="N2694" t="s">
        <v>1943</v>
      </c>
      <c r="O2694" t="s">
        <v>2157</v>
      </c>
      <c r="P2694" t="s">
        <v>3243</v>
      </c>
      <c r="Q2694">
        <v>10</v>
      </c>
      <c r="R2694" s="1" t="s">
        <v>1718</v>
      </c>
      <c r="S2694">
        <v>2201</v>
      </c>
      <c r="T2694">
        <v>22010</v>
      </c>
    </row>
    <row r="2695" spans="1:20" hidden="1" x14ac:dyDescent="0.4">
      <c r="A2695" s="1" t="s">
        <v>974</v>
      </c>
      <c r="B2695" s="1" t="s">
        <v>1453</v>
      </c>
      <c r="C2695" s="1" t="s">
        <v>1844</v>
      </c>
      <c r="D2695" s="1" t="s">
        <v>1462</v>
      </c>
      <c r="E2695">
        <v>20251211</v>
      </c>
      <c r="F2695" s="1" t="s">
        <v>1470</v>
      </c>
      <c r="G2695">
        <v>4</v>
      </c>
      <c r="H2695" s="1" t="s">
        <v>1511</v>
      </c>
      <c r="I2695" t="s">
        <v>1891</v>
      </c>
      <c r="J2695" s="1" t="s">
        <v>1456</v>
      </c>
      <c r="K2695" s="1" t="s">
        <v>1561</v>
      </c>
      <c r="L2695" s="1" t="s">
        <v>1729</v>
      </c>
      <c r="M2695" s="1" t="s">
        <v>1737</v>
      </c>
      <c r="N2695" t="s">
        <v>2106</v>
      </c>
      <c r="O2695" t="s">
        <v>2472</v>
      </c>
      <c r="P2695" t="s">
        <v>3446</v>
      </c>
      <c r="Q2695">
        <v>2</v>
      </c>
      <c r="R2695" s="1" t="s">
        <v>1718</v>
      </c>
      <c r="S2695">
        <v>15608</v>
      </c>
      <c r="T2695">
        <v>31216</v>
      </c>
    </row>
    <row r="2696" spans="1:20" hidden="1" x14ac:dyDescent="0.4">
      <c r="A2696" s="1" t="s">
        <v>975</v>
      </c>
      <c r="B2696" s="1" t="s">
        <v>1453</v>
      </c>
      <c r="C2696" s="1" t="s">
        <v>1844</v>
      </c>
      <c r="D2696" s="1" t="s">
        <v>1462</v>
      </c>
      <c r="E2696">
        <v>20251211</v>
      </c>
      <c r="F2696" s="1" t="s">
        <v>1470</v>
      </c>
      <c r="G2696">
        <v>4</v>
      </c>
      <c r="H2696" s="1" t="s">
        <v>1511</v>
      </c>
      <c r="I2696" t="s">
        <v>1891</v>
      </c>
      <c r="J2696" s="1" t="s">
        <v>1456</v>
      </c>
      <c r="K2696" s="1" t="s">
        <v>1560</v>
      </c>
      <c r="L2696" s="1" t="s">
        <v>1729</v>
      </c>
      <c r="M2696" s="1" t="s">
        <v>1740</v>
      </c>
      <c r="N2696" t="s">
        <v>2105</v>
      </c>
      <c r="O2696" t="s">
        <v>2473</v>
      </c>
      <c r="P2696" t="s">
        <v>3215</v>
      </c>
      <c r="Q2696">
        <v>2</v>
      </c>
      <c r="R2696" s="1" t="s">
        <v>1718</v>
      </c>
      <c r="S2696">
        <v>8741</v>
      </c>
      <c r="T2696">
        <v>17482</v>
      </c>
    </row>
    <row r="2697" spans="1:20" hidden="1" x14ac:dyDescent="0.4">
      <c r="A2697" s="1" t="s">
        <v>976</v>
      </c>
      <c r="B2697" s="1" t="s">
        <v>1453</v>
      </c>
      <c r="C2697" s="1" t="s">
        <v>1844</v>
      </c>
      <c r="D2697" s="1" t="s">
        <v>1462</v>
      </c>
      <c r="E2697">
        <v>20251211</v>
      </c>
      <c r="F2697" s="1" t="s">
        <v>1470</v>
      </c>
      <c r="G2697">
        <v>4</v>
      </c>
      <c r="H2697" s="1" t="s">
        <v>1511</v>
      </c>
      <c r="I2697" t="s">
        <v>1891</v>
      </c>
      <c r="J2697" s="1" t="s">
        <v>1456</v>
      </c>
      <c r="K2697" s="1" t="s">
        <v>1561</v>
      </c>
      <c r="L2697" s="1" t="s">
        <v>1729</v>
      </c>
      <c r="M2697" s="1" t="s">
        <v>1737</v>
      </c>
      <c r="N2697" t="s">
        <v>2106</v>
      </c>
      <c r="O2697" t="s">
        <v>2474</v>
      </c>
      <c r="P2697" t="s">
        <v>3215</v>
      </c>
      <c r="Q2697">
        <v>1</v>
      </c>
      <c r="R2697" s="1" t="s">
        <v>1718</v>
      </c>
      <c r="S2697">
        <v>17697</v>
      </c>
      <c r="T2697">
        <v>17697</v>
      </c>
    </row>
    <row r="2698" spans="1:20" hidden="1" x14ac:dyDescent="0.4">
      <c r="A2698" s="1" t="s">
        <v>976</v>
      </c>
      <c r="B2698" s="1" t="s">
        <v>1454</v>
      </c>
      <c r="C2698" s="1" t="s">
        <v>1844</v>
      </c>
      <c r="D2698" s="1" t="s">
        <v>1462</v>
      </c>
      <c r="E2698">
        <v>20251211</v>
      </c>
      <c r="F2698" s="1" t="s">
        <v>1470</v>
      </c>
      <c r="G2698">
        <v>4</v>
      </c>
      <c r="H2698" s="1" t="s">
        <v>1511</v>
      </c>
      <c r="I2698" t="s">
        <v>1891</v>
      </c>
      <c r="J2698" s="1" t="s">
        <v>1456</v>
      </c>
      <c r="K2698" s="1" t="s">
        <v>1561</v>
      </c>
      <c r="L2698" s="1" t="s">
        <v>1729</v>
      </c>
      <c r="M2698" s="1" t="s">
        <v>1737</v>
      </c>
      <c r="N2698" t="s">
        <v>2106</v>
      </c>
      <c r="O2698" t="s">
        <v>2474</v>
      </c>
      <c r="P2698" t="s">
        <v>3215</v>
      </c>
      <c r="Q2698">
        <v>1</v>
      </c>
      <c r="R2698" s="1" t="s">
        <v>1718</v>
      </c>
      <c r="S2698">
        <v>17697</v>
      </c>
      <c r="T2698">
        <v>17697</v>
      </c>
    </row>
    <row r="2699" spans="1:20" hidden="1" x14ac:dyDescent="0.4">
      <c r="A2699" s="1" t="s">
        <v>977</v>
      </c>
      <c r="B2699" s="1" t="s">
        <v>1453</v>
      </c>
      <c r="C2699" s="1" t="s">
        <v>1844</v>
      </c>
      <c r="D2699" s="1" t="s">
        <v>1462</v>
      </c>
      <c r="E2699">
        <v>20251211</v>
      </c>
      <c r="F2699" s="1" t="s">
        <v>1470</v>
      </c>
      <c r="G2699">
        <v>4</v>
      </c>
      <c r="H2699" s="1" t="s">
        <v>1511</v>
      </c>
      <c r="I2699" t="s">
        <v>1891</v>
      </c>
      <c r="J2699" s="1" t="s">
        <v>1456</v>
      </c>
      <c r="K2699" s="1" t="s">
        <v>1561</v>
      </c>
      <c r="L2699" s="1" t="s">
        <v>1729</v>
      </c>
      <c r="M2699" s="1" t="s">
        <v>1737</v>
      </c>
      <c r="N2699" t="s">
        <v>2106</v>
      </c>
      <c r="O2699" t="s">
        <v>2475</v>
      </c>
      <c r="P2699" t="s">
        <v>3447</v>
      </c>
      <c r="Q2699">
        <v>1</v>
      </c>
      <c r="R2699" s="1" t="s">
        <v>1718</v>
      </c>
      <c r="S2699">
        <v>18447</v>
      </c>
      <c r="T2699">
        <v>18447</v>
      </c>
    </row>
    <row r="2700" spans="1:20" hidden="1" x14ac:dyDescent="0.4">
      <c r="A2700" s="1" t="s">
        <v>977</v>
      </c>
      <c r="B2700" s="1" t="s">
        <v>1454</v>
      </c>
      <c r="C2700" s="1" t="s">
        <v>1844</v>
      </c>
      <c r="D2700" s="1" t="s">
        <v>1462</v>
      </c>
      <c r="E2700">
        <v>20251211</v>
      </c>
      <c r="F2700" s="1" t="s">
        <v>1470</v>
      </c>
      <c r="G2700">
        <v>4</v>
      </c>
      <c r="H2700" s="1" t="s">
        <v>1511</v>
      </c>
      <c r="I2700" t="s">
        <v>1891</v>
      </c>
      <c r="J2700" s="1" t="s">
        <v>1456</v>
      </c>
      <c r="K2700" s="1" t="s">
        <v>1561</v>
      </c>
      <c r="L2700" s="1" t="s">
        <v>1729</v>
      </c>
      <c r="M2700" s="1" t="s">
        <v>1737</v>
      </c>
      <c r="N2700" t="s">
        <v>2106</v>
      </c>
      <c r="O2700" t="s">
        <v>2475</v>
      </c>
      <c r="P2700" t="s">
        <v>3263</v>
      </c>
      <c r="Q2700">
        <v>1</v>
      </c>
      <c r="R2700" s="1" t="s">
        <v>1718</v>
      </c>
      <c r="S2700">
        <v>18447</v>
      </c>
      <c r="T2700">
        <v>18447</v>
      </c>
    </row>
    <row r="2701" spans="1:20" hidden="1" x14ac:dyDescent="0.4">
      <c r="A2701" s="1" t="s">
        <v>978</v>
      </c>
      <c r="B2701" s="1" t="s">
        <v>1453</v>
      </c>
      <c r="C2701" s="1" t="s">
        <v>1844</v>
      </c>
      <c r="D2701" s="1" t="s">
        <v>1462</v>
      </c>
      <c r="E2701">
        <v>20251211</v>
      </c>
      <c r="F2701" s="1" t="s">
        <v>1470</v>
      </c>
      <c r="G2701">
        <v>4</v>
      </c>
      <c r="H2701" s="1" t="s">
        <v>1503</v>
      </c>
      <c r="I2701" t="s">
        <v>1883</v>
      </c>
      <c r="J2701" s="1" t="s">
        <v>1456</v>
      </c>
      <c r="K2701" s="1" t="s">
        <v>1554</v>
      </c>
      <c r="L2701" s="1" t="s">
        <v>1729</v>
      </c>
      <c r="M2701" s="1" t="s">
        <v>1737</v>
      </c>
      <c r="N2701" t="s">
        <v>2091</v>
      </c>
      <c r="O2701" t="s">
        <v>2476</v>
      </c>
      <c r="P2701">
        <v>82221</v>
      </c>
      <c r="Q2701">
        <v>2</v>
      </c>
      <c r="R2701" s="1" t="s">
        <v>1718</v>
      </c>
      <c r="S2701">
        <v>13590</v>
      </c>
      <c r="T2701">
        <v>27180</v>
      </c>
    </row>
    <row r="2702" spans="1:20" hidden="1" x14ac:dyDescent="0.4">
      <c r="A2702" s="1" t="s">
        <v>979</v>
      </c>
      <c r="B2702" s="1" t="s">
        <v>1453</v>
      </c>
      <c r="C2702" s="1" t="s">
        <v>1844</v>
      </c>
      <c r="D2702" s="1" t="s">
        <v>1462</v>
      </c>
      <c r="E2702">
        <v>20251211</v>
      </c>
      <c r="F2702" s="1" t="s">
        <v>1470</v>
      </c>
      <c r="G2702">
        <v>4</v>
      </c>
      <c r="H2702" s="1" t="s">
        <v>1503</v>
      </c>
      <c r="I2702" t="s">
        <v>1883</v>
      </c>
      <c r="J2702" s="1" t="s">
        <v>1456</v>
      </c>
      <c r="K2702" s="1" t="s">
        <v>1554</v>
      </c>
      <c r="L2702" s="1" t="s">
        <v>1729</v>
      </c>
      <c r="M2702" s="1" t="s">
        <v>1737</v>
      </c>
      <c r="N2702" t="s">
        <v>2092</v>
      </c>
      <c r="O2702" t="s">
        <v>2477</v>
      </c>
      <c r="P2702">
        <v>82229</v>
      </c>
      <c r="Q2702">
        <v>2</v>
      </c>
      <c r="R2702" s="1" t="s">
        <v>1718</v>
      </c>
      <c r="S2702">
        <v>15050</v>
      </c>
      <c r="T2702">
        <v>30100</v>
      </c>
    </row>
    <row r="2703" spans="1:20" hidden="1" x14ac:dyDescent="0.4">
      <c r="A2703" s="1" t="s">
        <v>980</v>
      </c>
      <c r="B2703" s="1" t="s">
        <v>1453</v>
      </c>
      <c r="C2703" s="1" t="s">
        <v>1844</v>
      </c>
      <c r="D2703" s="1" t="s">
        <v>1462</v>
      </c>
      <c r="E2703">
        <v>20251211</v>
      </c>
      <c r="F2703" s="1" t="s">
        <v>1470</v>
      </c>
      <c r="G2703">
        <v>4</v>
      </c>
      <c r="H2703" s="1" t="s">
        <v>1503</v>
      </c>
      <c r="I2703" t="s">
        <v>1883</v>
      </c>
      <c r="J2703" s="1" t="s">
        <v>1456</v>
      </c>
      <c r="K2703" s="1" t="s">
        <v>1554</v>
      </c>
      <c r="L2703" s="1" t="s">
        <v>1729</v>
      </c>
      <c r="M2703" s="1" t="s">
        <v>1737</v>
      </c>
      <c r="N2703" t="s">
        <v>2091</v>
      </c>
      <c r="O2703" t="s">
        <v>2478</v>
      </c>
      <c r="P2703">
        <v>82196</v>
      </c>
      <c r="Q2703">
        <v>2</v>
      </c>
      <c r="R2703" s="1" t="s">
        <v>1718</v>
      </c>
      <c r="S2703">
        <v>7580</v>
      </c>
      <c r="T2703">
        <v>15160</v>
      </c>
    </row>
    <row r="2704" spans="1:20" hidden="1" x14ac:dyDescent="0.4">
      <c r="A2704" s="1" t="s">
        <v>981</v>
      </c>
      <c r="B2704" s="1" t="s">
        <v>1453</v>
      </c>
      <c r="C2704" s="1" t="s">
        <v>1844</v>
      </c>
      <c r="D2704" s="1" t="s">
        <v>1462</v>
      </c>
      <c r="E2704">
        <v>20251211</v>
      </c>
      <c r="F2704" s="1" t="s">
        <v>1470</v>
      </c>
      <c r="G2704">
        <v>4</v>
      </c>
      <c r="H2704" s="1" t="s">
        <v>1503</v>
      </c>
      <c r="I2704" t="s">
        <v>1883</v>
      </c>
      <c r="J2704" s="1" t="s">
        <v>1456</v>
      </c>
      <c r="K2704" s="1" t="s">
        <v>1554</v>
      </c>
      <c r="L2704" s="1" t="s">
        <v>1729</v>
      </c>
      <c r="M2704" s="1" t="s">
        <v>1737</v>
      </c>
      <c r="N2704" t="s">
        <v>2118</v>
      </c>
      <c r="O2704" t="s">
        <v>2479</v>
      </c>
      <c r="P2704">
        <v>82192</v>
      </c>
      <c r="Q2704">
        <v>2</v>
      </c>
      <c r="R2704" s="1" t="s">
        <v>1718</v>
      </c>
      <c r="S2704">
        <v>9350</v>
      </c>
      <c r="T2704">
        <v>18700</v>
      </c>
    </row>
    <row r="2705" spans="1:20" hidden="1" x14ac:dyDescent="0.4">
      <c r="A2705" s="1" t="s">
        <v>982</v>
      </c>
      <c r="B2705" s="1" t="s">
        <v>1453</v>
      </c>
      <c r="C2705" s="1" t="s">
        <v>1844</v>
      </c>
      <c r="D2705" s="1" t="s">
        <v>1462</v>
      </c>
      <c r="E2705">
        <v>20251211</v>
      </c>
      <c r="F2705" s="1" t="s">
        <v>1470</v>
      </c>
      <c r="G2705">
        <v>4</v>
      </c>
      <c r="H2705" s="1" t="s">
        <v>1503</v>
      </c>
      <c r="I2705" t="s">
        <v>1883</v>
      </c>
      <c r="J2705" s="1" t="s">
        <v>1456</v>
      </c>
      <c r="K2705" s="1" t="s">
        <v>1553</v>
      </c>
      <c r="L2705" s="1" t="s">
        <v>1729</v>
      </c>
      <c r="M2705" s="1" t="s">
        <v>1736</v>
      </c>
      <c r="N2705" t="s">
        <v>2093</v>
      </c>
      <c r="O2705" t="s">
        <v>2480</v>
      </c>
      <c r="P2705" t="s">
        <v>3448</v>
      </c>
      <c r="Q2705">
        <v>1</v>
      </c>
      <c r="R2705" s="1" t="s">
        <v>1718</v>
      </c>
      <c r="S2705">
        <v>7820</v>
      </c>
      <c r="T2705">
        <v>7820</v>
      </c>
    </row>
    <row r="2706" spans="1:20" hidden="1" x14ac:dyDescent="0.4">
      <c r="A2706" s="1" t="s">
        <v>982</v>
      </c>
      <c r="B2706" s="1" t="s">
        <v>1454</v>
      </c>
      <c r="C2706" s="1" t="s">
        <v>1844</v>
      </c>
      <c r="D2706" s="1" t="s">
        <v>1462</v>
      </c>
      <c r="E2706">
        <v>20251211</v>
      </c>
      <c r="F2706" s="1" t="s">
        <v>1470</v>
      </c>
      <c r="G2706">
        <v>4</v>
      </c>
      <c r="H2706" s="1" t="s">
        <v>1503</v>
      </c>
      <c r="I2706" t="s">
        <v>1883</v>
      </c>
      <c r="J2706" s="1" t="s">
        <v>1456</v>
      </c>
      <c r="K2706" s="1" t="s">
        <v>1553</v>
      </c>
      <c r="L2706" s="1" t="s">
        <v>1729</v>
      </c>
      <c r="M2706" s="1" t="s">
        <v>1736</v>
      </c>
      <c r="N2706" t="s">
        <v>2093</v>
      </c>
      <c r="O2706" t="s">
        <v>2481</v>
      </c>
      <c r="P2706" t="s">
        <v>3449</v>
      </c>
      <c r="Q2706">
        <v>2</v>
      </c>
      <c r="R2706" s="1" t="s">
        <v>1718</v>
      </c>
      <c r="S2706">
        <v>12870</v>
      </c>
      <c r="T2706">
        <v>25740</v>
      </c>
    </row>
    <row r="2707" spans="1:20" hidden="1" x14ac:dyDescent="0.4">
      <c r="A2707" s="1" t="s">
        <v>983</v>
      </c>
      <c r="B2707" s="1" t="s">
        <v>1453</v>
      </c>
      <c r="C2707" s="1" t="s">
        <v>1844</v>
      </c>
      <c r="D2707" s="1" t="s">
        <v>1462</v>
      </c>
      <c r="E2707">
        <v>20251211</v>
      </c>
      <c r="F2707" s="1" t="s">
        <v>1470</v>
      </c>
      <c r="G2707">
        <v>4</v>
      </c>
      <c r="H2707" s="1" t="s">
        <v>1503</v>
      </c>
      <c r="I2707" t="s">
        <v>1883</v>
      </c>
      <c r="J2707" s="1" t="s">
        <v>1456</v>
      </c>
      <c r="K2707" s="1" t="s">
        <v>1554</v>
      </c>
      <c r="L2707" s="1" t="s">
        <v>1729</v>
      </c>
      <c r="M2707" s="1" t="s">
        <v>1737</v>
      </c>
      <c r="N2707" t="s">
        <v>2118</v>
      </c>
      <c r="O2707" t="s">
        <v>2482</v>
      </c>
      <c r="P2707">
        <v>82244</v>
      </c>
      <c r="Q2707">
        <v>2</v>
      </c>
      <c r="R2707" s="1" t="s">
        <v>1718</v>
      </c>
      <c r="S2707">
        <v>9350</v>
      </c>
      <c r="T2707">
        <v>18700</v>
      </c>
    </row>
    <row r="2708" spans="1:20" hidden="1" x14ac:dyDescent="0.4">
      <c r="A2708" s="1" t="s">
        <v>984</v>
      </c>
      <c r="B2708" s="1" t="s">
        <v>1453</v>
      </c>
      <c r="C2708" s="1" t="s">
        <v>1844</v>
      </c>
      <c r="D2708" s="1" t="s">
        <v>1462</v>
      </c>
      <c r="E2708">
        <v>20251211</v>
      </c>
      <c r="F2708" s="1" t="s">
        <v>1470</v>
      </c>
      <c r="G2708">
        <v>4</v>
      </c>
      <c r="H2708" s="1" t="s">
        <v>1503</v>
      </c>
      <c r="I2708" t="s">
        <v>1883</v>
      </c>
      <c r="J2708" s="1" t="s">
        <v>1456</v>
      </c>
      <c r="K2708" s="1" t="s">
        <v>1554</v>
      </c>
      <c r="L2708" s="1" t="s">
        <v>1729</v>
      </c>
      <c r="M2708" s="1" t="s">
        <v>1737</v>
      </c>
      <c r="N2708" t="s">
        <v>2117</v>
      </c>
      <c r="O2708" t="s">
        <v>2483</v>
      </c>
      <c r="P2708">
        <v>82232</v>
      </c>
      <c r="Q2708">
        <v>2</v>
      </c>
      <c r="R2708" s="1" t="s">
        <v>1718</v>
      </c>
      <c r="S2708">
        <v>24460</v>
      </c>
      <c r="T2708">
        <v>48920</v>
      </c>
    </row>
    <row r="2709" spans="1:20" hidden="1" x14ac:dyDescent="0.4">
      <c r="A2709" s="1" t="s">
        <v>984</v>
      </c>
      <c r="B2709" s="1" t="s">
        <v>1454</v>
      </c>
      <c r="C2709" s="1" t="s">
        <v>1844</v>
      </c>
      <c r="D2709" s="1" t="s">
        <v>1462</v>
      </c>
      <c r="E2709">
        <v>20251211</v>
      </c>
      <c r="F2709" s="1" t="s">
        <v>1470</v>
      </c>
      <c r="G2709">
        <v>4</v>
      </c>
      <c r="H2709" s="1" t="s">
        <v>1503</v>
      </c>
      <c r="I2709" t="s">
        <v>1883</v>
      </c>
      <c r="J2709" s="1" t="s">
        <v>1456</v>
      </c>
      <c r="K2709" s="1" t="s">
        <v>1554</v>
      </c>
      <c r="L2709" s="1" t="s">
        <v>1729</v>
      </c>
      <c r="M2709" s="1" t="s">
        <v>1737</v>
      </c>
      <c r="N2709" t="s">
        <v>2118</v>
      </c>
      <c r="O2709" t="s">
        <v>2484</v>
      </c>
      <c r="P2709">
        <v>82222</v>
      </c>
      <c r="Q2709">
        <v>2</v>
      </c>
      <c r="R2709" s="1" t="s">
        <v>1718</v>
      </c>
      <c r="S2709">
        <v>9350</v>
      </c>
      <c r="T2709">
        <v>18700</v>
      </c>
    </row>
    <row r="2710" spans="1:20" hidden="1" x14ac:dyDescent="0.4">
      <c r="A2710" s="1" t="s">
        <v>985</v>
      </c>
      <c r="B2710" s="1" t="s">
        <v>1453</v>
      </c>
      <c r="C2710" s="1" t="s">
        <v>1844</v>
      </c>
      <c r="D2710" s="1" t="s">
        <v>1462</v>
      </c>
      <c r="E2710">
        <v>20251211</v>
      </c>
      <c r="F2710" s="1" t="s">
        <v>1470</v>
      </c>
      <c r="G2710">
        <v>4</v>
      </c>
      <c r="H2710" s="1" t="s">
        <v>1503</v>
      </c>
      <c r="I2710" t="s">
        <v>1883</v>
      </c>
      <c r="J2710" s="1" t="s">
        <v>1456</v>
      </c>
      <c r="K2710" s="1" t="s">
        <v>1554</v>
      </c>
      <c r="L2710" s="1" t="s">
        <v>1729</v>
      </c>
      <c r="M2710" s="1" t="s">
        <v>1737</v>
      </c>
      <c r="N2710" t="s">
        <v>2109</v>
      </c>
      <c r="O2710" t="s">
        <v>2485</v>
      </c>
      <c r="P2710">
        <v>82214</v>
      </c>
      <c r="Q2710">
        <v>1</v>
      </c>
      <c r="R2710" s="1" t="s">
        <v>1718</v>
      </c>
      <c r="S2710">
        <v>7660</v>
      </c>
      <c r="T2710">
        <v>7660</v>
      </c>
    </row>
    <row r="2711" spans="1:20" hidden="1" x14ac:dyDescent="0.4">
      <c r="A2711" s="1" t="s">
        <v>985</v>
      </c>
      <c r="B2711" s="1" t="s">
        <v>1454</v>
      </c>
      <c r="C2711" s="1" t="s">
        <v>1844</v>
      </c>
      <c r="D2711" s="1" t="s">
        <v>1462</v>
      </c>
      <c r="E2711">
        <v>20251211</v>
      </c>
      <c r="F2711" s="1" t="s">
        <v>1470</v>
      </c>
      <c r="G2711">
        <v>4</v>
      </c>
      <c r="H2711" s="1" t="s">
        <v>1503</v>
      </c>
      <c r="I2711" t="s">
        <v>1883</v>
      </c>
      <c r="J2711" s="1" t="s">
        <v>1456</v>
      </c>
      <c r="K2711" s="1" t="s">
        <v>1554</v>
      </c>
      <c r="L2711" s="1" t="s">
        <v>1729</v>
      </c>
      <c r="M2711" s="1" t="s">
        <v>1737</v>
      </c>
      <c r="N2711" t="s">
        <v>2109</v>
      </c>
      <c r="O2711" t="s">
        <v>2486</v>
      </c>
      <c r="P2711">
        <v>82215</v>
      </c>
      <c r="Q2711">
        <v>1</v>
      </c>
      <c r="R2711" s="1" t="s">
        <v>1718</v>
      </c>
      <c r="S2711">
        <v>7120</v>
      </c>
      <c r="T2711">
        <v>7120</v>
      </c>
    </row>
    <row r="2712" spans="1:20" hidden="1" x14ac:dyDescent="0.4">
      <c r="A2712" s="1" t="s">
        <v>986</v>
      </c>
      <c r="B2712" s="1" t="s">
        <v>1453</v>
      </c>
      <c r="C2712" s="1" t="s">
        <v>1844</v>
      </c>
      <c r="D2712" s="1" t="s">
        <v>1462</v>
      </c>
      <c r="E2712">
        <v>20251211</v>
      </c>
      <c r="F2712" s="1" t="s">
        <v>1470</v>
      </c>
      <c r="G2712">
        <v>4</v>
      </c>
      <c r="H2712" s="1" t="s">
        <v>1503</v>
      </c>
      <c r="I2712" t="s">
        <v>1883</v>
      </c>
      <c r="J2712" s="1" t="s">
        <v>1456</v>
      </c>
      <c r="K2712" s="1" t="s">
        <v>1554</v>
      </c>
      <c r="L2712" s="1" t="s">
        <v>1729</v>
      </c>
      <c r="M2712" s="1" t="s">
        <v>1737</v>
      </c>
      <c r="N2712" t="s">
        <v>2109</v>
      </c>
      <c r="O2712" t="s">
        <v>2487</v>
      </c>
      <c r="P2712">
        <v>82171</v>
      </c>
      <c r="Q2712">
        <v>4</v>
      </c>
      <c r="R2712" s="1" t="s">
        <v>1718</v>
      </c>
      <c r="S2712">
        <v>36450</v>
      </c>
      <c r="T2712">
        <v>145800</v>
      </c>
    </row>
    <row r="2713" spans="1:20" hidden="1" x14ac:dyDescent="0.4">
      <c r="A2713" s="1" t="s">
        <v>987</v>
      </c>
      <c r="B2713" s="1" t="s">
        <v>1453</v>
      </c>
      <c r="C2713" s="1" t="s">
        <v>1844</v>
      </c>
      <c r="D2713" s="1" t="s">
        <v>1462</v>
      </c>
      <c r="E2713">
        <v>20251211</v>
      </c>
      <c r="F2713" s="1" t="s">
        <v>1470</v>
      </c>
      <c r="G2713">
        <v>4</v>
      </c>
      <c r="H2713" s="1" t="s">
        <v>1503</v>
      </c>
      <c r="I2713" t="s">
        <v>1883</v>
      </c>
      <c r="J2713" s="1" t="s">
        <v>1456</v>
      </c>
      <c r="K2713" s="1" t="s">
        <v>1553</v>
      </c>
      <c r="L2713" s="1" t="s">
        <v>1729</v>
      </c>
      <c r="M2713" s="1" t="s">
        <v>1736</v>
      </c>
      <c r="N2713" t="s">
        <v>2095</v>
      </c>
      <c r="O2713" t="s">
        <v>2488</v>
      </c>
      <c r="P2713" t="s">
        <v>3450</v>
      </c>
      <c r="Q2713">
        <v>1</v>
      </c>
      <c r="R2713" s="1" t="s">
        <v>1718</v>
      </c>
      <c r="S2713">
        <v>4381</v>
      </c>
      <c r="T2713">
        <v>4381</v>
      </c>
    </row>
    <row r="2714" spans="1:20" hidden="1" x14ac:dyDescent="0.4">
      <c r="A2714" s="1" t="s">
        <v>988</v>
      </c>
      <c r="B2714" s="1" t="s">
        <v>1453</v>
      </c>
      <c r="C2714" s="1" t="s">
        <v>1844</v>
      </c>
      <c r="D2714" s="1" t="s">
        <v>1462</v>
      </c>
      <c r="E2714">
        <v>20251211</v>
      </c>
      <c r="F2714" s="1" t="s">
        <v>1470</v>
      </c>
      <c r="G2714">
        <v>4</v>
      </c>
      <c r="H2714" s="1" t="s">
        <v>1503</v>
      </c>
      <c r="I2714" t="s">
        <v>1883</v>
      </c>
      <c r="J2714" s="1" t="s">
        <v>1456</v>
      </c>
      <c r="K2714" s="1" t="s">
        <v>1553</v>
      </c>
      <c r="L2714" s="1" t="s">
        <v>1729</v>
      </c>
      <c r="M2714" s="1" t="s">
        <v>1736</v>
      </c>
      <c r="N2714" t="s">
        <v>2093</v>
      </c>
      <c r="O2714" t="s">
        <v>2489</v>
      </c>
      <c r="P2714" t="s">
        <v>3451</v>
      </c>
      <c r="Q2714">
        <v>2</v>
      </c>
      <c r="R2714" s="1" t="s">
        <v>1718</v>
      </c>
      <c r="S2714">
        <v>12750</v>
      </c>
      <c r="T2714">
        <v>25500</v>
      </c>
    </row>
    <row r="2715" spans="1:20" hidden="1" x14ac:dyDescent="0.4">
      <c r="A2715" s="1" t="s">
        <v>989</v>
      </c>
      <c r="B2715" s="1" t="s">
        <v>1453</v>
      </c>
      <c r="C2715" s="1" t="s">
        <v>1844</v>
      </c>
      <c r="D2715" s="1" t="s">
        <v>1462</v>
      </c>
      <c r="E2715">
        <v>20251211</v>
      </c>
      <c r="F2715" s="1" t="s">
        <v>1470</v>
      </c>
      <c r="G2715">
        <v>4</v>
      </c>
      <c r="H2715" s="1" t="s">
        <v>1503</v>
      </c>
      <c r="I2715" t="s">
        <v>1883</v>
      </c>
      <c r="J2715" s="1" t="s">
        <v>1456</v>
      </c>
      <c r="K2715" s="1" t="s">
        <v>1554</v>
      </c>
      <c r="L2715" s="1" t="s">
        <v>1729</v>
      </c>
      <c r="M2715" s="1" t="s">
        <v>1737</v>
      </c>
      <c r="N2715" t="s">
        <v>2092</v>
      </c>
      <c r="O2715" t="s">
        <v>2490</v>
      </c>
      <c r="P2715">
        <v>82254</v>
      </c>
      <c r="Q2715">
        <v>2</v>
      </c>
      <c r="R2715" s="1" t="s">
        <v>1718</v>
      </c>
      <c r="S2715">
        <v>14950</v>
      </c>
      <c r="T2715">
        <v>29900</v>
      </c>
    </row>
    <row r="2716" spans="1:20" hidden="1" x14ac:dyDescent="0.4">
      <c r="A2716" s="1" t="s">
        <v>990</v>
      </c>
      <c r="B2716" s="1" t="s">
        <v>1453</v>
      </c>
      <c r="C2716" s="1" t="s">
        <v>1844</v>
      </c>
      <c r="D2716" s="1" t="s">
        <v>1462</v>
      </c>
      <c r="E2716">
        <v>20251211</v>
      </c>
      <c r="F2716" s="1" t="s">
        <v>1470</v>
      </c>
      <c r="G2716">
        <v>4</v>
      </c>
      <c r="H2716" s="1" t="s">
        <v>1503</v>
      </c>
      <c r="I2716" t="s">
        <v>1883</v>
      </c>
      <c r="J2716" s="1" t="s">
        <v>1456</v>
      </c>
      <c r="K2716" s="1" t="s">
        <v>1553</v>
      </c>
      <c r="L2716" s="1" t="s">
        <v>1729</v>
      </c>
      <c r="M2716" s="1" t="s">
        <v>1736</v>
      </c>
      <c r="N2716" t="s">
        <v>2093</v>
      </c>
      <c r="O2716" t="s">
        <v>2491</v>
      </c>
      <c r="P2716" t="s">
        <v>3452</v>
      </c>
      <c r="Q2716">
        <v>2</v>
      </c>
      <c r="R2716" s="1" t="s">
        <v>1718</v>
      </c>
      <c r="S2716">
        <v>4820</v>
      </c>
      <c r="T2716">
        <v>9640</v>
      </c>
    </row>
    <row r="2717" spans="1:20" hidden="1" x14ac:dyDescent="0.4">
      <c r="A2717" s="1" t="s">
        <v>991</v>
      </c>
      <c r="B2717" s="1" t="s">
        <v>1453</v>
      </c>
      <c r="C2717" s="1" t="s">
        <v>1844</v>
      </c>
      <c r="D2717" s="1" t="s">
        <v>1462</v>
      </c>
      <c r="E2717">
        <v>20251211</v>
      </c>
      <c r="F2717" s="1" t="s">
        <v>1470</v>
      </c>
      <c r="G2717">
        <v>4</v>
      </c>
      <c r="H2717" s="1" t="s">
        <v>1503</v>
      </c>
      <c r="I2717" t="s">
        <v>1883</v>
      </c>
      <c r="J2717" s="1" t="s">
        <v>1456</v>
      </c>
      <c r="K2717" s="1" t="s">
        <v>1554</v>
      </c>
      <c r="L2717" s="1" t="s">
        <v>1729</v>
      </c>
      <c r="M2717" s="1" t="s">
        <v>1737</v>
      </c>
      <c r="N2717" t="s">
        <v>2117</v>
      </c>
      <c r="O2717" t="s">
        <v>2492</v>
      </c>
      <c r="P2717">
        <v>82248</v>
      </c>
      <c r="Q2717">
        <v>2</v>
      </c>
      <c r="R2717" s="1" t="s">
        <v>1718</v>
      </c>
      <c r="S2717">
        <v>33720</v>
      </c>
      <c r="T2717">
        <v>67440</v>
      </c>
    </row>
    <row r="2718" spans="1:20" hidden="1" x14ac:dyDescent="0.4">
      <c r="A2718" s="1" t="s">
        <v>992</v>
      </c>
      <c r="B2718" s="1" t="s">
        <v>1453</v>
      </c>
      <c r="C2718" s="1" t="s">
        <v>1844</v>
      </c>
      <c r="D2718" s="1" t="s">
        <v>1462</v>
      </c>
      <c r="E2718">
        <v>20251211</v>
      </c>
      <c r="F2718" s="1" t="s">
        <v>1470</v>
      </c>
      <c r="G2718">
        <v>4</v>
      </c>
      <c r="H2718" s="1" t="s">
        <v>1503</v>
      </c>
      <c r="I2718" t="s">
        <v>1883</v>
      </c>
      <c r="J2718" s="1" t="s">
        <v>1456</v>
      </c>
      <c r="K2718" s="1" t="s">
        <v>1553</v>
      </c>
      <c r="L2718" s="1" t="s">
        <v>1729</v>
      </c>
      <c r="M2718" s="1" t="s">
        <v>1736</v>
      </c>
      <c r="N2718" t="s">
        <v>2108</v>
      </c>
      <c r="O2718" t="s">
        <v>2493</v>
      </c>
      <c r="P2718" t="s">
        <v>3453</v>
      </c>
      <c r="Q2718">
        <v>1</v>
      </c>
      <c r="R2718" s="1" t="s">
        <v>1718</v>
      </c>
      <c r="S2718">
        <v>3940</v>
      </c>
      <c r="T2718">
        <v>3940</v>
      </c>
    </row>
    <row r="2719" spans="1:20" hidden="1" x14ac:dyDescent="0.4">
      <c r="A2719" s="1" t="s">
        <v>992</v>
      </c>
      <c r="B2719" s="1" t="s">
        <v>1454</v>
      </c>
      <c r="C2719" s="1" t="s">
        <v>1844</v>
      </c>
      <c r="D2719" s="1" t="s">
        <v>1462</v>
      </c>
      <c r="E2719">
        <v>20251211</v>
      </c>
      <c r="F2719" s="1" t="s">
        <v>1470</v>
      </c>
      <c r="G2719">
        <v>4</v>
      </c>
      <c r="H2719" s="1" t="s">
        <v>1503</v>
      </c>
      <c r="I2719" t="s">
        <v>1883</v>
      </c>
      <c r="J2719" s="1" t="s">
        <v>1456</v>
      </c>
      <c r="K2719" s="1" t="s">
        <v>1554</v>
      </c>
      <c r="L2719" s="1" t="s">
        <v>1729</v>
      </c>
      <c r="M2719" s="1" t="s">
        <v>1737</v>
      </c>
      <c r="N2719" t="s">
        <v>2109</v>
      </c>
      <c r="O2719" t="s">
        <v>2494</v>
      </c>
      <c r="P2719">
        <v>82237</v>
      </c>
      <c r="Q2719">
        <v>1</v>
      </c>
      <c r="R2719" s="1" t="s">
        <v>1718</v>
      </c>
      <c r="S2719">
        <v>9990</v>
      </c>
      <c r="T2719">
        <v>9990</v>
      </c>
    </row>
    <row r="2720" spans="1:20" hidden="1" x14ac:dyDescent="0.4">
      <c r="A2720" s="1" t="s">
        <v>993</v>
      </c>
      <c r="B2720" s="1" t="s">
        <v>1453</v>
      </c>
      <c r="C2720" s="1" t="s">
        <v>1844</v>
      </c>
      <c r="D2720" s="1" t="s">
        <v>1462</v>
      </c>
      <c r="E2720">
        <v>20251211</v>
      </c>
      <c r="F2720" s="1" t="s">
        <v>1470</v>
      </c>
      <c r="G2720">
        <v>4</v>
      </c>
      <c r="H2720" s="1" t="s">
        <v>1503</v>
      </c>
      <c r="I2720" t="s">
        <v>1883</v>
      </c>
      <c r="J2720" s="1" t="s">
        <v>1456</v>
      </c>
      <c r="K2720" s="1" t="s">
        <v>1554</v>
      </c>
      <c r="L2720" s="1" t="s">
        <v>1729</v>
      </c>
      <c r="M2720" s="1" t="s">
        <v>1737</v>
      </c>
      <c r="N2720" t="s">
        <v>2118</v>
      </c>
      <c r="O2720" t="s">
        <v>2495</v>
      </c>
      <c r="P2720">
        <v>82243</v>
      </c>
      <c r="Q2720">
        <v>2</v>
      </c>
      <c r="R2720" s="1" t="s">
        <v>1718</v>
      </c>
      <c r="S2720">
        <v>10355</v>
      </c>
      <c r="T2720">
        <v>20710</v>
      </c>
    </row>
    <row r="2721" spans="1:20" hidden="1" x14ac:dyDescent="0.4">
      <c r="A2721" s="1" t="s">
        <v>993</v>
      </c>
      <c r="B2721" s="1" t="s">
        <v>1454</v>
      </c>
      <c r="C2721" s="1" t="s">
        <v>1844</v>
      </c>
      <c r="D2721" s="1" t="s">
        <v>1462</v>
      </c>
      <c r="E2721">
        <v>20251211</v>
      </c>
      <c r="F2721" s="1" t="s">
        <v>1470</v>
      </c>
      <c r="G2721">
        <v>4</v>
      </c>
      <c r="H2721" s="1" t="s">
        <v>1503</v>
      </c>
      <c r="I2721" t="s">
        <v>1883</v>
      </c>
      <c r="J2721" s="1" t="s">
        <v>1456</v>
      </c>
      <c r="K2721" s="1" t="s">
        <v>1554</v>
      </c>
      <c r="L2721" s="1" t="s">
        <v>1729</v>
      </c>
      <c r="M2721" s="1" t="s">
        <v>1737</v>
      </c>
      <c r="N2721" t="s">
        <v>2118</v>
      </c>
      <c r="O2721" t="s">
        <v>2496</v>
      </c>
      <c r="P2721">
        <v>82245</v>
      </c>
      <c r="Q2721">
        <v>2</v>
      </c>
      <c r="R2721" s="1" t="s">
        <v>1718</v>
      </c>
      <c r="S2721">
        <v>10355</v>
      </c>
      <c r="T2721">
        <v>20710</v>
      </c>
    </row>
    <row r="2722" spans="1:20" hidden="1" x14ac:dyDescent="0.4">
      <c r="A2722" s="1" t="s">
        <v>994</v>
      </c>
      <c r="B2722" s="1" t="s">
        <v>1453</v>
      </c>
      <c r="C2722" s="1" t="s">
        <v>1844</v>
      </c>
      <c r="D2722" s="1" t="s">
        <v>1462</v>
      </c>
      <c r="E2722">
        <v>20251211</v>
      </c>
      <c r="F2722" s="1" t="s">
        <v>1470</v>
      </c>
      <c r="G2722">
        <v>4</v>
      </c>
      <c r="H2722" s="1" t="s">
        <v>1503</v>
      </c>
      <c r="I2722" t="s">
        <v>1883</v>
      </c>
      <c r="J2722" s="1" t="s">
        <v>1456</v>
      </c>
      <c r="K2722" s="1" t="s">
        <v>1554</v>
      </c>
      <c r="L2722" s="1" t="s">
        <v>1729</v>
      </c>
      <c r="M2722" s="1" t="s">
        <v>1737</v>
      </c>
      <c r="N2722" t="s">
        <v>2109</v>
      </c>
      <c r="O2722" t="s">
        <v>2497</v>
      </c>
      <c r="P2722">
        <v>82256</v>
      </c>
      <c r="Q2722">
        <v>2</v>
      </c>
      <c r="R2722" s="1" t="s">
        <v>1718</v>
      </c>
      <c r="S2722">
        <v>52430</v>
      </c>
      <c r="T2722">
        <v>104860</v>
      </c>
    </row>
    <row r="2723" spans="1:20" hidden="1" x14ac:dyDescent="0.4">
      <c r="A2723" s="1" t="s">
        <v>995</v>
      </c>
      <c r="B2723" s="1" t="s">
        <v>1453</v>
      </c>
      <c r="C2723" s="1" t="s">
        <v>1844</v>
      </c>
      <c r="D2723" s="1" t="s">
        <v>1462</v>
      </c>
      <c r="E2723">
        <v>20251211</v>
      </c>
      <c r="F2723" s="1" t="s">
        <v>1470</v>
      </c>
      <c r="G2723">
        <v>4</v>
      </c>
      <c r="H2723" s="1" t="s">
        <v>1503</v>
      </c>
      <c r="I2723" t="s">
        <v>1883</v>
      </c>
      <c r="J2723" s="1" t="s">
        <v>1456</v>
      </c>
      <c r="K2723" s="1" t="s">
        <v>1554</v>
      </c>
      <c r="L2723" s="1" t="s">
        <v>1729</v>
      </c>
      <c r="M2723" s="1" t="s">
        <v>1737</v>
      </c>
      <c r="N2723" t="s">
        <v>2091</v>
      </c>
      <c r="O2723" t="s">
        <v>2498</v>
      </c>
      <c r="P2723">
        <v>82197</v>
      </c>
      <c r="Q2723">
        <v>2</v>
      </c>
      <c r="R2723" s="1" t="s">
        <v>1718</v>
      </c>
      <c r="S2723">
        <v>10990</v>
      </c>
      <c r="T2723">
        <v>21980</v>
      </c>
    </row>
    <row r="2724" spans="1:20" hidden="1" x14ac:dyDescent="0.4">
      <c r="A2724" s="1" t="s">
        <v>996</v>
      </c>
      <c r="B2724" s="1" t="s">
        <v>1453</v>
      </c>
      <c r="C2724" s="1" t="s">
        <v>1844</v>
      </c>
      <c r="D2724" s="1" t="s">
        <v>1462</v>
      </c>
      <c r="E2724">
        <v>20251211</v>
      </c>
      <c r="F2724" s="1" t="s">
        <v>1470</v>
      </c>
      <c r="G2724">
        <v>4</v>
      </c>
      <c r="H2724" s="1" t="s">
        <v>1503</v>
      </c>
      <c r="I2724" t="s">
        <v>1883</v>
      </c>
      <c r="J2724" s="1" t="s">
        <v>1456</v>
      </c>
      <c r="K2724" s="1" t="s">
        <v>1554</v>
      </c>
      <c r="L2724" s="1" t="s">
        <v>1729</v>
      </c>
      <c r="M2724" s="1" t="s">
        <v>1737</v>
      </c>
      <c r="N2724" t="s">
        <v>2090</v>
      </c>
      <c r="O2724" t="s">
        <v>2499</v>
      </c>
      <c r="P2724">
        <v>82235</v>
      </c>
      <c r="Q2724">
        <v>2</v>
      </c>
      <c r="R2724" s="1" t="s">
        <v>1718</v>
      </c>
      <c r="S2724">
        <v>18640</v>
      </c>
      <c r="T2724">
        <v>37280</v>
      </c>
    </row>
    <row r="2725" spans="1:20" hidden="1" x14ac:dyDescent="0.4">
      <c r="A2725" s="1" t="s">
        <v>996</v>
      </c>
      <c r="B2725" s="1" t="s">
        <v>1454</v>
      </c>
      <c r="C2725" s="1" t="s">
        <v>1844</v>
      </c>
      <c r="D2725" s="1" t="s">
        <v>1462</v>
      </c>
      <c r="E2725">
        <v>20251211</v>
      </c>
      <c r="F2725" s="1" t="s">
        <v>1470</v>
      </c>
      <c r="G2725">
        <v>4</v>
      </c>
      <c r="H2725" s="1" t="s">
        <v>1503</v>
      </c>
      <c r="I2725" t="s">
        <v>1883</v>
      </c>
      <c r="J2725" s="1" t="s">
        <v>1456</v>
      </c>
      <c r="K2725" s="1" t="s">
        <v>1554</v>
      </c>
      <c r="L2725" s="1" t="s">
        <v>1729</v>
      </c>
      <c r="M2725" s="1" t="s">
        <v>1737</v>
      </c>
      <c r="N2725" t="s">
        <v>2090</v>
      </c>
      <c r="O2725" t="s">
        <v>2500</v>
      </c>
      <c r="P2725">
        <v>82236</v>
      </c>
      <c r="Q2725">
        <v>2</v>
      </c>
      <c r="R2725" s="1" t="s">
        <v>1718</v>
      </c>
      <c r="S2725">
        <v>18640</v>
      </c>
      <c r="T2725">
        <v>37280</v>
      </c>
    </row>
    <row r="2726" spans="1:20" hidden="1" x14ac:dyDescent="0.4">
      <c r="A2726" s="1" t="s">
        <v>997</v>
      </c>
      <c r="B2726" s="1" t="s">
        <v>1453</v>
      </c>
      <c r="C2726" s="1" t="s">
        <v>1844</v>
      </c>
      <c r="D2726" s="1" t="s">
        <v>1462</v>
      </c>
      <c r="E2726">
        <v>20251211</v>
      </c>
      <c r="F2726" s="1" t="s">
        <v>1470</v>
      </c>
      <c r="G2726">
        <v>4</v>
      </c>
      <c r="H2726" s="1" t="s">
        <v>1503</v>
      </c>
      <c r="I2726" t="s">
        <v>1883</v>
      </c>
      <c r="J2726" s="1" t="s">
        <v>1456</v>
      </c>
      <c r="K2726" s="1" t="s">
        <v>1554</v>
      </c>
      <c r="L2726" s="1" t="s">
        <v>1729</v>
      </c>
      <c r="M2726" s="1" t="s">
        <v>1737</v>
      </c>
      <c r="N2726" t="s">
        <v>2091</v>
      </c>
      <c r="O2726" t="s">
        <v>2501</v>
      </c>
      <c r="P2726">
        <v>82255</v>
      </c>
      <c r="Q2726">
        <v>2</v>
      </c>
      <c r="R2726" s="1" t="s">
        <v>1718</v>
      </c>
      <c r="S2726">
        <v>37180</v>
      </c>
      <c r="T2726">
        <v>74360</v>
      </c>
    </row>
    <row r="2727" spans="1:20" hidden="1" x14ac:dyDescent="0.4">
      <c r="A2727" s="1" t="s">
        <v>998</v>
      </c>
      <c r="B2727" s="1" t="s">
        <v>1453</v>
      </c>
      <c r="C2727" s="1" t="s">
        <v>1844</v>
      </c>
      <c r="D2727" s="1" t="s">
        <v>1462</v>
      </c>
      <c r="E2727">
        <v>20251211</v>
      </c>
      <c r="F2727" s="1" t="s">
        <v>1470</v>
      </c>
      <c r="G2727">
        <v>4</v>
      </c>
      <c r="H2727" s="1" t="s">
        <v>1503</v>
      </c>
      <c r="I2727" t="s">
        <v>1883</v>
      </c>
      <c r="J2727" s="1" t="s">
        <v>1456</v>
      </c>
      <c r="K2727" s="1" t="s">
        <v>1554</v>
      </c>
      <c r="L2727" s="1" t="s">
        <v>1729</v>
      </c>
      <c r="M2727" s="1" t="s">
        <v>1737</v>
      </c>
      <c r="N2727" t="s">
        <v>2091</v>
      </c>
      <c r="O2727" t="s">
        <v>2502</v>
      </c>
      <c r="P2727">
        <v>82220</v>
      </c>
      <c r="Q2727">
        <v>2</v>
      </c>
      <c r="R2727" s="1" t="s">
        <v>1718</v>
      </c>
      <c r="S2727">
        <v>19320</v>
      </c>
      <c r="T2727">
        <v>38640</v>
      </c>
    </row>
    <row r="2728" spans="1:20" hidden="1" x14ac:dyDescent="0.4">
      <c r="A2728" s="1" t="s">
        <v>999</v>
      </c>
      <c r="B2728" s="1" t="s">
        <v>1453</v>
      </c>
      <c r="C2728" s="1" t="s">
        <v>1844</v>
      </c>
      <c r="D2728" s="1" t="s">
        <v>1462</v>
      </c>
      <c r="E2728">
        <v>20251211</v>
      </c>
      <c r="F2728" s="1" t="s">
        <v>1470</v>
      </c>
      <c r="G2728">
        <v>4</v>
      </c>
      <c r="H2728" s="1" t="s">
        <v>1503</v>
      </c>
      <c r="I2728" t="s">
        <v>1883</v>
      </c>
      <c r="J2728" s="1" t="s">
        <v>1456</v>
      </c>
      <c r="K2728" s="1" t="s">
        <v>1554</v>
      </c>
      <c r="L2728" s="1" t="s">
        <v>1729</v>
      </c>
      <c r="M2728" s="1" t="s">
        <v>1737</v>
      </c>
      <c r="N2728" t="s">
        <v>2118</v>
      </c>
      <c r="O2728" t="s">
        <v>2503</v>
      </c>
      <c r="P2728">
        <v>82217</v>
      </c>
      <c r="Q2728">
        <v>2</v>
      </c>
      <c r="R2728" s="1" t="s">
        <v>1718</v>
      </c>
      <c r="S2728">
        <v>9450</v>
      </c>
      <c r="T2728">
        <v>18900</v>
      </c>
    </row>
    <row r="2729" spans="1:20" hidden="1" x14ac:dyDescent="0.4">
      <c r="A2729" s="1" t="s">
        <v>999</v>
      </c>
      <c r="B2729" s="1" t="s">
        <v>1454</v>
      </c>
      <c r="C2729" s="1" t="s">
        <v>1844</v>
      </c>
      <c r="D2729" s="1" t="s">
        <v>1462</v>
      </c>
      <c r="E2729">
        <v>20251211</v>
      </c>
      <c r="F2729" s="1" t="s">
        <v>1470</v>
      </c>
      <c r="G2729">
        <v>4</v>
      </c>
      <c r="H2729" s="1" t="s">
        <v>1503</v>
      </c>
      <c r="I2729" t="s">
        <v>1883</v>
      </c>
      <c r="J2729" s="1" t="s">
        <v>1456</v>
      </c>
      <c r="K2729" s="1" t="s">
        <v>1554</v>
      </c>
      <c r="L2729" s="1" t="s">
        <v>1729</v>
      </c>
      <c r="M2729" s="1" t="s">
        <v>1737</v>
      </c>
      <c r="N2729" t="s">
        <v>2110</v>
      </c>
      <c r="O2729" t="s">
        <v>2504</v>
      </c>
      <c r="P2729">
        <v>82209</v>
      </c>
      <c r="Q2729">
        <v>1</v>
      </c>
      <c r="R2729" s="1" t="s">
        <v>1718</v>
      </c>
      <c r="S2729">
        <v>29900</v>
      </c>
      <c r="T2729">
        <v>29900</v>
      </c>
    </row>
    <row r="2730" spans="1:20" hidden="1" x14ac:dyDescent="0.4">
      <c r="A2730" s="1" t="s">
        <v>999</v>
      </c>
      <c r="B2730" s="1" t="s">
        <v>1455</v>
      </c>
      <c r="C2730" s="1" t="s">
        <v>1844</v>
      </c>
      <c r="D2730" s="1" t="s">
        <v>1462</v>
      </c>
      <c r="E2730">
        <v>20251211</v>
      </c>
      <c r="F2730" s="1" t="s">
        <v>1470</v>
      </c>
      <c r="G2730">
        <v>4</v>
      </c>
      <c r="H2730" s="1" t="s">
        <v>1503</v>
      </c>
      <c r="I2730" t="s">
        <v>1883</v>
      </c>
      <c r="J2730" s="1" t="s">
        <v>1456</v>
      </c>
      <c r="K2730" s="1" t="s">
        <v>1554</v>
      </c>
      <c r="L2730" s="1" t="s">
        <v>1729</v>
      </c>
      <c r="M2730" s="1" t="s">
        <v>1737</v>
      </c>
      <c r="N2730" t="s">
        <v>2110</v>
      </c>
      <c r="O2730" t="s">
        <v>2505</v>
      </c>
      <c r="P2730">
        <v>82210</v>
      </c>
      <c r="Q2730">
        <v>1</v>
      </c>
      <c r="R2730" s="1" t="s">
        <v>1718</v>
      </c>
      <c r="S2730">
        <v>29900</v>
      </c>
      <c r="T2730">
        <v>29900</v>
      </c>
    </row>
    <row r="2731" spans="1:20" hidden="1" x14ac:dyDescent="0.4">
      <c r="A2731" s="1" t="s">
        <v>999</v>
      </c>
      <c r="B2731" s="1" t="s">
        <v>1456</v>
      </c>
      <c r="C2731" s="1" t="s">
        <v>1844</v>
      </c>
      <c r="D2731" s="1" t="s">
        <v>1462</v>
      </c>
      <c r="E2731">
        <v>20251211</v>
      </c>
      <c r="F2731" s="1" t="s">
        <v>1470</v>
      </c>
      <c r="G2731">
        <v>4</v>
      </c>
      <c r="H2731" s="1" t="s">
        <v>1503</v>
      </c>
      <c r="I2731" t="s">
        <v>1883</v>
      </c>
      <c r="J2731" s="1" t="s">
        <v>1456</v>
      </c>
      <c r="K2731" s="1" t="s">
        <v>1554</v>
      </c>
      <c r="L2731" s="1" t="s">
        <v>1729</v>
      </c>
      <c r="M2731" s="1" t="s">
        <v>1737</v>
      </c>
      <c r="N2731" t="s">
        <v>2090</v>
      </c>
      <c r="O2731" t="s">
        <v>2506</v>
      </c>
      <c r="P2731">
        <v>82239</v>
      </c>
      <c r="Q2731">
        <v>2</v>
      </c>
      <c r="R2731" s="1" t="s">
        <v>1718</v>
      </c>
      <c r="S2731">
        <v>18740</v>
      </c>
      <c r="T2731">
        <v>37480</v>
      </c>
    </row>
    <row r="2732" spans="1:20" hidden="1" x14ac:dyDescent="0.4">
      <c r="A2732" s="1" t="s">
        <v>1000</v>
      </c>
      <c r="B2732" s="1" t="s">
        <v>1453</v>
      </c>
      <c r="C2732" s="1" t="s">
        <v>1844</v>
      </c>
      <c r="D2732" s="1" t="s">
        <v>1730</v>
      </c>
      <c r="E2732">
        <v>20251211</v>
      </c>
      <c r="F2732" s="1" t="s">
        <v>1470</v>
      </c>
      <c r="G2732">
        <v>4</v>
      </c>
      <c r="H2732" s="1" t="s">
        <v>1503</v>
      </c>
      <c r="I2732" t="s">
        <v>1883</v>
      </c>
      <c r="J2732" s="1" t="s">
        <v>1456</v>
      </c>
      <c r="K2732" s="1" t="s">
        <v>1570</v>
      </c>
      <c r="L2732" s="1" t="s">
        <v>1729</v>
      </c>
      <c r="M2732" s="1" t="s">
        <v>1741</v>
      </c>
      <c r="N2732" t="s">
        <v>1943</v>
      </c>
      <c r="O2732" t="s">
        <v>2507</v>
      </c>
      <c r="P2732" t="s">
        <v>3243</v>
      </c>
      <c r="Q2732">
        <v>10</v>
      </c>
      <c r="R2732" s="1" t="s">
        <v>1718</v>
      </c>
      <c r="S2732">
        <v>0</v>
      </c>
      <c r="T2732">
        <v>0</v>
      </c>
    </row>
    <row r="2733" spans="1:20" hidden="1" x14ac:dyDescent="0.4">
      <c r="A2733" s="1" t="s">
        <v>1000</v>
      </c>
      <c r="B2733" s="1" t="s">
        <v>1454</v>
      </c>
      <c r="C2733" s="1" t="s">
        <v>1844</v>
      </c>
      <c r="D2733" s="1" t="s">
        <v>1730</v>
      </c>
      <c r="E2733">
        <v>20251211</v>
      </c>
      <c r="F2733" s="1" t="s">
        <v>1470</v>
      </c>
      <c r="G2733">
        <v>4</v>
      </c>
      <c r="H2733" s="1" t="s">
        <v>1503</v>
      </c>
      <c r="I2733" t="s">
        <v>1883</v>
      </c>
      <c r="J2733" s="1" t="s">
        <v>1456</v>
      </c>
      <c r="K2733" s="1" t="s">
        <v>1570</v>
      </c>
      <c r="L2733" s="1" t="s">
        <v>1729</v>
      </c>
      <c r="M2733" s="1" t="s">
        <v>1741</v>
      </c>
      <c r="N2733" t="s">
        <v>1943</v>
      </c>
      <c r="O2733" t="s">
        <v>2507</v>
      </c>
      <c r="P2733" t="s">
        <v>3243</v>
      </c>
      <c r="Q2733">
        <v>10</v>
      </c>
      <c r="R2733" s="1" t="s">
        <v>1718</v>
      </c>
      <c r="S2733">
        <v>0</v>
      </c>
      <c r="T2733">
        <v>0</v>
      </c>
    </row>
    <row r="2734" spans="1:20" hidden="1" x14ac:dyDescent="0.4">
      <c r="A2734" s="1" t="s">
        <v>1001</v>
      </c>
      <c r="B2734" s="1" t="s">
        <v>1453</v>
      </c>
      <c r="C2734" s="1" t="s">
        <v>1844</v>
      </c>
      <c r="D2734" s="1" t="s">
        <v>1462</v>
      </c>
      <c r="E2734">
        <v>20251211</v>
      </c>
      <c r="F2734" s="1" t="s">
        <v>1470</v>
      </c>
      <c r="G2734">
        <v>4</v>
      </c>
      <c r="H2734" s="1" t="s">
        <v>1496</v>
      </c>
      <c r="I2734" t="s">
        <v>1876</v>
      </c>
      <c r="J2734" s="1" t="s">
        <v>1456</v>
      </c>
      <c r="K2734" s="1" t="s">
        <v>1557</v>
      </c>
      <c r="L2734" s="1" t="s">
        <v>1729</v>
      </c>
      <c r="M2734" s="1" t="s">
        <v>1737</v>
      </c>
      <c r="N2734" t="s">
        <v>1929</v>
      </c>
      <c r="O2734" t="s">
        <v>2508</v>
      </c>
      <c r="P2734" t="s">
        <v>3220</v>
      </c>
      <c r="Q2734">
        <v>2</v>
      </c>
      <c r="R2734" s="1" t="s">
        <v>1718</v>
      </c>
      <c r="S2734">
        <v>8780</v>
      </c>
      <c r="T2734">
        <v>17560</v>
      </c>
    </row>
    <row r="2735" spans="1:20" hidden="1" x14ac:dyDescent="0.4">
      <c r="A2735" s="1" t="s">
        <v>1002</v>
      </c>
      <c r="B2735" s="1" t="s">
        <v>1453</v>
      </c>
      <c r="C2735" s="1" t="s">
        <v>1844</v>
      </c>
      <c r="D2735" s="1" t="s">
        <v>1462</v>
      </c>
      <c r="E2735">
        <v>20251211</v>
      </c>
      <c r="F2735" s="1" t="s">
        <v>1470</v>
      </c>
      <c r="G2735">
        <v>4</v>
      </c>
      <c r="H2735" s="1" t="s">
        <v>1496</v>
      </c>
      <c r="I2735" t="s">
        <v>1876</v>
      </c>
      <c r="J2735" s="1" t="s">
        <v>1456</v>
      </c>
      <c r="K2735" s="1" t="s">
        <v>1557</v>
      </c>
      <c r="L2735" s="1" t="s">
        <v>1729</v>
      </c>
      <c r="M2735" s="1" t="s">
        <v>1737</v>
      </c>
      <c r="N2735" t="s">
        <v>1929</v>
      </c>
      <c r="O2735" t="s">
        <v>2509</v>
      </c>
      <c r="P2735" t="s">
        <v>2157</v>
      </c>
      <c r="Q2735">
        <v>2</v>
      </c>
      <c r="R2735" s="1" t="s">
        <v>1718</v>
      </c>
      <c r="S2735">
        <v>12677</v>
      </c>
      <c r="T2735">
        <v>25354</v>
      </c>
    </row>
    <row r="2736" spans="1:20" hidden="1" x14ac:dyDescent="0.4">
      <c r="A2736" s="1" t="s">
        <v>1003</v>
      </c>
      <c r="B2736" s="1" t="s">
        <v>1453</v>
      </c>
      <c r="C2736" s="1" t="s">
        <v>1844</v>
      </c>
      <c r="D2736" s="1" t="s">
        <v>1462</v>
      </c>
      <c r="E2736">
        <v>20251211</v>
      </c>
      <c r="F2736" s="1" t="s">
        <v>1470</v>
      </c>
      <c r="G2736">
        <v>4</v>
      </c>
      <c r="H2736" s="1" t="s">
        <v>1512</v>
      </c>
      <c r="I2736" t="s">
        <v>1892</v>
      </c>
      <c r="J2736" s="1" t="s">
        <v>1456</v>
      </c>
      <c r="K2736" s="1" t="s">
        <v>1558</v>
      </c>
      <c r="L2736" s="1" t="s">
        <v>1729</v>
      </c>
      <c r="M2736" s="1" t="s">
        <v>1737</v>
      </c>
      <c r="N2736" t="s">
        <v>2096</v>
      </c>
      <c r="O2736" t="s">
        <v>2510</v>
      </c>
      <c r="P2736" t="s">
        <v>3454</v>
      </c>
      <c r="Q2736">
        <v>2</v>
      </c>
      <c r="R2736" s="1" t="s">
        <v>1718</v>
      </c>
      <c r="S2736">
        <v>22486</v>
      </c>
      <c r="T2736">
        <v>44972</v>
      </c>
    </row>
    <row r="2737" spans="1:20" hidden="1" x14ac:dyDescent="0.4">
      <c r="A2737" s="1" t="s">
        <v>1004</v>
      </c>
      <c r="B2737" s="1" t="s">
        <v>1453</v>
      </c>
      <c r="C2737" s="1" t="s">
        <v>1844</v>
      </c>
      <c r="D2737" s="1" t="s">
        <v>1462</v>
      </c>
      <c r="E2737">
        <v>20251211</v>
      </c>
      <c r="F2737" s="1" t="s">
        <v>1470</v>
      </c>
      <c r="G2737">
        <v>4</v>
      </c>
      <c r="H2737" s="1" t="s">
        <v>1512</v>
      </c>
      <c r="I2737" t="s">
        <v>1892</v>
      </c>
      <c r="J2737" s="1" t="s">
        <v>1456</v>
      </c>
      <c r="K2737" s="1" t="s">
        <v>1558</v>
      </c>
      <c r="L2737" s="1" t="s">
        <v>1729</v>
      </c>
      <c r="M2737" s="1" t="s">
        <v>1737</v>
      </c>
      <c r="N2737" t="s">
        <v>2096</v>
      </c>
      <c r="O2737" t="s">
        <v>2511</v>
      </c>
      <c r="P2737" t="s">
        <v>3455</v>
      </c>
      <c r="Q2737">
        <v>2</v>
      </c>
      <c r="R2737" s="1" t="s">
        <v>1718</v>
      </c>
      <c r="S2737">
        <v>63795</v>
      </c>
      <c r="T2737">
        <v>127590</v>
      </c>
    </row>
    <row r="2738" spans="1:20" hidden="1" x14ac:dyDescent="0.4">
      <c r="A2738" s="1" t="s">
        <v>1005</v>
      </c>
      <c r="B2738" s="1" t="s">
        <v>1453</v>
      </c>
      <c r="C2738" s="1" t="s">
        <v>1844</v>
      </c>
      <c r="D2738" s="1" t="s">
        <v>1462</v>
      </c>
      <c r="E2738">
        <v>20251211</v>
      </c>
      <c r="F2738" s="1" t="s">
        <v>1470</v>
      </c>
      <c r="G2738">
        <v>4</v>
      </c>
      <c r="H2738" s="1" t="s">
        <v>1512</v>
      </c>
      <c r="I2738" t="s">
        <v>1892</v>
      </c>
      <c r="J2738" s="1" t="s">
        <v>1456</v>
      </c>
      <c r="K2738" s="1" t="s">
        <v>1558</v>
      </c>
      <c r="L2738" s="1" t="s">
        <v>1729</v>
      </c>
      <c r="M2738" s="1" t="s">
        <v>1737</v>
      </c>
      <c r="N2738" t="s">
        <v>2096</v>
      </c>
      <c r="O2738" t="s">
        <v>2512</v>
      </c>
      <c r="P2738" t="s">
        <v>3456</v>
      </c>
      <c r="Q2738">
        <v>2</v>
      </c>
      <c r="R2738" s="1" t="s">
        <v>1718</v>
      </c>
      <c r="S2738">
        <v>25096</v>
      </c>
      <c r="T2738">
        <v>50192</v>
      </c>
    </row>
    <row r="2739" spans="1:20" hidden="1" x14ac:dyDescent="0.4">
      <c r="A2739" s="1" t="s">
        <v>1006</v>
      </c>
      <c r="B2739" s="1" t="s">
        <v>1453</v>
      </c>
      <c r="C2739" s="1" t="s">
        <v>1844</v>
      </c>
      <c r="D2739" s="1" t="s">
        <v>1462</v>
      </c>
      <c r="E2739">
        <v>20251209</v>
      </c>
      <c r="F2739" s="1" t="s">
        <v>1471</v>
      </c>
      <c r="G2739">
        <v>4</v>
      </c>
      <c r="H2739" s="1" t="s">
        <v>1524</v>
      </c>
      <c r="I2739" t="s">
        <v>1904</v>
      </c>
      <c r="J2739" s="1" t="s">
        <v>1460</v>
      </c>
      <c r="K2739" s="1" t="s">
        <v>1651</v>
      </c>
      <c r="L2739" s="1" t="s">
        <v>1731</v>
      </c>
      <c r="M2739" s="1" t="s">
        <v>1737</v>
      </c>
      <c r="N2739" t="s">
        <v>2035</v>
      </c>
      <c r="O2739" t="s">
        <v>2178</v>
      </c>
      <c r="P2739" t="s">
        <v>2157</v>
      </c>
      <c r="Q2739">
        <v>75</v>
      </c>
      <c r="R2739" s="1" t="s">
        <v>1463</v>
      </c>
      <c r="S2739">
        <v>2734</v>
      </c>
      <c r="T2739">
        <v>205050</v>
      </c>
    </row>
    <row r="2740" spans="1:20" hidden="1" x14ac:dyDescent="0.4">
      <c r="A2740" s="1" t="s">
        <v>1007</v>
      </c>
      <c r="B2740" s="1" t="s">
        <v>1453</v>
      </c>
      <c r="C2740" s="1" t="s">
        <v>1844</v>
      </c>
      <c r="D2740" s="1" t="s">
        <v>1462</v>
      </c>
      <c r="E2740">
        <v>20251209</v>
      </c>
      <c r="F2740" s="1" t="s">
        <v>1471</v>
      </c>
      <c r="G2740">
        <v>4</v>
      </c>
      <c r="H2740" s="1" t="s">
        <v>1523</v>
      </c>
      <c r="I2740" t="s">
        <v>1903</v>
      </c>
      <c r="J2740" s="1" t="s">
        <v>1460</v>
      </c>
      <c r="K2740" s="1" t="s">
        <v>1648</v>
      </c>
      <c r="L2740" s="1" t="s">
        <v>1731</v>
      </c>
      <c r="M2740" s="1" t="s">
        <v>1768</v>
      </c>
      <c r="N2740" t="s">
        <v>2030</v>
      </c>
      <c r="O2740" t="s">
        <v>2178</v>
      </c>
      <c r="P2740" t="s">
        <v>3158</v>
      </c>
      <c r="Q2740">
        <v>4750</v>
      </c>
      <c r="R2740" s="1" t="s">
        <v>1463</v>
      </c>
      <c r="S2740">
        <v>928</v>
      </c>
      <c r="T2740">
        <v>4408000</v>
      </c>
    </row>
    <row r="2741" spans="1:20" hidden="1" x14ac:dyDescent="0.4">
      <c r="A2741" s="1" t="s">
        <v>1008</v>
      </c>
      <c r="B2741" s="1" t="s">
        <v>1453</v>
      </c>
      <c r="C2741" s="1" t="s">
        <v>1844</v>
      </c>
      <c r="D2741" s="1" t="s">
        <v>1462</v>
      </c>
      <c r="E2741">
        <v>20251209</v>
      </c>
      <c r="F2741" s="1" t="s">
        <v>1471</v>
      </c>
      <c r="G2741">
        <v>4</v>
      </c>
      <c r="H2741" s="1" t="s">
        <v>1522</v>
      </c>
      <c r="I2741" t="s">
        <v>1902</v>
      </c>
      <c r="J2741" s="1" t="s">
        <v>1460</v>
      </c>
      <c r="K2741" s="1" t="s">
        <v>1659</v>
      </c>
      <c r="L2741" s="1" t="s">
        <v>1731</v>
      </c>
      <c r="M2741" s="1" t="s">
        <v>1807</v>
      </c>
      <c r="N2741" t="s">
        <v>2047</v>
      </c>
      <c r="O2741" t="s">
        <v>2178</v>
      </c>
      <c r="P2741" t="s">
        <v>3176</v>
      </c>
      <c r="Q2741">
        <v>1000</v>
      </c>
      <c r="R2741" s="1" t="s">
        <v>1463</v>
      </c>
      <c r="S2741">
        <v>1000</v>
      </c>
      <c r="T2741">
        <v>1000000</v>
      </c>
    </row>
    <row r="2742" spans="1:20" hidden="1" x14ac:dyDescent="0.4">
      <c r="A2742" s="1" t="s">
        <v>1009</v>
      </c>
      <c r="B2742" s="1" t="s">
        <v>1453</v>
      </c>
      <c r="C2742" s="1" t="s">
        <v>1844</v>
      </c>
      <c r="D2742" s="1" t="s">
        <v>1730</v>
      </c>
      <c r="E2742">
        <v>20251211</v>
      </c>
      <c r="F2742" s="1" t="s">
        <v>1473</v>
      </c>
      <c r="G2742">
        <v>4</v>
      </c>
      <c r="H2742" s="1" t="s">
        <v>1519</v>
      </c>
      <c r="I2742" t="s">
        <v>1899</v>
      </c>
      <c r="J2742" s="1" t="s">
        <v>1453</v>
      </c>
      <c r="K2742" s="1" t="s">
        <v>1589</v>
      </c>
      <c r="L2742" s="1" t="s">
        <v>1718</v>
      </c>
      <c r="M2742" s="1" t="s">
        <v>1837</v>
      </c>
      <c r="N2742" t="s">
        <v>1964</v>
      </c>
      <c r="O2742" t="s">
        <v>2164</v>
      </c>
      <c r="P2742" t="s">
        <v>3457</v>
      </c>
      <c r="Q2742">
        <v>94.64</v>
      </c>
      <c r="R2742" s="1" t="s">
        <v>1839</v>
      </c>
      <c r="S2742">
        <v>0</v>
      </c>
      <c r="T2742">
        <v>0</v>
      </c>
    </row>
    <row r="2743" spans="1:20" hidden="1" x14ac:dyDescent="0.4">
      <c r="A2743" s="1" t="s">
        <v>1009</v>
      </c>
      <c r="B2743" s="1" t="s">
        <v>1454</v>
      </c>
      <c r="C2743" s="1" t="s">
        <v>1844</v>
      </c>
      <c r="D2743" s="1" t="s">
        <v>1730</v>
      </c>
      <c r="E2743">
        <v>20251211</v>
      </c>
      <c r="F2743" s="1" t="s">
        <v>1473</v>
      </c>
      <c r="G2743">
        <v>4</v>
      </c>
      <c r="H2743" s="1" t="s">
        <v>1519</v>
      </c>
      <c r="I2743" t="s">
        <v>1899</v>
      </c>
      <c r="J2743" s="1" t="s">
        <v>1453</v>
      </c>
      <c r="K2743" s="1" t="s">
        <v>1589</v>
      </c>
      <c r="L2743" s="1" t="s">
        <v>1718</v>
      </c>
      <c r="M2743" s="1" t="s">
        <v>1758</v>
      </c>
      <c r="N2743" t="s">
        <v>1964</v>
      </c>
      <c r="O2743" t="s">
        <v>2164</v>
      </c>
      <c r="P2743" t="s">
        <v>3073</v>
      </c>
      <c r="Q2743">
        <v>109.2</v>
      </c>
      <c r="R2743" s="1" t="s">
        <v>1839</v>
      </c>
      <c r="S2743">
        <v>0</v>
      </c>
      <c r="T2743">
        <v>0</v>
      </c>
    </row>
    <row r="2744" spans="1:20" hidden="1" x14ac:dyDescent="0.4">
      <c r="A2744" s="1" t="s">
        <v>1010</v>
      </c>
      <c r="B2744" s="1" t="s">
        <v>1453</v>
      </c>
      <c r="C2744" s="1" t="s">
        <v>1844</v>
      </c>
      <c r="D2744" s="1" t="s">
        <v>1731</v>
      </c>
      <c r="E2744">
        <v>20251210</v>
      </c>
      <c r="F2744" s="1" t="s">
        <v>1470</v>
      </c>
      <c r="G2744">
        <v>1</v>
      </c>
      <c r="H2744" s="1" t="s">
        <v>1490</v>
      </c>
      <c r="I2744" t="s">
        <v>1870</v>
      </c>
      <c r="J2744" s="1" t="s">
        <v>1459</v>
      </c>
      <c r="K2744" s="1" t="s">
        <v>1579</v>
      </c>
      <c r="L2744" s="1" t="s">
        <v>1715</v>
      </c>
      <c r="M2744" s="1" t="s">
        <v>1795</v>
      </c>
      <c r="N2744" t="s">
        <v>1952</v>
      </c>
      <c r="O2744" t="s">
        <v>2161</v>
      </c>
      <c r="P2744" t="s">
        <v>3051</v>
      </c>
      <c r="Q2744">
        <v>2362</v>
      </c>
      <c r="R2744" s="1" t="s">
        <v>1463</v>
      </c>
      <c r="S2744">
        <v>833</v>
      </c>
      <c r="T2744">
        <v>1967546</v>
      </c>
    </row>
    <row r="2745" spans="1:20" hidden="1" x14ac:dyDescent="0.4">
      <c r="A2745" s="1" t="s">
        <v>1010</v>
      </c>
      <c r="B2745" s="1" t="s">
        <v>1454</v>
      </c>
      <c r="C2745" s="1" t="s">
        <v>1844</v>
      </c>
      <c r="D2745" s="1" t="s">
        <v>1731</v>
      </c>
      <c r="E2745">
        <v>20251210</v>
      </c>
      <c r="F2745" s="1" t="s">
        <v>1470</v>
      </c>
      <c r="G2745">
        <v>1</v>
      </c>
      <c r="H2745" s="1" t="s">
        <v>1490</v>
      </c>
      <c r="I2745" t="s">
        <v>1870</v>
      </c>
      <c r="J2745" s="1" t="s">
        <v>1459</v>
      </c>
      <c r="K2745" s="1" t="s">
        <v>1579</v>
      </c>
      <c r="L2745" s="1" t="s">
        <v>1715</v>
      </c>
      <c r="M2745" s="1" t="s">
        <v>1796</v>
      </c>
      <c r="N2745" t="s">
        <v>1952</v>
      </c>
      <c r="O2745" t="s">
        <v>2161</v>
      </c>
      <c r="P2745" t="s">
        <v>3052</v>
      </c>
      <c r="Q2745">
        <v>372</v>
      </c>
      <c r="R2745" s="1" t="s">
        <v>1463</v>
      </c>
      <c r="S2745">
        <v>833</v>
      </c>
      <c r="T2745">
        <v>309876</v>
      </c>
    </row>
    <row r="2746" spans="1:20" hidden="1" x14ac:dyDescent="0.4">
      <c r="A2746" s="1" t="s">
        <v>1010</v>
      </c>
      <c r="B2746" s="1" t="s">
        <v>1455</v>
      </c>
      <c r="C2746" s="1" t="s">
        <v>1844</v>
      </c>
      <c r="D2746" s="1" t="s">
        <v>1731</v>
      </c>
      <c r="E2746">
        <v>20251210</v>
      </c>
      <c r="F2746" s="1" t="s">
        <v>1470</v>
      </c>
      <c r="G2746">
        <v>1</v>
      </c>
      <c r="H2746" s="1" t="s">
        <v>1490</v>
      </c>
      <c r="I2746" t="s">
        <v>1870</v>
      </c>
      <c r="J2746" s="1" t="s">
        <v>1459</v>
      </c>
      <c r="K2746" s="1" t="s">
        <v>1579</v>
      </c>
      <c r="L2746" s="1" t="s">
        <v>1715</v>
      </c>
      <c r="M2746" s="1" t="s">
        <v>1797</v>
      </c>
      <c r="N2746" t="s">
        <v>1952</v>
      </c>
      <c r="O2746" t="s">
        <v>2161</v>
      </c>
      <c r="P2746" t="s">
        <v>3053</v>
      </c>
      <c r="Q2746">
        <v>1624</v>
      </c>
      <c r="R2746" s="1" t="s">
        <v>1463</v>
      </c>
      <c r="S2746">
        <v>833</v>
      </c>
      <c r="T2746">
        <v>1352792</v>
      </c>
    </row>
    <row r="2747" spans="1:20" hidden="1" x14ac:dyDescent="0.4">
      <c r="A2747" s="1" t="s">
        <v>1011</v>
      </c>
      <c r="B2747" s="1" t="s">
        <v>1453</v>
      </c>
      <c r="C2747" s="1" t="s">
        <v>1844</v>
      </c>
      <c r="D2747" s="1" t="s">
        <v>1467</v>
      </c>
      <c r="E2747">
        <v>20251211</v>
      </c>
      <c r="F2747" s="1" t="s">
        <v>1470</v>
      </c>
      <c r="G2747">
        <v>4</v>
      </c>
      <c r="H2747" s="1" t="s">
        <v>1503</v>
      </c>
      <c r="I2747" t="s">
        <v>1883</v>
      </c>
      <c r="J2747" s="1" t="s">
        <v>1456</v>
      </c>
      <c r="K2747" s="1" t="s">
        <v>1570</v>
      </c>
      <c r="L2747" s="1" t="s">
        <v>1729</v>
      </c>
      <c r="M2747" s="1" t="s">
        <v>1741</v>
      </c>
      <c r="N2747" t="s">
        <v>1943</v>
      </c>
      <c r="O2747" t="s">
        <v>2157</v>
      </c>
      <c r="P2747" t="s">
        <v>3243</v>
      </c>
      <c r="Q2747">
        <v>2</v>
      </c>
      <c r="R2747" s="1" t="s">
        <v>1718</v>
      </c>
      <c r="S2747">
        <v>12696</v>
      </c>
      <c r="T2747">
        <v>25392</v>
      </c>
    </row>
    <row r="2748" spans="1:20" hidden="1" x14ac:dyDescent="0.4">
      <c r="A2748" s="1" t="s">
        <v>1012</v>
      </c>
      <c r="B2748" s="1" t="s">
        <v>1453</v>
      </c>
      <c r="C2748" s="1" t="s">
        <v>1844</v>
      </c>
      <c r="D2748" s="1" t="s">
        <v>1730</v>
      </c>
      <c r="E2748">
        <v>20251211</v>
      </c>
      <c r="F2748" s="1" t="s">
        <v>1470</v>
      </c>
      <c r="G2748">
        <v>4</v>
      </c>
      <c r="H2748" s="1" t="s">
        <v>1503</v>
      </c>
      <c r="I2748" t="s">
        <v>1883</v>
      </c>
      <c r="J2748" s="1" t="s">
        <v>1456</v>
      </c>
      <c r="K2748" s="1" t="s">
        <v>1570</v>
      </c>
      <c r="L2748" s="1" t="s">
        <v>1729</v>
      </c>
      <c r="M2748" s="1" t="s">
        <v>1741</v>
      </c>
      <c r="N2748" t="s">
        <v>1943</v>
      </c>
      <c r="O2748" t="s">
        <v>2513</v>
      </c>
      <c r="P2748" t="s">
        <v>3243</v>
      </c>
      <c r="Q2748">
        <v>2</v>
      </c>
      <c r="R2748" s="1" t="s">
        <v>1718</v>
      </c>
      <c r="S2748">
        <v>0</v>
      </c>
      <c r="T2748">
        <v>0</v>
      </c>
    </row>
    <row r="2749" spans="1:20" hidden="1" x14ac:dyDescent="0.4">
      <c r="A2749" s="1" t="s">
        <v>1013</v>
      </c>
      <c r="B2749" s="1" t="s">
        <v>1453</v>
      </c>
      <c r="C2749" s="1" t="s">
        <v>1844</v>
      </c>
      <c r="D2749" s="1" t="s">
        <v>1462</v>
      </c>
      <c r="E2749">
        <v>20251211</v>
      </c>
      <c r="F2749" s="1" t="s">
        <v>1470</v>
      </c>
      <c r="G2749">
        <v>4</v>
      </c>
      <c r="H2749" s="1" t="s">
        <v>1496</v>
      </c>
      <c r="I2749" t="s">
        <v>1876</v>
      </c>
      <c r="J2749" s="1" t="s">
        <v>1456</v>
      </c>
      <c r="K2749" s="1" t="s">
        <v>1704</v>
      </c>
      <c r="L2749" s="1" t="s">
        <v>1729</v>
      </c>
      <c r="M2749" s="1" t="s">
        <v>1741</v>
      </c>
      <c r="N2749" t="s">
        <v>2131</v>
      </c>
      <c r="O2749" t="s">
        <v>2514</v>
      </c>
      <c r="P2749" t="s">
        <v>3243</v>
      </c>
      <c r="Q2749">
        <v>41.4</v>
      </c>
      <c r="R2749" s="1" t="s">
        <v>1839</v>
      </c>
      <c r="S2749">
        <v>2075</v>
      </c>
      <c r="T2749">
        <v>85905</v>
      </c>
    </row>
    <row r="2750" spans="1:20" hidden="1" x14ac:dyDescent="0.4">
      <c r="A2750" s="1" t="s">
        <v>1013</v>
      </c>
      <c r="B2750" s="1" t="s">
        <v>1454</v>
      </c>
      <c r="C2750" s="1" t="s">
        <v>1844</v>
      </c>
      <c r="D2750" s="1" t="s">
        <v>1462</v>
      </c>
      <c r="E2750">
        <v>20251211</v>
      </c>
      <c r="F2750" s="1" t="s">
        <v>1470</v>
      </c>
      <c r="G2750">
        <v>4</v>
      </c>
      <c r="H2750" s="1" t="s">
        <v>1496</v>
      </c>
      <c r="I2750" t="s">
        <v>1876</v>
      </c>
      <c r="J2750" s="1" t="s">
        <v>1456</v>
      </c>
      <c r="K2750" s="1" t="s">
        <v>1704</v>
      </c>
      <c r="L2750" s="1" t="s">
        <v>1729</v>
      </c>
      <c r="M2750" s="1" t="s">
        <v>1741</v>
      </c>
      <c r="N2750" t="s">
        <v>2131</v>
      </c>
      <c r="O2750" t="s">
        <v>2515</v>
      </c>
      <c r="P2750" t="s">
        <v>3243</v>
      </c>
      <c r="Q2750">
        <v>39.24</v>
      </c>
      <c r="R2750" s="1" t="s">
        <v>1839</v>
      </c>
      <c r="S2750">
        <v>2075</v>
      </c>
      <c r="T2750">
        <v>81423</v>
      </c>
    </row>
    <row r="2751" spans="1:20" hidden="1" x14ac:dyDescent="0.4">
      <c r="A2751" s="1" t="s">
        <v>1013</v>
      </c>
      <c r="B2751" s="1" t="s">
        <v>1455</v>
      </c>
      <c r="C2751" s="1" t="s">
        <v>1844</v>
      </c>
      <c r="D2751" s="1" t="s">
        <v>1462</v>
      </c>
      <c r="E2751">
        <v>20251211</v>
      </c>
      <c r="F2751" s="1" t="s">
        <v>1470</v>
      </c>
      <c r="G2751">
        <v>4</v>
      </c>
      <c r="H2751" s="1" t="s">
        <v>1496</v>
      </c>
      <c r="I2751" t="s">
        <v>1876</v>
      </c>
      <c r="J2751" s="1" t="s">
        <v>1456</v>
      </c>
      <c r="K2751" s="1" t="s">
        <v>1704</v>
      </c>
      <c r="L2751" s="1" t="s">
        <v>1729</v>
      </c>
      <c r="M2751" s="1" t="s">
        <v>1741</v>
      </c>
      <c r="N2751" t="s">
        <v>2131</v>
      </c>
      <c r="O2751" t="s">
        <v>2516</v>
      </c>
      <c r="P2751" t="s">
        <v>3243</v>
      </c>
      <c r="Q2751">
        <v>41.4</v>
      </c>
      <c r="R2751" s="1" t="s">
        <v>1839</v>
      </c>
      <c r="S2751">
        <v>2075</v>
      </c>
      <c r="T2751">
        <v>85905</v>
      </c>
    </row>
    <row r="2752" spans="1:20" hidden="1" x14ac:dyDescent="0.4">
      <c r="A2752" s="1" t="s">
        <v>1013</v>
      </c>
      <c r="B2752" s="1" t="s">
        <v>1456</v>
      </c>
      <c r="C2752" s="1" t="s">
        <v>1844</v>
      </c>
      <c r="D2752" s="1" t="s">
        <v>1462</v>
      </c>
      <c r="E2752">
        <v>20251211</v>
      </c>
      <c r="F2752" s="1" t="s">
        <v>1470</v>
      </c>
      <c r="G2752">
        <v>4</v>
      </c>
      <c r="H2752" s="1" t="s">
        <v>1496</v>
      </c>
      <c r="I2752" t="s">
        <v>1876</v>
      </c>
      <c r="J2752" s="1" t="s">
        <v>1456</v>
      </c>
      <c r="K2752" s="1" t="s">
        <v>1704</v>
      </c>
      <c r="L2752" s="1" t="s">
        <v>1729</v>
      </c>
      <c r="M2752" s="1" t="s">
        <v>1741</v>
      </c>
      <c r="N2752" t="s">
        <v>2131</v>
      </c>
      <c r="O2752" t="s">
        <v>2517</v>
      </c>
      <c r="P2752" t="s">
        <v>3243</v>
      </c>
      <c r="Q2752">
        <v>39.24</v>
      </c>
      <c r="R2752" s="1" t="s">
        <v>1839</v>
      </c>
      <c r="S2752">
        <v>2075</v>
      </c>
      <c r="T2752">
        <v>81423</v>
      </c>
    </row>
    <row r="2753" spans="1:20" hidden="1" x14ac:dyDescent="0.4">
      <c r="A2753" s="1" t="s">
        <v>1014</v>
      </c>
      <c r="B2753" s="1" t="s">
        <v>1453</v>
      </c>
      <c r="C2753" s="1" t="s">
        <v>1844</v>
      </c>
      <c r="D2753" s="1" t="s">
        <v>1730</v>
      </c>
      <c r="E2753">
        <v>20251211</v>
      </c>
      <c r="F2753" s="1" t="s">
        <v>1472</v>
      </c>
      <c r="G2753">
        <v>4</v>
      </c>
      <c r="H2753" s="1" t="s">
        <v>1521</v>
      </c>
      <c r="I2753" t="s">
        <v>1901</v>
      </c>
      <c r="J2753" s="1" t="s">
        <v>1457</v>
      </c>
      <c r="K2753" s="1" t="s">
        <v>1705</v>
      </c>
      <c r="L2753" s="1" t="s">
        <v>1719</v>
      </c>
      <c r="M2753" s="1" t="s">
        <v>1792</v>
      </c>
      <c r="N2753" t="s">
        <v>2132</v>
      </c>
      <c r="O2753" t="s">
        <v>2518</v>
      </c>
      <c r="P2753" t="s">
        <v>3147</v>
      </c>
      <c r="Q2753">
        <v>111.75</v>
      </c>
      <c r="R2753" s="1" t="s">
        <v>1839</v>
      </c>
      <c r="S2753">
        <v>0</v>
      </c>
      <c r="T2753">
        <v>0</v>
      </c>
    </row>
    <row r="2754" spans="1:20" hidden="1" x14ac:dyDescent="0.4">
      <c r="A2754" s="1" t="s">
        <v>1014</v>
      </c>
      <c r="B2754" s="1" t="s">
        <v>1454</v>
      </c>
      <c r="C2754" s="1" t="s">
        <v>1844</v>
      </c>
      <c r="D2754" s="1" t="s">
        <v>1730</v>
      </c>
      <c r="E2754">
        <v>20251211</v>
      </c>
      <c r="F2754" s="1" t="s">
        <v>1472</v>
      </c>
      <c r="G2754">
        <v>4</v>
      </c>
      <c r="H2754" s="1" t="s">
        <v>1521</v>
      </c>
      <c r="I2754" t="s">
        <v>1901</v>
      </c>
      <c r="J2754" s="1" t="s">
        <v>1457</v>
      </c>
      <c r="K2754" s="1" t="s">
        <v>1705</v>
      </c>
      <c r="L2754" s="1" t="s">
        <v>1719</v>
      </c>
      <c r="M2754" s="1" t="s">
        <v>1792</v>
      </c>
      <c r="N2754" t="s">
        <v>2132</v>
      </c>
      <c r="O2754" t="s">
        <v>2519</v>
      </c>
      <c r="P2754" t="s">
        <v>3147</v>
      </c>
      <c r="Q2754">
        <v>113.57</v>
      </c>
      <c r="R2754" s="1" t="s">
        <v>1839</v>
      </c>
      <c r="S2754">
        <v>0</v>
      </c>
      <c r="T2754">
        <v>0</v>
      </c>
    </row>
    <row r="2755" spans="1:20" hidden="1" x14ac:dyDescent="0.4">
      <c r="A2755" s="1" t="s">
        <v>1014</v>
      </c>
      <c r="B2755" s="1" t="s">
        <v>1455</v>
      </c>
      <c r="C2755" s="1" t="s">
        <v>1844</v>
      </c>
      <c r="D2755" s="1" t="s">
        <v>1730</v>
      </c>
      <c r="E2755">
        <v>20251211</v>
      </c>
      <c r="F2755" s="1" t="s">
        <v>1472</v>
      </c>
      <c r="G2755">
        <v>4</v>
      </c>
      <c r="H2755" s="1" t="s">
        <v>1521</v>
      </c>
      <c r="I2755" t="s">
        <v>1901</v>
      </c>
      <c r="J2755" s="1" t="s">
        <v>1457</v>
      </c>
      <c r="K2755" s="1" t="s">
        <v>1705</v>
      </c>
      <c r="L2755" s="1" t="s">
        <v>1719</v>
      </c>
      <c r="M2755" s="1" t="s">
        <v>1792</v>
      </c>
      <c r="N2755" t="s">
        <v>2132</v>
      </c>
      <c r="O2755" t="s">
        <v>2520</v>
      </c>
      <c r="P2755" t="s">
        <v>3147</v>
      </c>
      <c r="Q2755">
        <v>170.35</v>
      </c>
      <c r="R2755" s="1" t="s">
        <v>1839</v>
      </c>
      <c r="S2755">
        <v>0</v>
      </c>
      <c r="T2755">
        <v>0</v>
      </c>
    </row>
    <row r="2756" spans="1:20" hidden="1" x14ac:dyDescent="0.4">
      <c r="A2756" s="1" t="s">
        <v>1014</v>
      </c>
      <c r="B2756" s="1" t="s">
        <v>1456</v>
      </c>
      <c r="C2756" s="1" t="s">
        <v>1844</v>
      </c>
      <c r="D2756" s="1" t="s">
        <v>1730</v>
      </c>
      <c r="E2756">
        <v>20251211</v>
      </c>
      <c r="F2756" s="1" t="s">
        <v>1472</v>
      </c>
      <c r="G2756">
        <v>4</v>
      </c>
      <c r="H2756" s="1" t="s">
        <v>1521</v>
      </c>
      <c r="I2756" t="s">
        <v>1901</v>
      </c>
      <c r="J2756" s="1" t="s">
        <v>1457</v>
      </c>
      <c r="K2756" s="1" t="s">
        <v>1705</v>
      </c>
      <c r="L2756" s="1" t="s">
        <v>1719</v>
      </c>
      <c r="M2756" s="1" t="s">
        <v>1792</v>
      </c>
      <c r="N2756" t="s">
        <v>2132</v>
      </c>
      <c r="O2756" t="s">
        <v>2521</v>
      </c>
      <c r="P2756" t="s">
        <v>3147</v>
      </c>
      <c r="Q2756">
        <v>159.43</v>
      </c>
      <c r="R2756" s="1" t="s">
        <v>1839</v>
      </c>
      <c r="S2756">
        <v>0</v>
      </c>
      <c r="T2756">
        <v>0</v>
      </c>
    </row>
    <row r="2757" spans="1:20" hidden="1" x14ac:dyDescent="0.4">
      <c r="A2757" s="1" t="s">
        <v>1014</v>
      </c>
      <c r="B2757" s="1" t="s">
        <v>1457</v>
      </c>
      <c r="C2757" s="1" t="s">
        <v>1844</v>
      </c>
      <c r="D2757" s="1" t="s">
        <v>1730</v>
      </c>
      <c r="E2757">
        <v>20251211</v>
      </c>
      <c r="F2757" s="1" t="s">
        <v>1472</v>
      </c>
      <c r="G2757">
        <v>4</v>
      </c>
      <c r="H2757" s="1" t="s">
        <v>1521</v>
      </c>
      <c r="I2757" t="s">
        <v>1901</v>
      </c>
      <c r="J2757" s="1" t="s">
        <v>1457</v>
      </c>
      <c r="K2757" s="1" t="s">
        <v>1705</v>
      </c>
      <c r="L2757" s="1" t="s">
        <v>1719</v>
      </c>
      <c r="M2757" s="1" t="s">
        <v>1792</v>
      </c>
      <c r="N2757" t="s">
        <v>2132</v>
      </c>
      <c r="O2757" t="s">
        <v>2522</v>
      </c>
      <c r="P2757" t="s">
        <v>3147</v>
      </c>
      <c r="Q2757">
        <v>111.75</v>
      </c>
      <c r="R2757" s="1" t="s">
        <v>1839</v>
      </c>
      <c r="S2757">
        <v>0</v>
      </c>
      <c r="T2757">
        <v>0</v>
      </c>
    </row>
    <row r="2758" spans="1:20" hidden="1" x14ac:dyDescent="0.4">
      <c r="A2758" s="1" t="s">
        <v>1015</v>
      </c>
      <c r="B2758" s="1" t="s">
        <v>1453</v>
      </c>
      <c r="C2758" s="1" t="s">
        <v>1844</v>
      </c>
      <c r="D2758" s="1" t="s">
        <v>1730</v>
      </c>
      <c r="E2758">
        <v>20251211</v>
      </c>
      <c r="F2758" s="1" t="s">
        <v>1470</v>
      </c>
      <c r="G2758">
        <v>4</v>
      </c>
      <c r="H2758" s="1" t="s">
        <v>1503</v>
      </c>
      <c r="I2758" t="s">
        <v>1883</v>
      </c>
      <c r="J2758" s="1" t="s">
        <v>1456</v>
      </c>
      <c r="K2758" s="1" t="s">
        <v>1570</v>
      </c>
      <c r="L2758" s="1" t="s">
        <v>1729</v>
      </c>
      <c r="M2758" s="1" t="s">
        <v>1741</v>
      </c>
      <c r="N2758" t="s">
        <v>1943</v>
      </c>
      <c r="O2758" t="s">
        <v>2523</v>
      </c>
      <c r="P2758" t="s">
        <v>3243</v>
      </c>
      <c r="Q2758">
        <v>10</v>
      </c>
      <c r="R2758" s="1" t="s">
        <v>1718</v>
      </c>
      <c r="S2758">
        <v>0</v>
      </c>
      <c r="T2758">
        <v>0</v>
      </c>
    </row>
    <row r="2759" spans="1:20" hidden="1" x14ac:dyDescent="0.4">
      <c r="A2759" s="1" t="s">
        <v>1016</v>
      </c>
      <c r="B2759" s="1" t="s">
        <v>1453</v>
      </c>
      <c r="C2759" s="1" t="s">
        <v>1844</v>
      </c>
      <c r="D2759" s="1" t="s">
        <v>1462</v>
      </c>
      <c r="E2759">
        <v>20251205</v>
      </c>
      <c r="F2759" s="1" t="s">
        <v>1471</v>
      </c>
      <c r="G2759">
        <v>4</v>
      </c>
      <c r="H2759" s="1" t="s">
        <v>1532</v>
      </c>
      <c r="I2759" t="s">
        <v>1912</v>
      </c>
      <c r="J2759" s="1" t="s">
        <v>1460</v>
      </c>
      <c r="K2759" s="1" t="s">
        <v>1660</v>
      </c>
      <c r="L2759" s="1" t="s">
        <v>1734</v>
      </c>
      <c r="M2759" s="1" t="s">
        <v>1788</v>
      </c>
      <c r="N2759" t="s">
        <v>2048</v>
      </c>
      <c r="O2759" t="s">
        <v>2179</v>
      </c>
      <c r="P2759" t="s">
        <v>3177</v>
      </c>
      <c r="Q2759">
        <v>400</v>
      </c>
      <c r="R2759" s="1" t="s">
        <v>1463</v>
      </c>
      <c r="S2759">
        <v>2350</v>
      </c>
      <c r="T2759">
        <v>940000</v>
      </c>
    </row>
    <row r="2760" spans="1:20" hidden="1" x14ac:dyDescent="0.4">
      <c r="A2760" s="1" t="s">
        <v>1016</v>
      </c>
      <c r="B2760" s="1" t="s">
        <v>1454</v>
      </c>
      <c r="C2760" s="1" t="s">
        <v>1844</v>
      </c>
      <c r="D2760" s="1" t="s">
        <v>1462</v>
      </c>
      <c r="E2760">
        <v>20251205</v>
      </c>
      <c r="F2760" s="1" t="s">
        <v>1471</v>
      </c>
      <c r="G2760">
        <v>4</v>
      </c>
      <c r="H2760" s="1" t="s">
        <v>1532</v>
      </c>
      <c r="I2760" t="s">
        <v>1912</v>
      </c>
      <c r="J2760" s="1" t="s">
        <v>1460</v>
      </c>
      <c r="K2760" s="1" t="s">
        <v>1660</v>
      </c>
      <c r="L2760" s="1" t="s">
        <v>1734</v>
      </c>
      <c r="M2760" s="1" t="s">
        <v>1808</v>
      </c>
      <c r="N2760" t="s">
        <v>2048</v>
      </c>
      <c r="O2760" t="s">
        <v>2179</v>
      </c>
      <c r="P2760" t="s">
        <v>3178</v>
      </c>
      <c r="Q2760">
        <v>160</v>
      </c>
      <c r="R2760" s="1" t="s">
        <v>1463</v>
      </c>
      <c r="S2760">
        <v>2500</v>
      </c>
      <c r="T2760">
        <v>400000</v>
      </c>
    </row>
    <row r="2761" spans="1:20" hidden="1" x14ac:dyDescent="0.4">
      <c r="A2761" s="1" t="s">
        <v>1016</v>
      </c>
      <c r="B2761" s="1" t="s">
        <v>1455</v>
      </c>
      <c r="C2761" s="1" t="s">
        <v>1844</v>
      </c>
      <c r="D2761" s="1" t="s">
        <v>1462</v>
      </c>
      <c r="E2761">
        <v>20251205</v>
      </c>
      <c r="F2761" s="1" t="s">
        <v>1471</v>
      </c>
      <c r="G2761">
        <v>4</v>
      </c>
      <c r="H2761" s="1" t="s">
        <v>1532</v>
      </c>
      <c r="I2761" t="s">
        <v>1912</v>
      </c>
      <c r="J2761" s="1" t="s">
        <v>1460</v>
      </c>
      <c r="K2761" s="1" t="s">
        <v>1660</v>
      </c>
      <c r="L2761" s="1" t="s">
        <v>1734</v>
      </c>
      <c r="M2761" s="1" t="s">
        <v>1793</v>
      </c>
      <c r="N2761" t="s">
        <v>2048</v>
      </c>
      <c r="O2761" t="s">
        <v>2179</v>
      </c>
      <c r="P2761" t="s">
        <v>3179</v>
      </c>
      <c r="Q2761">
        <v>320</v>
      </c>
      <c r="R2761" s="1" t="s">
        <v>1463</v>
      </c>
      <c r="S2761">
        <v>2350</v>
      </c>
      <c r="T2761">
        <v>752000</v>
      </c>
    </row>
    <row r="2762" spans="1:20" hidden="1" x14ac:dyDescent="0.4">
      <c r="A2762" s="1" t="s">
        <v>1017</v>
      </c>
      <c r="B2762" s="1" t="s">
        <v>1453</v>
      </c>
      <c r="C2762" s="1" t="s">
        <v>1844</v>
      </c>
      <c r="D2762" s="1" t="s">
        <v>1731</v>
      </c>
      <c r="E2762">
        <v>20251211</v>
      </c>
      <c r="F2762" s="1" t="s">
        <v>1473</v>
      </c>
      <c r="G2762">
        <v>1</v>
      </c>
      <c r="H2762" s="1" t="s">
        <v>1494</v>
      </c>
      <c r="I2762" t="s">
        <v>1874</v>
      </c>
      <c r="J2762" s="1" t="s">
        <v>1453</v>
      </c>
      <c r="K2762" s="1" t="s">
        <v>1601</v>
      </c>
      <c r="L2762" s="1" t="s">
        <v>1716</v>
      </c>
      <c r="M2762" s="1" t="s">
        <v>1774</v>
      </c>
      <c r="N2762" t="s">
        <v>1976</v>
      </c>
      <c r="O2762" t="s">
        <v>2162</v>
      </c>
      <c r="P2762" t="s">
        <v>3102</v>
      </c>
      <c r="Q2762">
        <v>1159.8</v>
      </c>
      <c r="R2762" s="1" t="s">
        <v>1463</v>
      </c>
      <c r="S2762">
        <v>560</v>
      </c>
      <c r="T2762">
        <v>649488</v>
      </c>
    </row>
    <row r="2763" spans="1:20" hidden="1" x14ac:dyDescent="0.4">
      <c r="A2763" s="1" t="s">
        <v>1018</v>
      </c>
      <c r="B2763" s="1" t="s">
        <v>1453</v>
      </c>
      <c r="C2763" s="1" t="s">
        <v>1844</v>
      </c>
      <c r="D2763" s="1" t="s">
        <v>1730</v>
      </c>
      <c r="E2763">
        <v>20251211</v>
      </c>
      <c r="F2763" s="1" t="s">
        <v>1473</v>
      </c>
      <c r="G2763">
        <v>4</v>
      </c>
      <c r="H2763" s="1" t="s">
        <v>1521</v>
      </c>
      <c r="I2763" t="s">
        <v>1901</v>
      </c>
      <c r="J2763" s="1" t="s">
        <v>1453</v>
      </c>
      <c r="K2763" s="1" t="s">
        <v>1618</v>
      </c>
      <c r="L2763" s="1" t="s">
        <v>1718</v>
      </c>
      <c r="M2763" s="1" t="s">
        <v>1838</v>
      </c>
      <c r="N2763" t="s">
        <v>1992</v>
      </c>
      <c r="O2763" t="s">
        <v>2164</v>
      </c>
      <c r="P2763" t="s">
        <v>3458</v>
      </c>
      <c r="Q2763">
        <v>109.2</v>
      </c>
      <c r="R2763" s="1" t="s">
        <v>1839</v>
      </c>
      <c r="S2763">
        <v>0</v>
      </c>
      <c r="T2763">
        <v>0</v>
      </c>
    </row>
    <row r="2764" spans="1:20" hidden="1" x14ac:dyDescent="0.4">
      <c r="A2764" s="1" t="s">
        <v>1018</v>
      </c>
      <c r="B2764" s="1" t="s">
        <v>1454</v>
      </c>
      <c r="C2764" s="1" t="s">
        <v>1844</v>
      </c>
      <c r="D2764" s="1" t="s">
        <v>1730</v>
      </c>
      <c r="E2764">
        <v>20251211</v>
      </c>
      <c r="F2764" s="1" t="s">
        <v>1473</v>
      </c>
      <c r="G2764">
        <v>4</v>
      </c>
      <c r="H2764" s="1" t="s">
        <v>1521</v>
      </c>
      <c r="I2764" t="s">
        <v>1901</v>
      </c>
      <c r="J2764" s="1" t="s">
        <v>1453</v>
      </c>
      <c r="K2764" s="1" t="s">
        <v>1596</v>
      </c>
      <c r="L2764" s="1" t="s">
        <v>1718</v>
      </c>
      <c r="M2764" s="1" t="s">
        <v>1763</v>
      </c>
      <c r="N2764" t="s">
        <v>1971</v>
      </c>
      <c r="O2764" t="s">
        <v>2164</v>
      </c>
      <c r="P2764" t="s">
        <v>3081</v>
      </c>
      <c r="Q2764">
        <v>109.2</v>
      </c>
      <c r="R2764" s="1" t="s">
        <v>1839</v>
      </c>
      <c r="S2764">
        <v>0</v>
      </c>
      <c r="T2764">
        <v>0</v>
      </c>
    </row>
    <row r="2765" spans="1:20" hidden="1" x14ac:dyDescent="0.4">
      <c r="A2765" s="1" t="s">
        <v>1018</v>
      </c>
      <c r="B2765" s="1" t="s">
        <v>1455</v>
      </c>
      <c r="C2765" s="1" t="s">
        <v>1844</v>
      </c>
      <c r="D2765" s="1" t="s">
        <v>1730</v>
      </c>
      <c r="E2765">
        <v>20251211</v>
      </c>
      <c r="F2765" s="1" t="s">
        <v>1473</v>
      </c>
      <c r="G2765">
        <v>4</v>
      </c>
      <c r="H2765" s="1" t="s">
        <v>1521</v>
      </c>
      <c r="I2765" t="s">
        <v>1901</v>
      </c>
      <c r="J2765" s="1" t="s">
        <v>1453</v>
      </c>
      <c r="K2765" s="1" t="s">
        <v>1596</v>
      </c>
      <c r="L2765" s="1" t="s">
        <v>1718</v>
      </c>
      <c r="M2765" s="1" t="s">
        <v>1763</v>
      </c>
      <c r="N2765" t="s">
        <v>1971</v>
      </c>
      <c r="O2765" t="s">
        <v>2164</v>
      </c>
      <c r="P2765" t="s">
        <v>3081</v>
      </c>
      <c r="Q2765">
        <v>116.48</v>
      </c>
      <c r="R2765" s="1" t="s">
        <v>1839</v>
      </c>
      <c r="S2765">
        <v>0</v>
      </c>
      <c r="T2765">
        <v>0</v>
      </c>
    </row>
    <row r="2766" spans="1:20" hidden="1" x14ac:dyDescent="0.4">
      <c r="A2766" s="1" t="s">
        <v>1019</v>
      </c>
      <c r="B2766" s="1" t="s">
        <v>1453</v>
      </c>
      <c r="C2766" s="1" t="s">
        <v>1844</v>
      </c>
      <c r="D2766" s="1" t="s">
        <v>1730</v>
      </c>
      <c r="E2766">
        <v>20251211</v>
      </c>
      <c r="F2766" s="1" t="s">
        <v>1473</v>
      </c>
      <c r="G2766">
        <v>4</v>
      </c>
      <c r="H2766" s="1" t="s">
        <v>1521</v>
      </c>
      <c r="I2766" t="s">
        <v>1901</v>
      </c>
      <c r="J2766" s="1" t="s">
        <v>1453</v>
      </c>
      <c r="K2766" s="1" t="s">
        <v>1583</v>
      </c>
      <c r="L2766" s="1" t="s">
        <v>1718</v>
      </c>
      <c r="M2766" s="1" t="s">
        <v>1824</v>
      </c>
      <c r="N2766" t="s">
        <v>1958</v>
      </c>
      <c r="O2766" t="s">
        <v>2164</v>
      </c>
      <c r="P2766" t="s">
        <v>3316</v>
      </c>
      <c r="Q2766">
        <v>116.48</v>
      </c>
      <c r="R2766" s="1" t="s">
        <v>1839</v>
      </c>
      <c r="S2766">
        <v>0</v>
      </c>
      <c r="T2766">
        <v>0</v>
      </c>
    </row>
    <row r="2767" spans="1:20" hidden="1" x14ac:dyDescent="0.4">
      <c r="A2767" s="1" t="s">
        <v>1019</v>
      </c>
      <c r="B2767" s="1" t="s">
        <v>1454</v>
      </c>
      <c r="C2767" s="1" t="s">
        <v>1844</v>
      </c>
      <c r="D2767" s="1" t="s">
        <v>1730</v>
      </c>
      <c r="E2767">
        <v>20251211</v>
      </c>
      <c r="F2767" s="1" t="s">
        <v>1473</v>
      </c>
      <c r="G2767">
        <v>4</v>
      </c>
      <c r="H2767" s="1" t="s">
        <v>1521</v>
      </c>
      <c r="I2767" t="s">
        <v>1901</v>
      </c>
      <c r="J2767" s="1" t="s">
        <v>1453</v>
      </c>
      <c r="K2767" s="1" t="s">
        <v>1583</v>
      </c>
      <c r="L2767" s="1" t="s">
        <v>1718</v>
      </c>
      <c r="M2767" s="1" t="s">
        <v>1760</v>
      </c>
      <c r="N2767" t="s">
        <v>1958</v>
      </c>
      <c r="O2767" t="s">
        <v>2164</v>
      </c>
      <c r="P2767" t="s">
        <v>3075</v>
      </c>
      <c r="Q2767">
        <v>123.76</v>
      </c>
      <c r="R2767" s="1" t="s">
        <v>1839</v>
      </c>
      <c r="S2767">
        <v>0</v>
      </c>
      <c r="T2767">
        <v>0</v>
      </c>
    </row>
    <row r="2768" spans="1:20" hidden="1" x14ac:dyDescent="0.4">
      <c r="A2768" s="1" t="s">
        <v>1019</v>
      </c>
      <c r="B2768" s="1" t="s">
        <v>1455</v>
      </c>
      <c r="C2768" s="1" t="s">
        <v>1844</v>
      </c>
      <c r="D2768" s="1" t="s">
        <v>1730</v>
      </c>
      <c r="E2768">
        <v>20251211</v>
      </c>
      <c r="F2768" s="1" t="s">
        <v>1473</v>
      </c>
      <c r="G2768">
        <v>4</v>
      </c>
      <c r="H2768" s="1" t="s">
        <v>1521</v>
      </c>
      <c r="I2768" t="s">
        <v>1901</v>
      </c>
      <c r="J2768" s="1" t="s">
        <v>1453</v>
      </c>
      <c r="K2768" s="1" t="s">
        <v>1596</v>
      </c>
      <c r="L2768" s="1" t="s">
        <v>1718</v>
      </c>
      <c r="M2768" s="1" t="s">
        <v>1763</v>
      </c>
      <c r="N2768" t="s">
        <v>1971</v>
      </c>
      <c r="O2768" t="s">
        <v>2164</v>
      </c>
      <c r="P2768" t="s">
        <v>3081</v>
      </c>
      <c r="Q2768">
        <v>92.09</v>
      </c>
      <c r="R2768" s="1" t="s">
        <v>1839</v>
      </c>
      <c r="S2768">
        <v>0</v>
      </c>
      <c r="T2768">
        <v>0</v>
      </c>
    </row>
    <row r="2769" spans="1:20" hidden="1" x14ac:dyDescent="0.4">
      <c r="A2769" s="1" t="s">
        <v>1020</v>
      </c>
      <c r="B2769" s="1" t="s">
        <v>1453</v>
      </c>
      <c r="C2769" s="1" t="s">
        <v>1844</v>
      </c>
      <c r="D2769" s="1" t="s">
        <v>1730</v>
      </c>
      <c r="E2769">
        <v>20251211</v>
      </c>
      <c r="F2769" s="1" t="s">
        <v>1473</v>
      </c>
      <c r="G2769">
        <v>4</v>
      </c>
      <c r="H2769" s="1" t="s">
        <v>1521</v>
      </c>
      <c r="I2769" t="s">
        <v>1901</v>
      </c>
      <c r="J2769" s="1" t="s">
        <v>1453</v>
      </c>
      <c r="K2769" s="1" t="s">
        <v>1583</v>
      </c>
      <c r="L2769" s="1" t="s">
        <v>1718</v>
      </c>
      <c r="M2769" s="1" t="s">
        <v>1777</v>
      </c>
      <c r="N2769" t="s">
        <v>1958</v>
      </c>
      <c r="O2769" t="s">
        <v>2164</v>
      </c>
      <c r="P2769" t="s">
        <v>3459</v>
      </c>
      <c r="Q2769">
        <v>109.2</v>
      </c>
      <c r="R2769" s="1" t="s">
        <v>1839</v>
      </c>
      <c r="S2769">
        <v>0</v>
      </c>
      <c r="T2769">
        <v>0</v>
      </c>
    </row>
    <row r="2770" spans="1:20" hidden="1" x14ac:dyDescent="0.4">
      <c r="A2770" s="1" t="s">
        <v>1020</v>
      </c>
      <c r="B2770" s="1" t="s">
        <v>1454</v>
      </c>
      <c r="C2770" s="1" t="s">
        <v>1844</v>
      </c>
      <c r="D2770" s="1" t="s">
        <v>1730</v>
      </c>
      <c r="E2770">
        <v>20251211</v>
      </c>
      <c r="F2770" s="1" t="s">
        <v>1473</v>
      </c>
      <c r="G2770">
        <v>4</v>
      </c>
      <c r="H2770" s="1" t="s">
        <v>1521</v>
      </c>
      <c r="I2770" t="s">
        <v>1901</v>
      </c>
      <c r="J2770" s="1" t="s">
        <v>1453</v>
      </c>
      <c r="K2770" s="1" t="s">
        <v>1583</v>
      </c>
      <c r="L2770" s="1" t="s">
        <v>1718</v>
      </c>
      <c r="M2770" s="1" t="s">
        <v>1777</v>
      </c>
      <c r="N2770" t="s">
        <v>1958</v>
      </c>
      <c r="O2770" t="s">
        <v>2164</v>
      </c>
      <c r="P2770" t="s">
        <v>3459</v>
      </c>
      <c r="Q2770">
        <v>109.2</v>
      </c>
      <c r="R2770" s="1" t="s">
        <v>1839</v>
      </c>
      <c r="S2770">
        <v>0</v>
      </c>
      <c r="T2770">
        <v>0</v>
      </c>
    </row>
    <row r="2771" spans="1:20" hidden="1" x14ac:dyDescent="0.4">
      <c r="A2771" s="1" t="s">
        <v>1021</v>
      </c>
      <c r="B2771" s="1" t="s">
        <v>1453</v>
      </c>
      <c r="C2771" s="1" t="s">
        <v>1844</v>
      </c>
      <c r="D2771" s="1" t="s">
        <v>1467</v>
      </c>
      <c r="E2771">
        <v>20251212</v>
      </c>
      <c r="F2771" s="1" t="s">
        <v>1470</v>
      </c>
      <c r="G2771">
        <v>4</v>
      </c>
      <c r="H2771" s="1" t="s">
        <v>1503</v>
      </c>
      <c r="I2771" t="s">
        <v>1883</v>
      </c>
      <c r="J2771" s="1" t="s">
        <v>1456</v>
      </c>
      <c r="K2771" s="1" t="s">
        <v>1570</v>
      </c>
      <c r="L2771" s="1" t="s">
        <v>1729</v>
      </c>
      <c r="M2771" s="1" t="s">
        <v>1744</v>
      </c>
      <c r="N2771" t="s">
        <v>1943</v>
      </c>
      <c r="O2771" t="s">
        <v>2157</v>
      </c>
      <c r="P2771" t="s">
        <v>3244</v>
      </c>
      <c r="Q2771">
        <v>10</v>
      </c>
      <c r="R2771" s="1" t="s">
        <v>1718</v>
      </c>
      <c r="S2771">
        <v>17834</v>
      </c>
      <c r="T2771">
        <v>178340</v>
      </c>
    </row>
    <row r="2772" spans="1:20" hidden="1" x14ac:dyDescent="0.4">
      <c r="A2772" s="1" t="s">
        <v>1022</v>
      </c>
      <c r="B2772" s="1" t="s">
        <v>1453</v>
      </c>
      <c r="C2772" s="1" t="s">
        <v>1844</v>
      </c>
      <c r="D2772" s="1" t="s">
        <v>1462</v>
      </c>
      <c r="E2772">
        <v>20251212</v>
      </c>
      <c r="F2772" s="1" t="s">
        <v>1470</v>
      </c>
      <c r="G2772">
        <v>4</v>
      </c>
      <c r="H2772" s="1" t="s">
        <v>1514</v>
      </c>
      <c r="I2772" t="s">
        <v>1894</v>
      </c>
      <c r="J2772" s="1" t="s">
        <v>1456</v>
      </c>
      <c r="K2772" s="1" t="s">
        <v>1572</v>
      </c>
      <c r="L2772" s="1" t="s">
        <v>1729</v>
      </c>
      <c r="M2772" s="1" t="s">
        <v>1736</v>
      </c>
      <c r="N2772" t="s">
        <v>1945</v>
      </c>
      <c r="O2772" t="s">
        <v>2524</v>
      </c>
      <c r="P2772" t="s">
        <v>3460</v>
      </c>
      <c r="Q2772">
        <v>2</v>
      </c>
      <c r="R2772" s="1" t="s">
        <v>1718</v>
      </c>
      <c r="S2772">
        <v>17407</v>
      </c>
      <c r="T2772">
        <v>34814</v>
      </c>
    </row>
    <row r="2773" spans="1:20" hidden="1" x14ac:dyDescent="0.4">
      <c r="A2773" s="1" t="s">
        <v>1023</v>
      </c>
      <c r="B2773" s="1" t="s">
        <v>1453</v>
      </c>
      <c r="C2773" s="1" t="s">
        <v>1844</v>
      </c>
      <c r="D2773" s="1" t="s">
        <v>1462</v>
      </c>
      <c r="E2773">
        <v>20251212</v>
      </c>
      <c r="F2773" s="1" t="s">
        <v>1470</v>
      </c>
      <c r="G2773">
        <v>4</v>
      </c>
      <c r="H2773" s="1" t="s">
        <v>1511</v>
      </c>
      <c r="I2773" t="s">
        <v>1891</v>
      </c>
      <c r="J2773" s="1" t="s">
        <v>1456</v>
      </c>
      <c r="K2773" s="1" t="s">
        <v>1560</v>
      </c>
      <c r="L2773" s="1" t="s">
        <v>1729</v>
      </c>
      <c r="M2773" s="1" t="s">
        <v>1740</v>
      </c>
      <c r="N2773" t="s">
        <v>2105</v>
      </c>
      <c r="O2773" t="s">
        <v>2525</v>
      </c>
      <c r="P2773" t="s">
        <v>3263</v>
      </c>
      <c r="Q2773">
        <v>1</v>
      </c>
      <c r="R2773" s="1" t="s">
        <v>1718</v>
      </c>
      <c r="S2773">
        <v>15964</v>
      </c>
      <c r="T2773">
        <v>15964</v>
      </c>
    </row>
    <row r="2774" spans="1:20" hidden="1" x14ac:dyDescent="0.4">
      <c r="A2774" s="1" t="s">
        <v>1024</v>
      </c>
      <c r="B2774" s="1" t="s">
        <v>1453</v>
      </c>
      <c r="C2774" s="1" t="s">
        <v>1844</v>
      </c>
      <c r="D2774" s="1" t="s">
        <v>1462</v>
      </c>
      <c r="E2774">
        <v>20251212</v>
      </c>
      <c r="F2774" s="1" t="s">
        <v>1470</v>
      </c>
      <c r="G2774">
        <v>4</v>
      </c>
      <c r="H2774" s="1" t="s">
        <v>1511</v>
      </c>
      <c r="I2774" t="s">
        <v>1891</v>
      </c>
      <c r="J2774" s="1" t="s">
        <v>1456</v>
      </c>
      <c r="K2774" s="1" t="s">
        <v>1561</v>
      </c>
      <c r="L2774" s="1" t="s">
        <v>1729</v>
      </c>
      <c r="M2774" s="1" t="s">
        <v>1737</v>
      </c>
      <c r="N2774" t="s">
        <v>2106</v>
      </c>
      <c r="O2774" t="s">
        <v>2526</v>
      </c>
      <c r="P2774" t="s">
        <v>3213</v>
      </c>
      <c r="Q2774">
        <v>6</v>
      </c>
      <c r="R2774" s="1" t="s">
        <v>1718</v>
      </c>
      <c r="S2774">
        <v>5099</v>
      </c>
      <c r="T2774">
        <v>30594</v>
      </c>
    </row>
    <row r="2775" spans="1:20" hidden="1" x14ac:dyDescent="0.4">
      <c r="A2775" s="1" t="s">
        <v>1024</v>
      </c>
      <c r="B2775" s="1" t="s">
        <v>1454</v>
      </c>
      <c r="C2775" s="1" t="s">
        <v>1844</v>
      </c>
      <c r="D2775" s="1" t="s">
        <v>1462</v>
      </c>
      <c r="E2775">
        <v>20251212</v>
      </c>
      <c r="F2775" s="1" t="s">
        <v>1470</v>
      </c>
      <c r="G2775">
        <v>4</v>
      </c>
      <c r="H2775" s="1" t="s">
        <v>1511</v>
      </c>
      <c r="I2775" t="s">
        <v>1891</v>
      </c>
      <c r="J2775" s="1" t="s">
        <v>1456</v>
      </c>
      <c r="K2775" s="1" t="s">
        <v>1561</v>
      </c>
      <c r="L2775" s="1" t="s">
        <v>1729</v>
      </c>
      <c r="M2775" s="1" t="s">
        <v>1737</v>
      </c>
      <c r="N2775" t="s">
        <v>2106</v>
      </c>
      <c r="O2775" t="s">
        <v>2475</v>
      </c>
      <c r="P2775" t="s">
        <v>3447</v>
      </c>
      <c r="Q2775">
        <v>1</v>
      </c>
      <c r="R2775" s="1" t="s">
        <v>1718</v>
      </c>
      <c r="S2775">
        <v>18447</v>
      </c>
      <c r="T2775">
        <v>18447</v>
      </c>
    </row>
    <row r="2776" spans="1:20" hidden="1" x14ac:dyDescent="0.4">
      <c r="A2776" s="1" t="s">
        <v>1024</v>
      </c>
      <c r="B2776" s="1" t="s">
        <v>1455</v>
      </c>
      <c r="C2776" s="1" t="s">
        <v>1844</v>
      </c>
      <c r="D2776" s="1" t="s">
        <v>1462</v>
      </c>
      <c r="E2776">
        <v>20251212</v>
      </c>
      <c r="F2776" s="1" t="s">
        <v>1470</v>
      </c>
      <c r="G2776">
        <v>4</v>
      </c>
      <c r="H2776" s="1" t="s">
        <v>1511</v>
      </c>
      <c r="I2776" t="s">
        <v>1891</v>
      </c>
      <c r="J2776" s="1" t="s">
        <v>1456</v>
      </c>
      <c r="K2776" s="1" t="s">
        <v>1561</v>
      </c>
      <c r="L2776" s="1" t="s">
        <v>1729</v>
      </c>
      <c r="M2776" s="1" t="s">
        <v>1737</v>
      </c>
      <c r="N2776" t="s">
        <v>2106</v>
      </c>
      <c r="O2776" t="s">
        <v>2475</v>
      </c>
      <c r="P2776" t="s">
        <v>3263</v>
      </c>
      <c r="Q2776">
        <v>1</v>
      </c>
      <c r="R2776" s="1" t="s">
        <v>1718</v>
      </c>
      <c r="S2776">
        <v>18447</v>
      </c>
      <c r="T2776">
        <v>18447</v>
      </c>
    </row>
    <row r="2777" spans="1:20" hidden="1" x14ac:dyDescent="0.4">
      <c r="A2777" s="1" t="s">
        <v>1025</v>
      </c>
      <c r="B2777" s="1" t="s">
        <v>1453</v>
      </c>
      <c r="C2777" s="1" t="s">
        <v>1844</v>
      </c>
      <c r="D2777" s="1" t="s">
        <v>1462</v>
      </c>
      <c r="E2777">
        <v>20251212</v>
      </c>
      <c r="F2777" s="1" t="s">
        <v>1470</v>
      </c>
      <c r="G2777">
        <v>4</v>
      </c>
      <c r="H2777" s="1" t="s">
        <v>1511</v>
      </c>
      <c r="I2777" t="s">
        <v>1891</v>
      </c>
      <c r="J2777" s="1" t="s">
        <v>1456</v>
      </c>
      <c r="K2777" s="1" t="s">
        <v>1561</v>
      </c>
      <c r="L2777" s="1" t="s">
        <v>1729</v>
      </c>
      <c r="M2777" s="1" t="s">
        <v>1737</v>
      </c>
      <c r="N2777" t="s">
        <v>2106</v>
      </c>
      <c r="O2777" t="s">
        <v>2527</v>
      </c>
      <c r="P2777" t="s">
        <v>3172</v>
      </c>
      <c r="Q2777">
        <v>2</v>
      </c>
      <c r="R2777" s="1" t="s">
        <v>1718</v>
      </c>
      <c r="S2777">
        <v>15897</v>
      </c>
      <c r="T2777">
        <v>31794</v>
      </c>
    </row>
    <row r="2778" spans="1:20" hidden="1" x14ac:dyDescent="0.4">
      <c r="A2778" s="1" t="s">
        <v>1026</v>
      </c>
      <c r="B2778" s="1" t="s">
        <v>1453</v>
      </c>
      <c r="C2778" s="1" t="s">
        <v>1844</v>
      </c>
      <c r="D2778" s="1" t="s">
        <v>1462</v>
      </c>
      <c r="E2778">
        <v>20251212</v>
      </c>
      <c r="F2778" s="1" t="s">
        <v>1470</v>
      </c>
      <c r="G2778">
        <v>4</v>
      </c>
      <c r="H2778" s="1" t="s">
        <v>1503</v>
      </c>
      <c r="I2778" t="s">
        <v>1883</v>
      </c>
      <c r="J2778" s="1" t="s">
        <v>1456</v>
      </c>
      <c r="K2778" s="1" t="s">
        <v>1554</v>
      </c>
      <c r="L2778" s="1" t="s">
        <v>1729</v>
      </c>
      <c r="M2778" s="1" t="s">
        <v>1737</v>
      </c>
      <c r="N2778" t="s">
        <v>2090</v>
      </c>
      <c r="O2778" t="s">
        <v>2528</v>
      </c>
      <c r="P2778">
        <v>82275</v>
      </c>
      <c r="Q2778">
        <v>2</v>
      </c>
      <c r="R2778" s="1" t="s">
        <v>1718</v>
      </c>
      <c r="S2778">
        <v>18740</v>
      </c>
      <c r="T2778">
        <v>37480</v>
      </c>
    </row>
    <row r="2779" spans="1:20" hidden="1" x14ac:dyDescent="0.4">
      <c r="A2779" s="1" t="s">
        <v>1027</v>
      </c>
      <c r="B2779" s="1" t="s">
        <v>1453</v>
      </c>
      <c r="C2779" s="1" t="s">
        <v>1844</v>
      </c>
      <c r="D2779" s="1" t="s">
        <v>1462</v>
      </c>
      <c r="E2779">
        <v>20251212</v>
      </c>
      <c r="F2779" s="1" t="s">
        <v>1470</v>
      </c>
      <c r="G2779">
        <v>4</v>
      </c>
      <c r="H2779" s="1" t="s">
        <v>1503</v>
      </c>
      <c r="I2779" t="s">
        <v>1883</v>
      </c>
      <c r="J2779" s="1" t="s">
        <v>1456</v>
      </c>
      <c r="K2779" s="1" t="s">
        <v>1554</v>
      </c>
      <c r="L2779" s="1" t="s">
        <v>1729</v>
      </c>
      <c r="M2779" s="1" t="s">
        <v>1737</v>
      </c>
      <c r="N2779" t="s">
        <v>2092</v>
      </c>
      <c r="O2779" t="s">
        <v>2529</v>
      </c>
      <c r="P2779">
        <v>82269</v>
      </c>
      <c r="Q2779">
        <v>2</v>
      </c>
      <c r="R2779" s="1" t="s">
        <v>1718</v>
      </c>
      <c r="S2779">
        <v>14950</v>
      </c>
      <c r="T2779">
        <v>29900</v>
      </c>
    </row>
    <row r="2780" spans="1:20" hidden="1" x14ac:dyDescent="0.4">
      <c r="A2780" s="1" t="s">
        <v>1028</v>
      </c>
      <c r="B2780" s="1" t="s">
        <v>1453</v>
      </c>
      <c r="C2780" s="1" t="s">
        <v>1844</v>
      </c>
      <c r="D2780" s="1" t="s">
        <v>1462</v>
      </c>
      <c r="E2780">
        <v>20251212</v>
      </c>
      <c r="F2780" s="1" t="s">
        <v>1470</v>
      </c>
      <c r="G2780">
        <v>4</v>
      </c>
      <c r="H2780" s="1" t="s">
        <v>1503</v>
      </c>
      <c r="I2780" t="s">
        <v>1883</v>
      </c>
      <c r="J2780" s="1" t="s">
        <v>1456</v>
      </c>
      <c r="K2780" s="1" t="s">
        <v>1554</v>
      </c>
      <c r="L2780" s="1" t="s">
        <v>1729</v>
      </c>
      <c r="M2780" s="1" t="s">
        <v>1737</v>
      </c>
      <c r="N2780" t="s">
        <v>2110</v>
      </c>
      <c r="O2780" t="s">
        <v>2530</v>
      </c>
      <c r="P2780">
        <v>82240</v>
      </c>
      <c r="Q2780">
        <v>2</v>
      </c>
      <c r="R2780" s="1" t="s">
        <v>1718</v>
      </c>
      <c r="S2780">
        <v>29900</v>
      </c>
      <c r="T2780">
        <v>59800</v>
      </c>
    </row>
    <row r="2781" spans="1:20" hidden="1" x14ac:dyDescent="0.4">
      <c r="A2781" s="1" t="s">
        <v>1029</v>
      </c>
      <c r="B2781" s="1" t="s">
        <v>1453</v>
      </c>
      <c r="C2781" s="1" t="s">
        <v>1844</v>
      </c>
      <c r="D2781" s="1" t="s">
        <v>1462</v>
      </c>
      <c r="E2781">
        <v>20251212</v>
      </c>
      <c r="F2781" s="1" t="s">
        <v>1470</v>
      </c>
      <c r="G2781">
        <v>4</v>
      </c>
      <c r="H2781" s="1" t="s">
        <v>1503</v>
      </c>
      <c r="I2781" t="s">
        <v>1883</v>
      </c>
      <c r="J2781" s="1" t="s">
        <v>1456</v>
      </c>
      <c r="K2781" s="1" t="s">
        <v>1554</v>
      </c>
      <c r="L2781" s="1" t="s">
        <v>1729</v>
      </c>
      <c r="M2781" s="1" t="s">
        <v>1737</v>
      </c>
      <c r="N2781" t="s">
        <v>2090</v>
      </c>
      <c r="O2781" t="s">
        <v>2531</v>
      </c>
      <c r="P2781">
        <v>82247</v>
      </c>
      <c r="Q2781">
        <v>2</v>
      </c>
      <c r="R2781" s="1" t="s">
        <v>1718</v>
      </c>
      <c r="S2781">
        <v>18640</v>
      </c>
      <c r="T2781">
        <v>37280</v>
      </c>
    </row>
    <row r="2782" spans="1:20" hidden="1" x14ac:dyDescent="0.4">
      <c r="A2782" s="1" t="s">
        <v>1030</v>
      </c>
      <c r="B2782" s="1" t="s">
        <v>1453</v>
      </c>
      <c r="C2782" s="1" t="s">
        <v>1844</v>
      </c>
      <c r="D2782" s="1" t="s">
        <v>1462</v>
      </c>
      <c r="E2782">
        <v>20251212</v>
      </c>
      <c r="F2782" s="1" t="s">
        <v>1470</v>
      </c>
      <c r="G2782">
        <v>4</v>
      </c>
      <c r="H2782" s="1" t="s">
        <v>1503</v>
      </c>
      <c r="I2782" t="s">
        <v>1883</v>
      </c>
      <c r="J2782" s="1" t="s">
        <v>1456</v>
      </c>
      <c r="K2782" s="1" t="s">
        <v>1554</v>
      </c>
      <c r="L2782" s="1" t="s">
        <v>1729</v>
      </c>
      <c r="M2782" s="1" t="s">
        <v>1737</v>
      </c>
      <c r="N2782" t="s">
        <v>2118</v>
      </c>
      <c r="O2782" t="s">
        <v>2532</v>
      </c>
      <c r="P2782">
        <v>82279</v>
      </c>
      <c r="Q2782">
        <v>2</v>
      </c>
      <c r="R2782" s="1" t="s">
        <v>1718</v>
      </c>
      <c r="S2782">
        <v>9350</v>
      </c>
      <c r="T2782">
        <v>18700</v>
      </c>
    </row>
    <row r="2783" spans="1:20" hidden="1" x14ac:dyDescent="0.4">
      <c r="A2783" s="1" t="s">
        <v>1031</v>
      </c>
      <c r="B2783" s="1" t="s">
        <v>1453</v>
      </c>
      <c r="C2783" s="1" t="s">
        <v>1844</v>
      </c>
      <c r="D2783" s="1" t="s">
        <v>1462</v>
      </c>
      <c r="E2783">
        <v>20251212</v>
      </c>
      <c r="F2783" s="1" t="s">
        <v>1470</v>
      </c>
      <c r="G2783">
        <v>4</v>
      </c>
      <c r="H2783" s="1" t="s">
        <v>1503</v>
      </c>
      <c r="I2783" t="s">
        <v>1883</v>
      </c>
      <c r="J2783" s="1" t="s">
        <v>1456</v>
      </c>
      <c r="K2783" s="1" t="s">
        <v>1553</v>
      </c>
      <c r="L2783" s="1" t="s">
        <v>1729</v>
      </c>
      <c r="M2783" s="1" t="s">
        <v>1736</v>
      </c>
      <c r="N2783" t="s">
        <v>2093</v>
      </c>
      <c r="O2783" t="s">
        <v>2533</v>
      </c>
      <c r="P2783" t="s">
        <v>3461</v>
      </c>
      <c r="Q2783">
        <v>2</v>
      </c>
      <c r="R2783" s="1" t="s">
        <v>1718</v>
      </c>
      <c r="S2783">
        <v>16530</v>
      </c>
      <c r="T2783">
        <v>33060</v>
      </c>
    </row>
    <row r="2784" spans="1:20" hidden="1" x14ac:dyDescent="0.4">
      <c r="A2784" s="1" t="s">
        <v>1031</v>
      </c>
      <c r="B2784" s="1" t="s">
        <v>1454</v>
      </c>
      <c r="C2784" s="1" t="s">
        <v>1844</v>
      </c>
      <c r="D2784" s="1" t="s">
        <v>1462</v>
      </c>
      <c r="E2784">
        <v>20251212</v>
      </c>
      <c r="F2784" s="1" t="s">
        <v>1470</v>
      </c>
      <c r="G2784">
        <v>4</v>
      </c>
      <c r="H2784" s="1" t="s">
        <v>1503</v>
      </c>
      <c r="I2784" t="s">
        <v>1883</v>
      </c>
      <c r="J2784" s="1" t="s">
        <v>1456</v>
      </c>
      <c r="K2784" s="1" t="s">
        <v>1554</v>
      </c>
      <c r="L2784" s="1" t="s">
        <v>1729</v>
      </c>
      <c r="M2784" s="1" t="s">
        <v>1737</v>
      </c>
      <c r="N2784" t="s">
        <v>2118</v>
      </c>
      <c r="O2784" t="s">
        <v>2534</v>
      </c>
      <c r="P2784">
        <v>82265</v>
      </c>
      <c r="Q2784">
        <v>2</v>
      </c>
      <c r="R2784" s="1" t="s">
        <v>1718</v>
      </c>
      <c r="S2784">
        <v>9350</v>
      </c>
      <c r="T2784">
        <v>18700</v>
      </c>
    </row>
    <row r="2785" spans="1:20" hidden="1" x14ac:dyDescent="0.4">
      <c r="A2785" s="1" t="s">
        <v>1032</v>
      </c>
      <c r="B2785" s="1" t="s">
        <v>1453</v>
      </c>
      <c r="C2785" s="1" t="s">
        <v>1844</v>
      </c>
      <c r="D2785" s="1" t="s">
        <v>1462</v>
      </c>
      <c r="E2785">
        <v>20251212</v>
      </c>
      <c r="F2785" s="1" t="s">
        <v>1470</v>
      </c>
      <c r="G2785">
        <v>4</v>
      </c>
      <c r="H2785" s="1" t="s">
        <v>1503</v>
      </c>
      <c r="I2785" t="s">
        <v>1883</v>
      </c>
      <c r="J2785" s="1" t="s">
        <v>1456</v>
      </c>
      <c r="K2785" s="1" t="s">
        <v>1554</v>
      </c>
      <c r="L2785" s="1" t="s">
        <v>1729</v>
      </c>
      <c r="M2785" s="1" t="s">
        <v>1737</v>
      </c>
      <c r="N2785" t="s">
        <v>2090</v>
      </c>
      <c r="O2785" t="s">
        <v>2535</v>
      </c>
      <c r="P2785">
        <v>82231</v>
      </c>
      <c r="Q2785">
        <v>1</v>
      </c>
      <c r="R2785" s="1" t="s">
        <v>1718</v>
      </c>
      <c r="S2785">
        <v>18640</v>
      </c>
      <c r="T2785">
        <v>18640</v>
      </c>
    </row>
    <row r="2786" spans="1:20" hidden="1" x14ac:dyDescent="0.4">
      <c r="A2786" s="1" t="s">
        <v>1033</v>
      </c>
      <c r="B2786" s="1" t="s">
        <v>1453</v>
      </c>
      <c r="C2786" s="1" t="s">
        <v>1844</v>
      </c>
      <c r="D2786" s="1" t="s">
        <v>1462</v>
      </c>
      <c r="E2786">
        <v>20251212</v>
      </c>
      <c r="F2786" s="1" t="s">
        <v>1470</v>
      </c>
      <c r="G2786">
        <v>4</v>
      </c>
      <c r="H2786" s="1" t="s">
        <v>1503</v>
      </c>
      <c r="I2786" t="s">
        <v>1883</v>
      </c>
      <c r="J2786" s="1" t="s">
        <v>1456</v>
      </c>
      <c r="K2786" s="1" t="s">
        <v>1553</v>
      </c>
      <c r="L2786" s="1" t="s">
        <v>1729</v>
      </c>
      <c r="M2786" s="1" t="s">
        <v>1736</v>
      </c>
      <c r="N2786" t="s">
        <v>2093</v>
      </c>
      <c r="O2786" t="s">
        <v>2536</v>
      </c>
      <c r="P2786" t="s">
        <v>3462</v>
      </c>
      <c r="Q2786">
        <v>2</v>
      </c>
      <c r="R2786" s="1" t="s">
        <v>1718</v>
      </c>
      <c r="S2786">
        <v>10310</v>
      </c>
      <c r="T2786">
        <v>20620</v>
      </c>
    </row>
    <row r="2787" spans="1:20" hidden="1" x14ac:dyDescent="0.4">
      <c r="A2787" s="1" t="s">
        <v>1034</v>
      </c>
      <c r="B2787" s="1" t="s">
        <v>1453</v>
      </c>
      <c r="C2787" s="1" t="s">
        <v>1844</v>
      </c>
      <c r="D2787" s="1" t="s">
        <v>1462</v>
      </c>
      <c r="E2787">
        <v>20251212</v>
      </c>
      <c r="F2787" s="1" t="s">
        <v>1470</v>
      </c>
      <c r="G2787">
        <v>4</v>
      </c>
      <c r="H2787" s="1" t="s">
        <v>1503</v>
      </c>
      <c r="I2787" t="s">
        <v>1883</v>
      </c>
      <c r="J2787" s="1" t="s">
        <v>1456</v>
      </c>
      <c r="K2787" s="1" t="s">
        <v>1553</v>
      </c>
      <c r="L2787" s="1" t="s">
        <v>1729</v>
      </c>
      <c r="M2787" s="1" t="s">
        <v>1740</v>
      </c>
      <c r="N2787" t="s">
        <v>2133</v>
      </c>
      <c r="O2787" t="s">
        <v>2537</v>
      </c>
      <c r="P2787" t="s">
        <v>3463</v>
      </c>
      <c r="Q2787">
        <v>4</v>
      </c>
      <c r="R2787" s="1" t="s">
        <v>1718</v>
      </c>
      <c r="S2787">
        <v>31614</v>
      </c>
      <c r="T2787">
        <v>126456</v>
      </c>
    </row>
    <row r="2788" spans="1:20" hidden="1" x14ac:dyDescent="0.4">
      <c r="A2788" s="1" t="s">
        <v>1035</v>
      </c>
      <c r="B2788" s="1" t="s">
        <v>1453</v>
      </c>
      <c r="C2788" s="1" t="s">
        <v>1844</v>
      </c>
      <c r="D2788" s="1" t="s">
        <v>1462</v>
      </c>
      <c r="E2788">
        <v>20251212</v>
      </c>
      <c r="F2788" s="1" t="s">
        <v>1470</v>
      </c>
      <c r="G2788">
        <v>4</v>
      </c>
      <c r="H2788" s="1" t="s">
        <v>1503</v>
      </c>
      <c r="I2788" t="s">
        <v>1883</v>
      </c>
      <c r="J2788" s="1" t="s">
        <v>1456</v>
      </c>
      <c r="K2788" s="1" t="s">
        <v>1553</v>
      </c>
      <c r="L2788" s="1" t="s">
        <v>1729</v>
      </c>
      <c r="M2788" s="1" t="s">
        <v>1736</v>
      </c>
      <c r="N2788" t="s">
        <v>2093</v>
      </c>
      <c r="O2788" t="s">
        <v>2538</v>
      </c>
      <c r="P2788" t="s">
        <v>3464</v>
      </c>
      <c r="Q2788">
        <v>2</v>
      </c>
      <c r="R2788" s="1" t="s">
        <v>1718</v>
      </c>
      <c r="S2788">
        <v>4380</v>
      </c>
      <c r="T2788">
        <v>8760</v>
      </c>
    </row>
    <row r="2789" spans="1:20" hidden="1" x14ac:dyDescent="0.4">
      <c r="A2789" s="1" t="s">
        <v>1035</v>
      </c>
      <c r="B2789" s="1" t="s">
        <v>1454</v>
      </c>
      <c r="C2789" s="1" t="s">
        <v>1844</v>
      </c>
      <c r="D2789" s="1" t="s">
        <v>1462</v>
      </c>
      <c r="E2789">
        <v>20251212</v>
      </c>
      <c r="F2789" s="1" t="s">
        <v>1470</v>
      </c>
      <c r="G2789">
        <v>4</v>
      </c>
      <c r="H2789" s="1" t="s">
        <v>1503</v>
      </c>
      <c r="I2789" t="s">
        <v>1883</v>
      </c>
      <c r="J2789" s="1" t="s">
        <v>1456</v>
      </c>
      <c r="K2789" s="1" t="s">
        <v>1553</v>
      </c>
      <c r="L2789" s="1" t="s">
        <v>1729</v>
      </c>
      <c r="M2789" s="1" t="s">
        <v>1736</v>
      </c>
      <c r="N2789" t="s">
        <v>2093</v>
      </c>
      <c r="O2789" t="s">
        <v>2539</v>
      </c>
      <c r="P2789" t="s">
        <v>3465</v>
      </c>
      <c r="Q2789">
        <v>2</v>
      </c>
      <c r="R2789" s="1" t="s">
        <v>1718</v>
      </c>
      <c r="S2789">
        <v>5510</v>
      </c>
      <c r="T2789">
        <v>11020</v>
      </c>
    </row>
    <row r="2790" spans="1:20" hidden="1" x14ac:dyDescent="0.4">
      <c r="A2790" s="1" t="s">
        <v>1035</v>
      </c>
      <c r="B2790" s="1" t="s">
        <v>1455</v>
      </c>
      <c r="C2790" s="1" t="s">
        <v>1844</v>
      </c>
      <c r="D2790" s="1" t="s">
        <v>1462</v>
      </c>
      <c r="E2790">
        <v>20251212</v>
      </c>
      <c r="F2790" s="1" t="s">
        <v>1470</v>
      </c>
      <c r="G2790">
        <v>4</v>
      </c>
      <c r="H2790" s="1" t="s">
        <v>1503</v>
      </c>
      <c r="I2790" t="s">
        <v>1883</v>
      </c>
      <c r="J2790" s="1" t="s">
        <v>1456</v>
      </c>
      <c r="K2790" s="1" t="s">
        <v>1553</v>
      </c>
      <c r="L2790" s="1" t="s">
        <v>1729</v>
      </c>
      <c r="M2790" s="1" t="s">
        <v>1736</v>
      </c>
      <c r="N2790" t="s">
        <v>2093</v>
      </c>
      <c r="O2790" t="s">
        <v>2540</v>
      </c>
      <c r="P2790" t="s">
        <v>3466</v>
      </c>
      <c r="Q2790">
        <v>2</v>
      </c>
      <c r="R2790" s="1" t="s">
        <v>1718</v>
      </c>
      <c r="S2790">
        <v>5440</v>
      </c>
      <c r="T2790">
        <v>10880</v>
      </c>
    </row>
    <row r="2791" spans="1:20" hidden="1" x14ac:dyDescent="0.4">
      <c r="A2791" s="1" t="s">
        <v>1035</v>
      </c>
      <c r="B2791" s="1" t="s">
        <v>1456</v>
      </c>
      <c r="C2791" s="1" t="s">
        <v>1844</v>
      </c>
      <c r="D2791" s="1" t="s">
        <v>1462</v>
      </c>
      <c r="E2791">
        <v>20251212</v>
      </c>
      <c r="F2791" s="1" t="s">
        <v>1470</v>
      </c>
      <c r="G2791">
        <v>4</v>
      </c>
      <c r="H2791" s="1" t="s">
        <v>1503</v>
      </c>
      <c r="I2791" t="s">
        <v>1883</v>
      </c>
      <c r="J2791" s="1" t="s">
        <v>1456</v>
      </c>
      <c r="K2791" s="1" t="s">
        <v>1553</v>
      </c>
      <c r="L2791" s="1" t="s">
        <v>1729</v>
      </c>
      <c r="M2791" s="1" t="s">
        <v>1736</v>
      </c>
      <c r="N2791" t="s">
        <v>2093</v>
      </c>
      <c r="O2791" t="s">
        <v>2541</v>
      </c>
      <c r="P2791" t="s">
        <v>3467</v>
      </c>
      <c r="Q2791">
        <v>4</v>
      </c>
      <c r="R2791" s="1" t="s">
        <v>1718</v>
      </c>
      <c r="S2791">
        <v>4450</v>
      </c>
      <c r="T2791">
        <v>17800</v>
      </c>
    </row>
    <row r="2792" spans="1:20" hidden="1" x14ac:dyDescent="0.4">
      <c r="A2792" s="1" t="s">
        <v>1035</v>
      </c>
      <c r="B2792" s="1" t="s">
        <v>1457</v>
      </c>
      <c r="C2792" s="1" t="s">
        <v>1844</v>
      </c>
      <c r="D2792" s="1" t="s">
        <v>1462</v>
      </c>
      <c r="E2792">
        <v>20251212</v>
      </c>
      <c r="F2792" s="1" t="s">
        <v>1470</v>
      </c>
      <c r="G2792">
        <v>4</v>
      </c>
      <c r="H2792" s="1" t="s">
        <v>1503</v>
      </c>
      <c r="I2792" t="s">
        <v>1883</v>
      </c>
      <c r="J2792" s="1" t="s">
        <v>1456</v>
      </c>
      <c r="K2792" s="1" t="s">
        <v>1553</v>
      </c>
      <c r="L2792" s="1" t="s">
        <v>1729</v>
      </c>
      <c r="M2792" s="1" t="s">
        <v>1736</v>
      </c>
      <c r="N2792" t="s">
        <v>2093</v>
      </c>
      <c r="O2792" t="s">
        <v>2542</v>
      </c>
      <c r="P2792" t="s">
        <v>3468</v>
      </c>
      <c r="Q2792">
        <v>4</v>
      </c>
      <c r="R2792" s="1" t="s">
        <v>1718</v>
      </c>
      <c r="S2792">
        <v>5570</v>
      </c>
      <c r="T2792">
        <v>22280</v>
      </c>
    </row>
    <row r="2793" spans="1:20" hidden="1" x14ac:dyDescent="0.4">
      <c r="A2793" s="1" t="s">
        <v>1035</v>
      </c>
      <c r="B2793" s="1" t="s">
        <v>1458</v>
      </c>
      <c r="C2793" s="1" t="s">
        <v>1844</v>
      </c>
      <c r="D2793" s="1" t="s">
        <v>1462</v>
      </c>
      <c r="E2793">
        <v>20251212</v>
      </c>
      <c r="F2793" s="1" t="s">
        <v>1470</v>
      </c>
      <c r="G2793">
        <v>4</v>
      </c>
      <c r="H2793" s="1" t="s">
        <v>1503</v>
      </c>
      <c r="I2793" t="s">
        <v>1883</v>
      </c>
      <c r="J2793" s="1" t="s">
        <v>1456</v>
      </c>
      <c r="K2793" s="1" t="s">
        <v>1553</v>
      </c>
      <c r="L2793" s="1" t="s">
        <v>1729</v>
      </c>
      <c r="M2793" s="1" t="s">
        <v>1736</v>
      </c>
      <c r="N2793" t="s">
        <v>2093</v>
      </c>
      <c r="O2793" t="s">
        <v>2543</v>
      </c>
      <c r="P2793" t="s">
        <v>3469</v>
      </c>
      <c r="Q2793">
        <v>4</v>
      </c>
      <c r="R2793" s="1" t="s">
        <v>1718</v>
      </c>
      <c r="S2793">
        <v>4380</v>
      </c>
      <c r="T2793">
        <v>17520</v>
      </c>
    </row>
    <row r="2794" spans="1:20" hidden="1" x14ac:dyDescent="0.4">
      <c r="A2794" s="1" t="s">
        <v>1035</v>
      </c>
      <c r="B2794" s="1" t="s">
        <v>1459</v>
      </c>
      <c r="C2794" s="1" t="s">
        <v>1844</v>
      </c>
      <c r="D2794" s="1" t="s">
        <v>1462</v>
      </c>
      <c r="E2794">
        <v>20251212</v>
      </c>
      <c r="F2794" s="1" t="s">
        <v>1470</v>
      </c>
      <c r="G2794">
        <v>4</v>
      </c>
      <c r="H2794" s="1" t="s">
        <v>1503</v>
      </c>
      <c r="I2794" t="s">
        <v>1883</v>
      </c>
      <c r="J2794" s="1" t="s">
        <v>1456</v>
      </c>
      <c r="K2794" s="1" t="s">
        <v>1553</v>
      </c>
      <c r="L2794" s="1" t="s">
        <v>1729</v>
      </c>
      <c r="M2794" s="1" t="s">
        <v>1736</v>
      </c>
      <c r="N2794" t="s">
        <v>2093</v>
      </c>
      <c r="O2794" t="s">
        <v>2544</v>
      </c>
      <c r="P2794" t="s">
        <v>3470</v>
      </c>
      <c r="Q2794">
        <v>2</v>
      </c>
      <c r="R2794" s="1" t="s">
        <v>1718</v>
      </c>
      <c r="S2794">
        <v>4130</v>
      </c>
      <c r="T2794">
        <v>8260</v>
      </c>
    </row>
    <row r="2795" spans="1:20" hidden="1" x14ac:dyDescent="0.4">
      <c r="A2795" s="1" t="s">
        <v>1035</v>
      </c>
      <c r="B2795" s="1" t="s">
        <v>1460</v>
      </c>
      <c r="C2795" s="1" t="s">
        <v>1844</v>
      </c>
      <c r="D2795" s="1" t="s">
        <v>1462</v>
      </c>
      <c r="E2795">
        <v>20251212</v>
      </c>
      <c r="F2795" s="1" t="s">
        <v>1470</v>
      </c>
      <c r="G2795">
        <v>4</v>
      </c>
      <c r="H2795" s="1" t="s">
        <v>1503</v>
      </c>
      <c r="I2795" t="s">
        <v>1883</v>
      </c>
      <c r="J2795" s="1" t="s">
        <v>1456</v>
      </c>
      <c r="K2795" s="1" t="s">
        <v>1553</v>
      </c>
      <c r="L2795" s="1" t="s">
        <v>1729</v>
      </c>
      <c r="M2795" s="1" t="s">
        <v>1736</v>
      </c>
      <c r="N2795" t="s">
        <v>2093</v>
      </c>
      <c r="O2795" t="s">
        <v>2545</v>
      </c>
      <c r="P2795" t="s">
        <v>3471</v>
      </c>
      <c r="Q2795">
        <v>2</v>
      </c>
      <c r="R2795" s="1" t="s">
        <v>1718</v>
      </c>
      <c r="S2795">
        <v>5010</v>
      </c>
      <c r="T2795">
        <v>10020</v>
      </c>
    </row>
    <row r="2796" spans="1:20" hidden="1" x14ac:dyDescent="0.4">
      <c r="A2796" s="1" t="s">
        <v>1035</v>
      </c>
      <c r="B2796" s="1" t="s">
        <v>1461</v>
      </c>
      <c r="C2796" s="1" t="s">
        <v>1844</v>
      </c>
      <c r="D2796" s="1" t="s">
        <v>1462</v>
      </c>
      <c r="E2796">
        <v>20251212</v>
      </c>
      <c r="F2796" s="1" t="s">
        <v>1470</v>
      </c>
      <c r="G2796">
        <v>4</v>
      </c>
      <c r="H2796" s="1" t="s">
        <v>1503</v>
      </c>
      <c r="I2796" t="s">
        <v>1883</v>
      </c>
      <c r="J2796" s="1" t="s">
        <v>1456</v>
      </c>
      <c r="K2796" s="1" t="s">
        <v>1553</v>
      </c>
      <c r="L2796" s="1" t="s">
        <v>1729</v>
      </c>
      <c r="M2796" s="1" t="s">
        <v>1736</v>
      </c>
      <c r="N2796" t="s">
        <v>2093</v>
      </c>
      <c r="O2796" t="s">
        <v>2546</v>
      </c>
      <c r="P2796" t="s">
        <v>3472</v>
      </c>
      <c r="Q2796">
        <v>2</v>
      </c>
      <c r="R2796" s="1" t="s">
        <v>1718</v>
      </c>
      <c r="S2796">
        <v>4130</v>
      </c>
      <c r="T2796">
        <v>8260</v>
      </c>
    </row>
    <row r="2797" spans="1:20" hidden="1" x14ac:dyDescent="0.4">
      <c r="A2797" s="1" t="s">
        <v>1035</v>
      </c>
      <c r="B2797" s="1" t="s">
        <v>1462</v>
      </c>
      <c r="C2797" s="1" t="s">
        <v>1844</v>
      </c>
      <c r="D2797" s="1" t="s">
        <v>1462</v>
      </c>
      <c r="E2797">
        <v>20251212</v>
      </c>
      <c r="F2797" s="1" t="s">
        <v>1470</v>
      </c>
      <c r="G2797">
        <v>4</v>
      </c>
      <c r="H2797" s="1" t="s">
        <v>1503</v>
      </c>
      <c r="I2797" t="s">
        <v>1883</v>
      </c>
      <c r="J2797" s="1" t="s">
        <v>1456</v>
      </c>
      <c r="K2797" s="1" t="s">
        <v>1553</v>
      </c>
      <c r="L2797" s="1" t="s">
        <v>1729</v>
      </c>
      <c r="M2797" s="1" t="s">
        <v>1736</v>
      </c>
      <c r="N2797" t="s">
        <v>2093</v>
      </c>
      <c r="O2797" t="s">
        <v>2547</v>
      </c>
      <c r="P2797" t="s">
        <v>3473</v>
      </c>
      <c r="Q2797">
        <v>2</v>
      </c>
      <c r="R2797" s="1" t="s">
        <v>1718</v>
      </c>
      <c r="S2797">
        <v>4380</v>
      </c>
      <c r="T2797">
        <v>8760</v>
      </c>
    </row>
    <row r="2798" spans="1:20" hidden="1" x14ac:dyDescent="0.4">
      <c r="A2798" s="1" t="s">
        <v>1036</v>
      </c>
      <c r="B2798" s="1" t="s">
        <v>1453</v>
      </c>
      <c r="C2798" s="1" t="s">
        <v>1844</v>
      </c>
      <c r="D2798" s="1" t="s">
        <v>1462</v>
      </c>
      <c r="E2798">
        <v>20251212</v>
      </c>
      <c r="F2798" s="1" t="s">
        <v>1470</v>
      </c>
      <c r="G2798">
        <v>4</v>
      </c>
      <c r="H2798" s="1" t="s">
        <v>1503</v>
      </c>
      <c r="I2798" t="s">
        <v>1883</v>
      </c>
      <c r="J2798" s="1" t="s">
        <v>1456</v>
      </c>
      <c r="K2798" s="1" t="s">
        <v>1554</v>
      </c>
      <c r="L2798" s="1" t="s">
        <v>1729</v>
      </c>
      <c r="M2798" s="1" t="s">
        <v>1737</v>
      </c>
      <c r="N2798" t="s">
        <v>2110</v>
      </c>
      <c r="O2798" t="s">
        <v>2548</v>
      </c>
      <c r="P2798">
        <v>82266</v>
      </c>
      <c r="Q2798">
        <v>2</v>
      </c>
      <c r="R2798" s="1" t="s">
        <v>1718</v>
      </c>
      <c r="S2798">
        <v>29800</v>
      </c>
      <c r="T2798">
        <v>59600</v>
      </c>
    </row>
    <row r="2799" spans="1:20" hidden="1" x14ac:dyDescent="0.4">
      <c r="A2799" s="1" t="s">
        <v>1037</v>
      </c>
      <c r="B2799" s="1" t="s">
        <v>1453</v>
      </c>
      <c r="C2799" s="1" t="s">
        <v>1844</v>
      </c>
      <c r="D2799" s="1" t="s">
        <v>1462</v>
      </c>
      <c r="E2799">
        <v>20251212</v>
      </c>
      <c r="F2799" s="1" t="s">
        <v>1470</v>
      </c>
      <c r="G2799">
        <v>4</v>
      </c>
      <c r="H2799" s="1" t="s">
        <v>1503</v>
      </c>
      <c r="I2799" t="s">
        <v>1883</v>
      </c>
      <c r="J2799" s="1" t="s">
        <v>1456</v>
      </c>
      <c r="K2799" s="1" t="s">
        <v>1553</v>
      </c>
      <c r="L2799" s="1" t="s">
        <v>1729</v>
      </c>
      <c r="M2799" s="1" t="s">
        <v>1736</v>
      </c>
      <c r="N2799" t="s">
        <v>2093</v>
      </c>
      <c r="O2799" t="s">
        <v>2549</v>
      </c>
      <c r="P2799" t="s">
        <v>3474</v>
      </c>
      <c r="Q2799">
        <v>4</v>
      </c>
      <c r="R2799" s="1" t="s">
        <v>1718</v>
      </c>
      <c r="S2799">
        <v>14840</v>
      </c>
      <c r="T2799">
        <v>59360</v>
      </c>
    </row>
    <row r="2800" spans="1:20" hidden="1" x14ac:dyDescent="0.4">
      <c r="A2800" s="1" t="s">
        <v>1038</v>
      </c>
      <c r="B2800" s="1" t="s">
        <v>1453</v>
      </c>
      <c r="C2800" s="1" t="s">
        <v>1844</v>
      </c>
      <c r="D2800" s="1" t="s">
        <v>1462</v>
      </c>
      <c r="E2800">
        <v>20251212</v>
      </c>
      <c r="F2800" s="1" t="s">
        <v>1470</v>
      </c>
      <c r="G2800">
        <v>4</v>
      </c>
      <c r="H2800" s="1" t="s">
        <v>1503</v>
      </c>
      <c r="I2800" t="s">
        <v>1883</v>
      </c>
      <c r="J2800" s="1" t="s">
        <v>1456</v>
      </c>
      <c r="K2800" s="1" t="s">
        <v>1553</v>
      </c>
      <c r="L2800" s="1" t="s">
        <v>1729</v>
      </c>
      <c r="M2800" s="1" t="s">
        <v>1740</v>
      </c>
      <c r="N2800" t="s">
        <v>2111</v>
      </c>
      <c r="O2800" t="s">
        <v>2550</v>
      </c>
      <c r="P2800" t="s">
        <v>3475</v>
      </c>
      <c r="Q2800">
        <v>2</v>
      </c>
      <c r="R2800" s="1" t="s">
        <v>1718</v>
      </c>
      <c r="S2800">
        <v>26260</v>
      </c>
      <c r="T2800">
        <v>52520</v>
      </c>
    </row>
    <row r="2801" spans="1:20" hidden="1" x14ac:dyDescent="0.4">
      <c r="A2801" s="1" t="s">
        <v>1038</v>
      </c>
      <c r="B2801" s="1" t="s">
        <v>1454</v>
      </c>
      <c r="C2801" s="1" t="s">
        <v>1844</v>
      </c>
      <c r="D2801" s="1" t="s">
        <v>1462</v>
      </c>
      <c r="E2801">
        <v>20251212</v>
      </c>
      <c r="F2801" s="1" t="s">
        <v>1470</v>
      </c>
      <c r="G2801">
        <v>4</v>
      </c>
      <c r="H2801" s="1" t="s">
        <v>1503</v>
      </c>
      <c r="I2801" t="s">
        <v>1883</v>
      </c>
      <c r="J2801" s="1" t="s">
        <v>1456</v>
      </c>
      <c r="K2801" s="1" t="s">
        <v>1553</v>
      </c>
      <c r="L2801" s="1" t="s">
        <v>1729</v>
      </c>
      <c r="M2801" s="1" t="s">
        <v>1740</v>
      </c>
      <c r="N2801" t="s">
        <v>2111</v>
      </c>
      <c r="O2801" t="s">
        <v>2551</v>
      </c>
      <c r="P2801" t="s">
        <v>3476</v>
      </c>
      <c r="Q2801">
        <v>4</v>
      </c>
      <c r="R2801" s="1" t="s">
        <v>1718</v>
      </c>
      <c r="S2801">
        <v>10580</v>
      </c>
      <c r="T2801">
        <v>42320</v>
      </c>
    </row>
    <row r="2802" spans="1:20" hidden="1" x14ac:dyDescent="0.4">
      <c r="A2802" s="1" t="s">
        <v>1039</v>
      </c>
      <c r="B2802" s="1" t="s">
        <v>1453</v>
      </c>
      <c r="C2802" s="1" t="s">
        <v>1844</v>
      </c>
      <c r="D2802" s="1" t="s">
        <v>1462</v>
      </c>
      <c r="E2802">
        <v>20251212</v>
      </c>
      <c r="F2802" s="1" t="s">
        <v>1470</v>
      </c>
      <c r="G2802">
        <v>4</v>
      </c>
      <c r="H2802" s="1" t="s">
        <v>1503</v>
      </c>
      <c r="I2802" t="s">
        <v>1883</v>
      </c>
      <c r="J2802" s="1" t="s">
        <v>1456</v>
      </c>
      <c r="K2802" s="1" t="s">
        <v>1554</v>
      </c>
      <c r="L2802" s="1" t="s">
        <v>1729</v>
      </c>
      <c r="M2802" s="1" t="s">
        <v>1737</v>
      </c>
      <c r="N2802" t="s">
        <v>2109</v>
      </c>
      <c r="O2802" t="s">
        <v>2552</v>
      </c>
      <c r="P2802">
        <v>82241</v>
      </c>
      <c r="Q2802">
        <v>2</v>
      </c>
      <c r="R2802" s="1" t="s">
        <v>1718</v>
      </c>
      <c r="S2802">
        <v>24740</v>
      </c>
      <c r="T2802">
        <v>49480</v>
      </c>
    </row>
    <row r="2803" spans="1:20" hidden="1" x14ac:dyDescent="0.4">
      <c r="A2803" s="1" t="s">
        <v>1039</v>
      </c>
      <c r="B2803" s="1" t="s">
        <v>1454</v>
      </c>
      <c r="C2803" s="1" t="s">
        <v>1844</v>
      </c>
      <c r="D2803" s="1" t="s">
        <v>1462</v>
      </c>
      <c r="E2803">
        <v>20251212</v>
      </c>
      <c r="F2803" s="1" t="s">
        <v>1470</v>
      </c>
      <c r="G2803">
        <v>4</v>
      </c>
      <c r="H2803" s="1" t="s">
        <v>1503</v>
      </c>
      <c r="I2803" t="s">
        <v>1883</v>
      </c>
      <c r="J2803" s="1" t="s">
        <v>1456</v>
      </c>
      <c r="K2803" s="1" t="s">
        <v>1554</v>
      </c>
      <c r="L2803" s="1" t="s">
        <v>1729</v>
      </c>
      <c r="M2803" s="1" t="s">
        <v>1737</v>
      </c>
      <c r="N2803" t="s">
        <v>2090</v>
      </c>
      <c r="O2803" t="s">
        <v>2553</v>
      </c>
      <c r="P2803">
        <v>82242</v>
      </c>
      <c r="Q2803">
        <v>2</v>
      </c>
      <c r="R2803" s="1" t="s">
        <v>1718</v>
      </c>
      <c r="S2803">
        <v>18640</v>
      </c>
      <c r="T2803">
        <v>37280</v>
      </c>
    </row>
    <row r="2804" spans="1:20" hidden="1" x14ac:dyDescent="0.4">
      <c r="A2804" s="1" t="s">
        <v>1039</v>
      </c>
      <c r="B2804" s="1" t="s">
        <v>1455</v>
      </c>
      <c r="C2804" s="1" t="s">
        <v>1844</v>
      </c>
      <c r="D2804" s="1" t="s">
        <v>1462</v>
      </c>
      <c r="E2804">
        <v>20251212</v>
      </c>
      <c r="F2804" s="1" t="s">
        <v>1470</v>
      </c>
      <c r="G2804">
        <v>4</v>
      </c>
      <c r="H2804" s="1" t="s">
        <v>1503</v>
      </c>
      <c r="I2804" t="s">
        <v>1883</v>
      </c>
      <c r="J2804" s="1" t="s">
        <v>1456</v>
      </c>
      <c r="K2804" s="1" t="s">
        <v>1553</v>
      </c>
      <c r="L2804" s="1" t="s">
        <v>1729</v>
      </c>
      <c r="M2804" s="1" t="s">
        <v>1740</v>
      </c>
      <c r="N2804" t="s">
        <v>2134</v>
      </c>
      <c r="O2804" t="s">
        <v>2554</v>
      </c>
      <c r="P2804" t="s">
        <v>3477</v>
      </c>
      <c r="Q2804">
        <v>2</v>
      </c>
      <c r="R2804" s="1" t="s">
        <v>1718</v>
      </c>
      <c r="S2804">
        <v>8224</v>
      </c>
      <c r="T2804">
        <v>16448</v>
      </c>
    </row>
    <row r="2805" spans="1:20" hidden="1" x14ac:dyDescent="0.4">
      <c r="A2805" s="1" t="s">
        <v>1040</v>
      </c>
      <c r="B2805" s="1" t="s">
        <v>1453</v>
      </c>
      <c r="C2805" s="1" t="s">
        <v>1844</v>
      </c>
      <c r="D2805" s="1" t="s">
        <v>1462</v>
      </c>
      <c r="E2805">
        <v>20251212</v>
      </c>
      <c r="F2805" s="1" t="s">
        <v>1470</v>
      </c>
      <c r="G2805">
        <v>4</v>
      </c>
      <c r="H2805" s="1" t="s">
        <v>1503</v>
      </c>
      <c r="I2805" t="s">
        <v>1883</v>
      </c>
      <c r="J2805" s="1" t="s">
        <v>1456</v>
      </c>
      <c r="K2805" s="1" t="s">
        <v>1554</v>
      </c>
      <c r="L2805" s="1" t="s">
        <v>1729</v>
      </c>
      <c r="M2805" s="1" t="s">
        <v>1737</v>
      </c>
      <c r="N2805" t="s">
        <v>2109</v>
      </c>
      <c r="O2805" t="s">
        <v>2555</v>
      </c>
      <c r="P2805">
        <v>82218</v>
      </c>
      <c r="Q2805">
        <v>2</v>
      </c>
      <c r="R2805" s="1" t="s">
        <v>1718</v>
      </c>
      <c r="S2805">
        <v>24460</v>
      </c>
      <c r="T2805">
        <v>48920</v>
      </c>
    </row>
    <row r="2806" spans="1:20" hidden="1" x14ac:dyDescent="0.4">
      <c r="A2806" s="1" t="s">
        <v>1041</v>
      </c>
      <c r="B2806" s="1" t="s">
        <v>1453</v>
      </c>
      <c r="C2806" s="1" t="s">
        <v>1844</v>
      </c>
      <c r="D2806" s="1" t="s">
        <v>1462</v>
      </c>
      <c r="E2806">
        <v>20251212</v>
      </c>
      <c r="F2806" s="1" t="s">
        <v>1470</v>
      </c>
      <c r="G2806">
        <v>4</v>
      </c>
      <c r="H2806" s="1" t="s">
        <v>1503</v>
      </c>
      <c r="I2806" t="s">
        <v>1883</v>
      </c>
      <c r="J2806" s="1" t="s">
        <v>1456</v>
      </c>
      <c r="K2806" s="1" t="s">
        <v>1554</v>
      </c>
      <c r="L2806" s="1" t="s">
        <v>1729</v>
      </c>
      <c r="M2806" s="1" t="s">
        <v>1737</v>
      </c>
      <c r="N2806" t="s">
        <v>2118</v>
      </c>
      <c r="O2806" t="s">
        <v>2556</v>
      </c>
      <c r="P2806">
        <v>82252</v>
      </c>
      <c r="Q2806">
        <v>2</v>
      </c>
      <c r="R2806" s="1" t="s">
        <v>1718</v>
      </c>
      <c r="S2806">
        <v>9350</v>
      </c>
      <c r="T2806">
        <v>18700</v>
      </c>
    </row>
    <row r="2807" spans="1:20" hidden="1" x14ac:dyDescent="0.4">
      <c r="A2807" s="1" t="s">
        <v>1042</v>
      </c>
      <c r="B2807" s="1" t="s">
        <v>1453</v>
      </c>
      <c r="C2807" s="1" t="s">
        <v>1844</v>
      </c>
      <c r="D2807" s="1" t="s">
        <v>1462</v>
      </c>
      <c r="E2807">
        <v>20251212</v>
      </c>
      <c r="F2807" s="1" t="s">
        <v>1470</v>
      </c>
      <c r="G2807">
        <v>4</v>
      </c>
      <c r="H2807" s="1" t="s">
        <v>1503</v>
      </c>
      <c r="I2807" t="s">
        <v>1883</v>
      </c>
      <c r="J2807" s="1" t="s">
        <v>1456</v>
      </c>
      <c r="K2807" s="1" t="s">
        <v>1553</v>
      </c>
      <c r="L2807" s="1" t="s">
        <v>1729</v>
      </c>
      <c r="M2807" s="1" t="s">
        <v>1740</v>
      </c>
      <c r="N2807" t="s">
        <v>2133</v>
      </c>
      <c r="O2807" t="s">
        <v>2557</v>
      </c>
      <c r="P2807" t="s">
        <v>3478</v>
      </c>
      <c r="Q2807">
        <v>2</v>
      </c>
      <c r="R2807" s="1" t="s">
        <v>1718</v>
      </c>
      <c r="S2807">
        <v>31614</v>
      </c>
      <c r="T2807">
        <v>63228</v>
      </c>
    </row>
    <row r="2808" spans="1:20" hidden="1" x14ac:dyDescent="0.4">
      <c r="A2808" s="1" t="s">
        <v>1043</v>
      </c>
      <c r="B2808" s="1" t="s">
        <v>1453</v>
      </c>
      <c r="C2808" s="1" t="s">
        <v>1844</v>
      </c>
      <c r="D2808" s="1" t="s">
        <v>1462</v>
      </c>
      <c r="E2808">
        <v>20251212</v>
      </c>
      <c r="F2808" s="1" t="s">
        <v>1470</v>
      </c>
      <c r="G2808">
        <v>4</v>
      </c>
      <c r="H2808" s="1" t="s">
        <v>1503</v>
      </c>
      <c r="I2808" t="s">
        <v>1883</v>
      </c>
      <c r="J2808" s="1" t="s">
        <v>1456</v>
      </c>
      <c r="K2808" s="1" t="s">
        <v>1554</v>
      </c>
      <c r="L2808" s="1" t="s">
        <v>1729</v>
      </c>
      <c r="M2808" s="1" t="s">
        <v>1737</v>
      </c>
      <c r="N2808" t="s">
        <v>2091</v>
      </c>
      <c r="O2808" t="s">
        <v>2558</v>
      </c>
      <c r="P2808">
        <v>82249</v>
      </c>
      <c r="Q2808">
        <v>2</v>
      </c>
      <c r="R2808" s="1" t="s">
        <v>1718</v>
      </c>
      <c r="S2808">
        <v>19190</v>
      </c>
      <c r="T2808">
        <v>38380</v>
      </c>
    </row>
    <row r="2809" spans="1:20" hidden="1" x14ac:dyDescent="0.4">
      <c r="A2809" s="1" t="s">
        <v>1044</v>
      </c>
      <c r="B2809" s="1" t="s">
        <v>1453</v>
      </c>
      <c r="C2809" s="1" t="s">
        <v>1844</v>
      </c>
      <c r="D2809" s="1" t="s">
        <v>1462</v>
      </c>
      <c r="E2809">
        <v>20251212</v>
      </c>
      <c r="F2809" s="1" t="s">
        <v>1470</v>
      </c>
      <c r="G2809">
        <v>4</v>
      </c>
      <c r="H2809" s="1" t="s">
        <v>1503</v>
      </c>
      <c r="I2809" t="s">
        <v>1883</v>
      </c>
      <c r="J2809" s="1" t="s">
        <v>1456</v>
      </c>
      <c r="K2809" s="1" t="s">
        <v>1554</v>
      </c>
      <c r="L2809" s="1" t="s">
        <v>1729</v>
      </c>
      <c r="M2809" s="1" t="s">
        <v>1737</v>
      </c>
      <c r="N2809" t="s">
        <v>2090</v>
      </c>
      <c r="O2809" t="s">
        <v>2559</v>
      </c>
      <c r="P2809">
        <v>82260</v>
      </c>
      <c r="Q2809">
        <v>1</v>
      </c>
      <c r="R2809" s="1" t="s">
        <v>1718</v>
      </c>
      <c r="S2809">
        <v>18740</v>
      </c>
      <c r="T2809">
        <v>18740</v>
      </c>
    </row>
    <row r="2810" spans="1:20" hidden="1" x14ac:dyDescent="0.4">
      <c r="A2810" s="1" t="s">
        <v>1044</v>
      </c>
      <c r="B2810" s="1" t="s">
        <v>1454</v>
      </c>
      <c r="C2810" s="1" t="s">
        <v>1844</v>
      </c>
      <c r="D2810" s="1" t="s">
        <v>1462</v>
      </c>
      <c r="E2810">
        <v>20251212</v>
      </c>
      <c r="F2810" s="1" t="s">
        <v>1470</v>
      </c>
      <c r="G2810">
        <v>4</v>
      </c>
      <c r="H2810" s="1" t="s">
        <v>1503</v>
      </c>
      <c r="I2810" t="s">
        <v>1883</v>
      </c>
      <c r="J2810" s="1" t="s">
        <v>1456</v>
      </c>
      <c r="K2810" s="1" t="s">
        <v>1554</v>
      </c>
      <c r="L2810" s="1" t="s">
        <v>1729</v>
      </c>
      <c r="M2810" s="1" t="s">
        <v>1737</v>
      </c>
      <c r="N2810" t="s">
        <v>2090</v>
      </c>
      <c r="O2810" t="s">
        <v>2560</v>
      </c>
      <c r="P2810">
        <v>82261</v>
      </c>
      <c r="Q2810">
        <v>1</v>
      </c>
      <c r="R2810" s="1" t="s">
        <v>1718</v>
      </c>
      <c r="S2810">
        <v>18740</v>
      </c>
      <c r="T2810">
        <v>18740</v>
      </c>
    </row>
    <row r="2811" spans="1:20" hidden="1" x14ac:dyDescent="0.4">
      <c r="A2811" s="1" t="s">
        <v>1045</v>
      </c>
      <c r="B2811" s="1" t="s">
        <v>1453</v>
      </c>
      <c r="C2811" s="1" t="s">
        <v>1844</v>
      </c>
      <c r="D2811" s="1" t="s">
        <v>1462</v>
      </c>
      <c r="E2811">
        <v>20251212</v>
      </c>
      <c r="F2811" s="1" t="s">
        <v>1470</v>
      </c>
      <c r="G2811">
        <v>4</v>
      </c>
      <c r="H2811" s="1" t="s">
        <v>1503</v>
      </c>
      <c r="I2811" t="s">
        <v>1883</v>
      </c>
      <c r="J2811" s="1" t="s">
        <v>1456</v>
      </c>
      <c r="K2811" s="1" t="s">
        <v>1553</v>
      </c>
      <c r="L2811" s="1" t="s">
        <v>1729</v>
      </c>
      <c r="M2811" s="1" t="s">
        <v>1736</v>
      </c>
      <c r="N2811" t="s">
        <v>2108</v>
      </c>
      <c r="O2811" t="s">
        <v>2561</v>
      </c>
      <c r="P2811" t="s">
        <v>3479</v>
      </c>
      <c r="Q2811">
        <v>2</v>
      </c>
      <c r="R2811" s="1" t="s">
        <v>1718</v>
      </c>
      <c r="S2811">
        <v>8940</v>
      </c>
      <c r="T2811">
        <v>17880</v>
      </c>
    </row>
    <row r="2812" spans="1:20" hidden="1" x14ac:dyDescent="0.4">
      <c r="A2812" s="1" t="s">
        <v>1046</v>
      </c>
      <c r="B2812" s="1" t="s">
        <v>1453</v>
      </c>
      <c r="C2812" s="1" t="s">
        <v>1844</v>
      </c>
      <c r="D2812" s="1" t="s">
        <v>1462</v>
      </c>
      <c r="E2812">
        <v>20251212</v>
      </c>
      <c r="F2812" s="1" t="s">
        <v>1470</v>
      </c>
      <c r="G2812">
        <v>4</v>
      </c>
      <c r="H2812" s="1" t="s">
        <v>1496</v>
      </c>
      <c r="I2812" t="s">
        <v>1876</v>
      </c>
      <c r="J2812" s="1" t="s">
        <v>1456</v>
      </c>
      <c r="K2812" s="1" t="s">
        <v>1557</v>
      </c>
      <c r="L2812" s="1" t="s">
        <v>1729</v>
      </c>
      <c r="M2812" s="1" t="s">
        <v>1737</v>
      </c>
      <c r="N2812" t="s">
        <v>1929</v>
      </c>
      <c r="O2812" t="s">
        <v>2562</v>
      </c>
      <c r="P2812" t="s">
        <v>2157</v>
      </c>
      <c r="Q2812">
        <v>2</v>
      </c>
      <c r="R2812" s="1" t="s">
        <v>1718</v>
      </c>
      <c r="S2812">
        <v>37393</v>
      </c>
      <c r="T2812">
        <v>74786</v>
      </c>
    </row>
    <row r="2813" spans="1:20" hidden="1" x14ac:dyDescent="0.4">
      <c r="A2813" s="1" t="s">
        <v>1047</v>
      </c>
      <c r="B2813" s="1" t="s">
        <v>1453</v>
      </c>
      <c r="C2813" s="1" t="s">
        <v>1844</v>
      </c>
      <c r="D2813" s="1" t="s">
        <v>1462</v>
      </c>
      <c r="E2813">
        <v>20251212</v>
      </c>
      <c r="F2813" s="1" t="s">
        <v>1470</v>
      </c>
      <c r="G2813">
        <v>4</v>
      </c>
      <c r="H2813" s="1" t="s">
        <v>1496</v>
      </c>
      <c r="I2813" t="s">
        <v>1876</v>
      </c>
      <c r="J2813" s="1" t="s">
        <v>1456</v>
      </c>
      <c r="K2813" s="1" t="s">
        <v>1557</v>
      </c>
      <c r="L2813" s="1" t="s">
        <v>1729</v>
      </c>
      <c r="M2813" s="1" t="s">
        <v>1737</v>
      </c>
      <c r="N2813" t="s">
        <v>1929</v>
      </c>
      <c r="O2813" t="s">
        <v>2563</v>
      </c>
      <c r="P2813" t="s">
        <v>3270</v>
      </c>
      <c r="Q2813">
        <v>2</v>
      </c>
      <c r="R2813" s="1" t="s">
        <v>1718</v>
      </c>
      <c r="S2813">
        <v>20845</v>
      </c>
      <c r="T2813">
        <v>41690</v>
      </c>
    </row>
    <row r="2814" spans="1:20" hidden="1" x14ac:dyDescent="0.4">
      <c r="A2814" s="1" t="s">
        <v>1047</v>
      </c>
      <c r="B2814" s="1" t="s">
        <v>1454</v>
      </c>
      <c r="C2814" s="1" t="s">
        <v>1844</v>
      </c>
      <c r="D2814" s="1" t="s">
        <v>1462</v>
      </c>
      <c r="E2814">
        <v>20251212</v>
      </c>
      <c r="F2814" s="1" t="s">
        <v>1470</v>
      </c>
      <c r="G2814">
        <v>4</v>
      </c>
      <c r="H2814" s="1" t="s">
        <v>1496</v>
      </c>
      <c r="I2814" t="s">
        <v>1876</v>
      </c>
      <c r="J2814" s="1" t="s">
        <v>1456</v>
      </c>
      <c r="K2814" s="1" t="s">
        <v>1557</v>
      </c>
      <c r="L2814" s="1" t="s">
        <v>1729</v>
      </c>
      <c r="M2814" s="1" t="s">
        <v>1737</v>
      </c>
      <c r="N2814" t="s">
        <v>1929</v>
      </c>
      <c r="O2814" t="s">
        <v>2563</v>
      </c>
      <c r="P2814" t="s">
        <v>3270</v>
      </c>
      <c r="Q2814">
        <v>2</v>
      </c>
      <c r="R2814" s="1" t="s">
        <v>1718</v>
      </c>
      <c r="S2814">
        <v>29297</v>
      </c>
      <c r="T2814">
        <v>58594</v>
      </c>
    </row>
    <row r="2815" spans="1:20" hidden="1" x14ac:dyDescent="0.4">
      <c r="A2815" s="1" t="s">
        <v>1047</v>
      </c>
      <c r="B2815" s="1" t="s">
        <v>1455</v>
      </c>
      <c r="C2815" s="1" t="s">
        <v>1844</v>
      </c>
      <c r="D2815" s="1" t="s">
        <v>1462</v>
      </c>
      <c r="E2815">
        <v>20251212</v>
      </c>
      <c r="F2815" s="1" t="s">
        <v>1470</v>
      </c>
      <c r="G2815">
        <v>4</v>
      </c>
      <c r="H2815" s="1" t="s">
        <v>1496</v>
      </c>
      <c r="I2815" t="s">
        <v>1876</v>
      </c>
      <c r="J2815" s="1" t="s">
        <v>1456</v>
      </c>
      <c r="K2815" s="1" t="s">
        <v>1557</v>
      </c>
      <c r="L2815" s="1" t="s">
        <v>1729</v>
      </c>
      <c r="M2815" s="1" t="s">
        <v>1737</v>
      </c>
      <c r="N2815" t="s">
        <v>1929</v>
      </c>
      <c r="O2815" t="s">
        <v>2563</v>
      </c>
      <c r="P2815" t="s">
        <v>3270</v>
      </c>
      <c r="Q2815">
        <v>2</v>
      </c>
      <c r="R2815" s="1" t="s">
        <v>1718</v>
      </c>
      <c r="S2815">
        <v>38518</v>
      </c>
      <c r="T2815">
        <v>77036</v>
      </c>
    </row>
    <row r="2816" spans="1:20" hidden="1" x14ac:dyDescent="0.4">
      <c r="A2816" s="1" t="s">
        <v>1048</v>
      </c>
      <c r="B2816" s="1" t="s">
        <v>1453</v>
      </c>
      <c r="C2816" s="1" t="s">
        <v>1844</v>
      </c>
      <c r="D2816" s="1" t="s">
        <v>1462</v>
      </c>
      <c r="E2816">
        <v>20251212</v>
      </c>
      <c r="F2816" s="1" t="s">
        <v>1470</v>
      </c>
      <c r="G2816">
        <v>4</v>
      </c>
      <c r="H2816" s="1" t="s">
        <v>1496</v>
      </c>
      <c r="I2816" t="s">
        <v>1876</v>
      </c>
      <c r="J2816" s="1" t="s">
        <v>1456</v>
      </c>
      <c r="K2816" s="1" t="s">
        <v>1557</v>
      </c>
      <c r="L2816" s="1" t="s">
        <v>1729</v>
      </c>
      <c r="M2816" s="1" t="s">
        <v>1737</v>
      </c>
      <c r="N2816" t="s">
        <v>1929</v>
      </c>
      <c r="O2816" t="s">
        <v>2564</v>
      </c>
      <c r="P2816" t="s">
        <v>3220</v>
      </c>
      <c r="Q2816">
        <v>2</v>
      </c>
      <c r="R2816" s="1" t="s">
        <v>1718</v>
      </c>
      <c r="S2816">
        <v>8780</v>
      </c>
      <c r="T2816">
        <v>17560</v>
      </c>
    </row>
    <row r="2817" spans="1:20" hidden="1" x14ac:dyDescent="0.4">
      <c r="A2817" s="1" t="s">
        <v>1049</v>
      </c>
      <c r="B2817" s="1" t="s">
        <v>1453</v>
      </c>
      <c r="C2817" s="1" t="s">
        <v>1844</v>
      </c>
      <c r="D2817" s="1" t="s">
        <v>1462</v>
      </c>
      <c r="E2817">
        <v>20251212</v>
      </c>
      <c r="F2817" s="1" t="s">
        <v>1470</v>
      </c>
      <c r="G2817">
        <v>4</v>
      </c>
      <c r="H2817" s="1" t="s">
        <v>1496</v>
      </c>
      <c r="I2817" t="s">
        <v>1876</v>
      </c>
      <c r="J2817" s="1" t="s">
        <v>1456</v>
      </c>
      <c r="K2817" s="1" t="s">
        <v>1557</v>
      </c>
      <c r="L2817" s="1" t="s">
        <v>1729</v>
      </c>
      <c r="M2817" s="1" t="s">
        <v>1737</v>
      </c>
      <c r="N2817" t="s">
        <v>1929</v>
      </c>
      <c r="O2817" t="s">
        <v>2565</v>
      </c>
      <c r="P2817" t="s">
        <v>3270</v>
      </c>
      <c r="Q2817">
        <v>1</v>
      </c>
      <c r="R2817" s="1" t="s">
        <v>1718</v>
      </c>
      <c r="S2817">
        <v>6759</v>
      </c>
      <c r="T2817">
        <v>6759</v>
      </c>
    </row>
    <row r="2818" spans="1:20" hidden="1" x14ac:dyDescent="0.4">
      <c r="A2818" s="1" t="s">
        <v>1049</v>
      </c>
      <c r="B2818" s="1" t="s">
        <v>1454</v>
      </c>
      <c r="C2818" s="1" t="s">
        <v>1844</v>
      </c>
      <c r="D2818" s="1" t="s">
        <v>1462</v>
      </c>
      <c r="E2818">
        <v>20251212</v>
      </c>
      <c r="F2818" s="1" t="s">
        <v>1470</v>
      </c>
      <c r="G2818">
        <v>4</v>
      </c>
      <c r="H2818" s="1" t="s">
        <v>1496</v>
      </c>
      <c r="I2818" t="s">
        <v>1876</v>
      </c>
      <c r="J2818" s="1" t="s">
        <v>1456</v>
      </c>
      <c r="K2818" s="1" t="s">
        <v>1557</v>
      </c>
      <c r="L2818" s="1" t="s">
        <v>1729</v>
      </c>
      <c r="M2818" s="1" t="s">
        <v>1737</v>
      </c>
      <c r="N2818" t="s">
        <v>1929</v>
      </c>
      <c r="O2818" t="s">
        <v>2565</v>
      </c>
      <c r="P2818" t="s">
        <v>3270</v>
      </c>
      <c r="Q2818">
        <v>1</v>
      </c>
      <c r="R2818" s="1" t="s">
        <v>1718</v>
      </c>
      <c r="S2818">
        <v>6759</v>
      </c>
      <c r="T2818">
        <v>6759</v>
      </c>
    </row>
    <row r="2819" spans="1:20" hidden="1" x14ac:dyDescent="0.4">
      <c r="A2819" s="1" t="s">
        <v>1050</v>
      </c>
      <c r="B2819" s="1" t="s">
        <v>1453</v>
      </c>
      <c r="C2819" s="1" t="s">
        <v>1844</v>
      </c>
      <c r="D2819" s="1" t="s">
        <v>1462</v>
      </c>
      <c r="E2819">
        <v>20251212</v>
      </c>
      <c r="F2819" s="1" t="s">
        <v>1470</v>
      </c>
      <c r="G2819">
        <v>4</v>
      </c>
      <c r="H2819" s="1" t="s">
        <v>1496</v>
      </c>
      <c r="I2819" t="s">
        <v>1876</v>
      </c>
      <c r="J2819" s="1" t="s">
        <v>1456</v>
      </c>
      <c r="K2819" s="1" t="s">
        <v>1557</v>
      </c>
      <c r="L2819" s="1" t="s">
        <v>1729</v>
      </c>
      <c r="M2819" s="1" t="s">
        <v>1737</v>
      </c>
      <c r="N2819" t="s">
        <v>1929</v>
      </c>
      <c r="O2819" t="s">
        <v>2566</v>
      </c>
      <c r="P2819" t="s">
        <v>3270</v>
      </c>
      <c r="Q2819">
        <v>2</v>
      </c>
      <c r="R2819" s="1" t="s">
        <v>1718</v>
      </c>
      <c r="S2819">
        <v>8680</v>
      </c>
      <c r="T2819">
        <v>17360</v>
      </c>
    </row>
    <row r="2820" spans="1:20" hidden="1" x14ac:dyDescent="0.4">
      <c r="A2820" s="1" t="s">
        <v>1051</v>
      </c>
      <c r="B2820" s="1" t="s">
        <v>1453</v>
      </c>
      <c r="C2820" s="1" t="s">
        <v>1844</v>
      </c>
      <c r="D2820" s="1" t="s">
        <v>1462</v>
      </c>
      <c r="E2820">
        <v>20251212</v>
      </c>
      <c r="F2820" s="1" t="s">
        <v>1470</v>
      </c>
      <c r="G2820">
        <v>4</v>
      </c>
      <c r="H2820" s="1" t="s">
        <v>1496</v>
      </c>
      <c r="I2820" t="s">
        <v>1876</v>
      </c>
      <c r="J2820" s="1" t="s">
        <v>1456</v>
      </c>
      <c r="K2820" s="1" t="s">
        <v>1559</v>
      </c>
      <c r="L2820" s="1" t="s">
        <v>1729</v>
      </c>
      <c r="M2820" s="1" t="s">
        <v>1739</v>
      </c>
      <c r="N2820" t="s">
        <v>1931</v>
      </c>
      <c r="O2820" t="s">
        <v>2567</v>
      </c>
      <c r="P2820" t="s">
        <v>3480</v>
      </c>
      <c r="Q2820">
        <v>2</v>
      </c>
      <c r="R2820" s="1" t="s">
        <v>1718</v>
      </c>
      <c r="S2820">
        <v>11631</v>
      </c>
      <c r="T2820">
        <v>23262</v>
      </c>
    </row>
    <row r="2821" spans="1:20" hidden="1" x14ac:dyDescent="0.4">
      <c r="A2821" s="1" t="s">
        <v>1052</v>
      </c>
      <c r="B2821" s="1" t="s">
        <v>1453</v>
      </c>
      <c r="C2821" s="1" t="s">
        <v>1844</v>
      </c>
      <c r="D2821" s="1" t="s">
        <v>1462</v>
      </c>
      <c r="E2821">
        <v>20251212</v>
      </c>
      <c r="F2821" s="1" t="s">
        <v>1470</v>
      </c>
      <c r="G2821">
        <v>4</v>
      </c>
      <c r="H2821" s="1" t="s">
        <v>1512</v>
      </c>
      <c r="I2821" t="s">
        <v>1892</v>
      </c>
      <c r="J2821" s="1" t="s">
        <v>1456</v>
      </c>
      <c r="K2821" s="1" t="s">
        <v>1558</v>
      </c>
      <c r="L2821" s="1" t="s">
        <v>1729</v>
      </c>
      <c r="M2821" s="1" t="s">
        <v>1737</v>
      </c>
      <c r="N2821" t="s">
        <v>2096</v>
      </c>
      <c r="O2821" t="s">
        <v>2568</v>
      </c>
      <c r="P2821" t="s">
        <v>3481</v>
      </c>
      <c r="Q2821">
        <v>2</v>
      </c>
      <c r="R2821" s="1" t="s">
        <v>1718</v>
      </c>
      <c r="S2821">
        <v>17285</v>
      </c>
      <c r="T2821">
        <v>34570</v>
      </c>
    </row>
    <row r="2822" spans="1:20" hidden="1" x14ac:dyDescent="0.4">
      <c r="A2822" s="1" t="s">
        <v>1053</v>
      </c>
      <c r="B2822" s="1" t="s">
        <v>1453</v>
      </c>
      <c r="C2822" s="1" t="s">
        <v>1844</v>
      </c>
      <c r="D2822" s="1" t="s">
        <v>1462</v>
      </c>
      <c r="E2822">
        <v>20251212</v>
      </c>
      <c r="F2822" s="1" t="s">
        <v>1470</v>
      </c>
      <c r="G2822">
        <v>4</v>
      </c>
      <c r="H2822" s="1" t="s">
        <v>1512</v>
      </c>
      <c r="I2822" t="s">
        <v>1892</v>
      </c>
      <c r="J2822" s="1" t="s">
        <v>1456</v>
      </c>
      <c r="K2822" s="1" t="s">
        <v>1558</v>
      </c>
      <c r="L2822" s="1" t="s">
        <v>1729</v>
      </c>
      <c r="M2822" s="1" t="s">
        <v>1737</v>
      </c>
      <c r="N2822" t="s">
        <v>2096</v>
      </c>
      <c r="O2822" t="s">
        <v>2569</v>
      </c>
      <c r="P2822" t="s">
        <v>3482</v>
      </c>
      <c r="Q2822">
        <v>2</v>
      </c>
      <c r="R2822" s="1" t="s">
        <v>1718</v>
      </c>
      <c r="S2822">
        <v>27657</v>
      </c>
      <c r="T2822">
        <v>55314</v>
      </c>
    </row>
    <row r="2823" spans="1:20" hidden="1" x14ac:dyDescent="0.4">
      <c r="A2823" s="1" t="s">
        <v>1054</v>
      </c>
      <c r="B2823" s="1" t="s">
        <v>1453</v>
      </c>
      <c r="C2823" s="1" t="s">
        <v>1844</v>
      </c>
      <c r="D2823" s="1" t="s">
        <v>1462</v>
      </c>
      <c r="E2823">
        <v>20251212</v>
      </c>
      <c r="F2823" s="1" t="s">
        <v>1470</v>
      </c>
      <c r="G2823">
        <v>4</v>
      </c>
      <c r="H2823" s="1" t="s">
        <v>1512</v>
      </c>
      <c r="I2823" t="s">
        <v>1892</v>
      </c>
      <c r="J2823" s="1" t="s">
        <v>1456</v>
      </c>
      <c r="K2823" s="1" t="s">
        <v>1558</v>
      </c>
      <c r="L2823" s="1" t="s">
        <v>1729</v>
      </c>
      <c r="M2823" s="1" t="s">
        <v>1737</v>
      </c>
      <c r="N2823" t="s">
        <v>2096</v>
      </c>
      <c r="O2823" t="s">
        <v>2570</v>
      </c>
      <c r="P2823" t="s">
        <v>3483</v>
      </c>
      <c r="Q2823">
        <v>2</v>
      </c>
      <c r="R2823" s="1" t="s">
        <v>1718</v>
      </c>
      <c r="S2823">
        <v>53777</v>
      </c>
      <c r="T2823">
        <v>107554</v>
      </c>
    </row>
    <row r="2824" spans="1:20" hidden="1" x14ac:dyDescent="0.4">
      <c r="A2824" s="1" t="s">
        <v>1055</v>
      </c>
      <c r="B2824" s="1" t="s">
        <v>1453</v>
      </c>
      <c r="C2824" s="1" t="s">
        <v>1844</v>
      </c>
      <c r="D2824" s="1" t="s">
        <v>1462</v>
      </c>
      <c r="E2824">
        <v>20251212</v>
      </c>
      <c r="F2824" s="1" t="s">
        <v>1470</v>
      </c>
      <c r="G2824">
        <v>4</v>
      </c>
      <c r="H2824" s="1" t="s">
        <v>1512</v>
      </c>
      <c r="I2824" t="s">
        <v>1892</v>
      </c>
      <c r="J2824" s="1" t="s">
        <v>1456</v>
      </c>
      <c r="K2824" s="1" t="s">
        <v>1558</v>
      </c>
      <c r="L2824" s="1" t="s">
        <v>1729</v>
      </c>
      <c r="M2824" s="1" t="s">
        <v>1737</v>
      </c>
      <c r="N2824" t="s">
        <v>2096</v>
      </c>
      <c r="O2824" t="s">
        <v>2571</v>
      </c>
      <c r="P2824" t="s">
        <v>3484</v>
      </c>
      <c r="Q2824">
        <v>1</v>
      </c>
      <c r="R2824" s="1" t="s">
        <v>1718</v>
      </c>
      <c r="S2824">
        <v>8579</v>
      </c>
      <c r="T2824">
        <v>8579</v>
      </c>
    </row>
    <row r="2825" spans="1:20" hidden="1" x14ac:dyDescent="0.4">
      <c r="A2825" s="1" t="s">
        <v>1055</v>
      </c>
      <c r="B2825" s="1" t="s">
        <v>1454</v>
      </c>
      <c r="C2825" s="1" t="s">
        <v>1844</v>
      </c>
      <c r="D2825" s="1" t="s">
        <v>1462</v>
      </c>
      <c r="E2825">
        <v>20251212</v>
      </c>
      <c r="F2825" s="1" t="s">
        <v>1470</v>
      </c>
      <c r="G2825">
        <v>4</v>
      </c>
      <c r="H2825" s="1" t="s">
        <v>1512</v>
      </c>
      <c r="I2825" t="s">
        <v>1892</v>
      </c>
      <c r="J2825" s="1" t="s">
        <v>1456</v>
      </c>
      <c r="K2825" s="1" t="s">
        <v>1558</v>
      </c>
      <c r="L2825" s="1" t="s">
        <v>1729</v>
      </c>
      <c r="M2825" s="1" t="s">
        <v>1737</v>
      </c>
      <c r="N2825" t="s">
        <v>2096</v>
      </c>
      <c r="O2825" t="s">
        <v>2572</v>
      </c>
      <c r="P2825" t="s">
        <v>3485</v>
      </c>
      <c r="Q2825">
        <v>1</v>
      </c>
      <c r="R2825" s="1" t="s">
        <v>1718</v>
      </c>
      <c r="S2825">
        <v>8579</v>
      </c>
      <c r="T2825">
        <v>8579</v>
      </c>
    </row>
    <row r="2826" spans="1:20" hidden="1" x14ac:dyDescent="0.4">
      <c r="A2826" s="1" t="s">
        <v>1056</v>
      </c>
      <c r="B2826" s="1" t="s">
        <v>1453</v>
      </c>
      <c r="C2826" s="1" t="s">
        <v>1844</v>
      </c>
      <c r="D2826" s="1" t="s">
        <v>1462</v>
      </c>
      <c r="E2826">
        <v>20251212</v>
      </c>
      <c r="F2826" s="1" t="s">
        <v>1470</v>
      </c>
      <c r="G2826">
        <v>4</v>
      </c>
      <c r="H2826" s="1" t="s">
        <v>1533</v>
      </c>
      <c r="I2826" t="s">
        <v>1913</v>
      </c>
      <c r="J2826" s="1" t="s">
        <v>1456</v>
      </c>
      <c r="K2826" s="1" t="s">
        <v>1574</v>
      </c>
      <c r="L2826" s="1" t="s">
        <v>1729</v>
      </c>
      <c r="M2826" s="1" t="s">
        <v>1737</v>
      </c>
      <c r="N2826" t="s">
        <v>2135</v>
      </c>
      <c r="O2826" t="s">
        <v>2157</v>
      </c>
      <c r="P2826" t="s">
        <v>2157</v>
      </c>
      <c r="Q2826">
        <v>2</v>
      </c>
      <c r="R2826" s="1" t="s">
        <v>1718</v>
      </c>
      <c r="S2826">
        <v>4180</v>
      </c>
      <c r="T2826">
        <v>8360</v>
      </c>
    </row>
    <row r="2827" spans="1:20" hidden="1" x14ac:dyDescent="0.4">
      <c r="A2827" s="1" t="s">
        <v>1056</v>
      </c>
      <c r="B2827" s="1" t="s">
        <v>1454</v>
      </c>
      <c r="C2827" s="1" t="s">
        <v>1844</v>
      </c>
      <c r="D2827" s="1" t="s">
        <v>1462</v>
      </c>
      <c r="E2827">
        <v>20251212</v>
      </c>
      <c r="F2827" s="1" t="s">
        <v>1470</v>
      </c>
      <c r="G2827">
        <v>4</v>
      </c>
      <c r="H2827" s="1" t="s">
        <v>1533</v>
      </c>
      <c r="I2827" t="s">
        <v>1913</v>
      </c>
      <c r="J2827" s="1" t="s">
        <v>1456</v>
      </c>
      <c r="K2827" s="1" t="s">
        <v>1574</v>
      </c>
      <c r="L2827" s="1" t="s">
        <v>1729</v>
      </c>
      <c r="M2827" s="1" t="s">
        <v>1737</v>
      </c>
      <c r="N2827" t="s">
        <v>2136</v>
      </c>
      <c r="O2827" t="s">
        <v>2157</v>
      </c>
      <c r="P2827" t="s">
        <v>2157</v>
      </c>
      <c r="Q2827">
        <v>2</v>
      </c>
      <c r="R2827" s="1" t="s">
        <v>1718</v>
      </c>
      <c r="S2827">
        <v>4180</v>
      </c>
      <c r="T2827">
        <v>8360</v>
      </c>
    </row>
    <row r="2828" spans="1:20" hidden="1" x14ac:dyDescent="0.4">
      <c r="A2828" s="1" t="s">
        <v>1056</v>
      </c>
      <c r="B2828" s="1" t="s">
        <v>1455</v>
      </c>
      <c r="C2828" s="1" t="s">
        <v>1844</v>
      </c>
      <c r="D2828" s="1" t="s">
        <v>1462</v>
      </c>
      <c r="E2828">
        <v>20251212</v>
      </c>
      <c r="F2828" s="1" t="s">
        <v>1470</v>
      </c>
      <c r="G2828">
        <v>4</v>
      </c>
      <c r="H2828" s="1" t="s">
        <v>1533</v>
      </c>
      <c r="I2828" t="s">
        <v>1913</v>
      </c>
      <c r="J2828" s="1" t="s">
        <v>1456</v>
      </c>
      <c r="K2828" s="1" t="s">
        <v>1574</v>
      </c>
      <c r="L2828" s="1" t="s">
        <v>1729</v>
      </c>
      <c r="M2828" s="1" t="s">
        <v>1737</v>
      </c>
      <c r="N2828" t="s">
        <v>2137</v>
      </c>
      <c r="O2828" t="s">
        <v>2157</v>
      </c>
      <c r="P2828" t="s">
        <v>2157</v>
      </c>
      <c r="Q2828">
        <v>2</v>
      </c>
      <c r="R2828" s="1" t="s">
        <v>1718</v>
      </c>
      <c r="S2828">
        <v>10560</v>
      </c>
      <c r="T2828">
        <v>21120</v>
      </c>
    </row>
    <row r="2829" spans="1:20" hidden="1" x14ac:dyDescent="0.4">
      <c r="A2829" s="1" t="s">
        <v>1057</v>
      </c>
      <c r="B2829" s="1" t="s">
        <v>1453</v>
      </c>
      <c r="C2829" s="1" t="s">
        <v>1844</v>
      </c>
      <c r="D2829" s="1" t="s">
        <v>1462</v>
      </c>
      <c r="E2829">
        <v>20251212</v>
      </c>
      <c r="F2829" s="1" t="s">
        <v>1470</v>
      </c>
      <c r="G2829">
        <v>4</v>
      </c>
      <c r="H2829" s="1" t="s">
        <v>1533</v>
      </c>
      <c r="I2829" t="s">
        <v>1913</v>
      </c>
      <c r="J2829" s="1" t="s">
        <v>1456</v>
      </c>
      <c r="K2829" s="1" t="s">
        <v>1706</v>
      </c>
      <c r="L2829" s="1" t="s">
        <v>1725</v>
      </c>
      <c r="M2829" s="1" t="s">
        <v>1737</v>
      </c>
      <c r="N2829" t="s">
        <v>2023</v>
      </c>
      <c r="O2829" t="s">
        <v>2157</v>
      </c>
      <c r="P2829" t="s">
        <v>2157</v>
      </c>
      <c r="Q2829">
        <v>1</v>
      </c>
      <c r="R2829" s="1" t="s">
        <v>1725</v>
      </c>
      <c r="S2829">
        <v>1200</v>
      </c>
      <c r="T2829">
        <v>1200</v>
      </c>
    </row>
    <row r="2830" spans="1:20" hidden="1" x14ac:dyDescent="0.4">
      <c r="A2830" s="1" t="s">
        <v>1058</v>
      </c>
      <c r="B2830" s="1" t="s">
        <v>1453</v>
      </c>
      <c r="C2830" s="1" t="s">
        <v>1844</v>
      </c>
      <c r="D2830" s="1" t="s">
        <v>1850</v>
      </c>
      <c r="E2830">
        <v>20251201</v>
      </c>
      <c r="F2830" s="1" t="s">
        <v>1474</v>
      </c>
      <c r="G2830">
        <v>4</v>
      </c>
      <c r="H2830" s="1" t="s">
        <v>1534</v>
      </c>
      <c r="I2830" t="s">
        <v>1914</v>
      </c>
      <c r="J2830" s="1" t="s">
        <v>1455</v>
      </c>
      <c r="K2830" s="1" t="s">
        <v>1661</v>
      </c>
      <c r="L2830" s="1" t="s">
        <v>1720</v>
      </c>
      <c r="M2830" s="1" t="s">
        <v>1762</v>
      </c>
      <c r="N2830" t="s">
        <v>2049</v>
      </c>
      <c r="O2830" t="s">
        <v>2166</v>
      </c>
      <c r="P2830" t="s">
        <v>3180</v>
      </c>
      <c r="Q2830">
        <v>-687.44</v>
      </c>
      <c r="R2830" s="1" t="s">
        <v>1841</v>
      </c>
      <c r="S2830">
        <v>1519.63</v>
      </c>
      <c r="T2830">
        <v>-1044654</v>
      </c>
    </row>
    <row r="2831" spans="1:20" hidden="1" x14ac:dyDescent="0.4">
      <c r="A2831" s="1" t="s">
        <v>1058</v>
      </c>
      <c r="B2831" s="1" t="s">
        <v>1454</v>
      </c>
      <c r="C2831" s="1" t="s">
        <v>1844</v>
      </c>
      <c r="D2831" s="1" t="s">
        <v>1850</v>
      </c>
      <c r="E2831">
        <v>20251201</v>
      </c>
      <c r="F2831" s="1" t="s">
        <v>1474</v>
      </c>
      <c r="G2831">
        <v>4</v>
      </c>
      <c r="H2831" s="1" t="s">
        <v>1534</v>
      </c>
      <c r="I2831" t="s">
        <v>1914</v>
      </c>
      <c r="J2831" s="1" t="s">
        <v>1455</v>
      </c>
      <c r="K2831" s="1" t="s">
        <v>1661</v>
      </c>
      <c r="L2831" s="1" t="s">
        <v>1720</v>
      </c>
      <c r="M2831" s="1" t="s">
        <v>1762</v>
      </c>
      <c r="N2831" t="s">
        <v>2049</v>
      </c>
      <c r="O2831" t="s">
        <v>2166</v>
      </c>
      <c r="P2831" t="s">
        <v>3181</v>
      </c>
      <c r="Q2831">
        <v>-190.32</v>
      </c>
      <c r="R2831" s="1" t="s">
        <v>1841</v>
      </c>
      <c r="S2831">
        <v>1519.63</v>
      </c>
      <c r="T2831">
        <v>-289216</v>
      </c>
    </row>
    <row r="2832" spans="1:20" hidden="1" x14ac:dyDescent="0.4">
      <c r="A2832" s="1" t="s">
        <v>1058</v>
      </c>
      <c r="B2832" s="1" t="s">
        <v>1455</v>
      </c>
      <c r="C2832" s="1" t="s">
        <v>1844</v>
      </c>
      <c r="D2832" s="1" t="s">
        <v>1850</v>
      </c>
      <c r="E2832">
        <v>20251201</v>
      </c>
      <c r="F2832" s="1" t="s">
        <v>1474</v>
      </c>
      <c r="G2832">
        <v>4</v>
      </c>
      <c r="H2832" s="1" t="s">
        <v>1534</v>
      </c>
      <c r="I2832" t="s">
        <v>1914</v>
      </c>
      <c r="J2832" s="1" t="s">
        <v>1455</v>
      </c>
      <c r="K2832" s="1" t="s">
        <v>1661</v>
      </c>
      <c r="L2832" s="1" t="s">
        <v>1720</v>
      </c>
      <c r="M2832" s="1" t="s">
        <v>1762</v>
      </c>
      <c r="N2832" t="s">
        <v>2049</v>
      </c>
      <c r="O2832" t="s">
        <v>2166</v>
      </c>
      <c r="P2832" t="s">
        <v>3182</v>
      </c>
      <c r="Q2832">
        <v>-924.11</v>
      </c>
      <c r="R2832" s="1" t="s">
        <v>1841</v>
      </c>
      <c r="S2832">
        <v>1519.63</v>
      </c>
      <c r="T2832">
        <v>-1404305</v>
      </c>
    </row>
    <row r="2833" spans="1:20" hidden="1" x14ac:dyDescent="0.4">
      <c r="A2833" s="1" t="s">
        <v>1058</v>
      </c>
      <c r="B2833" s="1" t="s">
        <v>1456</v>
      </c>
      <c r="C2833" s="1" t="s">
        <v>1844</v>
      </c>
      <c r="D2833" s="1" t="s">
        <v>1850</v>
      </c>
      <c r="E2833">
        <v>20251201</v>
      </c>
      <c r="F2833" s="1" t="s">
        <v>1474</v>
      </c>
      <c r="G2833">
        <v>4</v>
      </c>
      <c r="H2833" s="1" t="s">
        <v>1534</v>
      </c>
      <c r="I2833" t="s">
        <v>1914</v>
      </c>
      <c r="J2833" s="1" t="s">
        <v>1455</v>
      </c>
      <c r="K2833" s="1" t="s">
        <v>1661</v>
      </c>
      <c r="L2833" s="1" t="s">
        <v>1720</v>
      </c>
      <c r="M2833" s="1" t="s">
        <v>1762</v>
      </c>
      <c r="N2833" t="s">
        <v>2049</v>
      </c>
      <c r="O2833" t="s">
        <v>2166</v>
      </c>
      <c r="P2833" t="s">
        <v>3183</v>
      </c>
      <c r="Q2833">
        <v>-1058.8900000000001</v>
      </c>
      <c r="R2833" s="1" t="s">
        <v>1841</v>
      </c>
      <c r="S2833">
        <v>1519.63</v>
      </c>
      <c r="T2833">
        <v>-1609121</v>
      </c>
    </row>
    <row r="2834" spans="1:20" hidden="1" x14ac:dyDescent="0.4">
      <c r="A2834" s="1" t="s">
        <v>1058</v>
      </c>
      <c r="B2834" s="1" t="s">
        <v>1457</v>
      </c>
      <c r="C2834" s="1" t="s">
        <v>1844</v>
      </c>
      <c r="D2834" s="1" t="s">
        <v>1850</v>
      </c>
      <c r="E2834">
        <v>20251201</v>
      </c>
      <c r="F2834" s="1" t="s">
        <v>1474</v>
      </c>
      <c r="G2834">
        <v>4</v>
      </c>
      <c r="H2834" s="1" t="s">
        <v>1534</v>
      </c>
      <c r="I2834" t="s">
        <v>1914</v>
      </c>
      <c r="J2834" s="1" t="s">
        <v>1455</v>
      </c>
      <c r="K2834" s="1" t="s">
        <v>1662</v>
      </c>
      <c r="L2834" s="1" t="s">
        <v>1720</v>
      </c>
      <c r="M2834" s="1" t="s">
        <v>1762</v>
      </c>
      <c r="N2834" t="s">
        <v>2050</v>
      </c>
      <c r="O2834" t="s">
        <v>2166</v>
      </c>
      <c r="P2834" t="s">
        <v>3172</v>
      </c>
      <c r="Q2834">
        <v>-555.33000000000004</v>
      </c>
      <c r="R2834" s="1" t="s">
        <v>1841</v>
      </c>
      <c r="S2834">
        <v>1195.83</v>
      </c>
      <c r="T2834">
        <v>-664080</v>
      </c>
    </row>
    <row r="2835" spans="1:20" hidden="1" x14ac:dyDescent="0.4">
      <c r="A2835" s="1" t="s">
        <v>1058</v>
      </c>
      <c r="B2835" s="1" t="s">
        <v>1458</v>
      </c>
      <c r="C2835" s="1" t="s">
        <v>1844</v>
      </c>
      <c r="D2835" s="1" t="s">
        <v>1850</v>
      </c>
      <c r="E2835">
        <v>20251201</v>
      </c>
      <c r="F2835" s="1" t="s">
        <v>1474</v>
      </c>
      <c r="G2835">
        <v>4</v>
      </c>
      <c r="H2835" s="1" t="s">
        <v>1534</v>
      </c>
      <c r="I2835" t="s">
        <v>1914</v>
      </c>
      <c r="J2835" s="1" t="s">
        <v>1455</v>
      </c>
      <c r="K2835" s="1" t="s">
        <v>1662</v>
      </c>
      <c r="L2835" s="1" t="s">
        <v>1720</v>
      </c>
      <c r="M2835" s="1" t="s">
        <v>1762</v>
      </c>
      <c r="N2835" t="s">
        <v>2050</v>
      </c>
      <c r="O2835" t="s">
        <v>2166</v>
      </c>
      <c r="P2835" t="s">
        <v>3172</v>
      </c>
      <c r="Q2835">
        <v>-1252.6300000000001</v>
      </c>
      <c r="R2835" s="1" t="s">
        <v>1841</v>
      </c>
      <c r="S2835">
        <v>1195.83</v>
      </c>
      <c r="T2835">
        <v>-1497933</v>
      </c>
    </row>
    <row r="2836" spans="1:20" hidden="1" x14ac:dyDescent="0.4">
      <c r="A2836" s="1" t="s">
        <v>1058</v>
      </c>
      <c r="B2836" s="1" t="s">
        <v>1459</v>
      </c>
      <c r="C2836" s="1" t="s">
        <v>1844</v>
      </c>
      <c r="D2836" s="1" t="s">
        <v>1850</v>
      </c>
      <c r="E2836">
        <v>20251201</v>
      </c>
      <c r="F2836" s="1" t="s">
        <v>1474</v>
      </c>
      <c r="G2836">
        <v>4</v>
      </c>
      <c r="H2836" s="1" t="s">
        <v>1534</v>
      </c>
      <c r="I2836" t="s">
        <v>1914</v>
      </c>
      <c r="J2836" s="1" t="s">
        <v>1455</v>
      </c>
      <c r="K2836" s="1" t="s">
        <v>1663</v>
      </c>
      <c r="L2836" s="1" t="s">
        <v>1720</v>
      </c>
      <c r="M2836" s="1" t="s">
        <v>1762</v>
      </c>
      <c r="N2836" t="s">
        <v>2051</v>
      </c>
      <c r="O2836" t="s">
        <v>2166</v>
      </c>
      <c r="P2836" t="s">
        <v>3180</v>
      </c>
      <c r="Q2836">
        <v>-427.97</v>
      </c>
      <c r="R2836" s="1" t="s">
        <v>1839</v>
      </c>
      <c r="S2836">
        <v>1595.72</v>
      </c>
      <c r="T2836">
        <v>-682920</v>
      </c>
    </row>
    <row r="2837" spans="1:20" hidden="1" x14ac:dyDescent="0.4">
      <c r="A2837" s="1" t="s">
        <v>1058</v>
      </c>
      <c r="B2837" s="1" t="s">
        <v>1460</v>
      </c>
      <c r="C2837" s="1" t="s">
        <v>1844</v>
      </c>
      <c r="D2837" s="1" t="s">
        <v>1850</v>
      </c>
      <c r="E2837">
        <v>20251201</v>
      </c>
      <c r="F2837" s="1" t="s">
        <v>1474</v>
      </c>
      <c r="G2837">
        <v>4</v>
      </c>
      <c r="H2837" s="1" t="s">
        <v>1534</v>
      </c>
      <c r="I2837" t="s">
        <v>1914</v>
      </c>
      <c r="J2837" s="1" t="s">
        <v>1455</v>
      </c>
      <c r="K2837" s="1" t="s">
        <v>1663</v>
      </c>
      <c r="L2837" s="1" t="s">
        <v>1720</v>
      </c>
      <c r="M2837" s="1" t="s">
        <v>1762</v>
      </c>
      <c r="N2837" t="s">
        <v>2051</v>
      </c>
      <c r="O2837" t="s">
        <v>2166</v>
      </c>
      <c r="P2837" t="s">
        <v>3181</v>
      </c>
      <c r="Q2837">
        <v>-95.35</v>
      </c>
      <c r="R2837" s="1" t="s">
        <v>1839</v>
      </c>
      <c r="S2837">
        <v>1595.72</v>
      </c>
      <c r="T2837">
        <v>-152152</v>
      </c>
    </row>
    <row r="2838" spans="1:20" hidden="1" x14ac:dyDescent="0.4">
      <c r="A2838" s="1" t="s">
        <v>1058</v>
      </c>
      <c r="B2838" s="1" t="s">
        <v>1461</v>
      </c>
      <c r="C2838" s="1" t="s">
        <v>1844</v>
      </c>
      <c r="D2838" s="1" t="s">
        <v>1850</v>
      </c>
      <c r="E2838">
        <v>20251201</v>
      </c>
      <c r="F2838" s="1" t="s">
        <v>1474</v>
      </c>
      <c r="G2838">
        <v>4</v>
      </c>
      <c r="H2838" s="1" t="s">
        <v>1534</v>
      </c>
      <c r="I2838" t="s">
        <v>1914</v>
      </c>
      <c r="J2838" s="1" t="s">
        <v>1455</v>
      </c>
      <c r="K2838" s="1" t="s">
        <v>1663</v>
      </c>
      <c r="L2838" s="1" t="s">
        <v>1720</v>
      </c>
      <c r="M2838" s="1" t="s">
        <v>1762</v>
      </c>
      <c r="N2838" t="s">
        <v>2051</v>
      </c>
      <c r="O2838" t="s">
        <v>2166</v>
      </c>
      <c r="P2838" t="s">
        <v>3182</v>
      </c>
      <c r="Q2838">
        <v>-559.13</v>
      </c>
      <c r="R2838" s="1" t="s">
        <v>1839</v>
      </c>
      <c r="S2838">
        <v>1595.72</v>
      </c>
      <c r="T2838">
        <v>-892215</v>
      </c>
    </row>
    <row r="2839" spans="1:20" hidden="1" x14ac:dyDescent="0.4">
      <c r="A2839" s="1" t="s">
        <v>1058</v>
      </c>
      <c r="B2839" s="1" t="s">
        <v>1462</v>
      </c>
      <c r="C2839" s="1" t="s">
        <v>1844</v>
      </c>
      <c r="D2839" s="1" t="s">
        <v>1850</v>
      </c>
      <c r="E2839">
        <v>20251201</v>
      </c>
      <c r="F2839" s="1" t="s">
        <v>1474</v>
      </c>
      <c r="G2839">
        <v>4</v>
      </c>
      <c r="H2839" s="1" t="s">
        <v>1534</v>
      </c>
      <c r="I2839" t="s">
        <v>1914</v>
      </c>
      <c r="J2839" s="1" t="s">
        <v>1455</v>
      </c>
      <c r="K2839" s="1" t="s">
        <v>1663</v>
      </c>
      <c r="L2839" s="1" t="s">
        <v>1720</v>
      </c>
      <c r="M2839" s="1" t="s">
        <v>1762</v>
      </c>
      <c r="N2839" t="s">
        <v>2051</v>
      </c>
      <c r="O2839" t="s">
        <v>2166</v>
      </c>
      <c r="P2839" t="s">
        <v>3183</v>
      </c>
      <c r="Q2839">
        <v>-524.02</v>
      </c>
      <c r="R2839" s="1" t="s">
        <v>1839</v>
      </c>
      <c r="S2839">
        <v>1595.72</v>
      </c>
      <c r="T2839">
        <v>-836189</v>
      </c>
    </row>
    <row r="2840" spans="1:20" hidden="1" x14ac:dyDescent="0.4">
      <c r="A2840" s="1" t="s">
        <v>1058</v>
      </c>
      <c r="B2840" s="1" t="s">
        <v>1463</v>
      </c>
      <c r="C2840" s="1" t="s">
        <v>1844</v>
      </c>
      <c r="D2840" s="1" t="s">
        <v>1850</v>
      </c>
      <c r="E2840">
        <v>20251201</v>
      </c>
      <c r="F2840" s="1" t="s">
        <v>1474</v>
      </c>
      <c r="G2840">
        <v>4</v>
      </c>
      <c r="H2840" s="1" t="s">
        <v>1534</v>
      </c>
      <c r="I2840" t="s">
        <v>1914</v>
      </c>
      <c r="J2840" s="1" t="s">
        <v>1455</v>
      </c>
      <c r="K2840" s="1" t="s">
        <v>1664</v>
      </c>
      <c r="L2840" s="1" t="s">
        <v>1720</v>
      </c>
      <c r="M2840" s="1" t="s">
        <v>1762</v>
      </c>
      <c r="N2840" t="s">
        <v>2052</v>
      </c>
      <c r="O2840" t="s">
        <v>2166</v>
      </c>
      <c r="P2840" t="s">
        <v>3172</v>
      </c>
      <c r="Q2840">
        <v>-340.56</v>
      </c>
      <c r="R2840" s="1" t="s">
        <v>1841</v>
      </c>
      <c r="S2840">
        <v>825.22</v>
      </c>
      <c r="T2840">
        <v>-281037</v>
      </c>
    </row>
    <row r="2841" spans="1:20" hidden="1" x14ac:dyDescent="0.4">
      <c r="A2841" s="1" t="s">
        <v>1059</v>
      </c>
      <c r="B2841" s="1" t="s">
        <v>1453</v>
      </c>
      <c r="C2841" s="1" t="s">
        <v>1844</v>
      </c>
      <c r="D2841" s="1" t="s">
        <v>1462</v>
      </c>
      <c r="E2841">
        <v>20251201</v>
      </c>
      <c r="F2841" s="1" t="s">
        <v>1474</v>
      </c>
      <c r="G2841">
        <v>4</v>
      </c>
      <c r="H2841" s="1" t="s">
        <v>1534</v>
      </c>
      <c r="I2841" t="s">
        <v>1914</v>
      </c>
      <c r="J2841" s="1" t="s">
        <v>1455</v>
      </c>
      <c r="K2841" s="1" t="s">
        <v>1661</v>
      </c>
      <c r="L2841" s="1" t="s">
        <v>1720</v>
      </c>
      <c r="M2841" s="1" t="s">
        <v>1762</v>
      </c>
      <c r="N2841" t="s">
        <v>2049</v>
      </c>
      <c r="O2841" t="s">
        <v>2166</v>
      </c>
      <c r="P2841" t="s">
        <v>3180</v>
      </c>
      <c r="Q2841">
        <v>687.44</v>
      </c>
      <c r="R2841" s="1" t="s">
        <v>1841</v>
      </c>
      <c r="S2841">
        <v>1537.67</v>
      </c>
      <c r="T2841">
        <v>1057056</v>
      </c>
    </row>
    <row r="2842" spans="1:20" hidden="1" x14ac:dyDescent="0.4">
      <c r="A2842" s="1" t="s">
        <v>1059</v>
      </c>
      <c r="B2842" s="1" t="s">
        <v>1454</v>
      </c>
      <c r="C2842" s="1" t="s">
        <v>1844</v>
      </c>
      <c r="D2842" s="1" t="s">
        <v>1462</v>
      </c>
      <c r="E2842">
        <v>20251201</v>
      </c>
      <c r="F2842" s="1" t="s">
        <v>1474</v>
      </c>
      <c r="G2842">
        <v>4</v>
      </c>
      <c r="H2842" s="1" t="s">
        <v>1534</v>
      </c>
      <c r="I2842" t="s">
        <v>1914</v>
      </c>
      <c r="J2842" s="1" t="s">
        <v>1455</v>
      </c>
      <c r="K2842" s="1" t="s">
        <v>1661</v>
      </c>
      <c r="L2842" s="1" t="s">
        <v>1720</v>
      </c>
      <c r="M2842" s="1" t="s">
        <v>1762</v>
      </c>
      <c r="N2842" t="s">
        <v>2049</v>
      </c>
      <c r="O2842" t="s">
        <v>2166</v>
      </c>
      <c r="P2842" t="s">
        <v>3181</v>
      </c>
      <c r="Q2842">
        <v>190.32</v>
      </c>
      <c r="R2842" s="1" t="s">
        <v>1841</v>
      </c>
      <c r="S2842">
        <v>1537.67</v>
      </c>
      <c r="T2842">
        <v>292649</v>
      </c>
    </row>
    <row r="2843" spans="1:20" hidden="1" x14ac:dyDescent="0.4">
      <c r="A2843" s="1" t="s">
        <v>1059</v>
      </c>
      <c r="B2843" s="1" t="s">
        <v>1455</v>
      </c>
      <c r="C2843" s="1" t="s">
        <v>1844</v>
      </c>
      <c r="D2843" s="1" t="s">
        <v>1462</v>
      </c>
      <c r="E2843">
        <v>20251201</v>
      </c>
      <c r="F2843" s="1" t="s">
        <v>1474</v>
      </c>
      <c r="G2843">
        <v>4</v>
      </c>
      <c r="H2843" s="1" t="s">
        <v>1534</v>
      </c>
      <c r="I2843" t="s">
        <v>1914</v>
      </c>
      <c r="J2843" s="1" t="s">
        <v>1455</v>
      </c>
      <c r="K2843" s="1" t="s">
        <v>1661</v>
      </c>
      <c r="L2843" s="1" t="s">
        <v>1720</v>
      </c>
      <c r="M2843" s="1" t="s">
        <v>1762</v>
      </c>
      <c r="N2843" t="s">
        <v>2049</v>
      </c>
      <c r="O2843" t="s">
        <v>2166</v>
      </c>
      <c r="P2843" t="s">
        <v>3182</v>
      </c>
      <c r="Q2843">
        <v>924.11</v>
      </c>
      <c r="R2843" s="1" t="s">
        <v>1841</v>
      </c>
      <c r="S2843">
        <v>1537.67</v>
      </c>
      <c r="T2843">
        <v>1420976</v>
      </c>
    </row>
    <row r="2844" spans="1:20" hidden="1" x14ac:dyDescent="0.4">
      <c r="A2844" s="1" t="s">
        <v>1059</v>
      </c>
      <c r="B2844" s="1" t="s">
        <v>1456</v>
      </c>
      <c r="C2844" s="1" t="s">
        <v>1844</v>
      </c>
      <c r="D2844" s="1" t="s">
        <v>1462</v>
      </c>
      <c r="E2844">
        <v>20251201</v>
      </c>
      <c r="F2844" s="1" t="s">
        <v>1474</v>
      </c>
      <c r="G2844">
        <v>4</v>
      </c>
      <c r="H2844" s="1" t="s">
        <v>1534</v>
      </c>
      <c r="I2844" t="s">
        <v>1914</v>
      </c>
      <c r="J2844" s="1" t="s">
        <v>1455</v>
      </c>
      <c r="K2844" s="1" t="s">
        <v>1661</v>
      </c>
      <c r="L2844" s="1" t="s">
        <v>1720</v>
      </c>
      <c r="M2844" s="1" t="s">
        <v>1762</v>
      </c>
      <c r="N2844" t="s">
        <v>2049</v>
      </c>
      <c r="O2844" t="s">
        <v>2166</v>
      </c>
      <c r="P2844" t="s">
        <v>3183</v>
      </c>
      <c r="Q2844">
        <v>1058.8900000000001</v>
      </c>
      <c r="R2844" s="1" t="s">
        <v>1841</v>
      </c>
      <c r="S2844">
        <v>1537.67</v>
      </c>
      <c r="T2844">
        <v>1628223</v>
      </c>
    </row>
    <row r="2845" spans="1:20" hidden="1" x14ac:dyDescent="0.4">
      <c r="A2845" s="1" t="s">
        <v>1059</v>
      </c>
      <c r="B2845" s="1" t="s">
        <v>1457</v>
      </c>
      <c r="C2845" s="1" t="s">
        <v>1844</v>
      </c>
      <c r="D2845" s="1" t="s">
        <v>1462</v>
      </c>
      <c r="E2845">
        <v>20251201</v>
      </c>
      <c r="F2845" s="1" t="s">
        <v>1474</v>
      </c>
      <c r="G2845">
        <v>4</v>
      </c>
      <c r="H2845" s="1" t="s">
        <v>1534</v>
      </c>
      <c r="I2845" t="s">
        <v>1914</v>
      </c>
      <c r="J2845" s="1" t="s">
        <v>1455</v>
      </c>
      <c r="K2845" s="1" t="s">
        <v>1662</v>
      </c>
      <c r="L2845" s="1" t="s">
        <v>1720</v>
      </c>
      <c r="M2845" s="1" t="s">
        <v>1762</v>
      </c>
      <c r="N2845" t="s">
        <v>2050</v>
      </c>
      <c r="O2845" t="s">
        <v>2166</v>
      </c>
      <c r="P2845" t="s">
        <v>3172</v>
      </c>
      <c r="Q2845">
        <v>555.33000000000004</v>
      </c>
      <c r="R2845" s="1" t="s">
        <v>1841</v>
      </c>
      <c r="S2845">
        <v>1210.03</v>
      </c>
      <c r="T2845">
        <v>671966</v>
      </c>
    </row>
    <row r="2846" spans="1:20" hidden="1" x14ac:dyDescent="0.4">
      <c r="A2846" s="1" t="s">
        <v>1059</v>
      </c>
      <c r="B2846" s="1" t="s">
        <v>1458</v>
      </c>
      <c r="C2846" s="1" t="s">
        <v>1844</v>
      </c>
      <c r="D2846" s="1" t="s">
        <v>1462</v>
      </c>
      <c r="E2846">
        <v>20251201</v>
      </c>
      <c r="F2846" s="1" t="s">
        <v>1474</v>
      </c>
      <c r="G2846">
        <v>4</v>
      </c>
      <c r="H2846" s="1" t="s">
        <v>1534</v>
      </c>
      <c r="I2846" t="s">
        <v>1914</v>
      </c>
      <c r="J2846" s="1" t="s">
        <v>1455</v>
      </c>
      <c r="K2846" s="1" t="s">
        <v>1662</v>
      </c>
      <c r="L2846" s="1" t="s">
        <v>1720</v>
      </c>
      <c r="M2846" s="1" t="s">
        <v>1762</v>
      </c>
      <c r="N2846" t="s">
        <v>2050</v>
      </c>
      <c r="O2846" t="s">
        <v>2166</v>
      </c>
      <c r="P2846" t="s">
        <v>3172</v>
      </c>
      <c r="Q2846">
        <v>1252.6300000000001</v>
      </c>
      <c r="R2846" s="1" t="s">
        <v>1841</v>
      </c>
      <c r="S2846">
        <v>1210.03</v>
      </c>
      <c r="T2846">
        <v>1515720</v>
      </c>
    </row>
    <row r="2847" spans="1:20" hidden="1" x14ac:dyDescent="0.4">
      <c r="A2847" s="1" t="s">
        <v>1059</v>
      </c>
      <c r="B2847" s="1" t="s">
        <v>1459</v>
      </c>
      <c r="C2847" s="1" t="s">
        <v>1844</v>
      </c>
      <c r="D2847" s="1" t="s">
        <v>1462</v>
      </c>
      <c r="E2847">
        <v>20251201</v>
      </c>
      <c r="F2847" s="1" t="s">
        <v>1474</v>
      </c>
      <c r="G2847">
        <v>4</v>
      </c>
      <c r="H2847" s="1" t="s">
        <v>1534</v>
      </c>
      <c r="I2847" t="s">
        <v>1914</v>
      </c>
      <c r="J2847" s="1" t="s">
        <v>1455</v>
      </c>
      <c r="K2847" s="1" t="s">
        <v>1663</v>
      </c>
      <c r="L2847" s="1" t="s">
        <v>1720</v>
      </c>
      <c r="M2847" s="1" t="s">
        <v>1762</v>
      </c>
      <c r="N2847" t="s">
        <v>2051</v>
      </c>
      <c r="O2847" t="s">
        <v>2166</v>
      </c>
      <c r="P2847" t="s">
        <v>3180</v>
      </c>
      <c r="Q2847">
        <v>427.97</v>
      </c>
      <c r="R2847" s="1" t="s">
        <v>1839</v>
      </c>
      <c r="S2847">
        <v>1614.67</v>
      </c>
      <c r="T2847">
        <v>691030</v>
      </c>
    </row>
    <row r="2848" spans="1:20" hidden="1" x14ac:dyDescent="0.4">
      <c r="A2848" s="1" t="s">
        <v>1059</v>
      </c>
      <c r="B2848" s="1" t="s">
        <v>1460</v>
      </c>
      <c r="C2848" s="1" t="s">
        <v>1844</v>
      </c>
      <c r="D2848" s="1" t="s">
        <v>1462</v>
      </c>
      <c r="E2848">
        <v>20251201</v>
      </c>
      <c r="F2848" s="1" t="s">
        <v>1474</v>
      </c>
      <c r="G2848">
        <v>4</v>
      </c>
      <c r="H2848" s="1" t="s">
        <v>1534</v>
      </c>
      <c r="I2848" t="s">
        <v>1914</v>
      </c>
      <c r="J2848" s="1" t="s">
        <v>1455</v>
      </c>
      <c r="K2848" s="1" t="s">
        <v>1663</v>
      </c>
      <c r="L2848" s="1" t="s">
        <v>1720</v>
      </c>
      <c r="M2848" s="1" t="s">
        <v>1762</v>
      </c>
      <c r="N2848" t="s">
        <v>2051</v>
      </c>
      <c r="O2848" t="s">
        <v>2166</v>
      </c>
      <c r="P2848" t="s">
        <v>3181</v>
      </c>
      <c r="Q2848">
        <v>95.35</v>
      </c>
      <c r="R2848" s="1" t="s">
        <v>1839</v>
      </c>
      <c r="S2848">
        <v>1614.67</v>
      </c>
      <c r="T2848">
        <v>153959</v>
      </c>
    </row>
    <row r="2849" spans="1:20" hidden="1" x14ac:dyDescent="0.4">
      <c r="A2849" s="1" t="s">
        <v>1059</v>
      </c>
      <c r="B2849" s="1" t="s">
        <v>1461</v>
      </c>
      <c r="C2849" s="1" t="s">
        <v>1844</v>
      </c>
      <c r="D2849" s="1" t="s">
        <v>1462</v>
      </c>
      <c r="E2849">
        <v>20251201</v>
      </c>
      <c r="F2849" s="1" t="s">
        <v>1474</v>
      </c>
      <c r="G2849">
        <v>4</v>
      </c>
      <c r="H2849" s="1" t="s">
        <v>1534</v>
      </c>
      <c r="I2849" t="s">
        <v>1914</v>
      </c>
      <c r="J2849" s="1" t="s">
        <v>1455</v>
      </c>
      <c r="K2849" s="1" t="s">
        <v>1663</v>
      </c>
      <c r="L2849" s="1" t="s">
        <v>1720</v>
      </c>
      <c r="M2849" s="1" t="s">
        <v>1762</v>
      </c>
      <c r="N2849" t="s">
        <v>2051</v>
      </c>
      <c r="O2849" t="s">
        <v>2166</v>
      </c>
      <c r="P2849" t="s">
        <v>3182</v>
      </c>
      <c r="Q2849">
        <v>559.13</v>
      </c>
      <c r="R2849" s="1" t="s">
        <v>1839</v>
      </c>
      <c r="S2849">
        <v>1614.67</v>
      </c>
      <c r="T2849">
        <v>902810</v>
      </c>
    </row>
    <row r="2850" spans="1:20" hidden="1" x14ac:dyDescent="0.4">
      <c r="A2850" s="1" t="s">
        <v>1059</v>
      </c>
      <c r="B2850" s="1" t="s">
        <v>1462</v>
      </c>
      <c r="C2850" s="1" t="s">
        <v>1844</v>
      </c>
      <c r="D2850" s="1" t="s">
        <v>1462</v>
      </c>
      <c r="E2850">
        <v>20251201</v>
      </c>
      <c r="F2850" s="1" t="s">
        <v>1474</v>
      </c>
      <c r="G2850">
        <v>4</v>
      </c>
      <c r="H2850" s="1" t="s">
        <v>1534</v>
      </c>
      <c r="I2850" t="s">
        <v>1914</v>
      </c>
      <c r="J2850" s="1" t="s">
        <v>1455</v>
      </c>
      <c r="K2850" s="1" t="s">
        <v>1663</v>
      </c>
      <c r="L2850" s="1" t="s">
        <v>1720</v>
      </c>
      <c r="M2850" s="1" t="s">
        <v>1762</v>
      </c>
      <c r="N2850" t="s">
        <v>2051</v>
      </c>
      <c r="O2850" t="s">
        <v>2166</v>
      </c>
      <c r="P2850" t="s">
        <v>3183</v>
      </c>
      <c r="Q2850">
        <v>524.02</v>
      </c>
      <c r="R2850" s="1" t="s">
        <v>1839</v>
      </c>
      <c r="S2850">
        <v>1614.67</v>
      </c>
      <c r="T2850">
        <v>846119</v>
      </c>
    </row>
    <row r="2851" spans="1:20" hidden="1" x14ac:dyDescent="0.4">
      <c r="A2851" s="1" t="s">
        <v>1059</v>
      </c>
      <c r="B2851" s="1" t="s">
        <v>1463</v>
      </c>
      <c r="C2851" s="1" t="s">
        <v>1844</v>
      </c>
      <c r="D2851" s="1" t="s">
        <v>1462</v>
      </c>
      <c r="E2851">
        <v>20251201</v>
      </c>
      <c r="F2851" s="1" t="s">
        <v>1474</v>
      </c>
      <c r="G2851">
        <v>4</v>
      </c>
      <c r="H2851" s="1" t="s">
        <v>1534</v>
      </c>
      <c r="I2851" t="s">
        <v>1914</v>
      </c>
      <c r="J2851" s="1" t="s">
        <v>1455</v>
      </c>
      <c r="K2851" s="1" t="s">
        <v>1664</v>
      </c>
      <c r="L2851" s="1" t="s">
        <v>1720</v>
      </c>
      <c r="M2851" s="1" t="s">
        <v>1762</v>
      </c>
      <c r="N2851" t="s">
        <v>2052</v>
      </c>
      <c r="O2851" t="s">
        <v>2166</v>
      </c>
      <c r="P2851" t="s">
        <v>3172</v>
      </c>
      <c r="Q2851">
        <v>340.56</v>
      </c>
      <c r="R2851" s="1" t="s">
        <v>1841</v>
      </c>
      <c r="S2851">
        <v>835.02</v>
      </c>
      <c r="T2851">
        <v>284374</v>
      </c>
    </row>
    <row r="2852" spans="1:20" hidden="1" x14ac:dyDescent="0.4">
      <c r="A2852" s="1" t="s">
        <v>1060</v>
      </c>
      <c r="B2852" s="1" t="s">
        <v>1453</v>
      </c>
      <c r="C2852" s="1" t="s">
        <v>1844</v>
      </c>
      <c r="D2852" s="1" t="s">
        <v>1850</v>
      </c>
      <c r="E2852">
        <v>20251201</v>
      </c>
      <c r="F2852" s="1" t="s">
        <v>1474</v>
      </c>
      <c r="G2852">
        <v>4</v>
      </c>
      <c r="H2852" s="1" t="s">
        <v>1534</v>
      </c>
      <c r="I2852" t="s">
        <v>1914</v>
      </c>
      <c r="J2852" s="1" t="s">
        <v>1455</v>
      </c>
      <c r="K2852" s="1" t="s">
        <v>1665</v>
      </c>
      <c r="L2852" s="1" t="s">
        <v>1720</v>
      </c>
      <c r="M2852" s="1" t="s">
        <v>1762</v>
      </c>
      <c r="N2852" t="s">
        <v>2053</v>
      </c>
      <c r="O2852" t="s">
        <v>2166</v>
      </c>
      <c r="P2852" t="s">
        <v>3172</v>
      </c>
      <c r="Q2852">
        <v>-962.22</v>
      </c>
      <c r="R2852" s="1" t="s">
        <v>1841</v>
      </c>
      <c r="S2852">
        <v>1499.63</v>
      </c>
      <c r="T2852">
        <v>-1442974</v>
      </c>
    </row>
    <row r="2853" spans="1:20" hidden="1" x14ac:dyDescent="0.4">
      <c r="A2853" s="1" t="s">
        <v>1060</v>
      </c>
      <c r="B2853" s="1" t="s">
        <v>1454</v>
      </c>
      <c r="C2853" s="1" t="s">
        <v>1844</v>
      </c>
      <c r="D2853" s="1" t="s">
        <v>1850</v>
      </c>
      <c r="E2853">
        <v>20251201</v>
      </c>
      <c r="F2853" s="1" t="s">
        <v>1474</v>
      </c>
      <c r="G2853">
        <v>4</v>
      </c>
      <c r="H2853" s="1" t="s">
        <v>1534</v>
      </c>
      <c r="I2853" t="s">
        <v>1914</v>
      </c>
      <c r="J2853" s="1" t="s">
        <v>1455</v>
      </c>
      <c r="K2853" s="1" t="s">
        <v>1665</v>
      </c>
      <c r="L2853" s="1" t="s">
        <v>1720</v>
      </c>
      <c r="M2853" s="1" t="s">
        <v>1762</v>
      </c>
      <c r="N2853" t="s">
        <v>2053</v>
      </c>
      <c r="O2853" t="s">
        <v>2166</v>
      </c>
      <c r="P2853" t="s">
        <v>3172</v>
      </c>
      <c r="Q2853">
        <v>-656.48</v>
      </c>
      <c r="R2853" s="1" t="s">
        <v>1841</v>
      </c>
      <c r="S2853">
        <v>1499.63</v>
      </c>
      <c r="T2853">
        <v>-984477</v>
      </c>
    </row>
    <row r="2854" spans="1:20" hidden="1" x14ac:dyDescent="0.4">
      <c r="A2854" s="1" t="s">
        <v>1060</v>
      </c>
      <c r="B2854" s="1" t="s">
        <v>1455</v>
      </c>
      <c r="C2854" s="1" t="s">
        <v>1844</v>
      </c>
      <c r="D2854" s="1" t="s">
        <v>1850</v>
      </c>
      <c r="E2854">
        <v>20251201</v>
      </c>
      <c r="F2854" s="1" t="s">
        <v>1474</v>
      </c>
      <c r="G2854">
        <v>4</v>
      </c>
      <c r="H2854" s="1" t="s">
        <v>1534</v>
      </c>
      <c r="I2854" t="s">
        <v>1914</v>
      </c>
      <c r="J2854" s="1" t="s">
        <v>1455</v>
      </c>
      <c r="K2854" s="1" t="s">
        <v>1665</v>
      </c>
      <c r="L2854" s="1" t="s">
        <v>1720</v>
      </c>
      <c r="M2854" s="1" t="s">
        <v>1762</v>
      </c>
      <c r="N2854" t="s">
        <v>2053</v>
      </c>
      <c r="O2854" t="s">
        <v>2166</v>
      </c>
      <c r="P2854" t="s">
        <v>3172</v>
      </c>
      <c r="Q2854">
        <v>-718.88</v>
      </c>
      <c r="R2854" s="1" t="s">
        <v>1839</v>
      </c>
      <c r="S2854">
        <v>1499.62</v>
      </c>
      <c r="T2854">
        <v>-1078047</v>
      </c>
    </row>
    <row r="2855" spans="1:20" hidden="1" x14ac:dyDescent="0.4">
      <c r="A2855" s="1" t="s">
        <v>1060</v>
      </c>
      <c r="B2855" s="1" t="s">
        <v>1456</v>
      </c>
      <c r="C2855" s="1" t="s">
        <v>1844</v>
      </c>
      <c r="D2855" s="1" t="s">
        <v>1850</v>
      </c>
      <c r="E2855">
        <v>20251201</v>
      </c>
      <c r="F2855" s="1" t="s">
        <v>1474</v>
      </c>
      <c r="G2855">
        <v>4</v>
      </c>
      <c r="H2855" s="1" t="s">
        <v>1534</v>
      </c>
      <c r="I2855" t="s">
        <v>1914</v>
      </c>
      <c r="J2855" s="1" t="s">
        <v>1455</v>
      </c>
      <c r="K2855" s="1" t="s">
        <v>1666</v>
      </c>
      <c r="L2855" s="1" t="s">
        <v>1720</v>
      </c>
      <c r="M2855" s="1" t="s">
        <v>1762</v>
      </c>
      <c r="N2855" t="s">
        <v>2054</v>
      </c>
      <c r="O2855" t="s">
        <v>2166</v>
      </c>
      <c r="P2855" t="s">
        <v>3172</v>
      </c>
      <c r="Q2855">
        <v>-1367.28</v>
      </c>
      <c r="R2855" s="1" t="s">
        <v>1841</v>
      </c>
      <c r="S2855">
        <v>1150.72</v>
      </c>
      <c r="T2855">
        <v>-1573356</v>
      </c>
    </row>
    <row r="2856" spans="1:20" hidden="1" x14ac:dyDescent="0.4">
      <c r="A2856" s="1" t="s">
        <v>1061</v>
      </c>
      <c r="B2856" s="1" t="s">
        <v>1453</v>
      </c>
      <c r="C2856" s="1" t="s">
        <v>1844</v>
      </c>
      <c r="D2856" s="1" t="s">
        <v>1462</v>
      </c>
      <c r="E2856">
        <v>20251201</v>
      </c>
      <c r="F2856" s="1" t="s">
        <v>1474</v>
      </c>
      <c r="G2856">
        <v>4</v>
      </c>
      <c r="H2856" s="1" t="s">
        <v>1534</v>
      </c>
      <c r="I2856" t="s">
        <v>1914</v>
      </c>
      <c r="J2856" s="1" t="s">
        <v>1455</v>
      </c>
      <c r="K2856" s="1" t="s">
        <v>1665</v>
      </c>
      <c r="L2856" s="1" t="s">
        <v>1720</v>
      </c>
      <c r="M2856" s="1" t="s">
        <v>1762</v>
      </c>
      <c r="N2856" t="s">
        <v>2053</v>
      </c>
      <c r="O2856" t="s">
        <v>2166</v>
      </c>
      <c r="P2856" t="s">
        <v>3172</v>
      </c>
      <c r="Q2856">
        <v>962.22</v>
      </c>
      <c r="R2856" s="1" t="s">
        <v>1841</v>
      </c>
      <c r="S2856">
        <v>1517.42</v>
      </c>
      <c r="T2856">
        <v>1460092</v>
      </c>
    </row>
    <row r="2857" spans="1:20" hidden="1" x14ac:dyDescent="0.4">
      <c r="A2857" s="1" t="s">
        <v>1061</v>
      </c>
      <c r="B2857" s="1" t="s">
        <v>1454</v>
      </c>
      <c r="C2857" s="1" t="s">
        <v>1844</v>
      </c>
      <c r="D2857" s="1" t="s">
        <v>1462</v>
      </c>
      <c r="E2857">
        <v>20251201</v>
      </c>
      <c r="F2857" s="1" t="s">
        <v>1474</v>
      </c>
      <c r="G2857">
        <v>4</v>
      </c>
      <c r="H2857" s="1" t="s">
        <v>1534</v>
      </c>
      <c r="I2857" t="s">
        <v>1914</v>
      </c>
      <c r="J2857" s="1" t="s">
        <v>1455</v>
      </c>
      <c r="K2857" s="1" t="s">
        <v>1665</v>
      </c>
      <c r="L2857" s="1" t="s">
        <v>1720</v>
      </c>
      <c r="M2857" s="1" t="s">
        <v>1762</v>
      </c>
      <c r="N2857" t="s">
        <v>2053</v>
      </c>
      <c r="O2857" t="s">
        <v>2166</v>
      </c>
      <c r="P2857" t="s">
        <v>3172</v>
      </c>
      <c r="Q2857">
        <v>656.48</v>
      </c>
      <c r="R2857" s="1" t="s">
        <v>1841</v>
      </c>
      <c r="S2857">
        <v>1517.42</v>
      </c>
      <c r="T2857">
        <v>996156</v>
      </c>
    </row>
    <row r="2858" spans="1:20" hidden="1" x14ac:dyDescent="0.4">
      <c r="A2858" s="1" t="s">
        <v>1061</v>
      </c>
      <c r="B2858" s="1" t="s">
        <v>1455</v>
      </c>
      <c r="C2858" s="1" t="s">
        <v>1844</v>
      </c>
      <c r="D2858" s="1" t="s">
        <v>1462</v>
      </c>
      <c r="E2858">
        <v>20251201</v>
      </c>
      <c r="F2858" s="1" t="s">
        <v>1474</v>
      </c>
      <c r="G2858">
        <v>4</v>
      </c>
      <c r="H2858" s="1" t="s">
        <v>1534</v>
      </c>
      <c r="I2858" t="s">
        <v>1914</v>
      </c>
      <c r="J2858" s="1" t="s">
        <v>1455</v>
      </c>
      <c r="K2858" s="1" t="s">
        <v>1665</v>
      </c>
      <c r="L2858" s="1" t="s">
        <v>1720</v>
      </c>
      <c r="M2858" s="1" t="s">
        <v>1762</v>
      </c>
      <c r="N2858" t="s">
        <v>2053</v>
      </c>
      <c r="O2858" t="s">
        <v>2166</v>
      </c>
      <c r="P2858" t="s">
        <v>3172</v>
      </c>
      <c r="Q2858">
        <v>718.88</v>
      </c>
      <c r="R2858" s="1" t="s">
        <v>1839</v>
      </c>
      <c r="S2858">
        <v>1517.42</v>
      </c>
      <c r="T2858">
        <v>1090843</v>
      </c>
    </row>
    <row r="2859" spans="1:20" hidden="1" x14ac:dyDescent="0.4">
      <c r="A2859" s="1" t="s">
        <v>1061</v>
      </c>
      <c r="B2859" s="1" t="s">
        <v>1456</v>
      </c>
      <c r="C2859" s="1" t="s">
        <v>1844</v>
      </c>
      <c r="D2859" s="1" t="s">
        <v>1462</v>
      </c>
      <c r="E2859">
        <v>20251201</v>
      </c>
      <c r="F2859" s="1" t="s">
        <v>1474</v>
      </c>
      <c r="G2859">
        <v>4</v>
      </c>
      <c r="H2859" s="1" t="s">
        <v>1534</v>
      </c>
      <c r="I2859" t="s">
        <v>1914</v>
      </c>
      <c r="J2859" s="1" t="s">
        <v>1455</v>
      </c>
      <c r="K2859" s="1" t="s">
        <v>1666</v>
      </c>
      <c r="L2859" s="1" t="s">
        <v>1720</v>
      </c>
      <c r="M2859" s="1" t="s">
        <v>1762</v>
      </c>
      <c r="N2859" t="s">
        <v>2054</v>
      </c>
      <c r="O2859" t="s">
        <v>2166</v>
      </c>
      <c r="P2859" t="s">
        <v>3172</v>
      </c>
      <c r="Q2859">
        <v>1367.28</v>
      </c>
      <c r="R2859" s="1" t="s">
        <v>1841</v>
      </c>
      <c r="S2859">
        <v>1164.3800000000001</v>
      </c>
      <c r="T2859">
        <v>1592033</v>
      </c>
    </row>
    <row r="2860" spans="1:20" hidden="1" x14ac:dyDescent="0.4">
      <c r="A2860" s="1" t="s">
        <v>1062</v>
      </c>
      <c r="B2860" s="1" t="s">
        <v>1453</v>
      </c>
      <c r="C2860" s="1" t="s">
        <v>1844</v>
      </c>
      <c r="D2860" s="1" t="s">
        <v>1850</v>
      </c>
      <c r="E2860">
        <v>20251201</v>
      </c>
      <c r="F2860" s="1" t="s">
        <v>1474</v>
      </c>
      <c r="G2860">
        <v>4</v>
      </c>
      <c r="H2860" s="1" t="s">
        <v>1534</v>
      </c>
      <c r="I2860" t="s">
        <v>1914</v>
      </c>
      <c r="J2860" s="1" t="s">
        <v>1455</v>
      </c>
      <c r="K2860" s="1" t="s">
        <v>1667</v>
      </c>
      <c r="L2860" s="1" t="s">
        <v>1720</v>
      </c>
      <c r="M2860" s="1" t="s">
        <v>1762</v>
      </c>
      <c r="N2860" t="s">
        <v>2055</v>
      </c>
      <c r="O2860" t="s">
        <v>2166</v>
      </c>
      <c r="P2860" t="s">
        <v>3172</v>
      </c>
      <c r="Q2860">
        <v>-727.71</v>
      </c>
      <c r="R2860" s="1" t="s">
        <v>1839</v>
      </c>
      <c r="S2860">
        <v>1065.6300000000001</v>
      </c>
      <c r="T2860">
        <v>-775470</v>
      </c>
    </row>
    <row r="2861" spans="1:20" hidden="1" x14ac:dyDescent="0.4">
      <c r="A2861" s="1" t="s">
        <v>1062</v>
      </c>
      <c r="B2861" s="1" t="s">
        <v>1454</v>
      </c>
      <c r="C2861" s="1" t="s">
        <v>1844</v>
      </c>
      <c r="D2861" s="1" t="s">
        <v>1850</v>
      </c>
      <c r="E2861">
        <v>20251201</v>
      </c>
      <c r="F2861" s="1" t="s">
        <v>1474</v>
      </c>
      <c r="G2861">
        <v>4</v>
      </c>
      <c r="H2861" s="1" t="s">
        <v>1534</v>
      </c>
      <c r="I2861" t="s">
        <v>1914</v>
      </c>
      <c r="J2861" s="1" t="s">
        <v>1455</v>
      </c>
      <c r="K2861" s="1" t="s">
        <v>1667</v>
      </c>
      <c r="L2861" s="1" t="s">
        <v>1720</v>
      </c>
      <c r="M2861" s="1" t="s">
        <v>1762</v>
      </c>
      <c r="N2861" t="s">
        <v>2055</v>
      </c>
      <c r="O2861" t="s">
        <v>2166</v>
      </c>
      <c r="P2861" t="s">
        <v>3172</v>
      </c>
      <c r="Q2861">
        <v>-1424.85</v>
      </c>
      <c r="R2861" s="1" t="s">
        <v>1839</v>
      </c>
      <c r="S2861">
        <v>1065.6300000000001</v>
      </c>
      <c r="T2861">
        <v>-1518363</v>
      </c>
    </row>
    <row r="2862" spans="1:20" hidden="1" x14ac:dyDescent="0.4">
      <c r="A2862" s="1" t="s">
        <v>1062</v>
      </c>
      <c r="B2862" s="1" t="s">
        <v>1455</v>
      </c>
      <c r="C2862" s="1" t="s">
        <v>1844</v>
      </c>
      <c r="D2862" s="1" t="s">
        <v>1850</v>
      </c>
      <c r="E2862">
        <v>20251201</v>
      </c>
      <c r="F2862" s="1" t="s">
        <v>1474</v>
      </c>
      <c r="G2862">
        <v>4</v>
      </c>
      <c r="H2862" s="1" t="s">
        <v>1534</v>
      </c>
      <c r="I2862" t="s">
        <v>1914</v>
      </c>
      <c r="J2862" s="1" t="s">
        <v>1455</v>
      </c>
      <c r="K2862" s="1" t="s">
        <v>1668</v>
      </c>
      <c r="L2862" s="1" t="s">
        <v>1720</v>
      </c>
      <c r="M2862" s="1" t="s">
        <v>1762</v>
      </c>
      <c r="N2862" t="s">
        <v>2056</v>
      </c>
      <c r="O2862" t="s">
        <v>2166</v>
      </c>
      <c r="P2862" t="s">
        <v>3172</v>
      </c>
      <c r="Q2862">
        <v>-500.54</v>
      </c>
      <c r="R2862" s="1" t="s">
        <v>1839</v>
      </c>
      <c r="S2862">
        <v>634.89</v>
      </c>
      <c r="T2862">
        <v>-317788</v>
      </c>
    </row>
    <row r="2863" spans="1:20" hidden="1" x14ac:dyDescent="0.4">
      <c r="A2863" s="1" t="s">
        <v>1062</v>
      </c>
      <c r="B2863" s="1" t="s">
        <v>1456</v>
      </c>
      <c r="C2863" s="1" t="s">
        <v>1844</v>
      </c>
      <c r="D2863" s="1" t="s">
        <v>1850</v>
      </c>
      <c r="E2863">
        <v>20251201</v>
      </c>
      <c r="F2863" s="1" t="s">
        <v>1474</v>
      </c>
      <c r="G2863">
        <v>4</v>
      </c>
      <c r="H2863" s="1" t="s">
        <v>1534</v>
      </c>
      <c r="I2863" t="s">
        <v>1914</v>
      </c>
      <c r="J2863" s="1" t="s">
        <v>1455</v>
      </c>
      <c r="K2863" s="1" t="s">
        <v>1665</v>
      </c>
      <c r="L2863" s="1" t="s">
        <v>1720</v>
      </c>
      <c r="M2863" s="1" t="s">
        <v>1762</v>
      </c>
      <c r="N2863" t="s">
        <v>2053</v>
      </c>
      <c r="O2863" t="s">
        <v>2166</v>
      </c>
      <c r="P2863" t="s">
        <v>3172</v>
      </c>
      <c r="Q2863">
        <v>-656.94</v>
      </c>
      <c r="R2863" s="1" t="s">
        <v>1839</v>
      </c>
      <c r="S2863">
        <v>1499.79</v>
      </c>
      <c r="T2863">
        <v>-985272</v>
      </c>
    </row>
    <row r="2864" spans="1:20" hidden="1" x14ac:dyDescent="0.4">
      <c r="A2864" s="1" t="s">
        <v>1062</v>
      </c>
      <c r="B2864" s="1" t="s">
        <v>1457</v>
      </c>
      <c r="C2864" s="1" t="s">
        <v>1844</v>
      </c>
      <c r="D2864" s="1" t="s">
        <v>1850</v>
      </c>
      <c r="E2864">
        <v>20251201</v>
      </c>
      <c r="F2864" s="1" t="s">
        <v>1474</v>
      </c>
      <c r="G2864">
        <v>4</v>
      </c>
      <c r="H2864" s="1" t="s">
        <v>1534</v>
      </c>
      <c r="I2864" t="s">
        <v>1914</v>
      </c>
      <c r="J2864" s="1" t="s">
        <v>1455</v>
      </c>
      <c r="K2864" s="1" t="s">
        <v>1665</v>
      </c>
      <c r="L2864" s="1" t="s">
        <v>1720</v>
      </c>
      <c r="M2864" s="1" t="s">
        <v>1762</v>
      </c>
      <c r="N2864" t="s">
        <v>2053</v>
      </c>
      <c r="O2864" t="s">
        <v>2166</v>
      </c>
      <c r="P2864" t="s">
        <v>3172</v>
      </c>
      <c r="Q2864">
        <v>-923.59</v>
      </c>
      <c r="R2864" s="1" t="s">
        <v>1841</v>
      </c>
      <c r="S2864">
        <v>1499.78</v>
      </c>
      <c r="T2864">
        <v>-1385182</v>
      </c>
    </row>
    <row r="2865" spans="1:20" hidden="1" x14ac:dyDescent="0.4">
      <c r="A2865" s="1" t="s">
        <v>1062</v>
      </c>
      <c r="B2865" s="1" t="s">
        <v>1458</v>
      </c>
      <c r="C2865" s="1" t="s">
        <v>1844</v>
      </c>
      <c r="D2865" s="1" t="s">
        <v>1850</v>
      </c>
      <c r="E2865">
        <v>20251201</v>
      </c>
      <c r="F2865" s="1" t="s">
        <v>1474</v>
      </c>
      <c r="G2865">
        <v>4</v>
      </c>
      <c r="H2865" s="1" t="s">
        <v>1534</v>
      </c>
      <c r="I2865" t="s">
        <v>1914</v>
      </c>
      <c r="J2865" s="1" t="s">
        <v>1455</v>
      </c>
      <c r="K2865" s="1" t="s">
        <v>1665</v>
      </c>
      <c r="L2865" s="1" t="s">
        <v>1720</v>
      </c>
      <c r="M2865" s="1" t="s">
        <v>1762</v>
      </c>
      <c r="N2865" t="s">
        <v>2053</v>
      </c>
      <c r="O2865" t="s">
        <v>2166</v>
      </c>
      <c r="P2865" t="s">
        <v>3172</v>
      </c>
      <c r="Q2865">
        <v>-960.26</v>
      </c>
      <c r="R2865" s="1" t="s">
        <v>1839</v>
      </c>
      <c r="S2865">
        <v>1499.78</v>
      </c>
      <c r="T2865">
        <v>-1440179</v>
      </c>
    </row>
    <row r="2866" spans="1:20" hidden="1" x14ac:dyDescent="0.4">
      <c r="A2866" s="1" t="s">
        <v>1062</v>
      </c>
      <c r="B2866" s="1" t="s">
        <v>1459</v>
      </c>
      <c r="C2866" s="1" t="s">
        <v>1844</v>
      </c>
      <c r="D2866" s="1" t="s">
        <v>1850</v>
      </c>
      <c r="E2866">
        <v>20251201</v>
      </c>
      <c r="F2866" s="1" t="s">
        <v>1474</v>
      </c>
      <c r="G2866">
        <v>4</v>
      </c>
      <c r="H2866" s="1" t="s">
        <v>1534</v>
      </c>
      <c r="I2866" t="s">
        <v>1914</v>
      </c>
      <c r="J2866" s="1" t="s">
        <v>1455</v>
      </c>
      <c r="K2866" s="1" t="s">
        <v>1669</v>
      </c>
      <c r="L2866" s="1" t="s">
        <v>1720</v>
      </c>
      <c r="M2866" s="1" t="s">
        <v>1762</v>
      </c>
      <c r="N2866" t="s">
        <v>2057</v>
      </c>
      <c r="O2866" t="s">
        <v>2166</v>
      </c>
      <c r="P2866" t="s">
        <v>3172</v>
      </c>
      <c r="Q2866">
        <v>-1127.53</v>
      </c>
      <c r="R2866" s="1" t="s">
        <v>1841</v>
      </c>
      <c r="S2866">
        <v>1493.58</v>
      </c>
      <c r="T2866">
        <v>-1684056</v>
      </c>
    </row>
    <row r="2867" spans="1:20" hidden="1" x14ac:dyDescent="0.4">
      <c r="A2867" s="1" t="s">
        <v>1063</v>
      </c>
      <c r="B2867" s="1" t="s">
        <v>1453</v>
      </c>
      <c r="C2867" s="1" t="s">
        <v>1844</v>
      </c>
      <c r="D2867" s="1" t="s">
        <v>1462</v>
      </c>
      <c r="E2867">
        <v>20251201</v>
      </c>
      <c r="F2867" s="1" t="s">
        <v>1474</v>
      </c>
      <c r="G2867">
        <v>4</v>
      </c>
      <c r="H2867" s="1" t="s">
        <v>1534</v>
      </c>
      <c r="I2867" t="s">
        <v>1914</v>
      </c>
      <c r="J2867" s="1" t="s">
        <v>1455</v>
      </c>
      <c r="K2867" s="1" t="s">
        <v>1667</v>
      </c>
      <c r="L2867" s="1" t="s">
        <v>1720</v>
      </c>
      <c r="M2867" s="1" t="s">
        <v>1762</v>
      </c>
      <c r="N2867" t="s">
        <v>2055</v>
      </c>
      <c r="O2867" t="s">
        <v>2166</v>
      </c>
      <c r="P2867" t="s">
        <v>3172</v>
      </c>
      <c r="Q2867">
        <v>727.71</v>
      </c>
      <c r="R2867" s="1" t="s">
        <v>1839</v>
      </c>
      <c r="S2867">
        <v>1078.28</v>
      </c>
      <c r="T2867">
        <v>784675</v>
      </c>
    </row>
    <row r="2868" spans="1:20" hidden="1" x14ac:dyDescent="0.4">
      <c r="A2868" s="1" t="s">
        <v>1063</v>
      </c>
      <c r="B2868" s="1" t="s">
        <v>1454</v>
      </c>
      <c r="C2868" s="1" t="s">
        <v>1844</v>
      </c>
      <c r="D2868" s="1" t="s">
        <v>1462</v>
      </c>
      <c r="E2868">
        <v>20251201</v>
      </c>
      <c r="F2868" s="1" t="s">
        <v>1474</v>
      </c>
      <c r="G2868">
        <v>4</v>
      </c>
      <c r="H2868" s="1" t="s">
        <v>1534</v>
      </c>
      <c r="I2868" t="s">
        <v>1914</v>
      </c>
      <c r="J2868" s="1" t="s">
        <v>1455</v>
      </c>
      <c r="K2868" s="1" t="s">
        <v>1667</v>
      </c>
      <c r="L2868" s="1" t="s">
        <v>1720</v>
      </c>
      <c r="M2868" s="1" t="s">
        <v>1762</v>
      </c>
      <c r="N2868" t="s">
        <v>2055</v>
      </c>
      <c r="O2868" t="s">
        <v>2166</v>
      </c>
      <c r="P2868" t="s">
        <v>3172</v>
      </c>
      <c r="Q2868">
        <v>1424.85</v>
      </c>
      <c r="R2868" s="1" t="s">
        <v>1839</v>
      </c>
      <c r="S2868">
        <v>1078.28</v>
      </c>
      <c r="T2868">
        <v>1536387</v>
      </c>
    </row>
    <row r="2869" spans="1:20" hidden="1" x14ac:dyDescent="0.4">
      <c r="A2869" s="1" t="s">
        <v>1063</v>
      </c>
      <c r="B2869" s="1" t="s">
        <v>1455</v>
      </c>
      <c r="C2869" s="1" t="s">
        <v>1844</v>
      </c>
      <c r="D2869" s="1" t="s">
        <v>1462</v>
      </c>
      <c r="E2869">
        <v>20251201</v>
      </c>
      <c r="F2869" s="1" t="s">
        <v>1474</v>
      </c>
      <c r="G2869">
        <v>4</v>
      </c>
      <c r="H2869" s="1" t="s">
        <v>1534</v>
      </c>
      <c r="I2869" t="s">
        <v>1914</v>
      </c>
      <c r="J2869" s="1" t="s">
        <v>1455</v>
      </c>
      <c r="K2869" s="1" t="s">
        <v>1668</v>
      </c>
      <c r="L2869" s="1" t="s">
        <v>1720</v>
      </c>
      <c r="M2869" s="1" t="s">
        <v>1762</v>
      </c>
      <c r="N2869" t="s">
        <v>2056</v>
      </c>
      <c r="O2869" t="s">
        <v>2166</v>
      </c>
      <c r="P2869" t="s">
        <v>3172</v>
      </c>
      <c r="Q2869">
        <v>500.54</v>
      </c>
      <c r="R2869" s="1" t="s">
        <v>1839</v>
      </c>
      <c r="S2869">
        <v>642.41999999999996</v>
      </c>
      <c r="T2869">
        <v>321557</v>
      </c>
    </row>
    <row r="2870" spans="1:20" hidden="1" x14ac:dyDescent="0.4">
      <c r="A2870" s="1" t="s">
        <v>1063</v>
      </c>
      <c r="B2870" s="1" t="s">
        <v>1456</v>
      </c>
      <c r="C2870" s="1" t="s">
        <v>1844</v>
      </c>
      <c r="D2870" s="1" t="s">
        <v>1462</v>
      </c>
      <c r="E2870">
        <v>20251201</v>
      </c>
      <c r="F2870" s="1" t="s">
        <v>1474</v>
      </c>
      <c r="G2870">
        <v>4</v>
      </c>
      <c r="H2870" s="1" t="s">
        <v>1534</v>
      </c>
      <c r="I2870" t="s">
        <v>1914</v>
      </c>
      <c r="J2870" s="1" t="s">
        <v>1455</v>
      </c>
      <c r="K2870" s="1" t="s">
        <v>1665</v>
      </c>
      <c r="L2870" s="1" t="s">
        <v>1720</v>
      </c>
      <c r="M2870" s="1" t="s">
        <v>1762</v>
      </c>
      <c r="N2870" t="s">
        <v>2053</v>
      </c>
      <c r="O2870" t="s">
        <v>2166</v>
      </c>
      <c r="P2870" t="s">
        <v>3172</v>
      </c>
      <c r="Q2870">
        <v>656.94</v>
      </c>
      <c r="R2870" s="1" t="s">
        <v>1839</v>
      </c>
      <c r="S2870">
        <v>1517.59</v>
      </c>
      <c r="T2870">
        <v>996966</v>
      </c>
    </row>
    <row r="2871" spans="1:20" hidden="1" x14ac:dyDescent="0.4">
      <c r="A2871" s="1" t="s">
        <v>1063</v>
      </c>
      <c r="B2871" s="1" t="s">
        <v>1457</v>
      </c>
      <c r="C2871" s="1" t="s">
        <v>1844</v>
      </c>
      <c r="D2871" s="1" t="s">
        <v>1462</v>
      </c>
      <c r="E2871">
        <v>20251201</v>
      </c>
      <c r="F2871" s="1" t="s">
        <v>1474</v>
      </c>
      <c r="G2871">
        <v>4</v>
      </c>
      <c r="H2871" s="1" t="s">
        <v>1534</v>
      </c>
      <c r="I2871" t="s">
        <v>1914</v>
      </c>
      <c r="J2871" s="1" t="s">
        <v>1455</v>
      </c>
      <c r="K2871" s="1" t="s">
        <v>1665</v>
      </c>
      <c r="L2871" s="1" t="s">
        <v>1720</v>
      </c>
      <c r="M2871" s="1" t="s">
        <v>1762</v>
      </c>
      <c r="N2871" t="s">
        <v>2053</v>
      </c>
      <c r="O2871" t="s">
        <v>2166</v>
      </c>
      <c r="P2871" t="s">
        <v>3172</v>
      </c>
      <c r="Q2871">
        <v>923.59</v>
      </c>
      <c r="R2871" s="1" t="s">
        <v>1841</v>
      </c>
      <c r="S2871">
        <v>1517.59</v>
      </c>
      <c r="T2871">
        <v>1401631</v>
      </c>
    </row>
    <row r="2872" spans="1:20" hidden="1" x14ac:dyDescent="0.4">
      <c r="A2872" s="1" t="s">
        <v>1063</v>
      </c>
      <c r="B2872" s="1" t="s">
        <v>1458</v>
      </c>
      <c r="C2872" s="1" t="s">
        <v>1844</v>
      </c>
      <c r="D2872" s="1" t="s">
        <v>1462</v>
      </c>
      <c r="E2872">
        <v>20251201</v>
      </c>
      <c r="F2872" s="1" t="s">
        <v>1474</v>
      </c>
      <c r="G2872">
        <v>4</v>
      </c>
      <c r="H2872" s="1" t="s">
        <v>1534</v>
      </c>
      <c r="I2872" t="s">
        <v>1914</v>
      </c>
      <c r="J2872" s="1" t="s">
        <v>1455</v>
      </c>
      <c r="K2872" s="1" t="s">
        <v>1665</v>
      </c>
      <c r="L2872" s="1" t="s">
        <v>1720</v>
      </c>
      <c r="M2872" s="1" t="s">
        <v>1762</v>
      </c>
      <c r="N2872" t="s">
        <v>2053</v>
      </c>
      <c r="O2872" t="s">
        <v>2166</v>
      </c>
      <c r="P2872" t="s">
        <v>3172</v>
      </c>
      <c r="Q2872">
        <v>960.26</v>
      </c>
      <c r="R2872" s="1" t="s">
        <v>1839</v>
      </c>
      <c r="S2872">
        <v>1517.59</v>
      </c>
      <c r="T2872">
        <v>1457281</v>
      </c>
    </row>
    <row r="2873" spans="1:20" hidden="1" x14ac:dyDescent="0.4">
      <c r="A2873" s="1" t="s">
        <v>1063</v>
      </c>
      <c r="B2873" s="1" t="s">
        <v>1459</v>
      </c>
      <c r="C2873" s="1" t="s">
        <v>1844</v>
      </c>
      <c r="D2873" s="1" t="s">
        <v>1462</v>
      </c>
      <c r="E2873">
        <v>20251201</v>
      </c>
      <c r="F2873" s="1" t="s">
        <v>1474</v>
      </c>
      <c r="G2873">
        <v>4</v>
      </c>
      <c r="H2873" s="1" t="s">
        <v>1534</v>
      </c>
      <c r="I2873" t="s">
        <v>1914</v>
      </c>
      <c r="J2873" s="1" t="s">
        <v>1455</v>
      </c>
      <c r="K2873" s="1" t="s">
        <v>1669</v>
      </c>
      <c r="L2873" s="1" t="s">
        <v>1720</v>
      </c>
      <c r="M2873" s="1" t="s">
        <v>1762</v>
      </c>
      <c r="N2873" t="s">
        <v>2057</v>
      </c>
      <c r="O2873" t="s">
        <v>2166</v>
      </c>
      <c r="P2873" t="s">
        <v>3172</v>
      </c>
      <c r="Q2873">
        <v>1127.53</v>
      </c>
      <c r="R2873" s="1" t="s">
        <v>1841</v>
      </c>
      <c r="S2873">
        <v>1511.31</v>
      </c>
      <c r="T2873">
        <v>1704047</v>
      </c>
    </row>
    <row r="2874" spans="1:20" hidden="1" x14ac:dyDescent="0.4">
      <c r="A2874" s="1" t="s">
        <v>1064</v>
      </c>
      <c r="B2874" s="1" t="s">
        <v>1453</v>
      </c>
      <c r="C2874" s="1" t="s">
        <v>1844</v>
      </c>
      <c r="D2874" s="1" t="s">
        <v>1850</v>
      </c>
      <c r="E2874">
        <v>20251201</v>
      </c>
      <c r="F2874" s="1" t="s">
        <v>1474</v>
      </c>
      <c r="G2874">
        <v>4</v>
      </c>
      <c r="H2874" s="1" t="s">
        <v>1534</v>
      </c>
      <c r="I2874" t="s">
        <v>1914</v>
      </c>
      <c r="J2874" s="1" t="s">
        <v>1455</v>
      </c>
      <c r="K2874" s="1" t="s">
        <v>1670</v>
      </c>
      <c r="L2874" s="1" t="s">
        <v>1720</v>
      </c>
      <c r="M2874" s="1" t="s">
        <v>1762</v>
      </c>
      <c r="N2874" t="s">
        <v>2058</v>
      </c>
      <c r="O2874" t="s">
        <v>2166</v>
      </c>
      <c r="P2874" t="s">
        <v>3172</v>
      </c>
      <c r="Q2874">
        <v>-516.53</v>
      </c>
      <c r="R2874" s="1" t="s">
        <v>1839</v>
      </c>
      <c r="S2874">
        <v>791.27</v>
      </c>
      <c r="T2874">
        <v>-408715</v>
      </c>
    </row>
    <row r="2875" spans="1:20" hidden="1" x14ac:dyDescent="0.4">
      <c r="A2875" s="1" t="s">
        <v>1064</v>
      </c>
      <c r="B2875" s="1" t="s">
        <v>1454</v>
      </c>
      <c r="C2875" s="1" t="s">
        <v>1844</v>
      </c>
      <c r="D2875" s="1" t="s">
        <v>1850</v>
      </c>
      <c r="E2875">
        <v>20251201</v>
      </c>
      <c r="F2875" s="1" t="s">
        <v>1474</v>
      </c>
      <c r="G2875">
        <v>4</v>
      </c>
      <c r="H2875" s="1" t="s">
        <v>1534</v>
      </c>
      <c r="I2875" t="s">
        <v>1914</v>
      </c>
      <c r="J2875" s="1" t="s">
        <v>1455</v>
      </c>
      <c r="K2875" s="1" t="s">
        <v>1670</v>
      </c>
      <c r="L2875" s="1" t="s">
        <v>1720</v>
      </c>
      <c r="M2875" s="1" t="s">
        <v>1762</v>
      </c>
      <c r="N2875" t="s">
        <v>2058</v>
      </c>
      <c r="O2875" t="s">
        <v>2166</v>
      </c>
      <c r="P2875" t="s">
        <v>3172</v>
      </c>
      <c r="Q2875">
        <v>-526.61</v>
      </c>
      <c r="R2875" s="1" t="s">
        <v>1839</v>
      </c>
      <c r="S2875">
        <v>791.43</v>
      </c>
      <c r="T2875">
        <v>-416775</v>
      </c>
    </row>
    <row r="2876" spans="1:20" hidden="1" x14ac:dyDescent="0.4">
      <c r="A2876" s="1" t="s">
        <v>1064</v>
      </c>
      <c r="B2876" s="1" t="s">
        <v>1455</v>
      </c>
      <c r="C2876" s="1" t="s">
        <v>1844</v>
      </c>
      <c r="D2876" s="1" t="s">
        <v>1850</v>
      </c>
      <c r="E2876">
        <v>20251201</v>
      </c>
      <c r="F2876" s="1" t="s">
        <v>1474</v>
      </c>
      <c r="G2876">
        <v>4</v>
      </c>
      <c r="H2876" s="1" t="s">
        <v>1534</v>
      </c>
      <c r="I2876" t="s">
        <v>1914</v>
      </c>
      <c r="J2876" s="1" t="s">
        <v>1455</v>
      </c>
      <c r="K2876" s="1" t="s">
        <v>1670</v>
      </c>
      <c r="L2876" s="1" t="s">
        <v>1720</v>
      </c>
      <c r="M2876" s="1" t="s">
        <v>1762</v>
      </c>
      <c r="N2876" t="s">
        <v>2058</v>
      </c>
      <c r="O2876" t="s">
        <v>2166</v>
      </c>
      <c r="P2876" t="s">
        <v>3172</v>
      </c>
      <c r="Q2876">
        <v>-557.76</v>
      </c>
      <c r="R2876" s="1" t="s">
        <v>1839</v>
      </c>
      <c r="S2876">
        <v>791.43</v>
      </c>
      <c r="T2876">
        <v>-441428</v>
      </c>
    </row>
    <row r="2877" spans="1:20" hidden="1" x14ac:dyDescent="0.4">
      <c r="A2877" s="1" t="s">
        <v>1064</v>
      </c>
      <c r="B2877" s="1" t="s">
        <v>1456</v>
      </c>
      <c r="C2877" s="1" t="s">
        <v>1844</v>
      </c>
      <c r="D2877" s="1" t="s">
        <v>1850</v>
      </c>
      <c r="E2877">
        <v>20251201</v>
      </c>
      <c r="F2877" s="1" t="s">
        <v>1474</v>
      </c>
      <c r="G2877">
        <v>4</v>
      </c>
      <c r="H2877" s="1" t="s">
        <v>1534</v>
      </c>
      <c r="I2877" t="s">
        <v>1914</v>
      </c>
      <c r="J2877" s="1" t="s">
        <v>1455</v>
      </c>
      <c r="K2877" s="1" t="s">
        <v>1670</v>
      </c>
      <c r="L2877" s="1" t="s">
        <v>1720</v>
      </c>
      <c r="M2877" s="1" t="s">
        <v>1762</v>
      </c>
      <c r="N2877" t="s">
        <v>2058</v>
      </c>
      <c r="O2877" t="s">
        <v>2166</v>
      </c>
      <c r="P2877" t="s">
        <v>3172</v>
      </c>
      <c r="Q2877">
        <v>-1792.08</v>
      </c>
      <c r="R2877" s="1" t="s">
        <v>1839</v>
      </c>
      <c r="S2877">
        <v>791.43</v>
      </c>
      <c r="T2877">
        <v>-1418306</v>
      </c>
    </row>
    <row r="2878" spans="1:20" hidden="1" x14ac:dyDescent="0.4">
      <c r="A2878" s="1" t="s">
        <v>1065</v>
      </c>
      <c r="B2878" s="1" t="s">
        <v>1453</v>
      </c>
      <c r="C2878" s="1" t="s">
        <v>1844</v>
      </c>
      <c r="D2878" s="1" t="s">
        <v>1462</v>
      </c>
      <c r="E2878">
        <v>20251201</v>
      </c>
      <c r="F2878" s="1" t="s">
        <v>1474</v>
      </c>
      <c r="G2878">
        <v>4</v>
      </c>
      <c r="H2878" s="1" t="s">
        <v>1534</v>
      </c>
      <c r="I2878" t="s">
        <v>1914</v>
      </c>
      <c r="J2878" s="1" t="s">
        <v>1455</v>
      </c>
      <c r="K2878" s="1" t="s">
        <v>1670</v>
      </c>
      <c r="L2878" s="1" t="s">
        <v>1720</v>
      </c>
      <c r="M2878" s="1" t="s">
        <v>1762</v>
      </c>
      <c r="N2878" t="s">
        <v>2058</v>
      </c>
      <c r="O2878" t="s">
        <v>2166</v>
      </c>
      <c r="P2878" t="s">
        <v>3172</v>
      </c>
      <c r="Q2878">
        <v>516.53</v>
      </c>
      <c r="R2878" s="1" t="s">
        <v>1839</v>
      </c>
      <c r="S2878">
        <v>800.67</v>
      </c>
      <c r="T2878">
        <v>413570</v>
      </c>
    </row>
    <row r="2879" spans="1:20" hidden="1" x14ac:dyDescent="0.4">
      <c r="A2879" s="1" t="s">
        <v>1065</v>
      </c>
      <c r="B2879" s="1" t="s">
        <v>1454</v>
      </c>
      <c r="C2879" s="1" t="s">
        <v>1844</v>
      </c>
      <c r="D2879" s="1" t="s">
        <v>1462</v>
      </c>
      <c r="E2879">
        <v>20251201</v>
      </c>
      <c r="F2879" s="1" t="s">
        <v>1474</v>
      </c>
      <c r="G2879">
        <v>4</v>
      </c>
      <c r="H2879" s="1" t="s">
        <v>1534</v>
      </c>
      <c r="I2879" t="s">
        <v>1914</v>
      </c>
      <c r="J2879" s="1" t="s">
        <v>1455</v>
      </c>
      <c r="K2879" s="1" t="s">
        <v>1670</v>
      </c>
      <c r="L2879" s="1" t="s">
        <v>1720</v>
      </c>
      <c r="M2879" s="1" t="s">
        <v>1762</v>
      </c>
      <c r="N2879" t="s">
        <v>2058</v>
      </c>
      <c r="O2879" t="s">
        <v>2166</v>
      </c>
      <c r="P2879" t="s">
        <v>3172</v>
      </c>
      <c r="Q2879">
        <v>526.61</v>
      </c>
      <c r="R2879" s="1" t="s">
        <v>1839</v>
      </c>
      <c r="S2879">
        <v>800.83</v>
      </c>
      <c r="T2879">
        <v>421725</v>
      </c>
    </row>
    <row r="2880" spans="1:20" hidden="1" x14ac:dyDescent="0.4">
      <c r="A2880" s="1" t="s">
        <v>1065</v>
      </c>
      <c r="B2880" s="1" t="s">
        <v>1455</v>
      </c>
      <c r="C2880" s="1" t="s">
        <v>1844</v>
      </c>
      <c r="D2880" s="1" t="s">
        <v>1462</v>
      </c>
      <c r="E2880">
        <v>20251201</v>
      </c>
      <c r="F2880" s="1" t="s">
        <v>1474</v>
      </c>
      <c r="G2880">
        <v>4</v>
      </c>
      <c r="H2880" s="1" t="s">
        <v>1534</v>
      </c>
      <c r="I2880" t="s">
        <v>1914</v>
      </c>
      <c r="J2880" s="1" t="s">
        <v>1455</v>
      </c>
      <c r="K2880" s="1" t="s">
        <v>1670</v>
      </c>
      <c r="L2880" s="1" t="s">
        <v>1720</v>
      </c>
      <c r="M2880" s="1" t="s">
        <v>1762</v>
      </c>
      <c r="N2880" t="s">
        <v>2058</v>
      </c>
      <c r="O2880" t="s">
        <v>2166</v>
      </c>
      <c r="P2880" t="s">
        <v>3172</v>
      </c>
      <c r="Q2880">
        <v>557.76</v>
      </c>
      <c r="R2880" s="1" t="s">
        <v>1839</v>
      </c>
      <c r="S2880">
        <v>800.83</v>
      </c>
      <c r="T2880">
        <v>446671</v>
      </c>
    </row>
    <row r="2881" spans="1:20" hidden="1" x14ac:dyDescent="0.4">
      <c r="A2881" s="1" t="s">
        <v>1065</v>
      </c>
      <c r="B2881" s="1" t="s">
        <v>1456</v>
      </c>
      <c r="C2881" s="1" t="s">
        <v>1844</v>
      </c>
      <c r="D2881" s="1" t="s">
        <v>1462</v>
      </c>
      <c r="E2881">
        <v>20251201</v>
      </c>
      <c r="F2881" s="1" t="s">
        <v>1474</v>
      </c>
      <c r="G2881">
        <v>4</v>
      </c>
      <c r="H2881" s="1" t="s">
        <v>1534</v>
      </c>
      <c r="I2881" t="s">
        <v>1914</v>
      </c>
      <c r="J2881" s="1" t="s">
        <v>1455</v>
      </c>
      <c r="K2881" s="1" t="s">
        <v>1670</v>
      </c>
      <c r="L2881" s="1" t="s">
        <v>1720</v>
      </c>
      <c r="M2881" s="1" t="s">
        <v>1762</v>
      </c>
      <c r="N2881" t="s">
        <v>2058</v>
      </c>
      <c r="O2881" t="s">
        <v>2166</v>
      </c>
      <c r="P2881" t="s">
        <v>3172</v>
      </c>
      <c r="Q2881">
        <v>1792.08</v>
      </c>
      <c r="R2881" s="1" t="s">
        <v>1839</v>
      </c>
      <c r="S2881">
        <v>800.82</v>
      </c>
      <c r="T2881">
        <v>1435134</v>
      </c>
    </row>
    <row r="2882" spans="1:20" hidden="1" x14ac:dyDescent="0.4">
      <c r="A2882" s="1" t="s">
        <v>1066</v>
      </c>
      <c r="B2882" s="1" t="s">
        <v>1453</v>
      </c>
      <c r="C2882" s="1" t="s">
        <v>1844</v>
      </c>
      <c r="D2882" s="1" t="s">
        <v>1850</v>
      </c>
      <c r="E2882">
        <v>20251201</v>
      </c>
      <c r="F2882" s="1" t="s">
        <v>1474</v>
      </c>
      <c r="G2882">
        <v>4</v>
      </c>
      <c r="H2882" s="1" t="s">
        <v>1534</v>
      </c>
      <c r="I2882" t="s">
        <v>1914</v>
      </c>
      <c r="J2882" s="1" t="s">
        <v>1455</v>
      </c>
      <c r="K2882" s="1" t="s">
        <v>1670</v>
      </c>
      <c r="L2882" s="1" t="s">
        <v>1720</v>
      </c>
      <c r="M2882" s="1" t="s">
        <v>1762</v>
      </c>
      <c r="N2882" t="s">
        <v>2058</v>
      </c>
      <c r="O2882" t="s">
        <v>2166</v>
      </c>
      <c r="P2882" t="s">
        <v>3172</v>
      </c>
      <c r="Q2882">
        <v>-1072.3</v>
      </c>
      <c r="R2882" s="1" t="s">
        <v>1839</v>
      </c>
      <c r="S2882">
        <v>791.13</v>
      </c>
      <c r="T2882">
        <v>-848329</v>
      </c>
    </row>
    <row r="2883" spans="1:20" hidden="1" x14ac:dyDescent="0.4">
      <c r="A2883" s="1" t="s">
        <v>1066</v>
      </c>
      <c r="B2883" s="1" t="s">
        <v>1454</v>
      </c>
      <c r="C2883" s="1" t="s">
        <v>1844</v>
      </c>
      <c r="D2883" s="1" t="s">
        <v>1850</v>
      </c>
      <c r="E2883">
        <v>20251201</v>
      </c>
      <c r="F2883" s="1" t="s">
        <v>1474</v>
      </c>
      <c r="G2883">
        <v>4</v>
      </c>
      <c r="H2883" s="1" t="s">
        <v>1534</v>
      </c>
      <c r="I2883" t="s">
        <v>1914</v>
      </c>
      <c r="J2883" s="1" t="s">
        <v>1455</v>
      </c>
      <c r="K2883" s="1" t="s">
        <v>1666</v>
      </c>
      <c r="L2883" s="1" t="s">
        <v>1720</v>
      </c>
      <c r="M2883" s="1" t="s">
        <v>1762</v>
      </c>
      <c r="N2883" t="s">
        <v>2054</v>
      </c>
      <c r="O2883" t="s">
        <v>2166</v>
      </c>
      <c r="P2883" t="s">
        <v>3172</v>
      </c>
      <c r="Q2883">
        <v>-1017.35</v>
      </c>
      <c r="R2883" s="1" t="s">
        <v>1839</v>
      </c>
      <c r="S2883">
        <v>1150.74</v>
      </c>
      <c r="T2883">
        <v>-1170705</v>
      </c>
    </row>
    <row r="2884" spans="1:20" hidden="1" x14ac:dyDescent="0.4">
      <c r="A2884" s="1" t="s">
        <v>1066</v>
      </c>
      <c r="B2884" s="1" t="s">
        <v>1455</v>
      </c>
      <c r="C2884" s="1" t="s">
        <v>1844</v>
      </c>
      <c r="D2884" s="1" t="s">
        <v>1850</v>
      </c>
      <c r="E2884">
        <v>20251201</v>
      </c>
      <c r="F2884" s="1" t="s">
        <v>1474</v>
      </c>
      <c r="G2884">
        <v>4</v>
      </c>
      <c r="H2884" s="1" t="s">
        <v>1534</v>
      </c>
      <c r="I2884" t="s">
        <v>1914</v>
      </c>
      <c r="J2884" s="1" t="s">
        <v>1455</v>
      </c>
      <c r="K2884" s="1" t="s">
        <v>1666</v>
      </c>
      <c r="L2884" s="1" t="s">
        <v>1720</v>
      </c>
      <c r="M2884" s="1" t="s">
        <v>1762</v>
      </c>
      <c r="N2884" t="s">
        <v>2054</v>
      </c>
      <c r="O2884" t="s">
        <v>2166</v>
      </c>
      <c r="P2884" t="s">
        <v>3172</v>
      </c>
      <c r="Q2884">
        <v>-1057.67</v>
      </c>
      <c r="R2884" s="1" t="s">
        <v>1839</v>
      </c>
      <c r="S2884">
        <v>1150.74</v>
      </c>
      <c r="T2884">
        <v>-1217103</v>
      </c>
    </row>
    <row r="2885" spans="1:20" hidden="1" x14ac:dyDescent="0.4">
      <c r="A2885" s="1" t="s">
        <v>1066</v>
      </c>
      <c r="B2885" s="1" t="s">
        <v>1456</v>
      </c>
      <c r="C2885" s="1" t="s">
        <v>1844</v>
      </c>
      <c r="D2885" s="1" t="s">
        <v>1850</v>
      </c>
      <c r="E2885">
        <v>20251201</v>
      </c>
      <c r="F2885" s="1" t="s">
        <v>1474</v>
      </c>
      <c r="G2885">
        <v>4</v>
      </c>
      <c r="H2885" s="1" t="s">
        <v>1534</v>
      </c>
      <c r="I2885" t="s">
        <v>1914</v>
      </c>
      <c r="J2885" s="1" t="s">
        <v>1455</v>
      </c>
      <c r="K2885" s="1" t="s">
        <v>1666</v>
      </c>
      <c r="L2885" s="1" t="s">
        <v>1720</v>
      </c>
      <c r="M2885" s="1" t="s">
        <v>1762</v>
      </c>
      <c r="N2885" t="s">
        <v>2054</v>
      </c>
      <c r="O2885" t="s">
        <v>2166</v>
      </c>
      <c r="P2885" t="s">
        <v>3172</v>
      </c>
      <c r="Q2885">
        <v>-561.34</v>
      </c>
      <c r="R2885" s="1" t="s">
        <v>1839</v>
      </c>
      <c r="S2885">
        <v>1150.74</v>
      </c>
      <c r="T2885">
        <v>-645956</v>
      </c>
    </row>
    <row r="2886" spans="1:20" hidden="1" x14ac:dyDescent="0.4">
      <c r="A2886" s="1" t="s">
        <v>1067</v>
      </c>
      <c r="B2886" s="1" t="s">
        <v>1453</v>
      </c>
      <c r="C2886" s="1" t="s">
        <v>1844</v>
      </c>
      <c r="D2886" s="1" t="s">
        <v>1462</v>
      </c>
      <c r="E2886">
        <v>20251201</v>
      </c>
      <c r="F2886" s="1" t="s">
        <v>1474</v>
      </c>
      <c r="G2886">
        <v>4</v>
      </c>
      <c r="H2886" s="1" t="s">
        <v>1534</v>
      </c>
      <c r="I2886" t="s">
        <v>1914</v>
      </c>
      <c r="J2886" s="1" t="s">
        <v>1455</v>
      </c>
      <c r="K2886" s="1" t="s">
        <v>1670</v>
      </c>
      <c r="L2886" s="1" t="s">
        <v>1720</v>
      </c>
      <c r="M2886" s="1" t="s">
        <v>1762</v>
      </c>
      <c r="N2886" t="s">
        <v>2058</v>
      </c>
      <c r="O2886" t="s">
        <v>2166</v>
      </c>
      <c r="P2886" t="s">
        <v>3172</v>
      </c>
      <c r="Q2886">
        <v>1072.3</v>
      </c>
      <c r="R2886" s="1" t="s">
        <v>1839</v>
      </c>
      <c r="S2886">
        <v>800.53</v>
      </c>
      <c r="T2886">
        <v>858408</v>
      </c>
    </row>
    <row r="2887" spans="1:20" hidden="1" x14ac:dyDescent="0.4">
      <c r="A2887" s="1" t="s">
        <v>1067</v>
      </c>
      <c r="B2887" s="1" t="s">
        <v>1454</v>
      </c>
      <c r="C2887" s="1" t="s">
        <v>1844</v>
      </c>
      <c r="D2887" s="1" t="s">
        <v>1462</v>
      </c>
      <c r="E2887">
        <v>20251201</v>
      </c>
      <c r="F2887" s="1" t="s">
        <v>1474</v>
      </c>
      <c r="G2887">
        <v>4</v>
      </c>
      <c r="H2887" s="1" t="s">
        <v>1534</v>
      </c>
      <c r="I2887" t="s">
        <v>1914</v>
      </c>
      <c r="J2887" s="1" t="s">
        <v>1455</v>
      </c>
      <c r="K2887" s="1" t="s">
        <v>1666</v>
      </c>
      <c r="L2887" s="1" t="s">
        <v>1720</v>
      </c>
      <c r="M2887" s="1" t="s">
        <v>1762</v>
      </c>
      <c r="N2887" t="s">
        <v>2054</v>
      </c>
      <c r="O2887" t="s">
        <v>2166</v>
      </c>
      <c r="P2887" t="s">
        <v>3172</v>
      </c>
      <c r="Q2887">
        <v>1017.35</v>
      </c>
      <c r="R2887" s="1" t="s">
        <v>1839</v>
      </c>
      <c r="S2887">
        <v>1164.4000000000001</v>
      </c>
      <c r="T2887">
        <v>1184602</v>
      </c>
    </row>
    <row r="2888" spans="1:20" hidden="1" x14ac:dyDescent="0.4">
      <c r="A2888" s="1" t="s">
        <v>1067</v>
      </c>
      <c r="B2888" s="1" t="s">
        <v>1455</v>
      </c>
      <c r="C2888" s="1" t="s">
        <v>1844</v>
      </c>
      <c r="D2888" s="1" t="s">
        <v>1462</v>
      </c>
      <c r="E2888">
        <v>20251201</v>
      </c>
      <c r="F2888" s="1" t="s">
        <v>1474</v>
      </c>
      <c r="G2888">
        <v>4</v>
      </c>
      <c r="H2888" s="1" t="s">
        <v>1534</v>
      </c>
      <c r="I2888" t="s">
        <v>1914</v>
      </c>
      <c r="J2888" s="1" t="s">
        <v>1455</v>
      </c>
      <c r="K2888" s="1" t="s">
        <v>1666</v>
      </c>
      <c r="L2888" s="1" t="s">
        <v>1720</v>
      </c>
      <c r="M2888" s="1" t="s">
        <v>1762</v>
      </c>
      <c r="N2888" t="s">
        <v>2054</v>
      </c>
      <c r="O2888" t="s">
        <v>2166</v>
      </c>
      <c r="P2888" t="s">
        <v>3172</v>
      </c>
      <c r="Q2888">
        <v>1057.67</v>
      </c>
      <c r="R2888" s="1" t="s">
        <v>1839</v>
      </c>
      <c r="S2888">
        <v>1164.4000000000001</v>
      </c>
      <c r="T2888">
        <v>1231551</v>
      </c>
    </row>
    <row r="2889" spans="1:20" hidden="1" x14ac:dyDescent="0.4">
      <c r="A2889" s="1" t="s">
        <v>1067</v>
      </c>
      <c r="B2889" s="1" t="s">
        <v>1456</v>
      </c>
      <c r="C2889" s="1" t="s">
        <v>1844</v>
      </c>
      <c r="D2889" s="1" t="s">
        <v>1462</v>
      </c>
      <c r="E2889">
        <v>20251201</v>
      </c>
      <c r="F2889" s="1" t="s">
        <v>1474</v>
      </c>
      <c r="G2889">
        <v>4</v>
      </c>
      <c r="H2889" s="1" t="s">
        <v>1534</v>
      </c>
      <c r="I2889" t="s">
        <v>1914</v>
      </c>
      <c r="J2889" s="1" t="s">
        <v>1455</v>
      </c>
      <c r="K2889" s="1" t="s">
        <v>1666</v>
      </c>
      <c r="L2889" s="1" t="s">
        <v>1720</v>
      </c>
      <c r="M2889" s="1" t="s">
        <v>1762</v>
      </c>
      <c r="N2889" t="s">
        <v>2054</v>
      </c>
      <c r="O2889" t="s">
        <v>2166</v>
      </c>
      <c r="P2889" t="s">
        <v>3172</v>
      </c>
      <c r="Q2889">
        <v>561.34</v>
      </c>
      <c r="R2889" s="1" t="s">
        <v>1839</v>
      </c>
      <c r="S2889">
        <v>1164.4000000000001</v>
      </c>
      <c r="T2889">
        <v>653624</v>
      </c>
    </row>
    <row r="2890" spans="1:20" hidden="1" x14ac:dyDescent="0.4">
      <c r="A2890" s="1" t="s">
        <v>1068</v>
      </c>
      <c r="B2890" s="1" t="s">
        <v>1453</v>
      </c>
      <c r="C2890" s="1" t="s">
        <v>1844</v>
      </c>
      <c r="D2890" s="1" t="s">
        <v>1731</v>
      </c>
      <c r="E2890">
        <v>20251210</v>
      </c>
      <c r="F2890" s="1" t="s">
        <v>1470</v>
      </c>
      <c r="G2890">
        <v>1</v>
      </c>
      <c r="H2890" s="1" t="s">
        <v>1494</v>
      </c>
      <c r="I2890" t="s">
        <v>1874</v>
      </c>
      <c r="J2890" s="1" t="s">
        <v>1459</v>
      </c>
      <c r="K2890" s="1" t="s">
        <v>1645</v>
      </c>
      <c r="L2890" s="1" t="s">
        <v>1721</v>
      </c>
      <c r="M2890" s="1" t="s">
        <v>1737</v>
      </c>
      <c r="N2890" t="s">
        <v>2003</v>
      </c>
      <c r="O2890" t="s">
        <v>2167</v>
      </c>
      <c r="P2890" t="s">
        <v>3131</v>
      </c>
      <c r="Q2890">
        <v>1800</v>
      </c>
      <c r="R2890" s="1" t="s">
        <v>1840</v>
      </c>
      <c r="S2890">
        <v>450.12</v>
      </c>
      <c r="T2890">
        <v>810216</v>
      </c>
    </row>
    <row r="2891" spans="1:20" hidden="1" x14ac:dyDescent="0.4">
      <c r="A2891" s="1" t="s">
        <v>1069</v>
      </c>
      <c r="B2891" s="1" t="s">
        <v>1453</v>
      </c>
      <c r="C2891" s="1" t="s">
        <v>1844</v>
      </c>
      <c r="D2891" s="1" t="s">
        <v>1730</v>
      </c>
      <c r="E2891">
        <v>20251215</v>
      </c>
      <c r="F2891" s="1" t="s">
        <v>1471</v>
      </c>
      <c r="G2891">
        <v>4</v>
      </c>
      <c r="H2891" s="1" t="s">
        <v>1531</v>
      </c>
      <c r="I2891" t="s">
        <v>1911</v>
      </c>
      <c r="J2891" s="1" t="s">
        <v>1454</v>
      </c>
      <c r="K2891" s="1" t="s">
        <v>1591</v>
      </c>
      <c r="L2891" s="1" t="s">
        <v>1732</v>
      </c>
      <c r="M2891" s="1" t="s">
        <v>1759</v>
      </c>
      <c r="N2891" t="s">
        <v>1966</v>
      </c>
      <c r="O2891" t="s">
        <v>2166</v>
      </c>
      <c r="P2891" t="s">
        <v>3074</v>
      </c>
      <c r="Q2891">
        <v>380.4</v>
      </c>
      <c r="R2891" s="1" t="s">
        <v>1840</v>
      </c>
      <c r="S2891">
        <v>0</v>
      </c>
      <c r="T2891">
        <v>0</v>
      </c>
    </row>
    <row r="2892" spans="1:20" hidden="1" x14ac:dyDescent="0.4">
      <c r="A2892" s="1" t="s">
        <v>1070</v>
      </c>
      <c r="B2892" s="1" t="s">
        <v>1453</v>
      </c>
      <c r="C2892" s="1" t="s">
        <v>1844</v>
      </c>
      <c r="D2892" s="1" t="s">
        <v>1730</v>
      </c>
      <c r="E2892">
        <v>20251212</v>
      </c>
      <c r="F2892" s="1" t="s">
        <v>1471</v>
      </c>
      <c r="G2892">
        <v>4</v>
      </c>
      <c r="H2892" s="1" t="s">
        <v>1535</v>
      </c>
      <c r="I2892" t="s">
        <v>1915</v>
      </c>
      <c r="J2892" s="1" t="s">
        <v>1460</v>
      </c>
      <c r="K2892" s="1" t="s">
        <v>1707</v>
      </c>
      <c r="L2892" s="1" t="s">
        <v>1733</v>
      </c>
      <c r="M2892" s="1" t="s">
        <v>1737</v>
      </c>
      <c r="N2892" t="s">
        <v>2138</v>
      </c>
      <c r="O2892" t="s">
        <v>2162</v>
      </c>
      <c r="P2892" t="s">
        <v>2157</v>
      </c>
      <c r="Q2892">
        <v>672</v>
      </c>
      <c r="R2892" s="1" t="s">
        <v>1463</v>
      </c>
      <c r="S2892">
        <v>0</v>
      </c>
      <c r="T2892">
        <v>0</v>
      </c>
    </row>
    <row r="2893" spans="1:20" hidden="1" x14ac:dyDescent="0.4">
      <c r="A2893" s="1" t="s">
        <v>1071</v>
      </c>
      <c r="B2893" s="1" t="s">
        <v>1453</v>
      </c>
      <c r="C2893" s="1" t="s">
        <v>1844</v>
      </c>
      <c r="D2893" s="1" t="s">
        <v>1462</v>
      </c>
      <c r="E2893">
        <v>20251215</v>
      </c>
      <c r="F2893" s="1" t="s">
        <v>1473</v>
      </c>
      <c r="G2893">
        <v>4</v>
      </c>
      <c r="H2893" s="1" t="s">
        <v>1513</v>
      </c>
      <c r="I2893" t="s">
        <v>1893</v>
      </c>
      <c r="J2893" s="1" t="s">
        <v>1453</v>
      </c>
      <c r="K2893" s="1" t="s">
        <v>1692</v>
      </c>
      <c r="L2893" s="1" t="s">
        <v>1718</v>
      </c>
      <c r="M2893" s="1" t="s">
        <v>1768</v>
      </c>
      <c r="N2893" t="s">
        <v>2098</v>
      </c>
      <c r="O2893" t="s">
        <v>2164</v>
      </c>
      <c r="P2893" t="s">
        <v>3250</v>
      </c>
      <c r="Q2893">
        <v>129.88</v>
      </c>
      <c r="R2893" s="1" t="s">
        <v>1839</v>
      </c>
      <c r="S2893">
        <v>2566</v>
      </c>
      <c r="T2893">
        <v>333323</v>
      </c>
    </row>
    <row r="2894" spans="1:20" hidden="1" x14ac:dyDescent="0.4">
      <c r="A2894" s="1" t="s">
        <v>1071</v>
      </c>
      <c r="B2894" s="1" t="s">
        <v>1454</v>
      </c>
      <c r="C2894" s="1" t="s">
        <v>1844</v>
      </c>
      <c r="D2894" s="1" t="s">
        <v>1462</v>
      </c>
      <c r="E2894">
        <v>20251215</v>
      </c>
      <c r="F2894" s="1" t="s">
        <v>1473</v>
      </c>
      <c r="G2894">
        <v>4</v>
      </c>
      <c r="H2894" s="1" t="s">
        <v>1513</v>
      </c>
      <c r="I2894" t="s">
        <v>1893</v>
      </c>
      <c r="J2894" s="1" t="s">
        <v>1453</v>
      </c>
      <c r="K2894" s="1" t="s">
        <v>1692</v>
      </c>
      <c r="L2894" s="1" t="s">
        <v>1718</v>
      </c>
      <c r="M2894" s="1" t="s">
        <v>1768</v>
      </c>
      <c r="N2894" t="s">
        <v>2098</v>
      </c>
      <c r="O2894" t="s">
        <v>2164</v>
      </c>
      <c r="P2894" t="s">
        <v>3250</v>
      </c>
      <c r="Q2894">
        <v>123</v>
      </c>
      <c r="R2894" s="1" t="s">
        <v>1839</v>
      </c>
      <c r="S2894">
        <v>2566</v>
      </c>
      <c r="T2894">
        <v>315618</v>
      </c>
    </row>
    <row r="2895" spans="1:20" hidden="1" x14ac:dyDescent="0.4">
      <c r="A2895" s="1" t="s">
        <v>1071</v>
      </c>
      <c r="B2895" s="1" t="s">
        <v>1455</v>
      </c>
      <c r="C2895" s="1" t="s">
        <v>1844</v>
      </c>
      <c r="D2895" s="1" t="s">
        <v>1462</v>
      </c>
      <c r="E2895">
        <v>20251215</v>
      </c>
      <c r="F2895" s="1" t="s">
        <v>1473</v>
      </c>
      <c r="G2895">
        <v>4</v>
      </c>
      <c r="H2895" s="1" t="s">
        <v>1513</v>
      </c>
      <c r="I2895" t="s">
        <v>1893</v>
      </c>
      <c r="J2895" s="1" t="s">
        <v>1453</v>
      </c>
      <c r="K2895" s="1" t="s">
        <v>1694</v>
      </c>
      <c r="L2895" s="1" t="s">
        <v>1718</v>
      </c>
      <c r="M2895" s="1" t="s">
        <v>1761</v>
      </c>
      <c r="N2895" t="s">
        <v>2100</v>
      </c>
      <c r="O2895" t="s">
        <v>2164</v>
      </c>
      <c r="P2895" t="s">
        <v>3253</v>
      </c>
      <c r="Q2895">
        <v>80.22</v>
      </c>
      <c r="R2895" s="1" t="s">
        <v>1839</v>
      </c>
      <c r="S2895">
        <v>2508</v>
      </c>
      <c r="T2895">
        <v>201142</v>
      </c>
    </row>
    <row r="2896" spans="1:20" hidden="1" x14ac:dyDescent="0.4">
      <c r="A2896" s="1" t="s">
        <v>1071</v>
      </c>
      <c r="B2896" s="1" t="s">
        <v>1456</v>
      </c>
      <c r="C2896" s="1" t="s">
        <v>1844</v>
      </c>
      <c r="D2896" s="1" t="s">
        <v>1462</v>
      </c>
      <c r="E2896">
        <v>20251215</v>
      </c>
      <c r="F2896" s="1" t="s">
        <v>1473</v>
      </c>
      <c r="G2896">
        <v>4</v>
      </c>
      <c r="H2896" s="1" t="s">
        <v>1513</v>
      </c>
      <c r="I2896" t="s">
        <v>1893</v>
      </c>
      <c r="J2896" s="1" t="s">
        <v>1453</v>
      </c>
      <c r="K2896" s="1" t="s">
        <v>1587</v>
      </c>
      <c r="L2896" s="1" t="s">
        <v>1718</v>
      </c>
      <c r="M2896" s="1" t="s">
        <v>1739</v>
      </c>
      <c r="N2896" t="s">
        <v>1962</v>
      </c>
      <c r="O2896" t="s">
        <v>2164</v>
      </c>
      <c r="P2896" t="s">
        <v>3486</v>
      </c>
      <c r="Q2896">
        <v>85.18</v>
      </c>
      <c r="R2896" s="1" t="s">
        <v>1839</v>
      </c>
      <c r="S2896">
        <v>2768</v>
      </c>
      <c r="T2896">
        <v>235834</v>
      </c>
    </row>
    <row r="2897" spans="1:20" hidden="1" x14ac:dyDescent="0.4">
      <c r="A2897" s="1" t="s">
        <v>1071</v>
      </c>
      <c r="B2897" s="1" t="s">
        <v>1457</v>
      </c>
      <c r="C2897" s="1" t="s">
        <v>1844</v>
      </c>
      <c r="D2897" s="1" t="s">
        <v>1462</v>
      </c>
      <c r="E2897">
        <v>20251215</v>
      </c>
      <c r="F2897" s="1" t="s">
        <v>1473</v>
      </c>
      <c r="G2897">
        <v>4</v>
      </c>
      <c r="H2897" s="1" t="s">
        <v>1513</v>
      </c>
      <c r="I2897" t="s">
        <v>1893</v>
      </c>
      <c r="J2897" s="1" t="s">
        <v>1453</v>
      </c>
      <c r="K2897" s="1" t="s">
        <v>1587</v>
      </c>
      <c r="L2897" s="1" t="s">
        <v>1718</v>
      </c>
      <c r="M2897" s="1" t="s">
        <v>1742</v>
      </c>
      <c r="N2897" t="s">
        <v>1962</v>
      </c>
      <c r="O2897" t="s">
        <v>2164</v>
      </c>
      <c r="P2897" t="s">
        <v>3487</v>
      </c>
      <c r="Q2897">
        <v>100.46</v>
      </c>
      <c r="R2897" s="1" t="s">
        <v>1839</v>
      </c>
      <c r="S2897">
        <v>2768</v>
      </c>
      <c r="T2897">
        <v>278184</v>
      </c>
    </row>
    <row r="2898" spans="1:20" hidden="1" x14ac:dyDescent="0.4">
      <c r="A2898" s="1" t="s">
        <v>1071</v>
      </c>
      <c r="B2898" s="1" t="s">
        <v>1458</v>
      </c>
      <c r="C2898" s="1" t="s">
        <v>1844</v>
      </c>
      <c r="D2898" s="1" t="s">
        <v>1462</v>
      </c>
      <c r="E2898">
        <v>20251215</v>
      </c>
      <c r="F2898" s="1" t="s">
        <v>1473</v>
      </c>
      <c r="G2898">
        <v>4</v>
      </c>
      <c r="H2898" s="1" t="s">
        <v>1513</v>
      </c>
      <c r="I2898" t="s">
        <v>1893</v>
      </c>
      <c r="J2898" s="1" t="s">
        <v>1453</v>
      </c>
      <c r="K2898" s="1" t="s">
        <v>1693</v>
      </c>
      <c r="L2898" s="1" t="s">
        <v>1718</v>
      </c>
      <c r="M2898" s="1" t="s">
        <v>1755</v>
      </c>
      <c r="N2898" t="s">
        <v>2099</v>
      </c>
      <c r="O2898" t="s">
        <v>2164</v>
      </c>
      <c r="P2898" t="s">
        <v>3252</v>
      </c>
      <c r="Q2898">
        <v>115.74</v>
      </c>
      <c r="R2898" s="1" t="s">
        <v>1839</v>
      </c>
      <c r="S2898">
        <v>1525</v>
      </c>
      <c r="T2898">
        <v>176443</v>
      </c>
    </row>
    <row r="2899" spans="1:20" hidden="1" x14ac:dyDescent="0.4">
      <c r="A2899" s="1" t="s">
        <v>1072</v>
      </c>
      <c r="B2899" s="1" t="s">
        <v>1453</v>
      </c>
      <c r="C2899" s="1" t="s">
        <v>1844</v>
      </c>
      <c r="D2899" s="1" t="s">
        <v>1462</v>
      </c>
      <c r="E2899">
        <v>20251210</v>
      </c>
      <c r="F2899" s="1" t="s">
        <v>1471</v>
      </c>
      <c r="G2899">
        <v>4</v>
      </c>
      <c r="H2899" s="1" t="s">
        <v>1528</v>
      </c>
      <c r="I2899" t="s">
        <v>1908</v>
      </c>
      <c r="J2899" s="1" t="s">
        <v>1460</v>
      </c>
      <c r="K2899" s="1" t="s">
        <v>1629</v>
      </c>
      <c r="L2899" s="1" t="s">
        <v>1731</v>
      </c>
      <c r="M2899" s="1" t="s">
        <v>1809</v>
      </c>
      <c r="N2899" t="s">
        <v>2038</v>
      </c>
      <c r="O2899" t="s">
        <v>2178</v>
      </c>
      <c r="P2899" t="s">
        <v>3184</v>
      </c>
      <c r="Q2899">
        <v>500</v>
      </c>
      <c r="R2899" s="1" t="s">
        <v>1463</v>
      </c>
      <c r="S2899">
        <v>567</v>
      </c>
      <c r="T2899">
        <v>283500</v>
      </c>
    </row>
    <row r="2900" spans="1:20" hidden="1" x14ac:dyDescent="0.4">
      <c r="A2900" s="1" t="s">
        <v>1073</v>
      </c>
      <c r="B2900" s="1" t="s">
        <v>1453</v>
      </c>
      <c r="C2900" s="1" t="s">
        <v>1844</v>
      </c>
      <c r="D2900" s="1" t="s">
        <v>1852</v>
      </c>
      <c r="E2900">
        <v>20251205</v>
      </c>
      <c r="F2900" s="1" t="s">
        <v>1473</v>
      </c>
      <c r="G2900">
        <v>4</v>
      </c>
      <c r="H2900" s="1" t="s">
        <v>1519</v>
      </c>
      <c r="I2900" t="s">
        <v>1899</v>
      </c>
      <c r="J2900" s="1" t="s">
        <v>1453</v>
      </c>
      <c r="K2900" s="1" t="s">
        <v>1589</v>
      </c>
      <c r="L2900" s="1" t="s">
        <v>1718</v>
      </c>
      <c r="M2900" s="1" t="s">
        <v>1758</v>
      </c>
      <c r="N2900" t="s">
        <v>1964</v>
      </c>
      <c r="O2900" t="s">
        <v>2164</v>
      </c>
      <c r="P2900" t="s">
        <v>3073</v>
      </c>
      <c r="Q2900">
        <v>-18.2</v>
      </c>
      <c r="R2900" s="1" t="s">
        <v>1839</v>
      </c>
      <c r="S2900">
        <v>1582</v>
      </c>
      <c r="T2900">
        <v>-28792</v>
      </c>
    </row>
    <row r="2901" spans="1:20" hidden="1" x14ac:dyDescent="0.4">
      <c r="A2901" s="1" t="s">
        <v>1074</v>
      </c>
      <c r="B2901" s="1" t="s">
        <v>1453</v>
      </c>
      <c r="C2901" s="1" t="s">
        <v>1844</v>
      </c>
      <c r="D2901" s="1" t="s">
        <v>1462</v>
      </c>
      <c r="E2901">
        <v>20251211</v>
      </c>
      <c r="F2901" s="1" t="s">
        <v>1471</v>
      </c>
      <c r="G2901">
        <v>4</v>
      </c>
      <c r="H2901" s="1" t="s">
        <v>1524</v>
      </c>
      <c r="I2901" t="s">
        <v>1904</v>
      </c>
      <c r="J2901" s="1" t="s">
        <v>1460</v>
      </c>
      <c r="K2901" s="1" t="s">
        <v>1651</v>
      </c>
      <c r="L2901" s="1" t="s">
        <v>1731</v>
      </c>
      <c r="M2901" s="1" t="s">
        <v>1737</v>
      </c>
      <c r="N2901" t="s">
        <v>2035</v>
      </c>
      <c r="O2901" t="s">
        <v>2178</v>
      </c>
      <c r="P2901" t="s">
        <v>2157</v>
      </c>
      <c r="Q2901">
        <v>50</v>
      </c>
      <c r="R2901" s="1" t="s">
        <v>1463</v>
      </c>
      <c r="S2901">
        <v>2734</v>
      </c>
      <c r="T2901">
        <v>136700</v>
      </c>
    </row>
    <row r="2902" spans="1:20" hidden="1" x14ac:dyDescent="0.4">
      <c r="A2902" s="1" t="s">
        <v>1075</v>
      </c>
      <c r="B2902" s="1" t="s">
        <v>1453</v>
      </c>
      <c r="C2902" s="1" t="s">
        <v>1844</v>
      </c>
      <c r="D2902" s="1" t="s">
        <v>1462</v>
      </c>
      <c r="E2902">
        <v>20251211</v>
      </c>
      <c r="F2902" s="1" t="s">
        <v>1471</v>
      </c>
      <c r="G2902">
        <v>4</v>
      </c>
      <c r="H2902" s="1" t="s">
        <v>1525</v>
      </c>
      <c r="I2902" t="s">
        <v>1905</v>
      </c>
      <c r="J2902" s="1" t="s">
        <v>1460</v>
      </c>
      <c r="K2902" s="1" t="s">
        <v>1647</v>
      </c>
      <c r="L2902" s="1" t="s">
        <v>1731</v>
      </c>
      <c r="M2902" s="1" t="s">
        <v>1798</v>
      </c>
      <c r="N2902" t="s">
        <v>2029</v>
      </c>
      <c r="O2902" t="s">
        <v>2178</v>
      </c>
      <c r="P2902" t="s">
        <v>3157</v>
      </c>
      <c r="Q2902">
        <v>250</v>
      </c>
      <c r="R2902" s="1" t="s">
        <v>1463</v>
      </c>
      <c r="S2902">
        <v>615</v>
      </c>
      <c r="T2902">
        <v>153750</v>
      </c>
    </row>
    <row r="2903" spans="1:20" hidden="1" x14ac:dyDescent="0.4">
      <c r="A2903" s="1" t="s">
        <v>1076</v>
      </c>
      <c r="B2903" s="1" t="s">
        <v>1453</v>
      </c>
      <c r="C2903" s="1" t="s">
        <v>1844</v>
      </c>
      <c r="D2903" s="1" t="s">
        <v>1462</v>
      </c>
      <c r="E2903">
        <v>20251211</v>
      </c>
      <c r="F2903" s="1" t="s">
        <v>1471</v>
      </c>
      <c r="G2903">
        <v>4</v>
      </c>
      <c r="H2903" s="1" t="s">
        <v>1520</v>
      </c>
      <c r="I2903" t="s">
        <v>1900</v>
      </c>
      <c r="J2903" s="1" t="s">
        <v>1460</v>
      </c>
      <c r="K2903" s="1" t="s">
        <v>1649</v>
      </c>
      <c r="L2903" s="1" t="s">
        <v>1731</v>
      </c>
      <c r="M2903" s="1" t="s">
        <v>1799</v>
      </c>
      <c r="N2903" t="s">
        <v>2031</v>
      </c>
      <c r="O2903" t="s">
        <v>2178</v>
      </c>
      <c r="P2903" t="s">
        <v>3159</v>
      </c>
      <c r="Q2903">
        <v>250</v>
      </c>
      <c r="R2903" s="1" t="s">
        <v>1463</v>
      </c>
      <c r="S2903">
        <v>1560</v>
      </c>
      <c r="T2903">
        <v>390000</v>
      </c>
    </row>
    <row r="2904" spans="1:20" hidden="1" x14ac:dyDescent="0.4">
      <c r="A2904" s="1" t="s">
        <v>1077</v>
      </c>
      <c r="B2904" s="1" t="s">
        <v>1453</v>
      </c>
      <c r="C2904" s="1" t="s">
        <v>1844</v>
      </c>
      <c r="D2904" s="1" t="s">
        <v>1462</v>
      </c>
      <c r="E2904">
        <v>20251210</v>
      </c>
      <c r="F2904" s="1" t="s">
        <v>1471</v>
      </c>
      <c r="G2904">
        <v>4</v>
      </c>
      <c r="H2904" s="1" t="s">
        <v>1528</v>
      </c>
      <c r="I2904" t="s">
        <v>1908</v>
      </c>
      <c r="J2904" s="1" t="s">
        <v>1460</v>
      </c>
      <c r="K2904" s="1" t="s">
        <v>1671</v>
      </c>
      <c r="L2904" s="1" t="s">
        <v>1731</v>
      </c>
      <c r="M2904" s="1" t="s">
        <v>1810</v>
      </c>
      <c r="N2904" t="s">
        <v>2060</v>
      </c>
      <c r="O2904" t="s">
        <v>2178</v>
      </c>
      <c r="P2904" t="s">
        <v>3165</v>
      </c>
      <c r="Q2904">
        <v>250</v>
      </c>
      <c r="R2904" s="1" t="s">
        <v>1463</v>
      </c>
      <c r="S2904">
        <v>578</v>
      </c>
      <c r="T2904">
        <v>144500</v>
      </c>
    </row>
    <row r="2905" spans="1:20" hidden="1" x14ac:dyDescent="0.4">
      <c r="A2905" s="1" t="s">
        <v>1078</v>
      </c>
      <c r="B2905" s="1" t="s">
        <v>1453</v>
      </c>
      <c r="C2905" s="1" t="s">
        <v>1844</v>
      </c>
      <c r="D2905" s="1" t="s">
        <v>1462</v>
      </c>
      <c r="E2905">
        <v>20251211</v>
      </c>
      <c r="F2905" s="1" t="s">
        <v>1471</v>
      </c>
      <c r="G2905">
        <v>4</v>
      </c>
      <c r="H2905" s="1" t="s">
        <v>1536</v>
      </c>
      <c r="I2905" t="s">
        <v>1916</v>
      </c>
      <c r="J2905" s="1" t="s">
        <v>1460</v>
      </c>
      <c r="K2905" s="1" t="s">
        <v>1650</v>
      </c>
      <c r="L2905" s="1" t="s">
        <v>1731</v>
      </c>
      <c r="M2905" s="1" t="s">
        <v>1747</v>
      </c>
      <c r="N2905" t="s">
        <v>2032</v>
      </c>
      <c r="O2905" t="s">
        <v>2178</v>
      </c>
      <c r="P2905" t="s">
        <v>3186</v>
      </c>
      <c r="Q2905">
        <v>1000</v>
      </c>
      <c r="R2905" s="1" t="s">
        <v>1463</v>
      </c>
      <c r="S2905">
        <v>721</v>
      </c>
      <c r="T2905">
        <v>721000</v>
      </c>
    </row>
    <row r="2906" spans="1:20" hidden="1" x14ac:dyDescent="0.4">
      <c r="A2906" s="1" t="s">
        <v>1079</v>
      </c>
      <c r="B2906" s="1" t="s">
        <v>1453</v>
      </c>
      <c r="C2906" s="1" t="s">
        <v>1844</v>
      </c>
      <c r="D2906" s="1" t="s">
        <v>1731</v>
      </c>
      <c r="E2906">
        <v>20251210</v>
      </c>
      <c r="F2906" s="1" t="s">
        <v>1473</v>
      </c>
      <c r="G2906">
        <v>1</v>
      </c>
      <c r="H2906" s="1" t="s">
        <v>1494</v>
      </c>
      <c r="I2906" t="s">
        <v>1874</v>
      </c>
      <c r="J2906" s="1" t="s">
        <v>1453</v>
      </c>
      <c r="K2906" s="1" t="s">
        <v>1611</v>
      </c>
      <c r="L2906" s="1" t="s">
        <v>1716</v>
      </c>
      <c r="M2906" s="1" t="s">
        <v>1784</v>
      </c>
      <c r="N2906" t="s">
        <v>1985</v>
      </c>
      <c r="O2906" t="s">
        <v>2162</v>
      </c>
      <c r="P2906" t="s">
        <v>3133</v>
      </c>
      <c r="Q2906">
        <v>1020</v>
      </c>
      <c r="R2906" s="1" t="s">
        <v>1463</v>
      </c>
      <c r="S2906">
        <v>1350</v>
      </c>
      <c r="T2906">
        <v>1377000</v>
      </c>
    </row>
    <row r="2907" spans="1:20" hidden="1" x14ac:dyDescent="0.4">
      <c r="A2907" s="1" t="s">
        <v>1080</v>
      </c>
      <c r="B2907" s="1" t="s">
        <v>1453</v>
      </c>
      <c r="C2907" s="1" t="s">
        <v>1844</v>
      </c>
      <c r="D2907" s="1" t="s">
        <v>1730</v>
      </c>
      <c r="E2907">
        <v>20251212</v>
      </c>
      <c r="F2907" s="1" t="s">
        <v>1470</v>
      </c>
      <c r="G2907">
        <v>4</v>
      </c>
      <c r="H2907" s="1" t="s">
        <v>1511</v>
      </c>
      <c r="I2907" t="s">
        <v>1891</v>
      </c>
      <c r="J2907" s="1" t="s">
        <v>1456</v>
      </c>
      <c r="K2907" s="1" t="s">
        <v>1573</v>
      </c>
      <c r="L2907" s="1" t="s">
        <v>1729</v>
      </c>
      <c r="M2907" s="1" t="s">
        <v>1741</v>
      </c>
      <c r="N2907" t="s">
        <v>2103</v>
      </c>
      <c r="O2907" t="s">
        <v>2573</v>
      </c>
      <c r="P2907" t="s">
        <v>3042</v>
      </c>
      <c r="Q2907">
        <v>15</v>
      </c>
      <c r="R2907" s="1" t="s">
        <v>1718</v>
      </c>
      <c r="S2907">
        <v>0</v>
      </c>
      <c r="T2907">
        <v>0</v>
      </c>
    </row>
    <row r="2908" spans="1:20" hidden="1" x14ac:dyDescent="0.4">
      <c r="A2908" s="1" t="s">
        <v>1081</v>
      </c>
      <c r="B2908" s="1" t="s">
        <v>1453</v>
      </c>
      <c r="C2908" s="1" t="s">
        <v>1844</v>
      </c>
      <c r="D2908" s="1" t="s">
        <v>1467</v>
      </c>
      <c r="E2908">
        <v>20251215</v>
      </c>
      <c r="F2908" s="1" t="s">
        <v>1470</v>
      </c>
      <c r="G2908">
        <v>4</v>
      </c>
      <c r="H2908" s="1" t="s">
        <v>1511</v>
      </c>
      <c r="I2908" t="s">
        <v>1891</v>
      </c>
      <c r="J2908" s="1" t="s">
        <v>1456</v>
      </c>
      <c r="K2908" s="1" t="s">
        <v>1575</v>
      </c>
      <c r="L2908" s="1" t="s">
        <v>1729</v>
      </c>
      <c r="M2908" s="1" t="s">
        <v>1735</v>
      </c>
      <c r="N2908" t="s">
        <v>1948</v>
      </c>
      <c r="O2908" t="s">
        <v>2574</v>
      </c>
      <c r="P2908" t="s">
        <v>3037</v>
      </c>
      <c r="Q2908">
        <v>240</v>
      </c>
      <c r="R2908" s="1" t="s">
        <v>1718</v>
      </c>
      <c r="S2908">
        <v>4080</v>
      </c>
      <c r="T2908">
        <v>979200</v>
      </c>
    </row>
    <row r="2909" spans="1:20" hidden="1" x14ac:dyDescent="0.4">
      <c r="A2909" s="1" t="s">
        <v>1081</v>
      </c>
      <c r="B2909" s="1" t="s">
        <v>1454</v>
      </c>
      <c r="C2909" s="1" t="s">
        <v>1844</v>
      </c>
      <c r="D2909" s="1" t="s">
        <v>1467</v>
      </c>
      <c r="E2909">
        <v>20251215</v>
      </c>
      <c r="F2909" s="1" t="s">
        <v>1470</v>
      </c>
      <c r="G2909">
        <v>4</v>
      </c>
      <c r="H2909" s="1" t="s">
        <v>1511</v>
      </c>
      <c r="I2909" t="s">
        <v>1891</v>
      </c>
      <c r="J2909" s="1" t="s">
        <v>1456</v>
      </c>
      <c r="K2909" s="1" t="s">
        <v>1575</v>
      </c>
      <c r="L2909" s="1" t="s">
        <v>1729</v>
      </c>
      <c r="M2909" s="1" t="s">
        <v>1735</v>
      </c>
      <c r="N2909" t="s">
        <v>1948</v>
      </c>
      <c r="O2909" t="s">
        <v>2575</v>
      </c>
      <c r="P2909" t="s">
        <v>3037</v>
      </c>
      <c r="Q2909">
        <v>170</v>
      </c>
      <c r="R2909" s="1" t="s">
        <v>1718</v>
      </c>
      <c r="S2909">
        <v>12460</v>
      </c>
      <c r="T2909">
        <v>2118200</v>
      </c>
    </row>
    <row r="2910" spans="1:20" hidden="1" x14ac:dyDescent="0.4">
      <c r="A2910" s="1" t="s">
        <v>1082</v>
      </c>
      <c r="B2910" s="1" t="s">
        <v>1453</v>
      </c>
      <c r="C2910" s="1" t="s">
        <v>1844</v>
      </c>
      <c r="D2910" s="1" t="s">
        <v>1467</v>
      </c>
      <c r="E2910">
        <v>20251212</v>
      </c>
      <c r="F2910" s="1" t="s">
        <v>1473</v>
      </c>
      <c r="G2910">
        <v>4</v>
      </c>
      <c r="H2910" s="1" t="s">
        <v>1521</v>
      </c>
      <c r="I2910" t="s">
        <v>1901</v>
      </c>
      <c r="J2910" s="1" t="s">
        <v>1453</v>
      </c>
      <c r="K2910" s="1" t="s">
        <v>1595</v>
      </c>
      <c r="L2910" s="1" t="s">
        <v>1718</v>
      </c>
      <c r="M2910" s="1" t="s">
        <v>1735</v>
      </c>
      <c r="N2910" t="s">
        <v>2059</v>
      </c>
      <c r="O2910" t="s">
        <v>2164</v>
      </c>
      <c r="P2910" t="s">
        <v>3079</v>
      </c>
      <c r="Q2910">
        <v>75</v>
      </c>
      <c r="R2910" s="1" t="s">
        <v>1839</v>
      </c>
      <c r="S2910">
        <v>2333</v>
      </c>
      <c r="T2910">
        <v>174975</v>
      </c>
    </row>
    <row r="2911" spans="1:20" hidden="1" x14ac:dyDescent="0.4">
      <c r="A2911" s="1" t="s">
        <v>1082</v>
      </c>
      <c r="B2911" s="1" t="s">
        <v>1454</v>
      </c>
      <c r="C2911" s="1" t="s">
        <v>1844</v>
      </c>
      <c r="D2911" s="1" t="s">
        <v>1467</v>
      </c>
      <c r="E2911">
        <v>20251212</v>
      </c>
      <c r="F2911" s="1" t="s">
        <v>1473</v>
      </c>
      <c r="G2911">
        <v>4</v>
      </c>
      <c r="H2911" s="1" t="s">
        <v>1521</v>
      </c>
      <c r="I2911" t="s">
        <v>1901</v>
      </c>
      <c r="J2911" s="1" t="s">
        <v>1453</v>
      </c>
      <c r="K2911" s="1" t="s">
        <v>1595</v>
      </c>
      <c r="L2911" s="1" t="s">
        <v>1718</v>
      </c>
      <c r="M2911" s="1" t="s">
        <v>1735</v>
      </c>
      <c r="N2911" t="s">
        <v>2059</v>
      </c>
      <c r="O2911" t="s">
        <v>2164</v>
      </c>
      <c r="P2911" t="s">
        <v>3079</v>
      </c>
      <c r="Q2911">
        <v>75</v>
      </c>
      <c r="R2911" s="1" t="s">
        <v>1839</v>
      </c>
      <c r="S2911">
        <v>2333</v>
      </c>
      <c r="T2911">
        <v>174975</v>
      </c>
    </row>
    <row r="2912" spans="1:20" hidden="1" x14ac:dyDescent="0.4">
      <c r="A2912" s="1" t="s">
        <v>1082</v>
      </c>
      <c r="B2912" s="1" t="s">
        <v>1455</v>
      </c>
      <c r="C2912" s="1" t="s">
        <v>1844</v>
      </c>
      <c r="D2912" s="1" t="s">
        <v>1467</v>
      </c>
      <c r="E2912">
        <v>20251212</v>
      </c>
      <c r="F2912" s="1" t="s">
        <v>1473</v>
      </c>
      <c r="G2912">
        <v>4</v>
      </c>
      <c r="H2912" s="1" t="s">
        <v>1521</v>
      </c>
      <c r="I2912" t="s">
        <v>1901</v>
      </c>
      <c r="J2912" s="1" t="s">
        <v>1453</v>
      </c>
      <c r="K2912" s="1" t="s">
        <v>1595</v>
      </c>
      <c r="L2912" s="1" t="s">
        <v>1718</v>
      </c>
      <c r="M2912" s="1" t="s">
        <v>1735</v>
      </c>
      <c r="N2912" t="s">
        <v>2059</v>
      </c>
      <c r="O2912" t="s">
        <v>2164</v>
      </c>
      <c r="P2912" t="s">
        <v>3079</v>
      </c>
      <c r="Q2912">
        <v>73.75</v>
      </c>
      <c r="R2912" s="1" t="s">
        <v>1839</v>
      </c>
      <c r="S2912">
        <v>2333</v>
      </c>
      <c r="T2912">
        <v>172059</v>
      </c>
    </row>
    <row r="2913" spans="1:20" hidden="1" x14ac:dyDescent="0.4">
      <c r="A2913" s="1" t="s">
        <v>1082</v>
      </c>
      <c r="B2913" s="1" t="s">
        <v>1456</v>
      </c>
      <c r="C2913" s="1" t="s">
        <v>1844</v>
      </c>
      <c r="D2913" s="1" t="s">
        <v>1467</v>
      </c>
      <c r="E2913">
        <v>20251212</v>
      </c>
      <c r="F2913" s="1" t="s">
        <v>1473</v>
      </c>
      <c r="G2913">
        <v>4</v>
      </c>
      <c r="H2913" s="1" t="s">
        <v>1521</v>
      </c>
      <c r="I2913" t="s">
        <v>1901</v>
      </c>
      <c r="J2913" s="1" t="s">
        <v>1453</v>
      </c>
      <c r="K2913" s="1" t="s">
        <v>1595</v>
      </c>
      <c r="L2913" s="1" t="s">
        <v>1718</v>
      </c>
      <c r="M2913" s="1" t="s">
        <v>1735</v>
      </c>
      <c r="N2913" t="s">
        <v>2059</v>
      </c>
      <c r="O2913" t="s">
        <v>2164</v>
      </c>
      <c r="P2913" t="s">
        <v>3079</v>
      </c>
      <c r="Q2913">
        <v>75.5</v>
      </c>
      <c r="R2913" s="1" t="s">
        <v>1839</v>
      </c>
      <c r="S2913">
        <v>2333</v>
      </c>
      <c r="T2913">
        <v>176142</v>
      </c>
    </row>
    <row r="2914" spans="1:20" hidden="1" x14ac:dyDescent="0.4">
      <c r="A2914" s="1" t="s">
        <v>1082</v>
      </c>
      <c r="B2914" s="1" t="s">
        <v>1457</v>
      </c>
      <c r="C2914" s="1" t="s">
        <v>1844</v>
      </c>
      <c r="D2914" s="1" t="s">
        <v>1467</v>
      </c>
      <c r="E2914">
        <v>20251212</v>
      </c>
      <c r="F2914" s="1" t="s">
        <v>1473</v>
      </c>
      <c r="G2914">
        <v>4</v>
      </c>
      <c r="H2914" s="1" t="s">
        <v>1521</v>
      </c>
      <c r="I2914" t="s">
        <v>1901</v>
      </c>
      <c r="J2914" s="1" t="s">
        <v>1453</v>
      </c>
      <c r="K2914" s="1" t="s">
        <v>1595</v>
      </c>
      <c r="L2914" s="1" t="s">
        <v>1718</v>
      </c>
      <c r="M2914" s="1" t="s">
        <v>1735</v>
      </c>
      <c r="N2914" t="s">
        <v>2059</v>
      </c>
      <c r="O2914" t="s">
        <v>2164</v>
      </c>
      <c r="P2914" t="s">
        <v>3079</v>
      </c>
      <c r="Q2914">
        <v>75</v>
      </c>
      <c r="R2914" s="1" t="s">
        <v>1839</v>
      </c>
      <c r="S2914">
        <v>2333</v>
      </c>
      <c r="T2914">
        <v>174975</v>
      </c>
    </row>
    <row r="2915" spans="1:20" hidden="1" x14ac:dyDescent="0.4">
      <c r="A2915" s="1" t="s">
        <v>1082</v>
      </c>
      <c r="B2915" s="1" t="s">
        <v>1458</v>
      </c>
      <c r="C2915" s="1" t="s">
        <v>1844</v>
      </c>
      <c r="D2915" s="1" t="s">
        <v>1467</v>
      </c>
      <c r="E2915">
        <v>20251212</v>
      </c>
      <c r="F2915" s="1" t="s">
        <v>1473</v>
      </c>
      <c r="G2915">
        <v>4</v>
      </c>
      <c r="H2915" s="1" t="s">
        <v>1521</v>
      </c>
      <c r="I2915" t="s">
        <v>1901</v>
      </c>
      <c r="J2915" s="1" t="s">
        <v>1453</v>
      </c>
      <c r="K2915" s="1" t="s">
        <v>1595</v>
      </c>
      <c r="L2915" s="1" t="s">
        <v>1718</v>
      </c>
      <c r="M2915" s="1" t="s">
        <v>1735</v>
      </c>
      <c r="N2915" t="s">
        <v>2059</v>
      </c>
      <c r="O2915" t="s">
        <v>2164</v>
      </c>
      <c r="P2915" t="s">
        <v>3079</v>
      </c>
      <c r="Q2915">
        <v>76</v>
      </c>
      <c r="R2915" s="1" t="s">
        <v>1839</v>
      </c>
      <c r="S2915">
        <v>2333</v>
      </c>
      <c r="T2915">
        <v>177308</v>
      </c>
    </row>
    <row r="2916" spans="1:20" hidden="1" x14ac:dyDescent="0.4">
      <c r="A2916" s="1" t="s">
        <v>1082</v>
      </c>
      <c r="B2916" s="1" t="s">
        <v>1459</v>
      </c>
      <c r="C2916" s="1" t="s">
        <v>1844</v>
      </c>
      <c r="D2916" s="1" t="s">
        <v>1467</v>
      </c>
      <c r="E2916">
        <v>20251212</v>
      </c>
      <c r="F2916" s="1" t="s">
        <v>1473</v>
      </c>
      <c r="G2916">
        <v>4</v>
      </c>
      <c r="H2916" s="1" t="s">
        <v>1521</v>
      </c>
      <c r="I2916" t="s">
        <v>1901</v>
      </c>
      <c r="J2916" s="1" t="s">
        <v>1453</v>
      </c>
      <c r="K2916" s="1" t="s">
        <v>1595</v>
      </c>
      <c r="L2916" s="1" t="s">
        <v>1718</v>
      </c>
      <c r="M2916" s="1" t="s">
        <v>1735</v>
      </c>
      <c r="N2916" t="s">
        <v>2059</v>
      </c>
      <c r="O2916" t="s">
        <v>2164</v>
      </c>
      <c r="P2916" t="s">
        <v>3079</v>
      </c>
      <c r="Q2916">
        <v>75</v>
      </c>
      <c r="R2916" s="1" t="s">
        <v>1839</v>
      </c>
      <c r="S2916">
        <v>2333</v>
      </c>
      <c r="T2916">
        <v>174975</v>
      </c>
    </row>
    <row r="2917" spans="1:20" hidden="1" x14ac:dyDescent="0.4">
      <c r="A2917" s="1" t="s">
        <v>1082</v>
      </c>
      <c r="B2917" s="1" t="s">
        <v>1460</v>
      </c>
      <c r="C2917" s="1" t="s">
        <v>1844</v>
      </c>
      <c r="D2917" s="1" t="s">
        <v>1467</v>
      </c>
      <c r="E2917">
        <v>20251212</v>
      </c>
      <c r="F2917" s="1" t="s">
        <v>1473</v>
      </c>
      <c r="G2917">
        <v>4</v>
      </c>
      <c r="H2917" s="1" t="s">
        <v>1521</v>
      </c>
      <c r="I2917" t="s">
        <v>1901</v>
      </c>
      <c r="J2917" s="1" t="s">
        <v>1453</v>
      </c>
      <c r="K2917" s="1" t="s">
        <v>1595</v>
      </c>
      <c r="L2917" s="1" t="s">
        <v>1718</v>
      </c>
      <c r="M2917" s="1" t="s">
        <v>1735</v>
      </c>
      <c r="N2917" t="s">
        <v>2059</v>
      </c>
      <c r="O2917" t="s">
        <v>2164</v>
      </c>
      <c r="P2917" t="s">
        <v>3079</v>
      </c>
      <c r="Q2917">
        <v>75</v>
      </c>
      <c r="R2917" s="1" t="s">
        <v>1839</v>
      </c>
      <c r="S2917">
        <v>2333</v>
      </c>
      <c r="T2917">
        <v>174975</v>
      </c>
    </row>
    <row r="2918" spans="1:20" hidden="1" x14ac:dyDescent="0.4">
      <c r="A2918" s="1" t="s">
        <v>1082</v>
      </c>
      <c r="B2918" s="1" t="s">
        <v>1461</v>
      </c>
      <c r="C2918" s="1" t="s">
        <v>1844</v>
      </c>
      <c r="D2918" s="1" t="s">
        <v>1467</v>
      </c>
      <c r="E2918">
        <v>20251212</v>
      </c>
      <c r="F2918" s="1" t="s">
        <v>1473</v>
      </c>
      <c r="G2918">
        <v>4</v>
      </c>
      <c r="H2918" s="1" t="s">
        <v>1521</v>
      </c>
      <c r="I2918" t="s">
        <v>1901</v>
      </c>
      <c r="J2918" s="1" t="s">
        <v>1453</v>
      </c>
      <c r="K2918" s="1" t="s">
        <v>1595</v>
      </c>
      <c r="L2918" s="1" t="s">
        <v>1718</v>
      </c>
      <c r="M2918" s="1" t="s">
        <v>1735</v>
      </c>
      <c r="N2918" t="s">
        <v>2059</v>
      </c>
      <c r="O2918" t="s">
        <v>2164</v>
      </c>
      <c r="P2918" t="s">
        <v>3079</v>
      </c>
      <c r="Q2918">
        <v>75</v>
      </c>
      <c r="R2918" s="1" t="s">
        <v>1839</v>
      </c>
      <c r="S2918">
        <v>2333</v>
      </c>
      <c r="T2918">
        <v>174975</v>
      </c>
    </row>
    <row r="2919" spans="1:20" hidden="1" x14ac:dyDescent="0.4">
      <c r="A2919" s="1" t="s">
        <v>1082</v>
      </c>
      <c r="B2919" s="1" t="s">
        <v>1462</v>
      </c>
      <c r="C2919" s="1" t="s">
        <v>1844</v>
      </c>
      <c r="D2919" s="1" t="s">
        <v>1467</v>
      </c>
      <c r="E2919">
        <v>20251212</v>
      </c>
      <c r="F2919" s="1" t="s">
        <v>1473</v>
      </c>
      <c r="G2919">
        <v>4</v>
      </c>
      <c r="H2919" s="1" t="s">
        <v>1521</v>
      </c>
      <c r="I2919" t="s">
        <v>1901</v>
      </c>
      <c r="J2919" s="1" t="s">
        <v>1453</v>
      </c>
      <c r="K2919" s="1" t="s">
        <v>1595</v>
      </c>
      <c r="L2919" s="1" t="s">
        <v>1718</v>
      </c>
      <c r="M2919" s="1" t="s">
        <v>1735</v>
      </c>
      <c r="N2919" t="s">
        <v>2059</v>
      </c>
      <c r="O2919" t="s">
        <v>2164</v>
      </c>
      <c r="P2919" t="s">
        <v>3079</v>
      </c>
      <c r="Q2919">
        <v>75</v>
      </c>
      <c r="R2919" s="1" t="s">
        <v>1839</v>
      </c>
      <c r="S2919">
        <v>2333</v>
      </c>
      <c r="T2919">
        <v>174975</v>
      </c>
    </row>
    <row r="2920" spans="1:20" hidden="1" x14ac:dyDescent="0.4">
      <c r="A2920" s="1" t="s">
        <v>1083</v>
      </c>
      <c r="B2920" s="1" t="s">
        <v>1453</v>
      </c>
      <c r="C2920" s="1" t="s">
        <v>1844</v>
      </c>
      <c r="D2920" s="1" t="s">
        <v>1467</v>
      </c>
      <c r="E2920">
        <v>20251212</v>
      </c>
      <c r="F2920" s="1" t="s">
        <v>1473</v>
      </c>
      <c r="G2920">
        <v>4</v>
      </c>
      <c r="H2920" s="1" t="s">
        <v>1521</v>
      </c>
      <c r="I2920" t="s">
        <v>1901</v>
      </c>
      <c r="J2920" s="1" t="s">
        <v>1453</v>
      </c>
      <c r="K2920" s="1" t="s">
        <v>1595</v>
      </c>
      <c r="L2920" s="1" t="s">
        <v>1718</v>
      </c>
      <c r="M2920" s="1" t="s">
        <v>1735</v>
      </c>
      <c r="N2920" t="s">
        <v>2059</v>
      </c>
      <c r="O2920" t="s">
        <v>2164</v>
      </c>
      <c r="P2920" t="s">
        <v>3079</v>
      </c>
      <c r="Q2920">
        <v>77.75</v>
      </c>
      <c r="R2920" s="1" t="s">
        <v>1839</v>
      </c>
      <c r="S2920">
        <v>2333</v>
      </c>
      <c r="T2920">
        <v>181391</v>
      </c>
    </row>
    <row r="2921" spans="1:20" hidden="1" x14ac:dyDescent="0.4">
      <c r="A2921" s="1" t="s">
        <v>1083</v>
      </c>
      <c r="B2921" s="1" t="s">
        <v>1454</v>
      </c>
      <c r="C2921" s="1" t="s">
        <v>1844</v>
      </c>
      <c r="D2921" s="1" t="s">
        <v>1467</v>
      </c>
      <c r="E2921">
        <v>20251212</v>
      </c>
      <c r="F2921" s="1" t="s">
        <v>1473</v>
      </c>
      <c r="G2921">
        <v>4</v>
      </c>
      <c r="H2921" s="1" t="s">
        <v>1521</v>
      </c>
      <c r="I2921" t="s">
        <v>1901</v>
      </c>
      <c r="J2921" s="1" t="s">
        <v>1453</v>
      </c>
      <c r="K2921" s="1" t="s">
        <v>1595</v>
      </c>
      <c r="L2921" s="1" t="s">
        <v>1718</v>
      </c>
      <c r="M2921" s="1" t="s">
        <v>1735</v>
      </c>
      <c r="N2921" t="s">
        <v>2059</v>
      </c>
      <c r="O2921" t="s">
        <v>2164</v>
      </c>
      <c r="P2921" t="s">
        <v>3079</v>
      </c>
      <c r="Q2921">
        <v>71.5</v>
      </c>
      <c r="R2921" s="1" t="s">
        <v>1839</v>
      </c>
      <c r="S2921">
        <v>2333</v>
      </c>
      <c r="T2921">
        <v>166810</v>
      </c>
    </row>
    <row r="2922" spans="1:20" hidden="1" x14ac:dyDescent="0.4">
      <c r="A2922" s="1" t="s">
        <v>1083</v>
      </c>
      <c r="B2922" s="1" t="s">
        <v>1455</v>
      </c>
      <c r="C2922" s="1" t="s">
        <v>1844</v>
      </c>
      <c r="D2922" s="1" t="s">
        <v>1467</v>
      </c>
      <c r="E2922">
        <v>20251212</v>
      </c>
      <c r="F2922" s="1" t="s">
        <v>1473</v>
      </c>
      <c r="G2922">
        <v>4</v>
      </c>
      <c r="H2922" s="1" t="s">
        <v>1521</v>
      </c>
      <c r="I2922" t="s">
        <v>1901</v>
      </c>
      <c r="J2922" s="1" t="s">
        <v>1453</v>
      </c>
      <c r="K2922" s="1" t="s">
        <v>1595</v>
      </c>
      <c r="L2922" s="1" t="s">
        <v>1718</v>
      </c>
      <c r="M2922" s="1" t="s">
        <v>1735</v>
      </c>
      <c r="N2922" t="s">
        <v>2059</v>
      </c>
      <c r="O2922" t="s">
        <v>2164</v>
      </c>
      <c r="P2922" t="s">
        <v>3079</v>
      </c>
      <c r="Q2922">
        <v>75</v>
      </c>
      <c r="R2922" s="1" t="s">
        <v>1839</v>
      </c>
      <c r="S2922">
        <v>2333</v>
      </c>
      <c r="T2922">
        <v>174975</v>
      </c>
    </row>
    <row r="2923" spans="1:20" hidden="1" x14ac:dyDescent="0.4">
      <c r="A2923" s="1" t="s">
        <v>1083</v>
      </c>
      <c r="B2923" s="1" t="s">
        <v>1456</v>
      </c>
      <c r="C2923" s="1" t="s">
        <v>1844</v>
      </c>
      <c r="D2923" s="1" t="s">
        <v>1467</v>
      </c>
      <c r="E2923">
        <v>20251212</v>
      </c>
      <c r="F2923" s="1" t="s">
        <v>1473</v>
      </c>
      <c r="G2923">
        <v>4</v>
      </c>
      <c r="H2923" s="1" t="s">
        <v>1521</v>
      </c>
      <c r="I2923" t="s">
        <v>1901</v>
      </c>
      <c r="J2923" s="1" t="s">
        <v>1453</v>
      </c>
      <c r="K2923" s="1" t="s">
        <v>1595</v>
      </c>
      <c r="L2923" s="1" t="s">
        <v>1718</v>
      </c>
      <c r="M2923" s="1" t="s">
        <v>1735</v>
      </c>
      <c r="N2923" t="s">
        <v>2059</v>
      </c>
      <c r="O2923" t="s">
        <v>2164</v>
      </c>
      <c r="P2923" t="s">
        <v>3079</v>
      </c>
      <c r="Q2923">
        <v>75.5</v>
      </c>
      <c r="R2923" s="1" t="s">
        <v>1839</v>
      </c>
      <c r="S2923">
        <v>2333</v>
      </c>
      <c r="T2923">
        <v>176142</v>
      </c>
    </row>
    <row r="2924" spans="1:20" hidden="1" x14ac:dyDescent="0.4">
      <c r="A2924" s="1" t="s">
        <v>1083</v>
      </c>
      <c r="B2924" s="1" t="s">
        <v>1457</v>
      </c>
      <c r="C2924" s="1" t="s">
        <v>1844</v>
      </c>
      <c r="D2924" s="1" t="s">
        <v>1467</v>
      </c>
      <c r="E2924">
        <v>20251212</v>
      </c>
      <c r="F2924" s="1" t="s">
        <v>1473</v>
      </c>
      <c r="G2924">
        <v>4</v>
      </c>
      <c r="H2924" s="1" t="s">
        <v>1521</v>
      </c>
      <c r="I2924" t="s">
        <v>1901</v>
      </c>
      <c r="J2924" s="1" t="s">
        <v>1453</v>
      </c>
      <c r="K2924" s="1" t="s">
        <v>1595</v>
      </c>
      <c r="L2924" s="1" t="s">
        <v>1718</v>
      </c>
      <c r="M2924" s="1" t="s">
        <v>1735</v>
      </c>
      <c r="N2924" t="s">
        <v>2059</v>
      </c>
      <c r="O2924" t="s">
        <v>2164</v>
      </c>
      <c r="P2924" t="s">
        <v>3079</v>
      </c>
      <c r="Q2924">
        <v>75</v>
      </c>
      <c r="R2924" s="1" t="s">
        <v>1839</v>
      </c>
      <c r="S2924">
        <v>2333</v>
      </c>
      <c r="T2924">
        <v>174975</v>
      </c>
    </row>
    <row r="2925" spans="1:20" hidden="1" x14ac:dyDescent="0.4">
      <c r="A2925" s="1" t="s">
        <v>1083</v>
      </c>
      <c r="B2925" s="1" t="s">
        <v>1458</v>
      </c>
      <c r="C2925" s="1" t="s">
        <v>1844</v>
      </c>
      <c r="D2925" s="1" t="s">
        <v>1467</v>
      </c>
      <c r="E2925">
        <v>20251212</v>
      </c>
      <c r="F2925" s="1" t="s">
        <v>1473</v>
      </c>
      <c r="G2925">
        <v>4</v>
      </c>
      <c r="H2925" s="1" t="s">
        <v>1521</v>
      </c>
      <c r="I2925" t="s">
        <v>1901</v>
      </c>
      <c r="J2925" s="1" t="s">
        <v>1453</v>
      </c>
      <c r="K2925" s="1" t="s">
        <v>1595</v>
      </c>
      <c r="L2925" s="1" t="s">
        <v>1718</v>
      </c>
      <c r="M2925" s="1" t="s">
        <v>1735</v>
      </c>
      <c r="N2925" t="s">
        <v>2059</v>
      </c>
      <c r="O2925" t="s">
        <v>2164</v>
      </c>
      <c r="P2925" t="s">
        <v>3079</v>
      </c>
      <c r="Q2925">
        <v>75</v>
      </c>
      <c r="R2925" s="1" t="s">
        <v>1839</v>
      </c>
      <c r="S2925">
        <v>2333</v>
      </c>
      <c r="T2925">
        <v>174975</v>
      </c>
    </row>
    <row r="2926" spans="1:20" hidden="1" x14ac:dyDescent="0.4">
      <c r="A2926" s="1" t="s">
        <v>1083</v>
      </c>
      <c r="B2926" s="1" t="s">
        <v>1459</v>
      </c>
      <c r="C2926" s="1" t="s">
        <v>1844</v>
      </c>
      <c r="D2926" s="1" t="s">
        <v>1467</v>
      </c>
      <c r="E2926">
        <v>20251212</v>
      </c>
      <c r="F2926" s="1" t="s">
        <v>1473</v>
      </c>
      <c r="G2926">
        <v>4</v>
      </c>
      <c r="H2926" s="1" t="s">
        <v>1521</v>
      </c>
      <c r="I2926" t="s">
        <v>1901</v>
      </c>
      <c r="J2926" s="1" t="s">
        <v>1453</v>
      </c>
      <c r="K2926" s="1" t="s">
        <v>1595</v>
      </c>
      <c r="L2926" s="1" t="s">
        <v>1718</v>
      </c>
      <c r="M2926" s="1" t="s">
        <v>1735</v>
      </c>
      <c r="N2926" t="s">
        <v>2059</v>
      </c>
      <c r="O2926" t="s">
        <v>2164</v>
      </c>
      <c r="P2926" t="s">
        <v>3079</v>
      </c>
      <c r="Q2926">
        <v>75</v>
      </c>
      <c r="R2926" s="1" t="s">
        <v>1839</v>
      </c>
      <c r="S2926">
        <v>2333</v>
      </c>
      <c r="T2926">
        <v>174975</v>
      </c>
    </row>
    <row r="2927" spans="1:20" hidden="1" x14ac:dyDescent="0.4">
      <c r="A2927" s="1" t="s">
        <v>1083</v>
      </c>
      <c r="B2927" s="1" t="s">
        <v>1460</v>
      </c>
      <c r="C2927" s="1" t="s">
        <v>1844</v>
      </c>
      <c r="D2927" s="1" t="s">
        <v>1467</v>
      </c>
      <c r="E2927">
        <v>20251212</v>
      </c>
      <c r="F2927" s="1" t="s">
        <v>1473</v>
      </c>
      <c r="G2927">
        <v>4</v>
      </c>
      <c r="H2927" s="1" t="s">
        <v>1521</v>
      </c>
      <c r="I2927" t="s">
        <v>1901</v>
      </c>
      <c r="J2927" s="1" t="s">
        <v>1453</v>
      </c>
      <c r="K2927" s="1" t="s">
        <v>1595</v>
      </c>
      <c r="L2927" s="1" t="s">
        <v>1718</v>
      </c>
      <c r="M2927" s="1" t="s">
        <v>1735</v>
      </c>
      <c r="N2927" t="s">
        <v>2059</v>
      </c>
      <c r="O2927" t="s">
        <v>2164</v>
      </c>
      <c r="P2927" t="s">
        <v>3079</v>
      </c>
      <c r="Q2927">
        <v>76.25</v>
      </c>
      <c r="R2927" s="1" t="s">
        <v>1839</v>
      </c>
      <c r="S2927">
        <v>2333</v>
      </c>
      <c r="T2927">
        <v>177891</v>
      </c>
    </row>
    <row r="2928" spans="1:20" hidden="1" x14ac:dyDescent="0.4">
      <c r="A2928" s="1" t="s">
        <v>1083</v>
      </c>
      <c r="B2928" s="1" t="s">
        <v>1461</v>
      </c>
      <c r="C2928" s="1" t="s">
        <v>1844</v>
      </c>
      <c r="D2928" s="1" t="s">
        <v>1467</v>
      </c>
      <c r="E2928">
        <v>20251212</v>
      </c>
      <c r="F2928" s="1" t="s">
        <v>1473</v>
      </c>
      <c r="G2928">
        <v>4</v>
      </c>
      <c r="H2928" s="1" t="s">
        <v>1521</v>
      </c>
      <c r="I2928" t="s">
        <v>1901</v>
      </c>
      <c r="J2928" s="1" t="s">
        <v>1453</v>
      </c>
      <c r="K2928" s="1" t="s">
        <v>1595</v>
      </c>
      <c r="L2928" s="1" t="s">
        <v>1718</v>
      </c>
      <c r="M2928" s="1" t="s">
        <v>1735</v>
      </c>
      <c r="N2928" t="s">
        <v>2059</v>
      </c>
      <c r="O2928" t="s">
        <v>2164</v>
      </c>
      <c r="P2928" t="s">
        <v>3079</v>
      </c>
      <c r="Q2928">
        <v>82.5</v>
      </c>
      <c r="R2928" s="1" t="s">
        <v>1839</v>
      </c>
      <c r="S2928">
        <v>2333</v>
      </c>
      <c r="T2928">
        <v>192473</v>
      </c>
    </row>
    <row r="2929" spans="1:20" hidden="1" x14ac:dyDescent="0.4">
      <c r="A2929" s="1" t="s">
        <v>1083</v>
      </c>
      <c r="B2929" s="1" t="s">
        <v>1462</v>
      </c>
      <c r="C2929" s="1" t="s">
        <v>1844</v>
      </c>
      <c r="D2929" s="1" t="s">
        <v>1467</v>
      </c>
      <c r="E2929">
        <v>20251212</v>
      </c>
      <c r="F2929" s="1" t="s">
        <v>1473</v>
      </c>
      <c r="G2929">
        <v>4</v>
      </c>
      <c r="H2929" s="1" t="s">
        <v>1521</v>
      </c>
      <c r="I2929" t="s">
        <v>1901</v>
      </c>
      <c r="J2929" s="1" t="s">
        <v>1453</v>
      </c>
      <c r="K2929" s="1" t="s">
        <v>1595</v>
      </c>
      <c r="L2929" s="1" t="s">
        <v>1718</v>
      </c>
      <c r="M2929" s="1" t="s">
        <v>1735</v>
      </c>
      <c r="N2929" t="s">
        <v>2059</v>
      </c>
      <c r="O2929" t="s">
        <v>2164</v>
      </c>
      <c r="P2929" t="s">
        <v>3079</v>
      </c>
      <c r="Q2929">
        <v>82.5</v>
      </c>
      <c r="R2929" s="1" t="s">
        <v>1839</v>
      </c>
      <c r="S2929">
        <v>2333</v>
      </c>
      <c r="T2929">
        <v>192473</v>
      </c>
    </row>
    <row r="2930" spans="1:20" hidden="1" x14ac:dyDescent="0.4">
      <c r="A2930" s="1" t="s">
        <v>1084</v>
      </c>
      <c r="B2930" s="1" t="s">
        <v>1453</v>
      </c>
      <c r="C2930" s="1" t="s">
        <v>1844</v>
      </c>
      <c r="D2930" s="1" t="s">
        <v>1467</v>
      </c>
      <c r="E2930">
        <v>20251212</v>
      </c>
      <c r="F2930" s="1" t="s">
        <v>1473</v>
      </c>
      <c r="G2930">
        <v>4</v>
      </c>
      <c r="H2930" s="1" t="s">
        <v>1521</v>
      </c>
      <c r="I2930" t="s">
        <v>1901</v>
      </c>
      <c r="J2930" s="1" t="s">
        <v>1453</v>
      </c>
      <c r="K2930" s="1" t="s">
        <v>1595</v>
      </c>
      <c r="L2930" s="1" t="s">
        <v>1718</v>
      </c>
      <c r="M2930" s="1" t="s">
        <v>1735</v>
      </c>
      <c r="N2930" t="s">
        <v>2059</v>
      </c>
      <c r="O2930" t="s">
        <v>2164</v>
      </c>
      <c r="P2930" t="s">
        <v>3079</v>
      </c>
      <c r="Q2930">
        <v>82.5</v>
      </c>
      <c r="R2930" s="1" t="s">
        <v>1839</v>
      </c>
      <c r="S2930">
        <v>2333</v>
      </c>
      <c r="T2930">
        <v>192473</v>
      </c>
    </row>
    <row r="2931" spans="1:20" hidden="1" x14ac:dyDescent="0.4">
      <c r="A2931" s="1" t="s">
        <v>1084</v>
      </c>
      <c r="B2931" s="1" t="s">
        <v>1454</v>
      </c>
      <c r="C2931" s="1" t="s">
        <v>1844</v>
      </c>
      <c r="D2931" s="1" t="s">
        <v>1467</v>
      </c>
      <c r="E2931">
        <v>20251212</v>
      </c>
      <c r="F2931" s="1" t="s">
        <v>1473</v>
      </c>
      <c r="G2931">
        <v>4</v>
      </c>
      <c r="H2931" s="1" t="s">
        <v>1521</v>
      </c>
      <c r="I2931" t="s">
        <v>1901</v>
      </c>
      <c r="J2931" s="1" t="s">
        <v>1453</v>
      </c>
      <c r="K2931" s="1" t="s">
        <v>1595</v>
      </c>
      <c r="L2931" s="1" t="s">
        <v>1718</v>
      </c>
      <c r="M2931" s="1" t="s">
        <v>1735</v>
      </c>
      <c r="N2931" t="s">
        <v>2059</v>
      </c>
      <c r="O2931" t="s">
        <v>2164</v>
      </c>
      <c r="P2931" t="s">
        <v>3079</v>
      </c>
      <c r="Q2931">
        <v>80.25</v>
      </c>
      <c r="R2931" s="1" t="s">
        <v>1839</v>
      </c>
      <c r="S2931">
        <v>2333</v>
      </c>
      <c r="T2931">
        <v>187223</v>
      </c>
    </row>
    <row r="2932" spans="1:20" hidden="1" x14ac:dyDescent="0.4">
      <c r="A2932" s="1" t="s">
        <v>1084</v>
      </c>
      <c r="B2932" s="1" t="s">
        <v>1455</v>
      </c>
      <c r="C2932" s="1" t="s">
        <v>1844</v>
      </c>
      <c r="D2932" s="1" t="s">
        <v>1467</v>
      </c>
      <c r="E2932">
        <v>20251212</v>
      </c>
      <c r="F2932" s="1" t="s">
        <v>1473</v>
      </c>
      <c r="G2932">
        <v>4</v>
      </c>
      <c r="H2932" s="1" t="s">
        <v>1521</v>
      </c>
      <c r="I2932" t="s">
        <v>1901</v>
      </c>
      <c r="J2932" s="1" t="s">
        <v>1453</v>
      </c>
      <c r="K2932" s="1" t="s">
        <v>1595</v>
      </c>
      <c r="L2932" s="1" t="s">
        <v>1718</v>
      </c>
      <c r="M2932" s="1" t="s">
        <v>1735</v>
      </c>
      <c r="N2932" t="s">
        <v>2059</v>
      </c>
      <c r="O2932" t="s">
        <v>2164</v>
      </c>
      <c r="P2932" t="s">
        <v>3079</v>
      </c>
      <c r="Q2932">
        <v>62.5</v>
      </c>
      <c r="R2932" s="1" t="s">
        <v>1839</v>
      </c>
      <c r="S2932">
        <v>2333</v>
      </c>
      <c r="T2932">
        <v>145813</v>
      </c>
    </row>
    <row r="2933" spans="1:20" hidden="1" x14ac:dyDescent="0.4">
      <c r="A2933" s="1" t="s">
        <v>1084</v>
      </c>
      <c r="B2933" s="1" t="s">
        <v>1456</v>
      </c>
      <c r="C2933" s="1" t="s">
        <v>1844</v>
      </c>
      <c r="D2933" s="1" t="s">
        <v>1467</v>
      </c>
      <c r="E2933">
        <v>20251212</v>
      </c>
      <c r="F2933" s="1" t="s">
        <v>1473</v>
      </c>
      <c r="G2933">
        <v>4</v>
      </c>
      <c r="H2933" s="1" t="s">
        <v>1521</v>
      </c>
      <c r="I2933" t="s">
        <v>1901</v>
      </c>
      <c r="J2933" s="1" t="s">
        <v>1453</v>
      </c>
      <c r="K2933" s="1" t="s">
        <v>1595</v>
      </c>
      <c r="L2933" s="1" t="s">
        <v>1718</v>
      </c>
      <c r="M2933" s="1" t="s">
        <v>1735</v>
      </c>
      <c r="N2933" t="s">
        <v>2059</v>
      </c>
      <c r="O2933" t="s">
        <v>2164</v>
      </c>
      <c r="P2933" t="s">
        <v>3079</v>
      </c>
      <c r="Q2933">
        <v>63.5</v>
      </c>
      <c r="R2933" s="1" t="s">
        <v>1839</v>
      </c>
      <c r="S2933">
        <v>2333</v>
      </c>
      <c r="T2933">
        <v>148146</v>
      </c>
    </row>
    <row r="2934" spans="1:20" hidden="1" x14ac:dyDescent="0.4">
      <c r="A2934" s="1" t="s">
        <v>1085</v>
      </c>
      <c r="B2934" s="1" t="s">
        <v>1453</v>
      </c>
      <c r="C2934" s="1" t="s">
        <v>1844</v>
      </c>
      <c r="D2934" s="1" t="s">
        <v>1462</v>
      </c>
      <c r="E2934">
        <v>20251215</v>
      </c>
      <c r="F2934" s="1" t="s">
        <v>1470</v>
      </c>
      <c r="G2934">
        <v>4</v>
      </c>
      <c r="H2934" s="1" t="s">
        <v>1514</v>
      </c>
      <c r="I2934" t="s">
        <v>1894</v>
      </c>
      <c r="J2934" s="1" t="s">
        <v>1456</v>
      </c>
      <c r="K2934" s="1" t="s">
        <v>1568</v>
      </c>
      <c r="L2934" s="1" t="s">
        <v>1729</v>
      </c>
      <c r="M2934" s="1" t="s">
        <v>1737</v>
      </c>
      <c r="N2934" t="s">
        <v>2126</v>
      </c>
      <c r="O2934" t="s">
        <v>2576</v>
      </c>
      <c r="P2934" t="s">
        <v>3488</v>
      </c>
      <c r="Q2934">
        <v>6</v>
      </c>
      <c r="R2934" s="1" t="s">
        <v>1718</v>
      </c>
      <c r="S2934">
        <v>57428</v>
      </c>
      <c r="T2934">
        <v>344568</v>
      </c>
    </row>
    <row r="2935" spans="1:20" hidden="1" x14ac:dyDescent="0.4">
      <c r="A2935" s="1" t="s">
        <v>1086</v>
      </c>
      <c r="B2935" s="1" t="s">
        <v>1453</v>
      </c>
      <c r="C2935" s="1" t="s">
        <v>1844</v>
      </c>
      <c r="D2935" s="1" t="s">
        <v>1462</v>
      </c>
      <c r="E2935">
        <v>20251215</v>
      </c>
      <c r="F2935" s="1" t="s">
        <v>1470</v>
      </c>
      <c r="G2935">
        <v>4</v>
      </c>
      <c r="H2935" s="1" t="s">
        <v>1511</v>
      </c>
      <c r="I2935" t="s">
        <v>1891</v>
      </c>
      <c r="J2935" s="1" t="s">
        <v>1456</v>
      </c>
      <c r="K2935" s="1" t="s">
        <v>1561</v>
      </c>
      <c r="L2935" s="1" t="s">
        <v>1729</v>
      </c>
      <c r="M2935" s="1" t="s">
        <v>1737</v>
      </c>
      <c r="N2935" t="s">
        <v>2106</v>
      </c>
      <c r="O2935" t="s">
        <v>2577</v>
      </c>
      <c r="P2935" t="s">
        <v>2157</v>
      </c>
      <c r="Q2935">
        <v>2</v>
      </c>
      <c r="R2935" s="1" t="s">
        <v>1718</v>
      </c>
      <c r="S2935">
        <v>20347</v>
      </c>
      <c r="T2935">
        <v>40694</v>
      </c>
    </row>
    <row r="2936" spans="1:20" hidden="1" x14ac:dyDescent="0.4">
      <c r="A2936" s="1" t="s">
        <v>1087</v>
      </c>
      <c r="B2936" s="1" t="s">
        <v>1453</v>
      </c>
      <c r="C2936" s="1" t="s">
        <v>1844</v>
      </c>
      <c r="D2936" s="1" t="s">
        <v>1462</v>
      </c>
      <c r="E2936">
        <v>20251215</v>
      </c>
      <c r="F2936" s="1" t="s">
        <v>1470</v>
      </c>
      <c r="G2936">
        <v>4</v>
      </c>
      <c r="H2936" s="1" t="s">
        <v>1511</v>
      </c>
      <c r="I2936" t="s">
        <v>1891</v>
      </c>
      <c r="J2936" s="1" t="s">
        <v>1456</v>
      </c>
      <c r="K2936" s="1" t="s">
        <v>1565</v>
      </c>
      <c r="L2936" s="1" t="s">
        <v>1729</v>
      </c>
      <c r="M2936" s="1" t="s">
        <v>1743</v>
      </c>
      <c r="N2936" t="s">
        <v>2089</v>
      </c>
      <c r="O2936" t="s">
        <v>2578</v>
      </c>
      <c r="P2936" t="s">
        <v>3257</v>
      </c>
      <c r="Q2936">
        <v>2</v>
      </c>
      <c r="R2936" s="1" t="s">
        <v>1718</v>
      </c>
      <c r="S2936">
        <v>12447</v>
      </c>
      <c r="T2936">
        <v>24894</v>
      </c>
    </row>
    <row r="2937" spans="1:20" hidden="1" x14ac:dyDescent="0.4">
      <c r="A2937" s="1" t="s">
        <v>1088</v>
      </c>
      <c r="B2937" s="1" t="s">
        <v>1453</v>
      </c>
      <c r="C2937" s="1" t="s">
        <v>1844</v>
      </c>
      <c r="D2937" s="1" t="s">
        <v>1462</v>
      </c>
      <c r="E2937">
        <v>20251215</v>
      </c>
      <c r="F2937" s="1" t="s">
        <v>1470</v>
      </c>
      <c r="G2937">
        <v>4</v>
      </c>
      <c r="H2937" s="1" t="s">
        <v>1511</v>
      </c>
      <c r="I2937" t="s">
        <v>1891</v>
      </c>
      <c r="J2937" s="1" t="s">
        <v>1456</v>
      </c>
      <c r="K2937" s="1" t="s">
        <v>1561</v>
      </c>
      <c r="L2937" s="1" t="s">
        <v>1729</v>
      </c>
      <c r="M2937" s="1" t="s">
        <v>1737</v>
      </c>
      <c r="N2937" t="s">
        <v>2106</v>
      </c>
      <c r="O2937" t="s">
        <v>2579</v>
      </c>
      <c r="P2937" t="s">
        <v>3215</v>
      </c>
      <c r="Q2937">
        <v>2</v>
      </c>
      <c r="R2937" s="1" t="s">
        <v>1718</v>
      </c>
      <c r="S2937">
        <v>21597</v>
      </c>
      <c r="T2937">
        <v>43194</v>
      </c>
    </row>
    <row r="2938" spans="1:20" hidden="1" x14ac:dyDescent="0.4">
      <c r="A2938" s="1" t="s">
        <v>1089</v>
      </c>
      <c r="B2938" s="1" t="s">
        <v>1453</v>
      </c>
      <c r="C2938" s="1" t="s">
        <v>1844</v>
      </c>
      <c r="D2938" s="1" t="s">
        <v>1462</v>
      </c>
      <c r="E2938">
        <v>20251215</v>
      </c>
      <c r="F2938" s="1" t="s">
        <v>1470</v>
      </c>
      <c r="G2938">
        <v>4</v>
      </c>
      <c r="H2938" s="1" t="s">
        <v>1503</v>
      </c>
      <c r="I2938" t="s">
        <v>1883</v>
      </c>
      <c r="J2938" s="1" t="s">
        <v>1456</v>
      </c>
      <c r="K2938" s="1" t="s">
        <v>1553</v>
      </c>
      <c r="L2938" s="1" t="s">
        <v>1729</v>
      </c>
      <c r="M2938" s="1" t="s">
        <v>1736</v>
      </c>
      <c r="N2938" t="s">
        <v>2093</v>
      </c>
      <c r="O2938">
        <v>15251201</v>
      </c>
      <c r="P2938" t="s">
        <v>3489</v>
      </c>
      <c r="Q2938">
        <v>4</v>
      </c>
      <c r="R2938" s="1" t="s">
        <v>1718</v>
      </c>
      <c r="S2938">
        <v>20150</v>
      </c>
      <c r="T2938">
        <v>80600</v>
      </c>
    </row>
    <row r="2939" spans="1:20" hidden="1" x14ac:dyDescent="0.4">
      <c r="A2939" s="1" t="s">
        <v>1090</v>
      </c>
      <c r="B2939" s="1" t="s">
        <v>1453</v>
      </c>
      <c r="C2939" s="1" t="s">
        <v>1844</v>
      </c>
      <c r="D2939" s="1" t="s">
        <v>1462</v>
      </c>
      <c r="E2939">
        <v>20251215</v>
      </c>
      <c r="F2939" s="1" t="s">
        <v>1470</v>
      </c>
      <c r="G2939">
        <v>4</v>
      </c>
      <c r="H2939" s="1" t="s">
        <v>1503</v>
      </c>
      <c r="I2939" t="s">
        <v>1883</v>
      </c>
      <c r="J2939" s="1" t="s">
        <v>1456</v>
      </c>
      <c r="K2939" s="1" t="s">
        <v>1553</v>
      </c>
      <c r="L2939" s="1" t="s">
        <v>1729</v>
      </c>
      <c r="M2939" s="1" t="s">
        <v>1740</v>
      </c>
      <c r="N2939" t="s">
        <v>2111</v>
      </c>
      <c r="O2939" t="s">
        <v>2580</v>
      </c>
      <c r="P2939" t="s">
        <v>3490</v>
      </c>
      <c r="Q2939">
        <v>2</v>
      </c>
      <c r="R2939" s="1" t="s">
        <v>1718</v>
      </c>
      <c r="S2939">
        <v>18200</v>
      </c>
      <c r="T2939">
        <v>36400</v>
      </c>
    </row>
    <row r="2940" spans="1:20" hidden="1" x14ac:dyDescent="0.4">
      <c r="A2940" s="1" t="s">
        <v>1090</v>
      </c>
      <c r="B2940" s="1" t="s">
        <v>1454</v>
      </c>
      <c r="C2940" s="1" t="s">
        <v>1844</v>
      </c>
      <c r="D2940" s="1" t="s">
        <v>1462</v>
      </c>
      <c r="E2940">
        <v>20251215</v>
      </c>
      <c r="F2940" s="1" t="s">
        <v>1470</v>
      </c>
      <c r="G2940">
        <v>4</v>
      </c>
      <c r="H2940" s="1" t="s">
        <v>1503</v>
      </c>
      <c r="I2940" t="s">
        <v>1883</v>
      </c>
      <c r="J2940" s="1" t="s">
        <v>1456</v>
      </c>
      <c r="K2940" s="1" t="s">
        <v>1554</v>
      </c>
      <c r="L2940" s="1" t="s">
        <v>1729</v>
      </c>
      <c r="M2940" s="1" t="s">
        <v>1737</v>
      </c>
      <c r="N2940" t="s">
        <v>2110</v>
      </c>
      <c r="O2940" t="s">
        <v>2581</v>
      </c>
      <c r="P2940">
        <v>82273</v>
      </c>
      <c r="Q2940">
        <v>2</v>
      </c>
      <c r="R2940" s="1" t="s">
        <v>1718</v>
      </c>
      <c r="S2940">
        <v>29800</v>
      </c>
      <c r="T2940">
        <v>59600</v>
      </c>
    </row>
    <row r="2941" spans="1:20" hidden="1" x14ac:dyDescent="0.4">
      <c r="A2941" s="1" t="s">
        <v>1091</v>
      </c>
      <c r="B2941" s="1" t="s">
        <v>1453</v>
      </c>
      <c r="C2941" s="1" t="s">
        <v>1844</v>
      </c>
      <c r="D2941" s="1" t="s">
        <v>1462</v>
      </c>
      <c r="E2941">
        <v>20251215</v>
      </c>
      <c r="F2941" s="1" t="s">
        <v>1470</v>
      </c>
      <c r="G2941">
        <v>4</v>
      </c>
      <c r="H2941" s="1" t="s">
        <v>1503</v>
      </c>
      <c r="I2941" t="s">
        <v>1883</v>
      </c>
      <c r="J2941" s="1" t="s">
        <v>1456</v>
      </c>
      <c r="K2941" s="1" t="s">
        <v>1554</v>
      </c>
      <c r="L2941" s="1" t="s">
        <v>1729</v>
      </c>
      <c r="M2941" s="1" t="s">
        <v>1737</v>
      </c>
      <c r="N2941" t="s">
        <v>2118</v>
      </c>
      <c r="O2941" t="s">
        <v>2582</v>
      </c>
      <c r="P2941">
        <v>82193</v>
      </c>
      <c r="Q2941">
        <v>2</v>
      </c>
      <c r="R2941" s="1" t="s">
        <v>1718</v>
      </c>
      <c r="S2941">
        <v>9350</v>
      </c>
      <c r="T2941">
        <v>18700</v>
      </c>
    </row>
    <row r="2942" spans="1:20" hidden="1" x14ac:dyDescent="0.4">
      <c r="A2942" s="1" t="s">
        <v>1092</v>
      </c>
      <c r="B2942" s="1" t="s">
        <v>1453</v>
      </c>
      <c r="C2942" s="1" t="s">
        <v>1844</v>
      </c>
      <c r="D2942" s="1" t="s">
        <v>1462</v>
      </c>
      <c r="E2942">
        <v>20251215</v>
      </c>
      <c r="F2942" s="1" t="s">
        <v>1470</v>
      </c>
      <c r="G2942">
        <v>4</v>
      </c>
      <c r="H2942" s="1" t="s">
        <v>1503</v>
      </c>
      <c r="I2942" t="s">
        <v>1883</v>
      </c>
      <c r="J2942" s="1" t="s">
        <v>1456</v>
      </c>
      <c r="K2942" s="1" t="s">
        <v>1553</v>
      </c>
      <c r="L2942" s="1" t="s">
        <v>1729</v>
      </c>
      <c r="M2942" s="1" t="s">
        <v>1736</v>
      </c>
      <c r="N2942" t="s">
        <v>2093</v>
      </c>
      <c r="O2942" t="s">
        <v>2583</v>
      </c>
      <c r="P2942" t="s">
        <v>3491</v>
      </c>
      <c r="Q2942">
        <v>2</v>
      </c>
      <c r="R2942" s="1" t="s">
        <v>1718</v>
      </c>
      <c r="S2942">
        <v>7690</v>
      </c>
      <c r="T2942">
        <v>15380</v>
      </c>
    </row>
    <row r="2943" spans="1:20" hidden="1" x14ac:dyDescent="0.4">
      <c r="A2943" s="1" t="s">
        <v>1093</v>
      </c>
      <c r="B2943" s="1" t="s">
        <v>1453</v>
      </c>
      <c r="C2943" s="1" t="s">
        <v>1844</v>
      </c>
      <c r="D2943" s="1" t="s">
        <v>1462</v>
      </c>
      <c r="E2943">
        <v>20251215</v>
      </c>
      <c r="F2943" s="1" t="s">
        <v>1470</v>
      </c>
      <c r="G2943">
        <v>4</v>
      </c>
      <c r="H2943" s="1" t="s">
        <v>1503</v>
      </c>
      <c r="I2943" t="s">
        <v>1883</v>
      </c>
      <c r="J2943" s="1" t="s">
        <v>1456</v>
      </c>
      <c r="K2943" s="1" t="s">
        <v>1553</v>
      </c>
      <c r="L2943" s="1" t="s">
        <v>1729</v>
      </c>
      <c r="M2943" s="1" t="s">
        <v>1736</v>
      </c>
      <c r="N2943" t="s">
        <v>2108</v>
      </c>
      <c r="O2943" t="s">
        <v>2584</v>
      </c>
      <c r="P2943" t="s">
        <v>3492</v>
      </c>
      <c r="Q2943">
        <v>1</v>
      </c>
      <c r="R2943" s="1" t="s">
        <v>1718</v>
      </c>
      <c r="S2943">
        <v>3440</v>
      </c>
      <c r="T2943">
        <v>3440</v>
      </c>
    </row>
    <row r="2944" spans="1:20" hidden="1" x14ac:dyDescent="0.4">
      <c r="A2944" s="1" t="s">
        <v>1093</v>
      </c>
      <c r="B2944" s="1" t="s">
        <v>1454</v>
      </c>
      <c r="C2944" s="1" t="s">
        <v>1844</v>
      </c>
      <c r="D2944" s="1" t="s">
        <v>1462</v>
      </c>
      <c r="E2944">
        <v>20251215</v>
      </c>
      <c r="F2944" s="1" t="s">
        <v>1470</v>
      </c>
      <c r="G2944">
        <v>4</v>
      </c>
      <c r="H2944" s="1" t="s">
        <v>1503</v>
      </c>
      <c r="I2944" t="s">
        <v>1883</v>
      </c>
      <c r="J2944" s="1" t="s">
        <v>1456</v>
      </c>
      <c r="K2944" s="1" t="s">
        <v>1553</v>
      </c>
      <c r="L2944" s="1" t="s">
        <v>1729</v>
      </c>
      <c r="M2944" s="1" t="s">
        <v>1736</v>
      </c>
      <c r="N2944" t="s">
        <v>2108</v>
      </c>
      <c r="O2944" t="s">
        <v>2585</v>
      </c>
      <c r="P2944" t="s">
        <v>3493</v>
      </c>
      <c r="Q2944">
        <v>4</v>
      </c>
      <c r="R2944" s="1" t="s">
        <v>1718</v>
      </c>
      <c r="S2944">
        <v>8690</v>
      </c>
      <c r="T2944">
        <v>34760</v>
      </c>
    </row>
    <row r="2945" spans="1:20" hidden="1" x14ac:dyDescent="0.4">
      <c r="A2945" s="1" t="s">
        <v>1094</v>
      </c>
      <c r="B2945" s="1" t="s">
        <v>1453</v>
      </c>
      <c r="C2945" s="1" t="s">
        <v>1844</v>
      </c>
      <c r="D2945" s="1" t="s">
        <v>1462</v>
      </c>
      <c r="E2945">
        <v>20251215</v>
      </c>
      <c r="F2945" s="1" t="s">
        <v>1470</v>
      </c>
      <c r="G2945">
        <v>4</v>
      </c>
      <c r="H2945" s="1" t="s">
        <v>1503</v>
      </c>
      <c r="I2945" t="s">
        <v>1883</v>
      </c>
      <c r="J2945" s="1" t="s">
        <v>1456</v>
      </c>
      <c r="K2945" s="1" t="s">
        <v>1553</v>
      </c>
      <c r="L2945" s="1" t="s">
        <v>1729</v>
      </c>
      <c r="M2945" s="1" t="s">
        <v>1736</v>
      </c>
      <c r="N2945" t="s">
        <v>2093</v>
      </c>
      <c r="O2945" t="s">
        <v>2586</v>
      </c>
      <c r="P2945" t="s">
        <v>3494</v>
      </c>
      <c r="Q2945">
        <v>2</v>
      </c>
      <c r="R2945" s="1" t="s">
        <v>1718</v>
      </c>
      <c r="S2945">
        <v>22460</v>
      </c>
      <c r="T2945">
        <v>44920</v>
      </c>
    </row>
    <row r="2946" spans="1:20" hidden="1" x14ac:dyDescent="0.4">
      <c r="A2946" s="1" t="s">
        <v>1094</v>
      </c>
      <c r="B2946" s="1" t="s">
        <v>1454</v>
      </c>
      <c r="C2946" s="1" t="s">
        <v>1844</v>
      </c>
      <c r="D2946" s="1" t="s">
        <v>1462</v>
      </c>
      <c r="E2946">
        <v>20251215</v>
      </c>
      <c r="F2946" s="1" t="s">
        <v>1470</v>
      </c>
      <c r="G2946">
        <v>4</v>
      </c>
      <c r="H2946" s="1" t="s">
        <v>1503</v>
      </c>
      <c r="I2946" t="s">
        <v>1883</v>
      </c>
      <c r="J2946" s="1" t="s">
        <v>1456</v>
      </c>
      <c r="K2946" s="1" t="s">
        <v>1553</v>
      </c>
      <c r="L2946" s="1" t="s">
        <v>1729</v>
      </c>
      <c r="M2946" s="1" t="s">
        <v>1736</v>
      </c>
      <c r="N2946" t="s">
        <v>2093</v>
      </c>
      <c r="O2946" t="s">
        <v>2587</v>
      </c>
      <c r="P2946" t="s">
        <v>3495</v>
      </c>
      <c r="Q2946">
        <v>4</v>
      </c>
      <c r="R2946" s="1" t="s">
        <v>1718</v>
      </c>
      <c r="S2946">
        <v>12500</v>
      </c>
      <c r="T2946">
        <v>50000</v>
      </c>
    </row>
    <row r="2947" spans="1:20" hidden="1" x14ac:dyDescent="0.4">
      <c r="A2947" s="1" t="s">
        <v>1095</v>
      </c>
      <c r="B2947" s="1" t="s">
        <v>1453</v>
      </c>
      <c r="C2947" s="1" t="s">
        <v>1844</v>
      </c>
      <c r="D2947" s="1" t="s">
        <v>1462</v>
      </c>
      <c r="E2947">
        <v>20251215</v>
      </c>
      <c r="F2947" s="1" t="s">
        <v>1470</v>
      </c>
      <c r="G2947">
        <v>4</v>
      </c>
      <c r="H2947" s="1" t="s">
        <v>1503</v>
      </c>
      <c r="I2947" t="s">
        <v>1883</v>
      </c>
      <c r="J2947" s="1" t="s">
        <v>1456</v>
      </c>
      <c r="K2947" s="1" t="s">
        <v>1554</v>
      </c>
      <c r="L2947" s="1" t="s">
        <v>1729</v>
      </c>
      <c r="M2947" s="1" t="s">
        <v>1737</v>
      </c>
      <c r="N2947" t="s">
        <v>2118</v>
      </c>
      <c r="O2947" t="s">
        <v>2588</v>
      </c>
      <c r="P2947">
        <v>82250</v>
      </c>
      <c r="Q2947">
        <v>2</v>
      </c>
      <c r="R2947" s="1" t="s">
        <v>1718</v>
      </c>
      <c r="S2947">
        <v>9350</v>
      </c>
      <c r="T2947">
        <v>18700</v>
      </c>
    </row>
    <row r="2948" spans="1:20" hidden="1" x14ac:dyDescent="0.4">
      <c r="A2948" s="1" t="s">
        <v>1096</v>
      </c>
      <c r="B2948" s="1" t="s">
        <v>1453</v>
      </c>
      <c r="C2948" s="1" t="s">
        <v>1844</v>
      </c>
      <c r="D2948" s="1" t="s">
        <v>1462</v>
      </c>
      <c r="E2948">
        <v>20251215</v>
      </c>
      <c r="F2948" s="1" t="s">
        <v>1470</v>
      </c>
      <c r="G2948">
        <v>4</v>
      </c>
      <c r="H2948" s="1" t="s">
        <v>1503</v>
      </c>
      <c r="I2948" t="s">
        <v>1883</v>
      </c>
      <c r="J2948" s="1" t="s">
        <v>1456</v>
      </c>
      <c r="K2948" s="1" t="s">
        <v>1554</v>
      </c>
      <c r="L2948" s="1" t="s">
        <v>1729</v>
      </c>
      <c r="M2948" s="1" t="s">
        <v>1737</v>
      </c>
      <c r="N2948" t="s">
        <v>2118</v>
      </c>
      <c r="O2948" t="s">
        <v>2589</v>
      </c>
      <c r="P2948">
        <v>82233</v>
      </c>
      <c r="Q2948">
        <v>1</v>
      </c>
      <c r="R2948" s="1" t="s">
        <v>1718</v>
      </c>
      <c r="S2948">
        <v>9350</v>
      </c>
      <c r="T2948">
        <v>9350</v>
      </c>
    </row>
    <row r="2949" spans="1:20" hidden="1" x14ac:dyDescent="0.4">
      <c r="A2949" s="1" t="s">
        <v>1097</v>
      </c>
      <c r="B2949" s="1" t="s">
        <v>1453</v>
      </c>
      <c r="C2949" s="1" t="s">
        <v>1844</v>
      </c>
      <c r="D2949" s="1" t="s">
        <v>1462</v>
      </c>
      <c r="E2949">
        <v>20251215</v>
      </c>
      <c r="F2949" s="1" t="s">
        <v>1470</v>
      </c>
      <c r="G2949">
        <v>4</v>
      </c>
      <c r="H2949" s="1" t="s">
        <v>1503</v>
      </c>
      <c r="I2949" t="s">
        <v>1883</v>
      </c>
      <c r="J2949" s="1" t="s">
        <v>1456</v>
      </c>
      <c r="K2949" s="1" t="s">
        <v>1554</v>
      </c>
      <c r="L2949" s="1" t="s">
        <v>1729</v>
      </c>
      <c r="M2949" s="1" t="s">
        <v>1737</v>
      </c>
      <c r="N2949" t="s">
        <v>2091</v>
      </c>
      <c r="O2949" t="s">
        <v>2590</v>
      </c>
      <c r="P2949">
        <v>82280</v>
      </c>
      <c r="Q2949">
        <v>4</v>
      </c>
      <c r="R2949" s="1" t="s">
        <v>1718</v>
      </c>
      <c r="S2949">
        <v>10170</v>
      </c>
      <c r="T2949">
        <v>40680</v>
      </c>
    </row>
    <row r="2950" spans="1:20" hidden="1" x14ac:dyDescent="0.4">
      <c r="A2950" s="1" t="s">
        <v>1098</v>
      </c>
      <c r="B2950" s="1" t="s">
        <v>1453</v>
      </c>
      <c r="C2950" s="1" t="s">
        <v>1844</v>
      </c>
      <c r="D2950" s="1" t="s">
        <v>1462</v>
      </c>
      <c r="E2950">
        <v>20251215</v>
      </c>
      <c r="F2950" s="1" t="s">
        <v>1470</v>
      </c>
      <c r="G2950">
        <v>4</v>
      </c>
      <c r="H2950" s="1" t="s">
        <v>1503</v>
      </c>
      <c r="I2950" t="s">
        <v>1883</v>
      </c>
      <c r="J2950" s="1" t="s">
        <v>1456</v>
      </c>
      <c r="K2950" s="1" t="s">
        <v>1554</v>
      </c>
      <c r="L2950" s="1" t="s">
        <v>1729</v>
      </c>
      <c r="M2950" s="1" t="s">
        <v>1737</v>
      </c>
      <c r="N2950" t="s">
        <v>2091</v>
      </c>
      <c r="O2950" t="s">
        <v>2591</v>
      </c>
      <c r="P2950">
        <v>82263</v>
      </c>
      <c r="Q2950">
        <v>2</v>
      </c>
      <c r="R2950" s="1" t="s">
        <v>1718</v>
      </c>
      <c r="S2950">
        <v>15500</v>
      </c>
      <c r="T2950">
        <v>31000</v>
      </c>
    </row>
    <row r="2951" spans="1:20" hidden="1" x14ac:dyDescent="0.4">
      <c r="A2951" s="1" t="s">
        <v>1098</v>
      </c>
      <c r="B2951" s="1" t="s">
        <v>1454</v>
      </c>
      <c r="C2951" s="1" t="s">
        <v>1844</v>
      </c>
      <c r="D2951" s="1" t="s">
        <v>1462</v>
      </c>
      <c r="E2951">
        <v>20251215</v>
      </c>
      <c r="F2951" s="1" t="s">
        <v>1470</v>
      </c>
      <c r="G2951">
        <v>4</v>
      </c>
      <c r="H2951" s="1" t="s">
        <v>1503</v>
      </c>
      <c r="I2951" t="s">
        <v>1883</v>
      </c>
      <c r="J2951" s="1" t="s">
        <v>1456</v>
      </c>
      <c r="K2951" s="1" t="s">
        <v>1554</v>
      </c>
      <c r="L2951" s="1" t="s">
        <v>1729</v>
      </c>
      <c r="M2951" s="1" t="s">
        <v>1737</v>
      </c>
      <c r="N2951" t="s">
        <v>2091</v>
      </c>
      <c r="O2951" t="s">
        <v>2592</v>
      </c>
      <c r="P2951">
        <v>82264</v>
      </c>
      <c r="Q2951">
        <v>2</v>
      </c>
      <c r="R2951" s="1" t="s">
        <v>1718</v>
      </c>
      <c r="S2951">
        <v>24790</v>
      </c>
      <c r="T2951">
        <v>49580</v>
      </c>
    </row>
    <row r="2952" spans="1:20" hidden="1" x14ac:dyDescent="0.4">
      <c r="A2952" s="1" t="s">
        <v>1099</v>
      </c>
      <c r="B2952" s="1" t="s">
        <v>1453</v>
      </c>
      <c r="C2952" s="1" t="s">
        <v>1844</v>
      </c>
      <c r="D2952" s="1" t="s">
        <v>1462</v>
      </c>
      <c r="E2952">
        <v>20251215</v>
      </c>
      <c r="F2952" s="1" t="s">
        <v>1470</v>
      </c>
      <c r="G2952">
        <v>4</v>
      </c>
      <c r="H2952" s="1" t="s">
        <v>1496</v>
      </c>
      <c r="I2952" t="s">
        <v>1876</v>
      </c>
      <c r="J2952" s="1" t="s">
        <v>1456</v>
      </c>
      <c r="K2952" s="1" t="s">
        <v>1557</v>
      </c>
      <c r="L2952" s="1" t="s">
        <v>1729</v>
      </c>
      <c r="M2952" s="1" t="s">
        <v>1737</v>
      </c>
      <c r="N2952" t="s">
        <v>1929</v>
      </c>
      <c r="O2952" t="s">
        <v>2593</v>
      </c>
      <c r="P2952" t="s">
        <v>3496</v>
      </c>
      <c r="Q2952">
        <v>2</v>
      </c>
      <c r="R2952" s="1" t="s">
        <v>1718</v>
      </c>
      <c r="S2952">
        <v>31313</v>
      </c>
      <c r="T2952">
        <v>62626</v>
      </c>
    </row>
    <row r="2953" spans="1:20" hidden="1" x14ac:dyDescent="0.4">
      <c r="A2953" s="1" t="s">
        <v>1099</v>
      </c>
      <c r="B2953" s="1" t="s">
        <v>1454</v>
      </c>
      <c r="C2953" s="1" t="s">
        <v>1844</v>
      </c>
      <c r="D2953" s="1" t="s">
        <v>1462</v>
      </c>
      <c r="E2953">
        <v>20251215</v>
      </c>
      <c r="F2953" s="1" t="s">
        <v>1470</v>
      </c>
      <c r="G2953">
        <v>4</v>
      </c>
      <c r="H2953" s="1" t="s">
        <v>1496</v>
      </c>
      <c r="I2953" t="s">
        <v>1876</v>
      </c>
      <c r="J2953" s="1" t="s">
        <v>1456</v>
      </c>
      <c r="K2953" s="1" t="s">
        <v>1557</v>
      </c>
      <c r="L2953" s="1" t="s">
        <v>1729</v>
      </c>
      <c r="M2953" s="1" t="s">
        <v>1737</v>
      </c>
      <c r="N2953" t="s">
        <v>1929</v>
      </c>
      <c r="O2953" t="s">
        <v>2593</v>
      </c>
      <c r="P2953" t="s">
        <v>3496</v>
      </c>
      <c r="Q2953">
        <v>2</v>
      </c>
      <c r="R2953" s="1" t="s">
        <v>1718</v>
      </c>
      <c r="S2953">
        <v>31313</v>
      </c>
      <c r="T2953">
        <v>62626</v>
      </c>
    </row>
    <row r="2954" spans="1:20" hidden="1" x14ac:dyDescent="0.4">
      <c r="A2954" s="1" t="s">
        <v>1099</v>
      </c>
      <c r="B2954" s="1" t="s">
        <v>1455</v>
      </c>
      <c r="C2954" s="1" t="s">
        <v>1844</v>
      </c>
      <c r="D2954" s="1" t="s">
        <v>1462</v>
      </c>
      <c r="E2954">
        <v>20251215</v>
      </c>
      <c r="F2954" s="1" t="s">
        <v>1470</v>
      </c>
      <c r="G2954">
        <v>4</v>
      </c>
      <c r="H2954" s="1" t="s">
        <v>1496</v>
      </c>
      <c r="I2954" t="s">
        <v>1876</v>
      </c>
      <c r="J2954" s="1" t="s">
        <v>1456</v>
      </c>
      <c r="K2954" s="1" t="s">
        <v>1557</v>
      </c>
      <c r="L2954" s="1" t="s">
        <v>1729</v>
      </c>
      <c r="M2954" s="1" t="s">
        <v>1737</v>
      </c>
      <c r="N2954" t="s">
        <v>1929</v>
      </c>
      <c r="O2954" t="s">
        <v>2594</v>
      </c>
      <c r="P2954" t="s">
        <v>3220</v>
      </c>
      <c r="Q2954">
        <v>2</v>
      </c>
      <c r="R2954" s="1" t="s">
        <v>1718</v>
      </c>
      <c r="S2954">
        <v>8780</v>
      </c>
      <c r="T2954">
        <v>17560</v>
      </c>
    </row>
    <row r="2955" spans="1:20" hidden="1" x14ac:dyDescent="0.4">
      <c r="A2955" s="1" t="s">
        <v>1100</v>
      </c>
      <c r="B2955" s="1" t="s">
        <v>1453</v>
      </c>
      <c r="C2955" s="1" t="s">
        <v>1844</v>
      </c>
      <c r="D2955" s="1" t="s">
        <v>1462</v>
      </c>
      <c r="E2955">
        <v>20251215</v>
      </c>
      <c r="F2955" s="1" t="s">
        <v>1470</v>
      </c>
      <c r="G2955">
        <v>4</v>
      </c>
      <c r="H2955" s="1" t="s">
        <v>1496</v>
      </c>
      <c r="I2955" t="s">
        <v>1876</v>
      </c>
      <c r="J2955" s="1" t="s">
        <v>1456</v>
      </c>
      <c r="K2955" s="1" t="s">
        <v>1557</v>
      </c>
      <c r="L2955" s="1" t="s">
        <v>1729</v>
      </c>
      <c r="M2955" s="1" t="s">
        <v>1737</v>
      </c>
      <c r="N2955" t="s">
        <v>1929</v>
      </c>
      <c r="O2955" t="s">
        <v>2595</v>
      </c>
      <c r="P2955" t="s">
        <v>2157</v>
      </c>
      <c r="Q2955">
        <v>2</v>
      </c>
      <c r="R2955" s="1" t="s">
        <v>1718</v>
      </c>
      <c r="S2955">
        <v>7939</v>
      </c>
      <c r="T2955">
        <v>15878</v>
      </c>
    </row>
    <row r="2956" spans="1:20" hidden="1" x14ac:dyDescent="0.4">
      <c r="A2956" s="1" t="s">
        <v>1101</v>
      </c>
      <c r="B2956" s="1" t="s">
        <v>1453</v>
      </c>
      <c r="C2956" s="1" t="s">
        <v>1844</v>
      </c>
      <c r="D2956" s="1" t="s">
        <v>1462</v>
      </c>
      <c r="E2956">
        <v>20251215</v>
      </c>
      <c r="F2956" s="1" t="s">
        <v>1470</v>
      </c>
      <c r="G2956">
        <v>4</v>
      </c>
      <c r="H2956" s="1" t="s">
        <v>1496</v>
      </c>
      <c r="I2956" t="s">
        <v>1876</v>
      </c>
      <c r="J2956" s="1" t="s">
        <v>1456</v>
      </c>
      <c r="K2956" s="1" t="s">
        <v>1557</v>
      </c>
      <c r="L2956" s="1" t="s">
        <v>1729</v>
      </c>
      <c r="M2956" s="1" t="s">
        <v>1737</v>
      </c>
      <c r="N2956" t="s">
        <v>1929</v>
      </c>
      <c r="O2956" t="s">
        <v>2596</v>
      </c>
      <c r="P2956" t="s">
        <v>3497</v>
      </c>
      <c r="Q2956">
        <v>2</v>
      </c>
      <c r="R2956" s="1" t="s">
        <v>1718</v>
      </c>
      <c r="S2956">
        <v>34115</v>
      </c>
      <c r="T2956">
        <v>68230</v>
      </c>
    </row>
    <row r="2957" spans="1:20" hidden="1" x14ac:dyDescent="0.4">
      <c r="A2957" s="1" t="s">
        <v>1101</v>
      </c>
      <c r="B2957" s="1" t="s">
        <v>1454</v>
      </c>
      <c r="C2957" s="1" t="s">
        <v>1844</v>
      </c>
      <c r="D2957" s="1" t="s">
        <v>1462</v>
      </c>
      <c r="E2957">
        <v>20251215</v>
      </c>
      <c r="F2957" s="1" t="s">
        <v>1470</v>
      </c>
      <c r="G2957">
        <v>4</v>
      </c>
      <c r="H2957" s="1" t="s">
        <v>1496</v>
      </c>
      <c r="I2957" t="s">
        <v>1876</v>
      </c>
      <c r="J2957" s="1" t="s">
        <v>1456</v>
      </c>
      <c r="K2957" s="1" t="s">
        <v>1557</v>
      </c>
      <c r="L2957" s="1" t="s">
        <v>1729</v>
      </c>
      <c r="M2957" s="1" t="s">
        <v>1737</v>
      </c>
      <c r="N2957" t="s">
        <v>1929</v>
      </c>
      <c r="O2957" t="s">
        <v>2596</v>
      </c>
      <c r="P2957" t="s">
        <v>3497</v>
      </c>
      <c r="Q2957">
        <v>2</v>
      </c>
      <c r="R2957" s="1" t="s">
        <v>1718</v>
      </c>
      <c r="S2957">
        <v>34115</v>
      </c>
      <c r="T2957">
        <v>68230</v>
      </c>
    </row>
    <row r="2958" spans="1:20" hidden="1" x14ac:dyDescent="0.4">
      <c r="A2958" s="1" t="s">
        <v>1101</v>
      </c>
      <c r="B2958" s="1" t="s">
        <v>1455</v>
      </c>
      <c r="C2958" s="1" t="s">
        <v>1844</v>
      </c>
      <c r="D2958" s="1" t="s">
        <v>1462</v>
      </c>
      <c r="E2958">
        <v>20251215</v>
      </c>
      <c r="F2958" s="1" t="s">
        <v>1470</v>
      </c>
      <c r="G2958">
        <v>4</v>
      </c>
      <c r="H2958" s="1" t="s">
        <v>1496</v>
      </c>
      <c r="I2958" t="s">
        <v>1876</v>
      </c>
      <c r="J2958" s="1" t="s">
        <v>1456</v>
      </c>
      <c r="K2958" s="1" t="s">
        <v>1557</v>
      </c>
      <c r="L2958" s="1" t="s">
        <v>1729</v>
      </c>
      <c r="M2958" s="1" t="s">
        <v>1737</v>
      </c>
      <c r="N2958" t="s">
        <v>1929</v>
      </c>
      <c r="O2958" t="s">
        <v>2596</v>
      </c>
      <c r="P2958" t="s">
        <v>3497</v>
      </c>
      <c r="Q2958">
        <v>2</v>
      </c>
      <c r="R2958" s="1" t="s">
        <v>1718</v>
      </c>
      <c r="S2958">
        <v>33986</v>
      </c>
      <c r="T2958">
        <v>67972</v>
      </c>
    </row>
    <row r="2959" spans="1:20" hidden="1" x14ac:dyDescent="0.4">
      <c r="A2959" s="1" t="s">
        <v>1101</v>
      </c>
      <c r="B2959" s="1" t="s">
        <v>1456</v>
      </c>
      <c r="C2959" s="1" t="s">
        <v>1844</v>
      </c>
      <c r="D2959" s="1" t="s">
        <v>1462</v>
      </c>
      <c r="E2959">
        <v>20251215</v>
      </c>
      <c r="F2959" s="1" t="s">
        <v>1470</v>
      </c>
      <c r="G2959">
        <v>4</v>
      </c>
      <c r="H2959" s="1" t="s">
        <v>1496</v>
      </c>
      <c r="I2959" t="s">
        <v>1876</v>
      </c>
      <c r="J2959" s="1" t="s">
        <v>1456</v>
      </c>
      <c r="K2959" s="1" t="s">
        <v>1557</v>
      </c>
      <c r="L2959" s="1" t="s">
        <v>1729</v>
      </c>
      <c r="M2959" s="1" t="s">
        <v>1737</v>
      </c>
      <c r="N2959" t="s">
        <v>1929</v>
      </c>
      <c r="O2959" t="s">
        <v>2596</v>
      </c>
      <c r="P2959" t="s">
        <v>3497</v>
      </c>
      <c r="Q2959">
        <v>2</v>
      </c>
      <c r="R2959" s="1" t="s">
        <v>1718</v>
      </c>
      <c r="S2959">
        <v>33986</v>
      </c>
      <c r="T2959">
        <v>67972</v>
      </c>
    </row>
    <row r="2960" spans="1:20" hidden="1" x14ac:dyDescent="0.4">
      <c r="A2960" s="1" t="s">
        <v>1102</v>
      </c>
      <c r="B2960" s="1" t="s">
        <v>1453</v>
      </c>
      <c r="C2960" s="1" t="s">
        <v>1844</v>
      </c>
      <c r="D2960" s="1" t="s">
        <v>1462</v>
      </c>
      <c r="E2960">
        <v>20251215</v>
      </c>
      <c r="F2960" s="1" t="s">
        <v>1470</v>
      </c>
      <c r="G2960">
        <v>4</v>
      </c>
      <c r="H2960" s="1" t="s">
        <v>1496</v>
      </c>
      <c r="I2960" t="s">
        <v>1876</v>
      </c>
      <c r="J2960" s="1" t="s">
        <v>1456</v>
      </c>
      <c r="K2960" s="1" t="s">
        <v>1557</v>
      </c>
      <c r="L2960" s="1" t="s">
        <v>1729</v>
      </c>
      <c r="M2960" s="1" t="s">
        <v>1737</v>
      </c>
      <c r="N2960" t="s">
        <v>1929</v>
      </c>
      <c r="O2960" t="s">
        <v>2597</v>
      </c>
      <c r="P2960" t="s">
        <v>3270</v>
      </c>
      <c r="Q2960">
        <v>4</v>
      </c>
      <c r="R2960" s="1" t="s">
        <v>1718</v>
      </c>
      <c r="S2960">
        <v>23150</v>
      </c>
      <c r="T2960">
        <v>92600</v>
      </c>
    </row>
    <row r="2961" spans="1:20" hidden="1" x14ac:dyDescent="0.4">
      <c r="A2961" s="1" t="s">
        <v>1103</v>
      </c>
      <c r="B2961" s="1" t="s">
        <v>1453</v>
      </c>
      <c r="C2961" s="1" t="s">
        <v>1844</v>
      </c>
      <c r="D2961" s="1" t="s">
        <v>1462</v>
      </c>
      <c r="E2961">
        <v>20251215</v>
      </c>
      <c r="F2961" s="1" t="s">
        <v>1470</v>
      </c>
      <c r="G2961">
        <v>4</v>
      </c>
      <c r="H2961" s="1" t="s">
        <v>1512</v>
      </c>
      <c r="I2961" t="s">
        <v>1892</v>
      </c>
      <c r="J2961" s="1" t="s">
        <v>1456</v>
      </c>
      <c r="K2961" s="1" t="s">
        <v>1558</v>
      </c>
      <c r="L2961" s="1" t="s">
        <v>1729</v>
      </c>
      <c r="M2961" s="1" t="s">
        <v>1737</v>
      </c>
      <c r="N2961" t="s">
        <v>2096</v>
      </c>
      <c r="O2961" t="s">
        <v>2598</v>
      </c>
      <c r="P2961" t="s">
        <v>3498</v>
      </c>
      <c r="Q2961">
        <v>2</v>
      </c>
      <c r="R2961" s="1" t="s">
        <v>1718</v>
      </c>
      <c r="S2961">
        <v>19541</v>
      </c>
      <c r="T2961">
        <v>39082</v>
      </c>
    </row>
    <row r="2962" spans="1:20" hidden="1" x14ac:dyDescent="0.4">
      <c r="A2962" s="1" t="s">
        <v>1104</v>
      </c>
      <c r="B2962" s="1" t="s">
        <v>1453</v>
      </c>
      <c r="C2962" s="1" t="s">
        <v>1844</v>
      </c>
      <c r="D2962" s="1" t="s">
        <v>1462</v>
      </c>
      <c r="E2962">
        <v>20251215</v>
      </c>
      <c r="F2962" s="1" t="s">
        <v>1470</v>
      </c>
      <c r="G2962">
        <v>4</v>
      </c>
      <c r="H2962" s="1" t="s">
        <v>1512</v>
      </c>
      <c r="I2962" t="s">
        <v>1892</v>
      </c>
      <c r="J2962" s="1" t="s">
        <v>1456</v>
      </c>
      <c r="K2962" s="1" t="s">
        <v>1558</v>
      </c>
      <c r="L2962" s="1" t="s">
        <v>1729</v>
      </c>
      <c r="M2962" s="1" t="s">
        <v>1737</v>
      </c>
      <c r="N2962" t="s">
        <v>2096</v>
      </c>
      <c r="O2962" t="s">
        <v>2599</v>
      </c>
      <c r="P2962" t="s">
        <v>3499</v>
      </c>
      <c r="Q2962">
        <v>2</v>
      </c>
      <c r="R2962" s="1" t="s">
        <v>1718</v>
      </c>
      <c r="S2962">
        <v>8067</v>
      </c>
      <c r="T2962">
        <v>16134</v>
      </c>
    </row>
    <row r="2963" spans="1:20" hidden="1" x14ac:dyDescent="0.4">
      <c r="A2963" s="1" t="s">
        <v>1105</v>
      </c>
      <c r="B2963" s="1" t="s">
        <v>1453</v>
      </c>
      <c r="C2963" s="1" t="s">
        <v>1844</v>
      </c>
      <c r="D2963" s="1" t="s">
        <v>1730</v>
      </c>
      <c r="E2963">
        <v>20251215</v>
      </c>
      <c r="F2963" s="1" t="s">
        <v>1470</v>
      </c>
      <c r="G2963">
        <v>4</v>
      </c>
      <c r="H2963" s="1" t="s">
        <v>1503</v>
      </c>
      <c r="I2963" t="s">
        <v>1883</v>
      </c>
      <c r="J2963" s="1" t="s">
        <v>1456</v>
      </c>
      <c r="K2963" s="1" t="s">
        <v>1612</v>
      </c>
      <c r="L2963" s="1" t="s">
        <v>1729</v>
      </c>
      <c r="M2963" s="1" t="s">
        <v>1737</v>
      </c>
      <c r="N2963" t="s">
        <v>1986</v>
      </c>
      <c r="O2963" t="s">
        <v>2600</v>
      </c>
      <c r="P2963" t="s">
        <v>2464</v>
      </c>
      <c r="Q2963">
        <v>12.3</v>
      </c>
      <c r="R2963" s="1" t="s">
        <v>1839</v>
      </c>
      <c r="S2963">
        <v>0</v>
      </c>
      <c r="T2963">
        <v>0</v>
      </c>
    </row>
    <row r="2964" spans="1:20" hidden="1" x14ac:dyDescent="0.4">
      <c r="A2964" s="1" t="s">
        <v>1105</v>
      </c>
      <c r="B2964" s="1" t="s">
        <v>1454</v>
      </c>
      <c r="C2964" s="1" t="s">
        <v>1844</v>
      </c>
      <c r="D2964" s="1" t="s">
        <v>1730</v>
      </c>
      <c r="E2964">
        <v>20251215</v>
      </c>
      <c r="F2964" s="1" t="s">
        <v>1470</v>
      </c>
      <c r="G2964">
        <v>4</v>
      </c>
      <c r="H2964" s="1" t="s">
        <v>1503</v>
      </c>
      <c r="I2964" t="s">
        <v>1883</v>
      </c>
      <c r="J2964" s="1" t="s">
        <v>1456</v>
      </c>
      <c r="K2964" s="1" t="s">
        <v>1612</v>
      </c>
      <c r="L2964" s="1" t="s">
        <v>1729</v>
      </c>
      <c r="M2964" s="1" t="s">
        <v>1737</v>
      </c>
      <c r="N2964" t="s">
        <v>1986</v>
      </c>
      <c r="O2964" t="s">
        <v>2600</v>
      </c>
      <c r="P2964" t="s">
        <v>2465</v>
      </c>
      <c r="Q2964">
        <v>12.3</v>
      </c>
      <c r="R2964" s="1" t="s">
        <v>1839</v>
      </c>
      <c r="S2964">
        <v>0</v>
      </c>
      <c r="T2964">
        <v>0</v>
      </c>
    </row>
    <row r="2965" spans="1:20" hidden="1" x14ac:dyDescent="0.4">
      <c r="A2965" s="1" t="s">
        <v>1106</v>
      </c>
      <c r="B2965" s="1" t="s">
        <v>1453</v>
      </c>
      <c r="C2965" s="1" t="s">
        <v>1844</v>
      </c>
      <c r="D2965" s="1" t="s">
        <v>1730</v>
      </c>
      <c r="E2965">
        <v>20251215</v>
      </c>
      <c r="F2965" s="1" t="s">
        <v>1470</v>
      </c>
      <c r="G2965">
        <v>4</v>
      </c>
      <c r="H2965" s="1" t="s">
        <v>1503</v>
      </c>
      <c r="I2965" t="s">
        <v>1883</v>
      </c>
      <c r="J2965" s="1" t="s">
        <v>1456</v>
      </c>
      <c r="K2965" s="1" t="s">
        <v>1612</v>
      </c>
      <c r="L2965" s="1" t="s">
        <v>1729</v>
      </c>
      <c r="M2965" s="1" t="s">
        <v>1737</v>
      </c>
      <c r="N2965" t="s">
        <v>1986</v>
      </c>
      <c r="O2965" t="s">
        <v>2601</v>
      </c>
      <c r="P2965" t="s">
        <v>2466</v>
      </c>
      <c r="Q2965">
        <v>12.3</v>
      </c>
      <c r="R2965" s="1" t="s">
        <v>1839</v>
      </c>
      <c r="S2965">
        <v>0</v>
      </c>
      <c r="T2965">
        <v>0</v>
      </c>
    </row>
    <row r="2966" spans="1:20" hidden="1" x14ac:dyDescent="0.4">
      <c r="A2966" s="1" t="s">
        <v>1106</v>
      </c>
      <c r="B2966" s="1" t="s">
        <v>1454</v>
      </c>
      <c r="C2966" s="1" t="s">
        <v>1844</v>
      </c>
      <c r="D2966" s="1" t="s">
        <v>1730</v>
      </c>
      <c r="E2966">
        <v>20251215</v>
      </c>
      <c r="F2966" s="1" t="s">
        <v>1470</v>
      </c>
      <c r="G2966">
        <v>4</v>
      </c>
      <c r="H2966" s="1" t="s">
        <v>1503</v>
      </c>
      <c r="I2966" t="s">
        <v>1883</v>
      </c>
      <c r="J2966" s="1" t="s">
        <v>1456</v>
      </c>
      <c r="K2966" s="1" t="s">
        <v>1612</v>
      </c>
      <c r="L2966" s="1" t="s">
        <v>1729</v>
      </c>
      <c r="M2966" s="1" t="s">
        <v>1737</v>
      </c>
      <c r="N2966" t="s">
        <v>1986</v>
      </c>
      <c r="O2966" t="s">
        <v>2601</v>
      </c>
      <c r="P2966" t="s">
        <v>2467</v>
      </c>
      <c r="Q2966">
        <v>12.3</v>
      </c>
      <c r="R2966" s="1" t="s">
        <v>1839</v>
      </c>
      <c r="S2966">
        <v>0</v>
      </c>
      <c r="T2966">
        <v>0</v>
      </c>
    </row>
    <row r="2967" spans="1:20" hidden="1" x14ac:dyDescent="0.4">
      <c r="A2967" s="1" t="s">
        <v>1107</v>
      </c>
      <c r="B2967" s="1" t="s">
        <v>1453</v>
      </c>
      <c r="C2967" s="1" t="s">
        <v>1844</v>
      </c>
      <c r="D2967" s="1" t="s">
        <v>1730</v>
      </c>
      <c r="E2967">
        <v>20251215</v>
      </c>
      <c r="F2967" s="1" t="s">
        <v>1470</v>
      </c>
      <c r="G2967">
        <v>4</v>
      </c>
      <c r="H2967" s="1" t="s">
        <v>1503</v>
      </c>
      <c r="I2967" t="s">
        <v>1883</v>
      </c>
      <c r="J2967" s="1" t="s">
        <v>1456</v>
      </c>
      <c r="K2967" s="1" t="s">
        <v>1612</v>
      </c>
      <c r="L2967" s="1" t="s">
        <v>1729</v>
      </c>
      <c r="M2967" s="1" t="s">
        <v>1737</v>
      </c>
      <c r="N2967" t="s">
        <v>1986</v>
      </c>
      <c r="O2967" t="s">
        <v>2602</v>
      </c>
      <c r="P2967" t="s">
        <v>2468</v>
      </c>
      <c r="Q2967">
        <v>12.3</v>
      </c>
      <c r="R2967" s="1" t="s">
        <v>1839</v>
      </c>
      <c r="S2967">
        <v>0</v>
      </c>
      <c r="T2967">
        <v>0</v>
      </c>
    </row>
    <row r="2968" spans="1:20" hidden="1" x14ac:dyDescent="0.4">
      <c r="A2968" s="1" t="s">
        <v>1108</v>
      </c>
      <c r="B2968" s="1" t="s">
        <v>1453</v>
      </c>
      <c r="C2968" s="1" t="s">
        <v>1844</v>
      </c>
      <c r="D2968" s="1" t="s">
        <v>1731</v>
      </c>
      <c r="E2968">
        <v>20251212</v>
      </c>
      <c r="F2968" s="1" t="s">
        <v>1470</v>
      </c>
      <c r="G2968">
        <v>1</v>
      </c>
      <c r="H2968" s="1" t="s">
        <v>1494</v>
      </c>
      <c r="I2968" t="s">
        <v>1874</v>
      </c>
      <c r="J2968" s="1" t="s">
        <v>1456</v>
      </c>
      <c r="K2968" s="1" t="s">
        <v>1606</v>
      </c>
      <c r="L2968" s="1" t="s">
        <v>1716</v>
      </c>
      <c r="M2968" s="1" t="s">
        <v>1735</v>
      </c>
      <c r="N2968" t="s">
        <v>1981</v>
      </c>
      <c r="O2968" t="s">
        <v>2162</v>
      </c>
      <c r="P2968" t="s">
        <v>3134</v>
      </c>
      <c r="Q2968">
        <v>1721.88</v>
      </c>
      <c r="R2968" s="1" t="s">
        <v>1463</v>
      </c>
      <c r="S2968">
        <v>2032</v>
      </c>
      <c r="T2968">
        <v>3498860</v>
      </c>
    </row>
    <row r="2969" spans="1:20" hidden="1" x14ac:dyDescent="0.4">
      <c r="A2969" s="1" t="s">
        <v>1108</v>
      </c>
      <c r="B2969" s="1" t="s">
        <v>1454</v>
      </c>
      <c r="C2969" s="1" t="s">
        <v>1844</v>
      </c>
      <c r="D2969" s="1" t="s">
        <v>1731</v>
      </c>
      <c r="E2969">
        <v>20251212</v>
      </c>
      <c r="F2969" s="1" t="s">
        <v>1470</v>
      </c>
      <c r="G2969">
        <v>1</v>
      </c>
      <c r="H2969" s="1" t="s">
        <v>1494</v>
      </c>
      <c r="I2969" t="s">
        <v>1874</v>
      </c>
      <c r="J2969" s="1" t="s">
        <v>1456</v>
      </c>
      <c r="K2969" s="1" t="s">
        <v>1606</v>
      </c>
      <c r="L2969" s="1" t="s">
        <v>1716</v>
      </c>
      <c r="M2969" s="1" t="s">
        <v>1735</v>
      </c>
      <c r="N2969" t="s">
        <v>1981</v>
      </c>
      <c r="O2969" t="s">
        <v>2162</v>
      </c>
      <c r="P2969" t="s">
        <v>3135</v>
      </c>
      <c r="Q2969">
        <v>1723.36</v>
      </c>
      <c r="R2969" s="1" t="s">
        <v>1463</v>
      </c>
      <c r="S2969">
        <v>2032</v>
      </c>
      <c r="T2969">
        <v>3501867</v>
      </c>
    </row>
    <row r="2970" spans="1:20" hidden="1" x14ac:dyDescent="0.4">
      <c r="A2970" s="1" t="s">
        <v>1109</v>
      </c>
      <c r="B2970" s="1" t="s">
        <v>1453</v>
      </c>
      <c r="C2970" s="1" t="s">
        <v>1844</v>
      </c>
      <c r="D2970" s="1" t="s">
        <v>1467</v>
      </c>
      <c r="E2970">
        <v>20251215</v>
      </c>
      <c r="F2970" s="1" t="s">
        <v>1470</v>
      </c>
      <c r="G2970">
        <v>4</v>
      </c>
      <c r="H2970" s="1" t="s">
        <v>1503</v>
      </c>
      <c r="I2970" t="s">
        <v>1883</v>
      </c>
      <c r="J2970" s="1" t="s">
        <v>1456</v>
      </c>
      <c r="K2970" s="1" t="s">
        <v>1570</v>
      </c>
      <c r="L2970" s="1" t="s">
        <v>1729</v>
      </c>
      <c r="M2970" s="1" t="s">
        <v>1741</v>
      </c>
      <c r="N2970" t="s">
        <v>1943</v>
      </c>
      <c r="O2970" t="s">
        <v>2157</v>
      </c>
      <c r="P2970" t="s">
        <v>3243</v>
      </c>
      <c r="Q2970">
        <v>10</v>
      </c>
      <c r="R2970" s="1" t="s">
        <v>1718</v>
      </c>
      <c r="S2970">
        <v>2201</v>
      </c>
      <c r="T2970">
        <v>22010</v>
      </c>
    </row>
    <row r="2971" spans="1:20" hidden="1" x14ac:dyDescent="0.4">
      <c r="A2971" s="1" t="s">
        <v>1110</v>
      </c>
      <c r="B2971" s="1" t="s">
        <v>1453</v>
      </c>
      <c r="C2971" s="1" t="s">
        <v>1844</v>
      </c>
      <c r="D2971" s="1" t="s">
        <v>1730</v>
      </c>
      <c r="E2971">
        <v>20251215</v>
      </c>
      <c r="F2971" s="1" t="s">
        <v>1470</v>
      </c>
      <c r="G2971">
        <v>4</v>
      </c>
      <c r="H2971" s="1" t="s">
        <v>1503</v>
      </c>
      <c r="I2971" t="s">
        <v>1883</v>
      </c>
      <c r="J2971" s="1" t="s">
        <v>1456</v>
      </c>
      <c r="K2971" s="1" t="s">
        <v>1570</v>
      </c>
      <c r="L2971" s="1" t="s">
        <v>1729</v>
      </c>
      <c r="M2971" s="1" t="s">
        <v>1741</v>
      </c>
      <c r="N2971" t="s">
        <v>1943</v>
      </c>
      <c r="O2971" t="s">
        <v>2603</v>
      </c>
      <c r="P2971" t="s">
        <v>3243</v>
      </c>
      <c r="Q2971">
        <v>10</v>
      </c>
      <c r="R2971" s="1" t="s">
        <v>1718</v>
      </c>
      <c r="S2971">
        <v>0</v>
      </c>
      <c r="T2971">
        <v>0</v>
      </c>
    </row>
    <row r="2972" spans="1:20" hidden="1" x14ac:dyDescent="0.4">
      <c r="A2972" s="1" t="s">
        <v>1111</v>
      </c>
      <c r="B2972" s="1" t="s">
        <v>1453</v>
      </c>
      <c r="C2972" s="1" t="s">
        <v>1844</v>
      </c>
      <c r="D2972" s="1" t="s">
        <v>1462</v>
      </c>
      <c r="E2972">
        <v>20251212</v>
      </c>
      <c r="F2972" s="1" t="s">
        <v>1471</v>
      </c>
      <c r="G2972">
        <v>4</v>
      </c>
      <c r="H2972" s="1" t="s">
        <v>1522</v>
      </c>
      <c r="I2972" t="s">
        <v>1902</v>
      </c>
      <c r="J2972" s="1" t="s">
        <v>1460</v>
      </c>
      <c r="K2972" s="1" t="s">
        <v>1659</v>
      </c>
      <c r="L2972" s="1" t="s">
        <v>1731</v>
      </c>
      <c r="M2972" s="1" t="s">
        <v>1807</v>
      </c>
      <c r="N2972" t="s">
        <v>2047</v>
      </c>
      <c r="O2972" t="s">
        <v>2178</v>
      </c>
      <c r="P2972" t="s">
        <v>3176</v>
      </c>
      <c r="Q2972">
        <v>500</v>
      </c>
      <c r="R2972" s="1" t="s">
        <v>1463</v>
      </c>
      <c r="S2972">
        <v>733</v>
      </c>
      <c r="T2972">
        <v>366500</v>
      </c>
    </row>
    <row r="2973" spans="1:20" hidden="1" x14ac:dyDescent="0.4">
      <c r="A2973" s="1" t="s">
        <v>1112</v>
      </c>
      <c r="B2973" s="1" t="s">
        <v>1453</v>
      </c>
      <c r="C2973" s="1" t="s">
        <v>1844</v>
      </c>
      <c r="D2973" s="1" t="s">
        <v>1462</v>
      </c>
      <c r="E2973">
        <v>20251212</v>
      </c>
      <c r="F2973" s="1" t="s">
        <v>1471</v>
      </c>
      <c r="G2973">
        <v>4</v>
      </c>
      <c r="H2973" s="1" t="s">
        <v>1525</v>
      </c>
      <c r="I2973" t="s">
        <v>1905</v>
      </c>
      <c r="J2973" s="1" t="s">
        <v>1460</v>
      </c>
      <c r="K2973" s="1" t="s">
        <v>1649</v>
      </c>
      <c r="L2973" s="1" t="s">
        <v>1731</v>
      </c>
      <c r="M2973" s="1" t="s">
        <v>1761</v>
      </c>
      <c r="N2973" t="s">
        <v>2031</v>
      </c>
      <c r="O2973" t="s">
        <v>2178</v>
      </c>
      <c r="P2973" t="s">
        <v>3156</v>
      </c>
      <c r="Q2973">
        <v>250</v>
      </c>
      <c r="R2973" s="1" t="s">
        <v>1463</v>
      </c>
      <c r="S2973">
        <v>1560</v>
      </c>
      <c r="T2973">
        <v>390000</v>
      </c>
    </row>
    <row r="2974" spans="1:20" hidden="1" x14ac:dyDescent="0.4">
      <c r="A2974" s="1" t="s">
        <v>1113</v>
      </c>
      <c r="B2974" s="1" t="s">
        <v>1453</v>
      </c>
      <c r="C2974" s="1" t="s">
        <v>1844</v>
      </c>
      <c r="D2974" s="1" t="s">
        <v>1462</v>
      </c>
      <c r="E2974">
        <v>20251212</v>
      </c>
      <c r="F2974" s="1" t="s">
        <v>1471</v>
      </c>
      <c r="G2974">
        <v>4</v>
      </c>
      <c r="H2974" s="1" t="s">
        <v>1537</v>
      </c>
      <c r="I2974" t="s">
        <v>1917</v>
      </c>
      <c r="J2974" s="1" t="s">
        <v>1460</v>
      </c>
      <c r="K2974" s="1" t="s">
        <v>1628</v>
      </c>
      <c r="L2974" s="1" t="s">
        <v>1731</v>
      </c>
      <c r="M2974" s="1" t="s">
        <v>1735</v>
      </c>
      <c r="N2974" t="s">
        <v>2062</v>
      </c>
      <c r="O2974" t="s">
        <v>2178</v>
      </c>
      <c r="P2974" t="s">
        <v>3189</v>
      </c>
      <c r="Q2974">
        <v>12500</v>
      </c>
      <c r="R2974" s="1" t="s">
        <v>1463</v>
      </c>
      <c r="S2974">
        <v>475</v>
      </c>
      <c r="T2974">
        <v>5937500</v>
      </c>
    </row>
    <row r="2975" spans="1:20" hidden="1" x14ac:dyDescent="0.4">
      <c r="A2975" s="1" t="s">
        <v>1114</v>
      </c>
      <c r="B2975" s="1" t="s">
        <v>1453</v>
      </c>
      <c r="C2975" s="1" t="s">
        <v>1844</v>
      </c>
      <c r="D2975" s="1" t="s">
        <v>1731</v>
      </c>
      <c r="E2975">
        <v>20251215</v>
      </c>
      <c r="F2975" s="1" t="s">
        <v>1473</v>
      </c>
      <c r="G2975">
        <v>1</v>
      </c>
      <c r="H2975" s="1" t="s">
        <v>1494</v>
      </c>
      <c r="I2975" t="s">
        <v>1874</v>
      </c>
      <c r="J2975" s="1" t="s">
        <v>1453</v>
      </c>
      <c r="K2975" s="1" t="s">
        <v>1601</v>
      </c>
      <c r="L2975" s="1" t="s">
        <v>1716</v>
      </c>
      <c r="M2975" s="1" t="s">
        <v>1785</v>
      </c>
      <c r="N2975" t="s">
        <v>1976</v>
      </c>
      <c r="O2975" t="s">
        <v>2162</v>
      </c>
      <c r="P2975" t="s">
        <v>3136</v>
      </c>
      <c r="Q2975">
        <v>1159.8</v>
      </c>
      <c r="R2975" s="1" t="s">
        <v>1463</v>
      </c>
      <c r="S2975">
        <v>560</v>
      </c>
      <c r="T2975">
        <v>649488</v>
      </c>
    </row>
    <row r="2976" spans="1:20" hidden="1" x14ac:dyDescent="0.4">
      <c r="A2976" s="1" t="s">
        <v>1115</v>
      </c>
      <c r="B2976" s="1" t="s">
        <v>1453</v>
      </c>
      <c r="C2976" s="1" t="s">
        <v>1844</v>
      </c>
      <c r="D2976" s="1" t="s">
        <v>1462</v>
      </c>
      <c r="E2976">
        <v>20251215</v>
      </c>
      <c r="F2976" s="1" t="s">
        <v>1471</v>
      </c>
      <c r="G2976">
        <v>4</v>
      </c>
      <c r="H2976" s="1" t="s">
        <v>1516</v>
      </c>
      <c r="I2976" t="s">
        <v>1896</v>
      </c>
      <c r="J2976" s="1" t="s">
        <v>1460</v>
      </c>
      <c r="K2976" s="1" t="s">
        <v>1641</v>
      </c>
      <c r="L2976" s="1" t="s">
        <v>1730</v>
      </c>
      <c r="M2976" s="1" t="s">
        <v>1792</v>
      </c>
      <c r="N2976" t="s">
        <v>2102</v>
      </c>
      <c r="O2976" t="s">
        <v>2175</v>
      </c>
      <c r="P2976" t="s">
        <v>3190</v>
      </c>
      <c r="Q2976">
        <v>100</v>
      </c>
      <c r="R2976" s="1" t="s">
        <v>1718</v>
      </c>
      <c r="S2976">
        <v>2608</v>
      </c>
      <c r="T2976">
        <v>260800</v>
      </c>
    </row>
    <row r="2977" spans="1:20" hidden="1" x14ac:dyDescent="0.4">
      <c r="A2977" s="1" t="s">
        <v>1115</v>
      </c>
      <c r="B2977" s="1" t="s">
        <v>1454</v>
      </c>
      <c r="C2977" s="1" t="s">
        <v>1844</v>
      </c>
      <c r="D2977" s="1" t="s">
        <v>1462</v>
      </c>
      <c r="E2977">
        <v>20251215</v>
      </c>
      <c r="F2977" s="1" t="s">
        <v>1471</v>
      </c>
      <c r="G2977">
        <v>4</v>
      </c>
      <c r="H2977" s="1" t="s">
        <v>1516</v>
      </c>
      <c r="I2977" t="s">
        <v>1896</v>
      </c>
      <c r="J2977" s="1" t="s">
        <v>1460</v>
      </c>
      <c r="K2977" s="1" t="s">
        <v>1642</v>
      </c>
      <c r="L2977" s="1" t="s">
        <v>1725</v>
      </c>
      <c r="M2977" s="1" t="s">
        <v>1737</v>
      </c>
      <c r="N2977" t="s">
        <v>2023</v>
      </c>
      <c r="O2977" t="s">
        <v>2157</v>
      </c>
      <c r="P2977" t="s">
        <v>2157</v>
      </c>
      <c r="Q2977">
        <v>4</v>
      </c>
      <c r="R2977" s="1" t="s">
        <v>1841</v>
      </c>
      <c r="S2977">
        <v>1000</v>
      </c>
      <c r="T2977">
        <v>4000</v>
      </c>
    </row>
    <row r="2978" spans="1:20" hidden="1" x14ac:dyDescent="0.4">
      <c r="A2978" s="1" t="s">
        <v>1116</v>
      </c>
      <c r="B2978" s="1" t="s">
        <v>1453</v>
      </c>
      <c r="C2978" s="1" t="s">
        <v>1844</v>
      </c>
      <c r="D2978" s="1" t="s">
        <v>1462</v>
      </c>
      <c r="E2978">
        <v>20251216</v>
      </c>
      <c r="F2978" s="1" t="s">
        <v>1470</v>
      </c>
      <c r="G2978">
        <v>4</v>
      </c>
      <c r="H2978" s="1" t="s">
        <v>1511</v>
      </c>
      <c r="I2978" t="s">
        <v>1891</v>
      </c>
      <c r="J2978" s="1" t="s">
        <v>1456</v>
      </c>
      <c r="K2978" s="1" t="s">
        <v>1560</v>
      </c>
      <c r="L2978" s="1" t="s">
        <v>1729</v>
      </c>
      <c r="M2978" s="1" t="s">
        <v>1740</v>
      </c>
      <c r="N2978" t="s">
        <v>2105</v>
      </c>
      <c r="O2978" t="s">
        <v>2604</v>
      </c>
      <c r="P2978" t="s">
        <v>3172</v>
      </c>
      <c r="Q2978">
        <v>2</v>
      </c>
      <c r="R2978" s="1" t="s">
        <v>1718</v>
      </c>
      <c r="S2978">
        <v>8741</v>
      </c>
      <c r="T2978">
        <v>17482</v>
      </c>
    </row>
    <row r="2979" spans="1:20" hidden="1" x14ac:dyDescent="0.4">
      <c r="A2979" s="1" t="s">
        <v>1117</v>
      </c>
      <c r="B2979" s="1" t="s">
        <v>1453</v>
      </c>
      <c r="C2979" s="1" t="s">
        <v>1844</v>
      </c>
      <c r="D2979" s="1" t="s">
        <v>1462</v>
      </c>
      <c r="E2979">
        <v>20251216</v>
      </c>
      <c r="F2979" s="1" t="s">
        <v>1470</v>
      </c>
      <c r="G2979">
        <v>4</v>
      </c>
      <c r="H2979" s="1" t="s">
        <v>1511</v>
      </c>
      <c r="I2979" t="s">
        <v>1891</v>
      </c>
      <c r="J2979" s="1" t="s">
        <v>1456</v>
      </c>
      <c r="K2979" s="1" t="s">
        <v>1555</v>
      </c>
      <c r="L2979" s="1" t="s">
        <v>1729</v>
      </c>
      <c r="M2979" s="1" t="s">
        <v>1736</v>
      </c>
      <c r="N2979" t="s">
        <v>2088</v>
      </c>
      <c r="O2979" t="s">
        <v>2605</v>
      </c>
      <c r="P2979" t="s">
        <v>3500</v>
      </c>
      <c r="Q2979">
        <v>8</v>
      </c>
      <c r="R2979" s="1" t="s">
        <v>1718</v>
      </c>
      <c r="S2979">
        <v>4474</v>
      </c>
      <c r="T2979">
        <v>35792</v>
      </c>
    </row>
    <row r="2980" spans="1:20" hidden="1" x14ac:dyDescent="0.4">
      <c r="A2980" s="1" t="s">
        <v>1118</v>
      </c>
      <c r="B2980" s="1" t="s">
        <v>1453</v>
      </c>
      <c r="C2980" s="1" t="s">
        <v>1844</v>
      </c>
      <c r="D2980" s="1" t="s">
        <v>1462</v>
      </c>
      <c r="E2980">
        <v>20251216</v>
      </c>
      <c r="F2980" s="1" t="s">
        <v>1470</v>
      </c>
      <c r="G2980">
        <v>4</v>
      </c>
      <c r="H2980" s="1" t="s">
        <v>1503</v>
      </c>
      <c r="I2980" t="s">
        <v>1883</v>
      </c>
      <c r="J2980" s="1" t="s">
        <v>1456</v>
      </c>
      <c r="K2980" s="1" t="s">
        <v>1553</v>
      </c>
      <c r="L2980" s="1" t="s">
        <v>1729</v>
      </c>
      <c r="M2980" s="1" t="s">
        <v>1736</v>
      </c>
      <c r="N2980" t="s">
        <v>2108</v>
      </c>
      <c r="O2980">
        <v>15251202</v>
      </c>
      <c r="P2980" t="s">
        <v>3501</v>
      </c>
      <c r="Q2980">
        <v>2</v>
      </c>
      <c r="R2980" s="1" t="s">
        <v>1718</v>
      </c>
      <c r="S2980">
        <v>11000</v>
      </c>
      <c r="T2980">
        <v>22000</v>
      </c>
    </row>
    <row r="2981" spans="1:20" hidden="1" x14ac:dyDescent="0.4">
      <c r="A2981" s="1" t="s">
        <v>1119</v>
      </c>
      <c r="B2981" s="1" t="s">
        <v>1453</v>
      </c>
      <c r="C2981" s="1" t="s">
        <v>1844</v>
      </c>
      <c r="D2981" s="1" t="s">
        <v>1462</v>
      </c>
      <c r="E2981">
        <v>20251216</v>
      </c>
      <c r="F2981" s="1" t="s">
        <v>1470</v>
      </c>
      <c r="G2981">
        <v>4</v>
      </c>
      <c r="H2981" s="1" t="s">
        <v>1503</v>
      </c>
      <c r="I2981" t="s">
        <v>1883</v>
      </c>
      <c r="J2981" s="1" t="s">
        <v>1456</v>
      </c>
      <c r="K2981" s="1" t="s">
        <v>1552</v>
      </c>
      <c r="L2981" s="1" t="s">
        <v>1729</v>
      </c>
      <c r="M2981" s="1" t="s">
        <v>1735</v>
      </c>
      <c r="N2981" t="s">
        <v>2094</v>
      </c>
      <c r="O2981" t="s">
        <v>2606</v>
      </c>
      <c r="P2981" t="s">
        <v>3502</v>
      </c>
      <c r="Q2981">
        <v>2</v>
      </c>
      <c r="R2981" s="1" t="s">
        <v>1839</v>
      </c>
      <c r="S2981">
        <v>10590</v>
      </c>
      <c r="T2981">
        <v>21180</v>
      </c>
    </row>
    <row r="2982" spans="1:20" hidden="1" x14ac:dyDescent="0.4">
      <c r="A2982" s="1" t="s">
        <v>1119</v>
      </c>
      <c r="B2982" s="1" t="s">
        <v>1454</v>
      </c>
      <c r="C2982" s="1" t="s">
        <v>1844</v>
      </c>
      <c r="D2982" s="1" t="s">
        <v>1462</v>
      </c>
      <c r="E2982">
        <v>20251216</v>
      </c>
      <c r="F2982" s="1" t="s">
        <v>1470</v>
      </c>
      <c r="G2982">
        <v>4</v>
      </c>
      <c r="H2982" s="1" t="s">
        <v>1503</v>
      </c>
      <c r="I2982" t="s">
        <v>1883</v>
      </c>
      <c r="J2982" s="1" t="s">
        <v>1456</v>
      </c>
      <c r="K2982" s="1" t="s">
        <v>1552</v>
      </c>
      <c r="L2982" s="1" t="s">
        <v>1729</v>
      </c>
      <c r="M2982" s="1" t="s">
        <v>1735</v>
      </c>
      <c r="N2982" t="s">
        <v>2094</v>
      </c>
      <c r="O2982" t="s">
        <v>2607</v>
      </c>
      <c r="P2982" t="s">
        <v>3503</v>
      </c>
      <c r="Q2982">
        <v>2</v>
      </c>
      <c r="R2982" s="1" t="s">
        <v>1839</v>
      </c>
      <c r="S2982">
        <v>8080</v>
      </c>
      <c r="T2982">
        <v>16160</v>
      </c>
    </row>
    <row r="2983" spans="1:20" hidden="1" x14ac:dyDescent="0.4">
      <c r="A2983" s="1" t="s">
        <v>1119</v>
      </c>
      <c r="B2983" s="1" t="s">
        <v>1455</v>
      </c>
      <c r="C2983" s="1" t="s">
        <v>1844</v>
      </c>
      <c r="D2983" s="1" t="s">
        <v>1462</v>
      </c>
      <c r="E2983">
        <v>20251216</v>
      </c>
      <c r="F2983" s="1" t="s">
        <v>1470</v>
      </c>
      <c r="G2983">
        <v>4</v>
      </c>
      <c r="H2983" s="1" t="s">
        <v>1503</v>
      </c>
      <c r="I2983" t="s">
        <v>1883</v>
      </c>
      <c r="J2983" s="1" t="s">
        <v>1456</v>
      </c>
      <c r="K2983" s="1" t="s">
        <v>1552</v>
      </c>
      <c r="L2983" s="1" t="s">
        <v>1729</v>
      </c>
      <c r="M2983" s="1" t="s">
        <v>1735</v>
      </c>
      <c r="N2983" t="s">
        <v>2094</v>
      </c>
      <c r="O2983" t="s">
        <v>2608</v>
      </c>
      <c r="P2983" t="s">
        <v>3504</v>
      </c>
      <c r="Q2983">
        <v>2</v>
      </c>
      <c r="R2983" s="1" t="s">
        <v>1839</v>
      </c>
      <c r="S2983">
        <v>8470</v>
      </c>
      <c r="T2983">
        <v>16940</v>
      </c>
    </row>
    <row r="2984" spans="1:20" hidden="1" x14ac:dyDescent="0.4">
      <c r="A2984" s="1" t="s">
        <v>1120</v>
      </c>
      <c r="B2984" s="1" t="s">
        <v>1453</v>
      </c>
      <c r="C2984" s="1" t="s">
        <v>1844</v>
      </c>
      <c r="D2984" s="1" t="s">
        <v>1462</v>
      </c>
      <c r="E2984">
        <v>20251216</v>
      </c>
      <c r="F2984" s="1" t="s">
        <v>1470</v>
      </c>
      <c r="G2984">
        <v>4</v>
      </c>
      <c r="H2984" s="1" t="s">
        <v>1503</v>
      </c>
      <c r="I2984" t="s">
        <v>1883</v>
      </c>
      <c r="J2984" s="1" t="s">
        <v>1456</v>
      </c>
      <c r="K2984" s="1" t="s">
        <v>1553</v>
      </c>
      <c r="L2984" s="1" t="s">
        <v>1729</v>
      </c>
      <c r="M2984" s="1" t="s">
        <v>1736</v>
      </c>
      <c r="N2984" t="s">
        <v>2093</v>
      </c>
      <c r="O2984" t="s">
        <v>2609</v>
      </c>
      <c r="P2984" t="s">
        <v>3505</v>
      </c>
      <c r="Q2984">
        <v>2</v>
      </c>
      <c r="R2984" s="1" t="s">
        <v>1718</v>
      </c>
      <c r="S2984">
        <v>12430</v>
      </c>
      <c r="T2984">
        <v>24860</v>
      </c>
    </row>
    <row r="2985" spans="1:20" hidden="1" x14ac:dyDescent="0.4">
      <c r="A2985" s="1" t="s">
        <v>1121</v>
      </c>
      <c r="B2985" s="1" t="s">
        <v>1453</v>
      </c>
      <c r="C2985" s="1" t="s">
        <v>1844</v>
      </c>
      <c r="D2985" s="1" t="s">
        <v>1462</v>
      </c>
      <c r="E2985">
        <v>20251216</v>
      </c>
      <c r="F2985" s="1" t="s">
        <v>1470</v>
      </c>
      <c r="G2985">
        <v>4</v>
      </c>
      <c r="H2985" s="1" t="s">
        <v>1503</v>
      </c>
      <c r="I2985" t="s">
        <v>1883</v>
      </c>
      <c r="J2985" s="1" t="s">
        <v>1456</v>
      </c>
      <c r="K2985" s="1" t="s">
        <v>1553</v>
      </c>
      <c r="L2985" s="1" t="s">
        <v>1729</v>
      </c>
      <c r="M2985" s="1" t="s">
        <v>1745</v>
      </c>
      <c r="N2985" t="s">
        <v>2139</v>
      </c>
      <c r="O2985" t="s">
        <v>2610</v>
      </c>
      <c r="P2985" t="s">
        <v>3506</v>
      </c>
      <c r="Q2985">
        <v>2</v>
      </c>
      <c r="R2985" s="1" t="s">
        <v>1718</v>
      </c>
      <c r="S2985">
        <v>14580</v>
      </c>
      <c r="T2985">
        <v>29160</v>
      </c>
    </row>
    <row r="2986" spans="1:20" hidden="1" x14ac:dyDescent="0.4">
      <c r="A2986" s="1" t="s">
        <v>1122</v>
      </c>
      <c r="B2986" s="1" t="s">
        <v>1453</v>
      </c>
      <c r="C2986" s="1" t="s">
        <v>1844</v>
      </c>
      <c r="D2986" s="1" t="s">
        <v>1462</v>
      </c>
      <c r="E2986">
        <v>20251216</v>
      </c>
      <c r="F2986" s="1" t="s">
        <v>1470</v>
      </c>
      <c r="G2986">
        <v>4</v>
      </c>
      <c r="H2986" s="1" t="s">
        <v>1503</v>
      </c>
      <c r="I2986" t="s">
        <v>1883</v>
      </c>
      <c r="J2986" s="1" t="s">
        <v>1456</v>
      </c>
      <c r="K2986" s="1" t="s">
        <v>1553</v>
      </c>
      <c r="L2986" s="1" t="s">
        <v>1729</v>
      </c>
      <c r="M2986" s="1" t="s">
        <v>1736</v>
      </c>
      <c r="N2986" t="s">
        <v>2093</v>
      </c>
      <c r="O2986" t="s">
        <v>2611</v>
      </c>
      <c r="P2986" t="s">
        <v>3507</v>
      </c>
      <c r="Q2986">
        <v>2</v>
      </c>
      <c r="R2986" s="1" t="s">
        <v>1718</v>
      </c>
      <c r="S2986">
        <v>10690</v>
      </c>
      <c r="T2986">
        <v>21380</v>
      </c>
    </row>
    <row r="2987" spans="1:20" hidden="1" x14ac:dyDescent="0.4">
      <c r="A2987" s="1" t="s">
        <v>1123</v>
      </c>
      <c r="B2987" s="1" t="s">
        <v>1453</v>
      </c>
      <c r="C2987" s="1" t="s">
        <v>1844</v>
      </c>
      <c r="D2987" s="1" t="s">
        <v>1462</v>
      </c>
      <c r="E2987">
        <v>20251216</v>
      </c>
      <c r="F2987" s="1" t="s">
        <v>1470</v>
      </c>
      <c r="G2987">
        <v>4</v>
      </c>
      <c r="H2987" s="1" t="s">
        <v>1503</v>
      </c>
      <c r="I2987" t="s">
        <v>1883</v>
      </c>
      <c r="J2987" s="1" t="s">
        <v>1456</v>
      </c>
      <c r="K2987" s="1" t="s">
        <v>1553</v>
      </c>
      <c r="L2987" s="1" t="s">
        <v>1729</v>
      </c>
      <c r="M2987" s="1" t="s">
        <v>1736</v>
      </c>
      <c r="N2987" t="s">
        <v>2108</v>
      </c>
      <c r="O2987" t="s">
        <v>2612</v>
      </c>
      <c r="P2987" t="s">
        <v>3508</v>
      </c>
      <c r="Q2987">
        <v>1</v>
      </c>
      <c r="R2987" s="1" t="s">
        <v>1718</v>
      </c>
      <c r="S2987">
        <v>1450</v>
      </c>
      <c r="T2987">
        <v>1450</v>
      </c>
    </row>
    <row r="2988" spans="1:20" hidden="1" x14ac:dyDescent="0.4">
      <c r="A2988" s="1" t="s">
        <v>1124</v>
      </c>
      <c r="B2988" s="1" t="s">
        <v>1453</v>
      </c>
      <c r="C2988" s="1" t="s">
        <v>1844</v>
      </c>
      <c r="D2988" s="1" t="s">
        <v>1462</v>
      </c>
      <c r="E2988">
        <v>20251216</v>
      </c>
      <c r="F2988" s="1" t="s">
        <v>1470</v>
      </c>
      <c r="G2988">
        <v>4</v>
      </c>
      <c r="H2988" s="1" t="s">
        <v>1512</v>
      </c>
      <c r="I2988" t="s">
        <v>1892</v>
      </c>
      <c r="J2988" s="1" t="s">
        <v>1456</v>
      </c>
      <c r="K2988" s="1" t="s">
        <v>1558</v>
      </c>
      <c r="L2988" s="1" t="s">
        <v>1729</v>
      </c>
      <c r="M2988" s="1" t="s">
        <v>1737</v>
      </c>
      <c r="N2988" t="s">
        <v>2096</v>
      </c>
      <c r="O2988" t="s">
        <v>2613</v>
      </c>
      <c r="P2988" t="s">
        <v>3509</v>
      </c>
      <c r="Q2988">
        <v>4</v>
      </c>
      <c r="R2988" s="1" t="s">
        <v>1718</v>
      </c>
      <c r="S2988">
        <v>8579</v>
      </c>
      <c r="T2988">
        <v>34316</v>
      </c>
    </row>
    <row r="2989" spans="1:20" hidden="1" x14ac:dyDescent="0.4">
      <c r="A2989" s="1" t="s">
        <v>1125</v>
      </c>
      <c r="B2989" s="1" t="s">
        <v>1453</v>
      </c>
      <c r="C2989" s="1" t="s">
        <v>1844</v>
      </c>
      <c r="D2989" s="1" t="s">
        <v>1462</v>
      </c>
      <c r="E2989">
        <v>20251216</v>
      </c>
      <c r="F2989" s="1" t="s">
        <v>1470</v>
      </c>
      <c r="G2989">
        <v>4</v>
      </c>
      <c r="H2989" s="1" t="s">
        <v>1512</v>
      </c>
      <c r="I2989" t="s">
        <v>1892</v>
      </c>
      <c r="J2989" s="1" t="s">
        <v>1456</v>
      </c>
      <c r="K2989" s="1" t="s">
        <v>1558</v>
      </c>
      <c r="L2989" s="1" t="s">
        <v>1729</v>
      </c>
      <c r="M2989" s="1" t="s">
        <v>1737</v>
      </c>
      <c r="N2989" t="s">
        <v>2096</v>
      </c>
      <c r="O2989" t="s">
        <v>2613</v>
      </c>
      <c r="P2989" t="s">
        <v>3510</v>
      </c>
      <c r="Q2989">
        <v>13</v>
      </c>
      <c r="R2989" s="1" t="s">
        <v>1718</v>
      </c>
      <c r="S2989">
        <v>8579</v>
      </c>
      <c r="T2989">
        <v>111527</v>
      </c>
    </row>
    <row r="2990" spans="1:20" hidden="1" x14ac:dyDescent="0.4">
      <c r="A2990" s="1" t="s">
        <v>1125</v>
      </c>
      <c r="B2990" s="1" t="s">
        <v>1454</v>
      </c>
      <c r="C2990" s="1" t="s">
        <v>1844</v>
      </c>
      <c r="D2990" s="1" t="s">
        <v>1462</v>
      </c>
      <c r="E2990">
        <v>20251216</v>
      </c>
      <c r="F2990" s="1" t="s">
        <v>1470</v>
      </c>
      <c r="G2990">
        <v>4</v>
      </c>
      <c r="H2990" s="1" t="s">
        <v>1512</v>
      </c>
      <c r="I2990" t="s">
        <v>1892</v>
      </c>
      <c r="J2990" s="1" t="s">
        <v>1456</v>
      </c>
      <c r="K2990" s="1" t="s">
        <v>1558</v>
      </c>
      <c r="L2990" s="1" t="s">
        <v>1729</v>
      </c>
      <c r="M2990" s="1" t="s">
        <v>1737</v>
      </c>
      <c r="N2990" t="s">
        <v>2096</v>
      </c>
      <c r="O2990" t="s">
        <v>2613</v>
      </c>
      <c r="P2990" t="s">
        <v>3511</v>
      </c>
      <c r="Q2990">
        <v>4</v>
      </c>
      <c r="R2990" s="1" t="s">
        <v>1718</v>
      </c>
      <c r="S2990">
        <v>33803</v>
      </c>
      <c r="T2990">
        <v>135212</v>
      </c>
    </row>
    <row r="2991" spans="1:20" hidden="1" x14ac:dyDescent="0.4">
      <c r="A2991" s="1" t="s">
        <v>1126</v>
      </c>
      <c r="B2991" s="1" t="s">
        <v>1453</v>
      </c>
      <c r="C2991" s="1" t="s">
        <v>1844</v>
      </c>
      <c r="D2991" s="1" t="s">
        <v>1462</v>
      </c>
      <c r="E2991">
        <v>20251216</v>
      </c>
      <c r="F2991" s="1" t="s">
        <v>1470</v>
      </c>
      <c r="G2991">
        <v>4</v>
      </c>
      <c r="H2991" s="1" t="s">
        <v>1512</v>
      </c>
      <c r="I2991" t="s">
        <v>1892</v>
      </c>
      <c r="J2991" s="1" t="s">
        <v>1456</v>
      </c>
      <c r="K2991" s="1" t="s">
        <v>1558</v>
      </c>
      <c r="L2991" s="1" t="s">
        <v>1729</v>
      </c>
      <c r="M2991" s="1" t="s">
        <v>1737</v>
      </c>
      <c r="N2991" t="s">
        <v>2096</v>
      </c>
      <c r="O2991" t="s">
        <v>2613</v>
      </c>
      <c r="P2991" t="s">
        <v>3512</v>
      </c>
      <c r="Q2991">
        <v>9</v>
      </c>
      <c r="R2991" s="1" t="s">
        <v>1718</v>
      </c>
      <c r="S2991">
        <v>8579</v>
      </c>
      <c r="T2991">
        <v>77211</v>
      </c>
    </row>
    <row r="2992" spans="1:20" hidden="1" x14ac:dyDescent="0.4">
      <c r="A2992" s="1" t="s">
        <v>1126</v>
      </c>
      <c r="B2992" s="1" t="s">
        <v>1454</v>
      </c>
      <c r="C2992" s="1" t="s">
        <v>1844</v>
      </c>
      <c r="D2992" s="1" t="s">
        <v>1462</v>
      </c>
      <c r="E2992">
        <v>20251216</v>
      </c>
      <c r="F2992" s="1" t="s">
        <v>1470</v>
      </c>
      <c r="G2992">
        <v>4</v>
      </c>
      <c r="H2992" s="1" t="s">
        <v>1512</v>
      </c>
      <c r="I2992" t="s">
        <v>1892</v>
      </c>
      <c r="J2992" s="1" t="s">
        <v>1456</v>
      </c>
      <c r="K2992" s="1" t="s">
        <v>1558</v>
      </c>
      <c r="L2992" s="1" t="s">
        <v>1729</v>
      </c>
      <c r="M2992" s="1" t="s">
        <v>1737</v>
      </c>
      <c r="N2992" t="s">
        <v>2096</v>
      </c>
      <c r="O2992" t="s">
        <v>2613</v>
      </c>
      <c r="P2992" t="s">
        <v>3513</v>
      </c>
      <c r="Q2992">
        <v>4</v>
      </c>
      <c r="R2992" s="1" t="s">
        <v>1718</v>
      </c>
      <c r="S2992">
        <v>33803</v>
      </c>
      <c r="T2992">
        <v>135212</v>
      </c>
    </row>
    <row r="2993" spans="1:20" hidden="1" x14ac:dyDescent="0.4">
      <c r="A2993" s="1" t="s">
        <v>1126</v>
      </c>
      <c r="B2993" s="1" t="s">
        <v>1455</v>
      </c>
      <c r="C2993" s="1" t="s">
        <v>1844</v>
      </c>
      <c r="D2993" s="1" t="s">
        <v>1462</v>
      </c>
      <c r="E2993">
        <v>20251216</v>
      </c>
      <c r="F2993" s="1" t="s">
        <v>1470</v>
      </c>
      <c r="G2993">
        <v>4</v>
      </c>
      <c r="H2993" s="1" t="s">
        <v>1512</v>
      </c>
      <c r="I2993" t="s">
        <v>1892</v>
      </c>
      <c r="J2993" s="1" t="s">
        <v>1456</v>
      </c>
      <c r="K2993" s="1" t="s">
        <v>1558</v>
      </c>
      <c r="L2993" s="1" t="s">
        <v>1729</v>
      </c>
      <c r="M2993" s="1" t="s">
        <v>1737</v>
      </c>
      <c r="N2993" t="s">
        <v>2096</v>
      </c>
      <c r="O2993" t="s">
        <v>2614</v>
      </c>
      <c r="P2993" t="s">
        <v>3514</v>
      </c>
      <c r="Q2993">
        <v>2</v>
      </c>
      <c r="R2993" s="1" t="s">
        <v>1718</v>
      </c>
      <c r="S2993">
        <v>17285</v>
      </c>
      <c r="T2993">
        <v>34570</v>
      </c>
    </row>
    <row r="2994" spans="1:20" hidden="1" x14ac:dyDescent="0.4">
      <c r="A2994" s="1" t="s">
        <v>1127</v>
      </c>
      <c r="B2994" s="1" t="s">
        <v>1453</v>
      </c>
      <c r="C2994" s="1" t="s">
        <v>1844</v>
      </c>
      <c r="D2994" s="1" t="s">
        <v>1462</v>
      </c>
      <c r="E2994">
        <v>20251216</v>
      </c>
      <c r="F2994" s="1" t="s">
        <v>1470</v>
      </c>
      <c r="G2994">
        <v>4</v>
      </c>
      <c r="H2994" s="1" t="s">
        <v>1512</v>
      </c>
      <c r="I2994" t="s">
        <v>1892</v>
      </c>
      <c r="J2994" s="1" t="s">
        <v>1456</v>
      </c>
      <c r="K2994" s="1" t="s">
        <v>1558</v>
      </c>
      <c r="L2994" s="1" t="s">
        <v>1729</v>
      </c>
      <c r="M2994" s="1" t="s">
        <v>1737</v>
      </c>
      <c r="N2994" t="s">
        <v>2096</v>
      </c>
      <c r="O2994" t="s">
        <v>2613</v>
      </c>
      <c r="P2994" t="s">
        <v>3515</v>
      </c>
      <c r="Q2994">
        <v>9</v>
      </c>
      <c r="R2994" s="1" t="s">
        <v>1718</v>
      </c>
      <c r="S2994">
        <v>8579</v>
      </c>
      <c r="T2994">
        <v>77211</v>
      </c>
    </row>
    <row r="2995" spans="1:20" hidden="1" x14ac:dyDescent="0.4">
      <c r="A2995" s="1" t="s">
        <v>1128</v>
      </c>
      <c r="B2995" s="1" t="s">
        <v>1453</v>
      </c>
      <c r="C2995" s="1" t="s">
        <v>1844</v>
      </c>
      <c r="D2995" s="1" t="s">
        <v>1462</v>
      </c>
      <c r="E2995">
        <v>20251216</v>
      </c>
      <c r="F2995" s="1" t="s">
        <v>1470</v>
      </c>
      <c r="G2995">
        <v>4</v>
      </c>
      <c r="H2995" s="1" t="s">
        <v>1512</v>
      </c>
      <c r="I2995" t="s">
        <v>1892</v>
      </c>
      <c r="J2995" s="1" t="s">
        <v>1456</v>
      </c>
      <c r="K2995" s="1" t="s">
        <v>1558</v>
      </c>
      <c r="L2995" s="1" t="s">
        <v>1729</v>
      </c>
      <c r="M2995" s="1" t="s">
        <v>1737</v>
      </c>
      <c r="N2995" t="s">
        <v>2096</v>
      </c>
      <c r="O2995" t="s">
        <v>2615</v>
      </c>
      <c r="P2995" t="s">
        <v>3516</v>
      </c>
      <c r="Q2995">
        <v>2</v>
      </c>
      <c r="R2995" s="1" t="s">
        <v>1718</v>
      </c>
      <c r="S2995">
        <v>17285</v>
      </c>
      <c r="T2995">
        <v>34570</v>
      </c>
    </row>
    <row r="2996" spans="1:20" hidden="1" x14ac:dyDescent="0.4">
      <c r="A2996" s="1" t="s">
        <v>1129</v>
      </c>
      <c r="B2996" s="1" t="s">
        <v>1453</v>
      </c>
      <c r="C2996" s="1" t="s">
        <v>1844</v>
      </c>
      <c r="D2996" s="1" t="s">
        <v>1462</v>
      </c>
      <c r="E2996">
        <v>20251216</v>
      </c>
      <c r="F2996" s="1" t="s">
        <v>1470</v>
      </c>
      <c r="G2996">
        <v>4</v>
      </c>
      <c r="H2996" s="1" t="s">
        <v>1512</v>
      </c>
      <c r="I2996" t="s">
        <v>1892</v>
      </c>
      <c r="J2996" s="1" t="s">
        <v>1456</v>
      </c>
      <c r="K2996" s="1" t="s">
        <v>1558</v>
      </c>
      <c r="L2996" s="1" t="s">
        <v>1729</v>
      </c>
      <c r="M2996" s="1" t="s">
        <v>1737</v>
      </c>
      <c r="N2996" t="s">
        <v>2096</v>
      </c>
      <c r="O2996" t="s">
        <v>2616</v>
      </c>
      <c r="P2996" t="s">
        <v>3517</v>
      </c>
      <c r="Q2996">
        <v>2</v>
      </c>
      <c r="R2996" s="1" t="s">
        <v>1718</v>
      </c>
      <c r="S2996">
        <v>27657</v>
      </c>
      <c r="T2996">
        <v>55314</v>
      </c>
    </row>
    <row r="2997" spans="1:20" hidden="1" x14ac:dyDescent="0.4">
      <c r="A2997" s="1" t="s">
        <v>1130</v>
      </c>
      <c r="B2997" s="1" t="s">
        <v>1453</v>
      </c>
      <c r="C2997" s="1" t="s">
        <v>1844</v>
      </c>
      <c r="D2997" s="1" t="s">
        <v>1462</v>
      </c>
      <c r="E2997">
        <v>20251216</v>
      </c>
      <c r="F2997" s="1" t="s">
        <v>1470</v>
      </c>
      <c r="G2997">
        <v>4</v>
      </c>
      <c r="H2997" s="1" t="s">
        <v>1512</v>
      </c>
      <c r="I2997" t="s">
        <v>1892</v>
      </c>
      <c r="J2997" s="1" t="s">
        <v>1456</v>
      </c>
      <c r="K2997" s="1" t="s">
        <v>1558</v>
      </c>
      <c r="L2997" s="1" t="s">
        <v>1729</v>
      </c>
      <c r="M2997" s="1" t="s">
        <v>1737</v>
      </c>
      <c r="N2997" t="s">
        <v>2096</v>
      </c>
      <c r="O2997" t="s">
        <v>2613</v>
      </c>
      <c r="P2997" t="s">
        <v>3518</v>
      </c>
      <c r="Q2997">
        <v>7</v>
      </c>
      <c r="R2997" s="1" t="s">
        <v>1718</v>
      </c>
      <c r="S2997">
        <v>8579</v>
      </c>
      <c r="T2997">
        <v>60053</v>
      </c>
    </row>
    <row r="2998" spans="1:20" hidden="1" x14ac:dyDescent="0.4">
      <c r="A2998" s="1" t="s">
        <v>1131</v>
      </c>
      <c r="B2998" s="1" t="s">
        <v>1453</v>
      </c>
      <c r="C2998" s="1" t="s">
        <v>1844</v>
      </c>
      <c r="D2998" s="1" t="s">
        <v>1462</v>
      </c>
      <c r="E2998">
        <v>20251216</v>
      </c>
      <c r="F2998" s="1" t="s">
        <v>1470</v>
      </c>
      <c r="G2998">
        <v>4</v>
      </c>
      <c r="H2998" s="1" t="s">
        <v>1512</v>
      </c>
      <c r="I2998" t="s">
        <v>1892</v>
      </c>
      <c r="J2998" s="1" t="s">
        <v>1456</v>
      </c>
      <c r="K2998" s="1" t="s">
        <v>1558</v>
      </c>
      <c r="L2998" s="1" t="s">
        <v>1729</v>
      </c>
      <c r="M2998" s="1" t="s">
        <v>1737</v>
      </c>
      <c r="N2998" t="s">
        <v>2096</v>
      </c>
      <c r="O2998" t="s">
        <v>2613</v>
      </c>
      <c r="P2998" t="s">
        <v>3519</v>
      </c>
      <c r="Q2998">
        <v>13</v>
      </c>
      <c r="R2998" s="1" t="s">
        <v>1718</v>
      </c>
      <c r="S2998">
        <v>8579</v>
      </c>
      <c r="T2998">
        <v>111527</v>
      </c>
    </row>
    <row r="2999" spans="1:20" hidden="1" x14ac:dyDescent="0.4">
      <c r="A2999" s="1" t="s">
        <v>1132</v>
      </c>
      <c r="B2999" s="1" t="s">
        <v>1453</v>
      </c>
      <c r="C2999" s="1" t="s">
        <v>1844</v>
      </c>
      <c r="D2999" s="1" t="s">
        <v>1462</v>
      </c>
      <c r="E2999">
        <v>20251216</v>
      </c>
      <c r="F2999" s="1" t="s">
        <v>1470</v>
      </c>
      <c r="G2999">
        <v>4</v>
      </c>
      <c r="H2999" s="1" t="s">
        <v>1512</v>
      </c>
      <c r="I2999" t="s">
        <v>1892</v>
      </c>
      <c r="J2999" s="1" t="s">
        <v>1456</v>
      </c>
      <c r="K2999" s="1" t="s">
        <v>1558</v>
      </c>
      <c r="L2999" s="1" t="s">
        <v>1729</v>
      </c>
      <c r="M2999" s="1" t="s">
        <v>1737</v>
      </c>
      <c r="N2999" t="s">
        <v>2096</v>
      </c>
      <c r="O2999" t="s">
        <v>2617</v>
      </c>
      <c r="P2999" t="s">
        <v>3520</v>
      </c>
      <c r="Q2999">
        <v>2</v>
      </c>
      <c r="R2999" s="1" t="s">
        <v>1718</v>
      </c>
      <c r="S2999">
        <v>8679</v>
      </c>
      <c r="T2999">
        <v>17358</v>
      </c>
    </row>
    <row r="3000" spans="1:20" hidden="1" x14ac:dyDescent="0.4">
      <c r="A3000" s="1" t="s">
        <v>1133</v>
      </c>
      <c r="B3000" s="1" t="s">
        <v>1453</v>
      </c>
      <c r="C3000" s="1" t="s">
        <v>1844</v>
      </c>
      <c r="D3000" s="1" t="s">
        <v>1462</v>
      </c>
      <c r="E3000">
        <v>20251216</v>
      </c>
      <c r="F3000" s="1" t="s">
        <v>1470</v>
      </c>
      <c r="G3000">
        <v>4</v>
      </c>
      <c r="H3000" s="1" t="s">
        <v>1512</v>
      </c>
      <c r="I3000" t="s">
        <v>1892</v>
      </c>
      <c r="J3000" s="1" t="s">
        <v>1456</v>
      </c>
      <c r="K3000" s="1" t="s">
        <v>1558</v>
      </c>
      <c r="L3000" s="1" t="s">
        <v>1729</v>
      </c>
      <c r="M3000" s="1" t="s">
        <v>1737</v>
      </c>
      <c r="N3000" t="s">
        <v>2096</v>
      </c>
      <c r="O3000" t="s">
        <v>2613</v>
      </c>
      <c r="P3000" t="s">
        <v>3521</v>
      </c>
      <c r="Q3000">
        <v>2</v>
      </c>
      <c r="R3000" s="1" t="s">
        <v>1718</v>
      </c>
      <c r="S3000">
        <v>8579</v>
      </c>
      <c r="T3000">
        <v>17158</v>
      </c>
    </row>
    <row r="3001" spans="1:20" hidden="1" x14ac:dyDescent="0.4">
      <c r="A3001" s="1" t="s">
        <v>1133</v>
      </c>
      <c r="B3001" s="1" t="s">
        <v>1454</v>
      </c>
      <c r="C3001" s="1" t="s">
        <v>1844</v>
      </c>
      <c r="D3001" s="1" t="s">
        <v>1462</v>
      </c>
      <c r="E3001">
        <v>20251216</v>
      </c>
      <c r="F3001" s="1" t="s">
        <v>1470</v>
      </c>
      <c r="G3001">
        <v>4</v>
      </c>
      <c r="H3001" s="1" t="s">
        <v>1512</v>
      </c>
      <c r="I3001" t="s">
        <v>1892</v>
      </c>
      <c r="J3001" s="1" t="s">
        <v>1456</v>
      </c>
      <c r="K3001" s="1" t="s">
        <v>1558</v>
      </c>
      <c r="L3001" s="1" t="s">
        <v>1729</v>
      </c>
      <c r="M3001" s="1" t="s">
        <v>1737</v>
      </c>
      <c r="N3001" t="s">
        <v>2096</v>
      </c>
      <c r="O3001" t="s">
        <v>2613</v>
      </c>
      <c r="P3001" t="s">
        <v>3522</v>
      </c>
      <c r="Q3001">
        <v>2</v>
      </c>
      <c r="R3001" s="1" t="s">
        <v>1718</v>
      </c>
      <c r="S3001">
        <v>33803</v>
      </c>
      <c r="T3001">
        <v>67606</v>
      </c>
    </row>
    <row r="3002" spans="1:20" hidden="1" x14ac:dyDescent="0.4">
      <c r="A3002" s="1" t="s">
        <v>1134</v>
      </c>
      <c r="B3002" s="1" t="s">
        <v>1453</v>
      </c>
      <c r="C3002" s="1" t="s">
        <v>1844</v>
      </c>
      <c r="D3002" s="1" t="s">
        <v>1462</v>
      </c>
      <c r="E3002">
        <v>20251216</v>
      </c>
      <c r="F3002" s="1" t="s">
        <v>1470</v>
      </c>
      <c r="G3002">
        <v>4</v>
      </c>
      <c r="H3002" s="1" t="s">
        <v>1512</v>
      </c>
      <c r="I3002" t="s">
        <v>1892</v>
      </c>
      <c r="J3002" s="1" t="s">
        <v>1456</v>
      </c>
      <c r="K3002" s="1" t="s">
        <v>1558</v>
      </c>
      <c r="L3002" s="1" t="s">
        <v>1729</v>
      </c>
      <c r="M3002" s="1" t="s">
        <v>1737</v>
      </c>
      <c r="N3002" t="s">
        <v>2096</v>
      </c>
      <c r="O3002" t="s">
        <v>2357</v>
      </c>
      <c r="P3002" t="s">
        <v>3523</v>
      </c>
      <c r="Q3002">
        <v>2</v>
      </c>
      <c r="R3002" s="1" t="s">
        <v>1718</v>
      </c>
      <c r="S3002">
        <v>20486</v>
      </c>
      <c r="T3002">
        <v>40972</v>
      </c>
    </row>
    <row r="3003" spans="1:20" hidden="1" x14ac:dyDescent="0.4">
      <c r="A3003" s="1" t="s">
        <v>1135</v>
      </c>
      <c r="B3003" s="1" t="s">
        <v>1453</v>
      </c>
      <c r="C3003" s="1" t="s">
        <v>1844</v>
      </c>
      <c r="D3003" s="1" t="s">
        <v>1462</v>
      </c>
      <c r="E3003">
        <v>20251216</v>
      </c>
      <c r="F3003" s="1" t="s">
        <v>1470</v>
      </c>
      <c r="G3003">
        <v>4</v>
      </c>
      <c r="H3003" s="1" t="s">
        <v>1512</v>
      </c>
      <c r="I3003" t="s">
        <v>1892</v>
      </c>
      <c r="J3003" s="1" t="s">
        <v>1456</v>
      </c>
      <c r="K3003" s="1" t="s">
        <v>1558</v>
      </c>
      <c r="L3003" s="1" t="s">
        <v>1729</v>
      </c>
      <c r="M3003" s="1" t="s">
        <v>1737</v>
      </c>
      <c r="N3003" t="s">
        <v>2096</v>
      </c>
      <c r="O3003" t="s">
        <v>2618</v>
      </c>
      <c r="P3003" t="s">
        <v>3524</v>
      </c>
      <c r="Q3003">
        <v>2</v>
      </c>
      <c r="R3003" s="1" t="s">
        <v>1718</v>
      </c>
      <c r="S3003">
        <v>8579</v>
      </c>
      <c r="T3003">
        <v>17158</v>
      </c>
    </row>
    <row r="3004" spans="1:20" hidden="1" x14ac:dyDescent="0.4">
      <c r="A3004" s="1" t="s">
        <v>1136</v>
      </c>
      <c r="B3004" s="1" t="s">
        <v>1453</v>
      </c>
      <c r="C3004" s="1" t="s">
        <v>1844</v>
      </c>
      <c r="D3004" s="1" t="s">
        <v>1462</v>
      </c>
      <c r="E3004">
        <v>20251216</v>
      </c>
      <c r="F3004" s="1" t="s">
        <v>1470</v>
      </c>
      <c r="G3004">
        <v>4</v>
      </c>
      <c r="H3004" s="1" t="s">
        <v>1512</v>
      </c>
      <c r="I3004" t="s">
        <v>1892</v>
      </c>
      <c r="J3004" s="1" t="s">
        <v>1456</v>
      </c>
      <c r="K3004" s="1" t="s">
        <v>1558</v>
      </c>
      <c r="L3004" s="1" t="s">
        <v>1729</v>
      </c>
      <c r="M3004" s="1" t="s">
        <v>1737</v>
      </c>
      <c r="N3004" t="s">
        <v>2096</v>
      </c>
      <c r="O3004" t="s">
        <v>2619</v>
      </c>
      <c r="P3004" t="s">
        <v>3525</v>
      </c>
      <c r="Q3004">
        <v>2</v>
      </c>
      <c r="R3004" s="1" t="s">
        <v>1718</v>
      </c>
      <c r="S3004">
        <v>34671</v>
      </c>
      <c r="T3004">
        <v>69342</v>
      </c>
    </row>
    <row r="3005" spans="1:20" hidden="1" x14ac:dyDescent="0.4">
      <c r="A3005" s="1" t="s">
        <v>1136</v>
      </c>
      <c r="B3005" s="1" t="s">
        <v>1454</v>
      </c>
      <c r="C3005" s="1" t="s">
        <v>1844</v>
      </c>
      <c r="D3005" s="1" t="s">
        <v>1462</v>
      </c>
      <c r="E3005">
        <v>20251216</v>
      </c>
      <c r="F3005" s="1" t="s">
        <v>1470</v>
      </c>
      <c r="G3005">
        <v>4</v>
      </c>
      <c r="H3005" s="1" t="s">
        <v>1512</v>
      </c>
      <c r="I3005" t="s">
        <v>1892</v>
      </c>
      <c r="J3005" s="1" t="s">
        <v>1456</v>
      </c>
      <c r="K3005" s="1" t="s">
        <v>1558</v>
      </c>
      <c r="L3005" s="1" t="s">
        <v>1729</v>
      </c>
      <c r="M3005" s="1" t="s">
        <v>1737</v>
      </c>
      <c r="N3005" t="s">
        <v>2096</v>
      </c>
      <c r="O3005" t="s">
        <v>2620</v>
      </c>
      <c r="P3005" t="s">
        <v>3526</v>
      </c>
      <c r="Q3005">
        <v>2</v>
      </c>
      <c r="R3005" s="1" t="s">
        <v>1718</v>
      </c>
      <c r="S3005">
        <v>17385</v>
      </c>
      <c r="T3005">
        <v>34770</v>
      </c>
    </row>
    <row r="3006" spans="1:20" hidden="1" x14ac:dyDescent="0.4">
      <c r="A3006" s="1" t="s">
        <v>1136</v>
      </c>
      <c r="B3006" s="1" t="s">
        <v>1455</v>
      </c>
      <c r="C3006" s="1" t="s">
        <v>1844</v>
      </c>
      <c r="D3006" s="1" t="s">
        <v>1462</v>
      </c>
      <c r="E3006">
        <v>20251216</v>
      </c>
      <c r="F3006" s="1" t="s">
        <v>1470</v>
      </c>
      <c r="G3006">
        <v>4</v>
      </c>
      <c r="H3006" s="1" t="s">
        <v>1512</v>
      </c>
      <c r="I3006" t="s">
        <v>1892</v>
      </c>
      <c r="J3006" s="1" t="s">
        <v>1456</v>
      </c>
      <c r="K3006" s="1" t="s">
        <v>1558</v>
      </c>
      <c r="L3006" s="1" t="s">
        <v>1729</v>
      </c>
      <c r="M3006" s="1" t="s">
        <v>1737</v>
      </c>
      <c r="N3006" t="s">
        <v>2096</v>
      </c>
      <c r="O3006" t="s">
        <v>2208</v>
      </c>
      <c r="P3006" t="s">
        <v>3527</v>
      </c>
      <c r="Q3006">
        <v>2</v>
      </c>
      <c r="R3006" s="1" t="s">
        <v>1718</v>
      </c>
      <c r="S3006">
        <v>18617</v>
      </c>
      <c r="T3006">
        <v>37234</v>
      </c>
    </row>
    <row r="3007" spans="1:20" hidden="1" x14ac:dyDescent="0.4">
      <c r="A3007" s="1" t="s">
        <v>1136</v>
      </c>
      <c r="B3007" s="1" t="s">
        <v>1456</v>
      </c>
      <c r="C3007" s="1" t="s">
        <v>1844</v>
      </c>
      <c r="D3007" s="1" t="s">
        <v>1462</v>
      </c>
      <c r="E3007">
        <v>20251216</v>
      </c>
      <c r="F3007" s="1" t="s">
        <v>1470</v>
      </c>
      <c r="G3007">
        <v>4</v>
      </c>
      <c r="H3007" s="1" t="s">
        <v>1512</v>
      </c>
      <c r="I3007" t="s">
        <v>1892</v>
      </c>
      <c r="J3007" s="1" t="s">
        <v>1456</v>
      </c>
      <c r="K3007" s="1" t="s">
        <v>1558</v>
      </c>
      <c r="L3007" s="1" t="s">
        <v>1729</v>
      </c>
      <c r="M3007" s="1" t="s">
        <v>1737</v>
      </c>
      <c r="N3007" t="s">
        <v>2096</v>
      </c>
      <c r="O3007" t="s">
        <v>2621</v>
      </c>
      <c r="P3007" t="s">
        <v>3528</v>
      </c>
      <c r="Q3007">
        <v>1</v>
      </c>
      <c r="R3007" s="1" t="s">
        <v>1718</v>
      </c>
      <c r="S3007">
        <v>38335</v>
      </c>
      <c r="T3007">
        <v>38335</v>
      </c>
    </row>
    <row r="3008" spans="1:20" hidden="1" x14ac:dyDescent="0.4">
      <c r="A3008" s="1" t="s">
        <v>1136</v>
      </c>
      <c r="B3008" s="1" t="s">
        <v>1457</v>
      </c>
      <c r="C3008" s="1" t="s">
        <v>1844</v>
      </c>
      <c r="D3008" s="1" t="s">
        <v>1462</v>
      </c>
      <c r="E3008">
        <v>20251216</v>
      </c>
      <c r="F3008" s="1" t="s">
        <v>1470</v>
      </c>
      <c r="G3008">
        <v>4</v>
      </c>
      <c r="H3008" s="1" t="s">
        <v>1512</v>
      </c>
      <c r="I3008" t="s">
        <v>1892</v>
      </c>
      <c r="J3008" s="1" t="s">
        <v>1456</v>
      </c>
      <c r="K3008" s="1" t="s">
        <v>1558</v>
      </c>
      <c r="L3008" s="1" t="s">
        <v>1729</v>
      </c>
      <c r="M3008" s="1" t="s">
        <v>1737</v>
      </c>
      <c r="N3008" t="s">
        <v>2096</v>
      </c>
      <c r="O3008" t="s">
        <v>2622</v>
      </c>
      <c r="P3008" t="s">
        <v>3529</v>
      </c>
      <c r="Q3008">
        <v>1</v>
      </c>
      <c r="R3008" s="1" t="s">
        <v>1718</v>
      </c>
      <c r="S3008">
        <v>38335</v>
      </c>
      <c r="T3008">
        <v>38335</v>
      </c>
    </row>
    <row r="3009" spans="1:20" hidden="1" x14ac:dyDescent="0.4">
      <c r="A3009" s="1" t="s">
        <v>1137</v>
      </c>
      <c r="B3009" s="1" t="s">
        <v>1453</v>
      </c>
      <c r="C3009" s="1" t="s">
        <v>1844</v>
      </c>
      <c r="D3009" s="1" t="s">
        <v>1462</v>
      </c>
      <c r="E3009">
        <v>20251216</v>
      </c>
      <c r="F3009" s="1" t="s">
        <v>1470</v>
      </c>
      <c r="G3009">
        <v>4</v>
      </c>
      <c r="H3009" s="1" t="s">
        <v>1496</v>
      </c>
      <c r="I3009" t="s">
        <v>1876</v>
      </c>
      <c r="J3009" s="1" t="s">
        <v>1456</v>
      </c>
      <c r="K3009" s="1" t="s">
        <v>1599</v>
      </c>
      <c r="L3009" s="1" t="s">
        <v>1729</v>
      </c>
      <c r="M3009" s="1" t="s">
        <v>1781</v>
      </c>
      <c r="N3009" t="s">
        <v>1986</v>
      </c>
      <c r="O3009" t="s">
        <v>2623</v>
      </c>
      <c r="P3009" t="s">
        <v>2157</v>
      </c>
      <c r="Q3009">
        <v>1</v>
      </c>
      <c r="R3009" s="1" t="s">
        <v>1729</v>
      </c>
      <c r="S3009">
        <v>19968</v>
      </c>
      <c r="T3009">
        <v>19968</v>
      </c>
    </row>
    <row r="3010" spans="1:20" hidden="1" x14ac:dyDescent="0.4">
      <c r="A3010" s="1" t="s">
        <v>1138</v>
      </c>
      <c r="B3010" s="1" t="s">
        <v>1453</v>
      </c>
      <c r="C3010" s="1" t="s">
        <v>1844</v>
      </c>
      <c r="D3010" s="1" t="s">
        <v>1467</v>
      </c>
      <c r="E3010">
        <v>20251215</v>
      </c>
      <c r="F3010" s="1" t="s">
        <v>1470</v>
      </c>
      <c r="G3010">
        <v>4</v>
      </c>
      <c r="H3010" s="1" t="s">
        <v>1503</v>
      </c>
      <c r="I3010" t="s">
        <v>1883</v>
      </c>
      <c r="J3010" s="1" t="s">
        <v>1456</v>
      </c>
      <c r="K3010" s="1" t="s">
        <v>1612</v>
      </c>
      <c r="L3010" s="1" t="s">
        <v>1729</v>
      </c>
      <c r="M3010" s="1" t="s">
        <v>1737</v>
      </c>
      <c r="N3010" t="s">
        <v>1986</v>
      </c>
      <c r="O3010" t="s">
        <v>2624</v>
      </c>
      <c r="P3010" t="s">
        <v>2157</v>
      </c>
      <c r="Q3010">
        <v>12.3</v>
      </c>
      <c r="R3010" s="1" t="s">
        <v>1839</v>
      </c>
      <c r="S3010">
        <v>1251</v>
      </c>
      <c r="T3010">
        <v>15387</v>
      </c>
    </row>
    <row r="3011" spans="1:20" hidden="1" x14ac:dyDescent="0.4">
      <c r="A3011" s="1" t="s">
        <v>1138</v>
      </c>
      <c r="B3011" s="1" t="s">
        <v>1454</v>
      </c>
      <c r="C3011" s="1" t="s">
        <v>1844</v>
      </c>
      <c r="D3011" s="1" t="s">
        <v>1467</v>
      </c>
      <c r="E3011">
        <v>20251215</v>
      </c>
      <c r="F3011" s="1" t="s">
        <v>1470</v>
      </c>
      <c r="G3011">
        <v>4</v>
      </c>
      <c r="H3011" s="1" t="s">
        <v>1503</v>
      </c>
      <c r="I3011" t="s">
        <v>1883</v>
      </c>
      <c r="J3011" s="1" t="s">
        <v>1456</v>
      </c>
      <c r="K3011" s="1" t="s">
        <v>1612</v>
      </c>
      <c r="L3011" s="1" t="s">
        <v>1729</v>
      </c>
      <c r="M3011" s="1" t="s">
        <v>1737</v>
      </c>
      <c r="N3011" t="s">
        <v>1986</v>
      </c>
      <c r="O3011" t="s">
        <v>2625</v>
      </c>
      <c r="P3011" t="s">
        <v>2157</v>
      </c>
      <c r="Q3011">
        <v>12.3</v>
      </c>
      <c r="R3011" s="1" t="s">
        <v>1839</v>
      </c>
      <c r="S3011">
        <v>1251</v>
      </c>
      <c r="T3011">
        <v>15387</v>
      </c>
    </row>
    <row r="3012" spans="1:20" hidden="1" x14ac:dyDescent="0.4">
      <c r="A3012" s="1" t="s">
        <v>1138</v>
      </c>
      <c r="B3012" s="1" t="s">
        <v>1455</v>
      </c>
      <c r="C3012" s="1" t="s">
        <v>1844</v>
      </c>
      <c r="D3012" s="1" t="s">
        <v>1467</v>
      </c>
      <c r="E3012">
        <v>20251215</v>
      </c>
      <c r="F3012" s="1" t="s">
        <v>1470</v>
      </c>
      <c r="G3012">
        <v>4</v>
      </c>
      <c r="H3012" s="1" t="s">
        <v>1503</v>
      </c>
      <c r="I3012" t="s">
        <v>1883</v>
      </c>
      <c r="J3012" s="1" t="s">
        <v>1456</v>
      </c>
      <c r="K3012" s="1" t="s">
        <v>1612</v>
      </c>
      <c r="L3012" s="1" t="s">
        <v>1729</v>
      </c>
      <c r="M3012" s="1" t="s">
        <v>1737</v>
      </c>
      <c r="N3012" t="s">
        <v>1986</v>
      </c>
      <c r="O3012" t="s">
        <v>2626</v>
      </c>
      <c r="P3012" t="s">
        <v>2157</v>
      </c>
      <c r="Q3012">
        <v>12.3</v>
      </c>
      <c r="R3012" s="1" t="s">
        <v>1839</v>
      </c>
      <c r="S3012">
        <v>1251</v>
      </c>
      <c r="T3012">
        <v>15387</v>
      </c>
    </row>
    <row r="3013" spans="1:20" hidden="1" x14ac:dyDescent="0.4">
      <c r="A3013" s="1" t="s">
        <v>1138</v>
      </c>
      <c r="B3013" s="1" t="s">
        <v>1456</v>
      </c>
      <c r="C3013" s="1" t="s">
        <v>1844</v>
      </c>
      <c r="D3013" s="1" t="s">
        <v>1467</v>
      </c>
      <c r="E3013">
        <v>20251215</v>
      </c>
      <c r="F3013" s="1" t="s">
        <v>1470</v>
      </c>
      <c r="G3013">
        <v>4</v>
      </c>
      <c r="H3013" s="1" t="s">
        <v>1503</v>
      </c>
      <c r="I3013" t="s">
        <v>1883</v>
      </c>
      <c r="J3013" s="1" t="s">
        <v>1456</v>
      </c>
      <c r="K3013" s="1" t="s">
        <v>1612</v>
      </c>
      <c r="L3013" s="1" t="s">
        <v>1729</v>
      </c>
      <c r="M3013" s="1" t="s">
        <v>1737</v>
      </c>
      <c r="N3013" t="s">
        <v>1986</v>
      </c>
      <c r="O3013" t="s">
        <v>2627</v>
      </c>
      <c r="P3013" t="s">
        <v>2157</v>
      </c>
      <c r="Q3013">
        <v>12.3</v>
      </c>
      <c r="R3013" s="1" t="s">
        <v>1839</v>
      </c>
      <c r="S3013">
        <v>1251</v>
      </c>
      <c r="T3013">
        <v>15387</v>
      </c>
    </row>
    <row r="3014" spans="1:20" hidden="1" x14ac:dyDescent="0.4">
      <c r="A3014" s="1" t="s">
        <v>1138</v>
      </c>
      <c r="B3014" s="1" t="s">
        <v>1457</v>
      </c>
      <c r="C3014" s="1" t="s">
        <v>1844</v>
      </c>
      <c r="D3014" s="1" t="s">
        <v>1467</v>
      </c>
      <c r="E3014">
        <v>20251215</v>
      </c>
      <c r="F3014" s="1" t="s">
        <v>1470</v>
      </c>
      <c r="G3014">
        <v>4</v>
      </c>
      <c r="H3014" s="1" t="s">
        <v>1503</v>
      </c>
      <c r="I3014" t="s">
        <v>1883</v>
      </c>
      <c r="J3014" s="1" t="s">
        <v>1456</v>
      </c>
      <c r="K3014" s="1" t="s">
        <v>1612</v>
      </c>
      <c r="L3014" s="1" t="s">
        <v>1729</v>
      </c>
      <c r="M3014" s="1" t="s">
        <v>1737</v>
      </c>
      <c r="N3014" t="s">
        <v>1986</v>
      </c>
      <c r="O3014" t="s">
        <v>2628</v>
      </c>
      <c r="P3014" t="s">
        <v>2157</v>
      </c>
      <c r="Q3014">
        <v>12.3</v>
      </c>
      <c r="R3014" s="1" t="s">
        <v>1839</v>
      </c>
      <c r="S3014">
        <v>1251</v>
      </c>
      <c r="T3014">
        <v>15387</v>
      </c>
    </row>
    <row r="3015" spans="1:20" hidden="1" x14ac:dyDescent="0.4">
      <c r="A3015" s="1" t="s">
        <v>1138</v>
      </c>
      <c r="B3015" s="1" t="s">
        <v>1458</v>
      </c>
      <c r="C3015" s="1" t="s">
        <v>1844</v>
      </c>
      <c r="D3015" s="1" t="s">
        <v>1467</v>
      </c>
      <c r="E3015">
        <v>20251215</v>
      </c>
      <c r="F3015" s="1" t="s">
        <v>1470</v>
      </c>
      <c r="G3015">
        <v>4</v>
      </c>
      <c r="H3015" s="1" t="s">
        <v>1503</v>
      </c>
      <c r="I3015" t="s">
        <v>1883</v>
      </c>
      <c r="J3015" s="1" t="s">
        <v>1456</v>
      </c>
      <c r="K3015" s="1" t="s">
        <v>1612</v>
      </c>
      <c r="L3015" s="1" t="s">
        <v>1729</v>
      </c>
      <c r="M3015" s="1" t="s">
        <v>1737</v>
      </c>
      <c r="N3015" t="s">
        <v>1986</v>
      </c>
      <c r="O3015" t="s">
        <v>2629</v>
      </c>
      <c r="P3015" t="s">
        <v>2157</v>
      </c>
      <c r="Q3015">
        <v>12.3</v>
      </c>
      <c r="R3015" s="1" t="s">
        <v>1839</v>
      </c>
      <c r="S3015">
        <v>1251</v>
      </c>
      <c r="T3015">
        <v>15387</v>
      </c>
    </row>
    <row r="3016" spans="1:20" hidden="1" x14ac:dyDescent="0.4">
      <c r="A3016" s="1" t="s">
        <v>1138</v>
      </c>
      <c r="B3016" s="1" t="s">
        <v>1459</v>
      </c>
      <c r="C3016" s="1" t="s">
        <v>1844</v>
      </c>
      <c r="D3016" s="1" t="s">
        <v>1467</v>
      </c>
      <c r="E3016">
        <v>20251215</v>
      </c>
      <c r="F3016" s="1" t="s">
        <v>1470</v>
      </c>
      <c r="G3016">
        <v>4</v>
      </c>
      <c r="H3016" s="1" t="s">
        <v>1503</v>
      </c>
      <c r="I3016" t="s">
        <v>1883</v>
      </c>
      <c r="J3016" s="1" t="s">
        <v>1456</v>
      </c>
      <c r="K3016" s="1" t="s">
        <v>1612</v>
      </c>
      <c r="L3016" s="1" t="s">
        <v>1729</v>
      </c>
      <c r="M3016" s="1" t="s">
        <v>1737</v>
      </c>
      <c r="N3016" t="s">
        <v>1986</v>
      </c>
      <c r="O3016" t="s">
        <v>2630</v>
      </c>
      <c r="P3016" t="s">
        <v>2157</v>
      </c>
      <c r="Q3016">
        <v>12.3</v>
      </c>
      <c r="R3016" s="1" t="s">
        <v>1839</v>
      </c>
      <c r="S3016">
        <v>1251</v>
      </c>
      <c r="T3016">
        <v>15387</v>
      </c>
    </row>
    <row r="3017" spans="1:20" hidden="1" x14ac:dyDescent="0.4">
      <c r="A3017" s="1" t="s">
        <v>1138</v>
      </c>
      <c r="B3017" s="1" t="s">
        <v>1460</v>
      </c>
      <c r="C3017" s="1" t="s">
        <v>1844</v>
      </c>
      <c r="D3017" s="1" t="s">
        <v>1467</v>
      </c>
      <c r="E3017">
        <v>20251215</v>
      </c>
      <c r="F3017" s="1" t="s">
        <v>1470</v>
      </c>
      <c r="G3017">
        <v>4</v>
      </c>
      <c r="H3017" s="1" t="s">
        <v>1503</v>
      </c>
      <c r="I3017" t="s">
        <v>1883</v>
      </c>
      <c r="J3017" s="1" t="s">
        <v>1456</v>
      </c>
      <c r="K3017" s="1" t="s">
        <v>1612</v>
      </c>
      <c r="L3017" s="1" t="s">
        <v>1729</v>
      </c>
      <c r="M3017" s="1" t="s">
        <v>1737</v>
      </c>
      <c r="N3017" t="s">
        <v>1986</v>
      </c>
      <c r="O3017" t="s">
        <v>2631</v>
      </c>
      <c r="P3017" t="s">
        <v>2157</v>
      </c>
      <c r="Q3017">
        <v>12.3</v>
      </c>
      <c r="R3017" s="1" t="s">
        <v>1839</v>
      </c>
      <c r="S3017">
        <v>1251</v>
      </c>
      <c r="T3017">
        <v>15387</v>
      </c>
    </row>
    <row r="3018" spans="1:20" hidden="1" x14ac:dyDescent="0.4">
      <c r="A3018" s="1" t="s">
        <v>1138</v>
      </c>
      <c r="B3018" s="1" t="s">
        <v>1461</v>
      </c>
      <c r="C3018" s="1" t="s">
        <v>1844</v>
      </c>
      <c r="D3018" s="1" t="s">
        <v>1467</v>
      </c>
      <c r="E3018">
        <v>20251215</v>
      </c>
      <c r="F3018" s="1" t="s">
        <v>1470</v>
      </c>
      <c r="G3018">
        <v>4</v>
      </c>
      <c r="H3018" s="1" t="s">
        <v>1503</v>
      </c>
      <c r="I3018" t="s">
        <v>1883</v>
      </c>
      <c r="J3018" s="1" t="s">
        <v>1456</v>
      </c>
      <c r="K3018" s="1" t="s">
        <v>1612</v>
      </c>
      <c r="L3018" s="1" t="s">
        <v>1729</v>
      </c>
      <c r="M3018" s="1" t="s">
        <v>1737</v>
      </c>
      <c r="N3018" t="s">
        <v>1986</v>
      </c>
      <c r="O3018" t="s">
        <v>2632</v>
      </c>
      <c r="P3018" t="s">
        <v>2157</v>
      </c>
      <c r="Q3018">
        <v>12.3</v>
      </c>
      <c r="R3018" s="1" t="s">
        <v>1839</v>
      </c>
      <c r="S3018">
        <v>1251</v>
      </c>
      <c r="T3018">
        <v>15387</v>
      </c>
    </row>
    <row r="3019" spans="1:20" hidden="1" x14ac:dyDescent="0.4">
      <c r="A3019" s="1" t="s">
        <v>1138</v>
      </c>
      <c r="B3019" s="1" t="s">
        <v>1462</v>
      </c>
      <c r="C3019" s="1" t="s">
        <v>1844</v>
      </c>
      <c r="D3019" s="1" t="s">
        <v>1467</v>
      </c>
      <c r="E3019">
        <v>20251215</v>
      </c>
      <c r="F3019" s="1" t="s">
        <v>1470</v>
      </c>
      <c r="G3019">
        <v>4</v>
      </c>
      <c r="H3019" s="1" t="s">
        <v>1503</v>
      </c>
      <c r="I3019" t="s">
        <v>1883</v>
      </c>
      <c r="J3019" s="1" t="s">
        <v>1456</v>
      </c>
      <c r="K3019" s="1" t="s">
        <v>1612</v>
      </c>
      <c r="L3019" s="1" t="s">
        <v>1729</v>
      </c>
      <c r="M3019" s="1" t="s">
        <v>1737</v>
      </c>
      <c r="N3019" t="s">
        <v>1986</v>
      </c>
      <c r="O3019" t="s">
        <v>2633</v>
      </c>
      <c r="P3019" t="s">
        <v>2157</v>
      </c>
      <c r="Q3019">
        <v>12.3</v>
      </c>
      <c r="R3019" s="1" t="s">
        <v>1839</v>
      </c>
      <c r="S3019">
        <v>1251</v>
      </c>
      <c r="T3019">
        <v>15387</v>
      </c>
    </row>
    <row r="3020" spans="1:20" hidden="1" x14ac:dyDescent="0.4">
      <c r="A3020" s="1" t="s">
        <v>1138</v>
      </c>
      <c r="B3020" s="1" t="s">
        <v>1463</v>
      </c>
      <c r="C3020" s="1" t="s">
        <v>1844</v>
      </c>
      <c r="D3020" s="1" t="s">
        <v>1467</v>
      </c>
      <c r="E3020">
        <v>20251215</v>
      </c>
      <c r="F3020" s="1" t="s">
        <v>1470</v>
      </c>
      <c r="G3020">
        <v>4</v>
      </c>
      <c r="H3020" s="1" t="s">
        <v>1503</v>
      </c>
      <c r="I3020" t="s">
        <v>1883</v>
      </c>
      <c r="J3020" s="1" t="s">
        <v>1456</v>
      </c>
      <c r="K3020" s="1" t="s">
        <v>1612</v>
      </c>
      <c r="L3020" s="1" t="s">
        <v>1729</v>
      </c>
      <c r="M3020" s="1" t="s">
        <v>1737</v>
      </c>
      <c r="N3020" t="s">
        <v>1986</v>
      </c>
      <c r="O3020" t="s">
        <v>2634</v>
      </c>
      <c r="P3020" t="s">
        <v>2157</v>
      </c>
      <c r="Q3020">
        <v>12.3</v>
      </c>
      <c r="R3020" s="1" t="s">
        <v>1839</v>
      </c>
      <c r="S3020">
        <v>1251</v>
      </c>
      <c r="T3020">
        <v>15387</v>
      </c>
    </row>
    <row r="3021" spans="1:20" hidden="1" x14ac:dyDescent="0.4">
      <c r="A3021" s="1" t="s">
        <v>1139</v>
      </c>
      <c r="B3021" s="1" t="s">
        <v>1453</v>
      </c>
      <c r="C3021" s="1" t="s">
        <v>1844</v>
      </c>
      <c r="D3021" s="1" t="s">
        <v>1467</v>
      </c>
      <c r="E3021">
        <v>20251215</v>
      </c>
      <c r="F3021" s="1" t="s">
        <v>1470</v>
      </c>
      <c r="G3021">
        <v>4</v>
      </c>
      <c r="H3021" s="1" t="s">
        <v>1503</v>
      </c>
      <c r="I3021" t="s">
        <v>1883</v>
      </c>
      <c r="J3021" s="1" t="s">
        <v>1456</v>
      </c>
      <c r="K3021" s="1" t="s">
        <v>1612</v>
      </c>
      <c r="L3021" s="1" t="s">
        <v>1729</v>
      </c>
      <c r="M3021" s="1" t="s">
        <v>1737</v>
      </c>
      <c r="N3021" t="s">
        <v>1986</v>
      </c>
      <c r="O3021" t="s">
        <v>2635</v>
      </c>
      <c r="P3021" t="s">
        <v>2157</v>
      </c>
      <c r="Q3021">
        <v>12.3</v>
      </c>
      <c r="R3021" s="1" t="s">
        <v>1839</v>
      </c>
      <c r="S3021">
        <v>1251</v>
      </c>
      <c r="T3021">
        <v>15387</v>
      </c>
    </row>
    <row r="3022" spans="1:20" hidden="1" x14ac:dyDescent="0.4">
      <c r="A3022" s="1" t="s">
        <v>1139</v>
      </c>
      <c r="B3022" s="1" t="s">
        <v>1454</v>
      </c>
      <c r="C3022" s="1" t="s">
        <v>1844</v>
      </c>
      <c r="D3022" s="1" t="s">
        <v>1467</v>
      </c>
      <c r="E3022">
        <v>20251215</v>
      </c>
      <c r="F3022" s="1" t="s">
        <v>1470</v>
      </c>
      <c r="G3022">
        <v>4</v>
      </c>
      <c r="H3022" s="1" t="s">
        <v>1503</v>
      </c>
      <c r="I3022" t="s">
        <v>1883</v>
      </c>
      <c r="J3022" s="1" t="s">
        <v>1456</v>
      </c>
      <c r="K3022" s="1" t="s">
        <v>1612</v>
      </c>
      <c r="L3022" s="1" t="s">
        <v>1729</v>
      </c>
      <c r="M3022" s="1" t="s">
        <v>1737</v>
      </c>
      <c r="N3022" t="s">
        <v>1986</v>
      </c>
      <c r="O3022" t="s">
        <v>2636</v>
      </c>
      <c r="P3022" t="s">
        <v>2157</v>
      </c>
      <c r="Q3022">
        <v>12.3</v>
      </c>
      <c r="R3022" s="1" t="s">
        <v>1839</v>
      </c>
      <c r="S3022">
        <v>1251</v>
      </c>
      <c r="T3022">
        <v>15387</v>
      </c>
    </row>
    <row r="3023" spans="1:20" hidden="1" x14ac:dyDescent="0.4">
      <c r="A3023" s="1" t="s">
        <v>1139</v>
      </c>
      <c r="B3023" s="1" t="s">
        <v>1455</v>
      </c>
      <c r="C3023" s="1" t="s">
        <v>1844</v>
      </c>
      <c r="D3023" s="1" t="s">
        <v>1467</v>
      </c>
      <c r="E3023">
        <v>20251215</v>
      </c>
      <c r="F3023" s="1" t="s">
        <v>1470</v>
      </c>
      <c r="G3023">
        <v>4</v>
      </c>
      <c r="H3023" s="1" t="s">
        <v>1503</v>
      </c>
      <c r="I3023" t="s">
        <v>1883</v>
      </c>
      <c r="J3023" s="1" t="s">
        <v>1456</v>
      </c>
      <c r="K3023" s="1" t="s">
        <v>1612</v>
      </c>
      <c r="L3023" s="1" t="s">
        <v>1729</v>
      </c>
      <c r="M3023" s="1" t="s">
        <v>1737</v>
      </c>
      <c r="N3023" t="s">
        <v>1986</v>
      </c>
      <c r="O3023" t="s">
        <v>2637</v>
      </c>
      <c r="P3023" t="s">
        <v>2157</v>
      </c>
      <c r="Q3023">
        <v>12.3</v>
      </c>
      <c r="R3023" s="1" t="s">
        <v>1839</v>
      </c>
      <c r="S3023">
        <v>1251</v>
      </c>
      <c r="T3023">
        <v>15387</v>
      </c>
    </row>
    <row r="3024" spans="1:20" hidden="1" x14ac:dyDescent="0.4">
      <c r="A3024" s="1" t="s">
        <v>1139</v>
      </c>
      <c r="B3024" s="1" t="s">
        <v>1456</v>
      </c>
      <c r="C3024" s="1" t="s">
        <v>1844</v>
      </c>
      <c r="D3024" s="1" t="s">
        <v>1467</v>
      </c>
      <c r="E3024">
        <v>20251215</v>
      </c>
      <c r="F3024" s="1" t="s">
        <v>1470</v>
      </c>
      <c r="G3024">
        <v>4</v>
      </c>
      <c r="H3024" s="1" t="s">
        <v>1503</v>
      </c>
      <c r="I3024" t="s">
        <v>1883</v>
      </c>
      <c r="J3024" s="1" t="s">
        <v>1456</v>
      </c>
      <c r="K3024" s="1" t="s">
        <v>1612</v>
      </c>
      <c r="L3024" s="1" t="s">
        <v>1729</v>
      </c>
      <c r="M3024" s="1" t="s">
        <v>1737</v>
      </c>
      <c r="N3024" t="s">
        <v>1986</v>
      </c>
      <c r="O3024" t="s">
        <v>2638</v>
      </c>
      <c r="P3024" t="s">
        <v>2157</v>
      </c>
      <c r="Q3024">
        <v>12.3</v>
      </c>
      <c r="R3024" s="1" t="s">
        <v>1839</v>
      </c>
      <c r="S3024">
        <v>1251</v>
      </c>
      <c r="T3024">
        <v>15387</v>
      </c>
    </row>
    <row r="3025" spans="1:20" hidden="1" x14ac:dyDescent="0.4">
      <c r="A3025" s="1" t="s">
        <v>1139</v>
      </c>
      <c r="B3025" s="1" t="s">
        <v>1457</v>
      </c>
      <c r="C3025" s="1" t="s">
        <v>1844</v>
      </c>
      <c r="D3025" s="1" t="s">
        <v>1467</v>
      </c>
      <c r="E3025">
        <v>20251215</v>
      </c>
      <c r="F3025" s="1" t="s">
        <v>1470</v>
      </c>
      <c r="G3025">
        <v>4</v>
      </c>
      <c r="H3025" s="1" t="s">
        <v>1503</v>
      </c>
      <c r="I3025" t="s">
        <v>1883</v>
      </c>
      <c r="J3025" s="1" t="s">
        <v>1456</v>
      </c>
      <c r="K3025" s="1" t="s">
        <v>1612</v>
      </c>
      <c r="L3025" s="1" t="s">
        <v>1729</v>
      </c>
      <c r="M3025" s="1" t="s">
        <v>1737</v>
      </c>
      <c r="N3025" t="s">
        <v>1986</v>
      </c>
      <c r="O3025" t="s">
        <v>2639</v>
      </c>
      <c r="P3025" t="s">
        <v>2157</v>
      </c>
      <c r="Q3025">
        <v>12.3</v>
      </c>
      <c r="R3025" s="1" t="s">
        <v>1839</v>
      </c>
      <c r="S3025">
        <v>1251</v>
      </c>
      <c r="T3025">
        <v>15387</v>
      </c>
    </row>
    <row r="3026" spans="1:20" hidden="1" x14ac:dyDescent="0.4">
      <c r="A3026" s="1" t="s">
        <v>1139</v>
      </c>
      <c r="B3026" s="1" t="s">
        <v>1458</v>
      </c>
      <c r="C3026" s="1" t="s">
        <v>1844</v>
      </c>
      <c r="D3026" s="1" t="s">
        <v>1467</v>
      </c>
      <c r="E3026">
        <v>20251215</v>
      </c>
      <c r="F3026" s="1" t="s">
        <v>1470</v>
      </c>
      <c r="G3026">
        <v>4</v>
      </c>
      <c r="H3026" s="1" t="s">
        <v>1503</v>
      </c>
      <c r="I3026" t="s">
        <v>1883</v>
      </c>
      <c r="J3026" s="1" t="s">
        <v>1456</v>
      </c>
      <c r="K3026" s="1" t="s">
        <v>1612</v>
      </c>
      <c r="L3026" s="1" t="s">
        <v>1729</v>
      </c>
      <c r="M3026" s="1" t="s">
        <v>1737</v>
      </c>
      <c r="N3026" t="s">
        <v>1986</v>
      </c>
      <c r="O3026" t="s">
        <v>2640</v>
      </c>
      <c r="P3026" t="s">
        <v>2157</v>
      </c>
      <c r="Q3026">
        <v>12.3</v>
      </c>
      <c r="R3026" s="1" t="s">
        <v>1839</v>
      </c>
      <c r="S3026">
        <v>1251</v>
      </c>
      <c r="T3026">
        <v>15387</v>
      </c>
    </row>
    <row r="3027" spans="1:20" hidden="1" x14ac:dyDescent="0.4">
      <c r="A3027" s="1" t="s">
        <v>1139</v>
      </c>
      <c r="B3027" s="1" t="s">
        <v>1459</v>
      </c>
      <c r="C3027" s="1" t="s">
        <v>1844</v>
      </c>
      <c r="D3027" s="1" t="s">
        <v>1467</v>
      </c>
      <c r="E3027">
        <v>20251215</v>
      </c>
      <c r="F3027" s="1" t="s">
        <v>1470</v>
      </c>
      <c r="G3027">
        <v>4</v>
      </c>
      <c r="H3027" s="1" t="s">
        <v>1503</v>
      </c>
      <c r="I3027" t="s">
        <v>1883</v>
      </c>
      <c r="J3027" s="1" t="s">
        <v>1456</v>
      </c>
      <c r="K3027" s="1" t="s">
        <v>1612</v>
      </c>
      <c r="L3027" s="1" t="s">
        <v>1729</v>
      </c>
      <c r="M3027" s="1" t="s">
        <v>1737</v>
      </c>
      <c r="N3027" t="s">
        <v>1986</v>
      </c>
      <c r="O3027" t="s">
        <v>2641</v>
      </c>
      <c r="P3027" t="s">
        <v>2157</v>
      </c>
      <c r="Q3027">
        <v>12.3</v>
      </c>
      <c r="R3027" s="1" t="s">
        <v>1839</v>
      </c>
      <c r="S3027">
        <v>1251</v>
      </c>
      <c r="T3027">
        <v>15387</v>
      </c>
    </row>
    <row r="3028" spans="1:20" hidden="1" x14ac:dyDescent="0.4">
      <c r="A3028" s="1" t="s">
        <v>1139</v>
      </c>
      <c r="B3028" s="1" t="s">
        <v>1460</v>
      </c>
      <c r="C3028" s="1" t="s">
        <v>1844</v>
      </c>
      <c r="D3028" s="1" t="s">
        <v>1467</v>
      </c>
      <c r="E3028">
        <v>20251215</v>
      </c>
      <c r="F3028" s="1" t="s">
        <v>1470</v>
      </c>
      <c r="G3028">
        <v>4</v>
      </c>
      <c r="H3028" s="1" t="s">
        <v>1503</v>
      </c>
      <c r="I3028" t="s">
        <v>1883</v>
      </c>
      <c r="J3028" s="1" t="s">
        <v>1456</v>
      </c>
      <c r="K3028" s="1" t="s">
        <v>1612</v>
      </c>
      <c r="L3028" s="1" t="s">
        <v>1729</v>
      </c>
      <c r="M3028" s="1" t="s">
        <v>1737</v>
      </c>
      <c r="N3028" t="s">
        <v>1986</v>
      </c>
      <c r="O3028" t="s">
        <v>2642</v>
      </c>
      <c r="P3028" t="s">
        <v>2157</v>
      </c>
      <c r="Q3028">
        <v>12.3</v>
      </c>
      <c r="R3028" s="1" t="s">
        <v>1839</v>
      </c>
      <c r="S3028">
        <v>1251</v>
      </c>
      <c r="T3028">
        <v>15387</v>
      </c>
    </row>
    <row r="3029" spans="1:20" hidden="1" x14ac:dyDescent="0.4">
      <c r="A3029" s="1" t="s">
        <v>1139</v>
      </c>
      <c r="B3029" s="1" t="s">
        <v>1461</v>
      </c>
      <c r="C3029" s="1" t="s">
        <v>1844</v>
      </c>
      <c r="D3029" s="1" t="s">
        <v>1467</v>
      </c>
      <c r="E3029">
        <v>20251215</v>
      </c>
      <c r="F3029" s="1" t="s">
        <v>1470</v>
      </c>
      <c r="G3029">
        <v>4</v>
      </c>
      <c r="H3029" s="1" t="s">
        <v>1503</v>
      </c>
      <c r="I3029" t="s">
        <v>1883</v>
      </c>
      <c r="J3029" s="1" t="s">
        <v>1456</v>
      </c>
      <c r="K3029" s="1" t="s">
        <v>1612</v>
      </c>
      <c r="L3029" s="1" t="s">
        <v>1729</v>
      </c>
      <c r="M3029" s="1" t="s">
        <v>1737</v>
      </c>
      <c r="N3029" t="s">
        <v>1986</v>
      </c>
      <c r="O3029" t="s">
        <v>2643</v>
      </c>
      <c r="P3029" t="s">
        <v>2157</v>
      </c>
      <c r="Q3029">
        <v>12.3</v>
      </c>
      <c r="R3029" s="1" t="s">
        <v>1839</v>
      </c>
      <c r="S3029">
        <v>1251</v>
      </c>
      <c r="T3029">
        <v>15387</v>
      </c>
    </row>
    <row r="3030" spans="1:20" hidden="1" x14ac:dyDescent="0.4">
      <c r="A3030" s="1" t="s">
        <v>1139</v>
      </c>
      <c r="B3030" s="1" t="s">
        <v>1462</v>
      </c>
      <c r="C3030" s="1" t="s">
        <v>1844</v>
      </c>
      <c r="D3030" s="1" t="s">
        <v>1467</v>
      </c>
      <c r="E3030">
        <v>20251215</v>
      </c>
      <c r="F3030" s="1" t="s">
        <v>1470</v>
      </c>
      <c r="G3030">
        <v>4</v>
      </c>
      <c r="H3030" s="1" t="s">
        <v>1503</v>
      </c>
      <c r="I3030" t="s">
        <v>1883</v>
      </c>
      <c r="J3030" s="1" t="s">
        <v>1456</v>
      </c>
      <c r="K3030" s="1" t="s">
        <v>1612</v>
      </c>
      <c r="L3030" s="1" t="s">
        <v>1729</v>
      </c>
      <c r="M3030" s="1" t="s">
        <v>1737</v>
      </c>
      <c r="N3030" t="s">
        <v>1986</v>
      </c>
      <c r="O3030" t="s">
        <v>2644</v>
      </c>
      <c r="P3030" t="s">
        <v>2157</v>
      </c>
      <c r="Q3030">
        <v>12.3</v>
      </c>
      <c r="R3030" s="1" t="s">
        <v>1839</v>
      </c>
      <c r="S3030">
        <v>1251</v>
      </c>
      <c r="T3030">
        <v>15387</v>
      </c>
    </row>
    <row r="3031" spans="1:20" hidden="1" x14ac:dyDescent="0.4">
      <c r="A3031" s="1" t="s">
        <v>1139</v>
      </c>
      <c r="B3031" s="1" t="s">
        <v>1463</v>
      </c>
      <c r="C3031" s="1" t="s">
        <v>1844</v>
      </c>
      <c r="D3031" s="1" t="s">
        <v>1467</v>
      </c>
      <c r="E3031">
        <v>20251215</v>
      </c>
      <c r="F3031" s="1" t="s">
        <v>1470</v>
      </c>
      <c r="G3031">
        <v>4</v>
      </c>
      <c r="H3031" s="1" t="s">
        <v>1503</v>
      </c>
      <c r="I3031" t="s">
        <v>1883</v>
      </c>
      <c r="J3031" s="1" t="s">
        <v>1456</v>
      </c>
      <c r="K3031" s="1" t="s">
        <v>1612</v>
      </c>
      <c r="L3031" s="1" t="s">
        <v>1729</v>
      </c>
      <c r="M3031" s="1" t="s">
        <v>1737</v>
      </c>
      <c r="N3031" t="s">
        <v>1986</v>
      </c>
      <c r="O3031" t="s">
        <v>2645</v>
      </c>
      <c r="P3031" t="s">
        <v>2157</v>
      </c>
      <c r="Q3031">
        <v>12.3</v>
      </c>
      <c r="R3031" s="1" t="s">
        <v>1839</v>
      </c>
      <c r="S3031">
        <v>1251</v>
      </c>
      <c r="T3031">
        <v>15387</v>
      </c>
    </row>
    <row r="3032" spans="1:20" hidden="1" x14ac:dyDescent="0.4">
      <c r="A3032" s="1" t="s">
        <v>1140</v>
      </c>
      <c r="B3032" s="1" t="s">
        <v>1453</v>
      </c>
      <c r="C3032" s="1" t="s">
        <v>1844</v>
      </c>
      <c r="D3032" s="1" t="s">
        <v>1467</v>
      </c>
      <c r="E3032">
        <v>20251215</v>
      </c>
      <c r="F3032" s="1" t="s">
        <v>1470</v>
      </c>
      <c r="G3032">
        <v>4</v>
      </c>
      <c r="H3032" s="1" t="s">
        <v>1503</v>
      </c>
      <c r="I3032" t="s">
        <v>1883</v>
      </c>
      <c r="J3032" s="1" t="s">
        <v>1456</v>
      </c>
      <c r="K3032" s="1" t="s">
        <v>1612</v>
      </c>
      <c r="L3032" s="1" t="s">
        <v>1729</v>
      </c>
      <c r="M3032" s="1" t="s">
        <v>1737</v>
      </c>
      <c r="N3032" t="s">
        <v>1986</v>
      </c>
      <c r="O3032" t="s">
        <v>2646</v>
      </c>
      <c r="P3032" t="s">
        <v>2157</v>
      </c>
      <c r="Q3032">
        <v>12.3</v>
      </c>
      <c r="R3032" s="1" t="s">
        <v>1839</v>
      </c>
      <c r="S3032">
        <v>1251</v>
      </c>
      <c r="T3032">
        <v>15387</v>
      </c>
    </row>
    <row r="3033" spans="1:20" hidden="1" x14ac:dyDescent="0.4">
      <c r="A3033" s="1" t="s">
        <v>1140</v>
      </c>
      <c r="B3033" s="1" t="s">
        <v>1454</v>
      </c>
      <c r="C3033" s="1" t="s">
        <v>1844</v>
      </c>
      <c r="D3033" s="1" t="s">
        <v>1467</v>
      </c>
      <c r="E3033">
        <v>20251215</v>
      </c>
      <c r="F3033" s="1" t="s">
        <v>1470</v>
      </c>
      <c r="G3033">
        <v>4</v>
      </c>
      <c r="H3033" s="1" t="s">
        <v>1503</v>
      </c>
      <c r="I3033" t="s">
        <v>1883</v>
      </c>
      <c r="J3033" s="1" t="s">
        <v>1456</v>
      </c>
      <c r="K3033" s="1" t="s">
        <v>1612</v>
      </c>
      <c r="L3033" s="1" t="s">
        <v>1729</v>
      </c>
      <c r="M3033" s="1" t="s">
        <v>1737</v>
      </c>
      <c r="N3033" t="s">
        <v>1986</v>
      </c>
      <c r="O3033" t="s">
        <v>2647</v>
      </c>
      <c r="P3033" t="s">
        <v>2157</v>
      </c>
      <c r="Q3033">
        <v>12.3</v>
      </c>
      <c r="R3033" s="1" t="s">
        <v>1839</v>
      </c>
      <c r="S3033">
        <v>1251</v>
      </c>
      <c r="T3033">
        <v>15387</v>
      </c>
    </row>
    <row r="3034" spans="1:20" hidden="1" x14ac:dyDescent="0.4">
      <c r="A3034" s="1" t="s">
        <v>1140</v>
      </c>
      <c r="B3034" s="1" t="s">
        <v>1455</v>
      </c>
      <c r="C3034" s="1" t="s">
        <v>1844</v>
      </c>
      <c r="D3034" s="1" t="s">
        <v>1467</v>
      </c>
      <c r="E3034">
        <v>20251215</v>
      </c>
      <c r="F3034" s="1" t="s">
        <v>1470</v>
      </c>
      <c r="G3034">
        <v>4</v>
      </c>
      <c r="H3034" s="1" t="s">
        <v>1503</v>
      </c>
      <c r="I3034" t="s">
        <v>1883</v>
      </c>
      <c r="J3034" s="1" t="s">
        <v>1456</v>
      </c>
      <c r="K3034" s="1" t="s">
        <v>1612</v>
      </c>
      <c r="L3034" s="1" t="s">
        <v>1729</v>
      </c>
      <c r="M3034" s="1" t="s">
        <v>1737</v>
      </c>
      <c r="N3034" t="s">
        <v>1986</v>
      </c>
      <c r="O3034" t="s">
        <v>2648</v>
      </c>
      <c r="P3034" t="s">
        <v>2157</v>
      </c>
      <c r="Q3034">
        <v>12.3</v>
      </c>
      <c r="R3034" s="1" t="s">
        <v>1839</v>
      </c>
      <c r="S3034">
        <v>1251</v>
      </c>
      <c r="T3034">
        <v>15387</v>
      </c>
    </row>
    <row r="3035" spans="1:20" hidden="1" x14ac:dyDescent="0.4">
      <c r="A3035" s="1" t="s">
        <v>1141</v>
      </c>
      <c r="B3035" s="1" t="s">
        <v>1453</v>
      </c>
      <c r="C3035" s="1" t="s">
        <v>1844</v>
      </c>
      <c r="D3035" s="1" t="s">
        <v>1730</v>
      </c>
      <c r="E3035">
        <v>20251216</v>
      </c>
      <c r="F3035" s="1" t="s">
        <v>1470</v>
      </c>
      <c r="G3035">
        <v>4</v>
      </c>
      <c r="H3035" s="1" t="s">
        <v>1503</v>
      </c>
      <c r="I3035" t="s">
        <v>1883</v>
      </c>
      <c r="J3035" s="1" t="s">
        <v>1456</v>
      </c>
      <c r="K3035" s="1" t="s">
        <v>1612</v>
      </c>
      <c r="L3035" s="1" t="s">
        <v>1729</v>
      </c>
      <c r="M3035" s="1" t="s">
        <v>1737</v>
      </c>
      <c r="N3035" t="s">
        <v>1986</v>
      </c>
      <c r="O3035" t="s">
        <v>2649</v>
      </c>
      <c r="P3035" t="s">
        <v>2624</v>
      </c>
      <c r="Q3035">
        <v>12.3</v>
      </c>
      <c r="R3035" s="1" t="s">
        <v>1839</v>
      </c>
      <c r="S3035">
        <v>0</v>
      </c>
      <c r="T3035">
        <v>0</v>
      </c>
    </row>
    <row r="3036" spans="1:20" hidden="1" x14ac:dyDescent="0.4">
      <c r="A3036" s="1" t="s">
        <v>1142</v>
      </c>
      <c r="B3036" s="1" t="s">
        <v>1453</v>
      </c>
      <c r="C3036" s="1" t="s">
        <v>1844</v>
      </c>
      <c r="D3036" s="1" t="s">
        <v>1730</v>
      </c>
      <c r="E3036">
        <v>20251216</v>
      </c>
      <c r="F3036" s="1" t="s">
        <v>1470</v>
      </c>
      <c r="G3036">
        <v>4</v>
      </c>
      <c r="H3036" s="1" t="s">
        <v>1503</v>
      </c>
      <c r="I3036" t="s">
        <v>1883</v>
      </c>
      <c r="J3036" s="1" t="s">
        <v>1456</v>
      </c>
      <c r="K3036" s="1" t="s">
        <v>1612</v>
      </c>
      <c r="L3036" s="1" t="s">
        <v>1729</v>
      </c>
      <c r="M3036" s="1" t="s">
        <v>1737</v>
      </c>
      <c r="N3036" t="s">
        <v>1986</v>
      </c>
      <c r="O3036" t="s">
        <v>2650</v>
      </c>
      <c r="P3036" t="s">
        <v>2625</v>
      </c>
      <c r="Q3036">
        <v>12.3</v>
      </c>
      <c r="R3036" s="1" t="s">
        <v>1839</v>
      </c>
      <c r="S3036">
        <v>0</v>
      </c>
      <c r="T3036">
        <v>0</v>
      </c>
    </row>
    <row r="3037" spans="1:20" hidden="1" x14ac:dyDescent="0.4">
      <c r="A3037" s="1" t="s">
        <v>1142</v>
      </c>
      <c r="B3037" s="1" t="s">
        <v>1454</v>
      </c>
      <c r="C3037" s="1" t="s">
        <v>1844</v>
      </c>
      <c r="D3037" s="1" t="s">
        <v>1730</v>
      </c>
      <c r="E3037">
        <v>20251216</v>
      </c>
      <c r="F3037" s="1" t="s">
        <v>1470</v>
      </c>
      <c r="G3037">
        <v>4</v>
      </c>
      <c r="H3037" s="1" t="s">
        <v>1503</v>
      </c>
      <c r="I3037" t="s">
        <v>1883</v>
      </c>
      <c r="J3037" s="1" t="s">
        <v>1456</v>
      </c>
      <c r="K3037" s="1" t="s">
        <v>1612</v>
      </c>
      <c r="L3037" s="1" t="s">
        <v>1729</v>
      </c>
      <c r="M3037" s="1" t="s">
        <v>1737</v>
      </c>
      <c r="N3037" t="s">
        <v>1986</v>
      </c>
      <c r="O3037" t="s">
        <v>2650</v>
      </c>
      <c r="P3037" t="s">
        <v>2626</v>
      </c>
      <c r="Q3037">
        <v>12.3</v>
      </c>
      <c r="R3037" s="1" t="s">
        <v>1839</v>
      </c>
      <c r="S3037">
        <v>0</v>
      </c>
      <c r="T3037">
        <v>0</v>
      </c>
    </row>
    <row r="3038" spans="1:20" hidden="1" x14ac:dyDescent="0.4">
      <c r="A3038" s="1" t="s">
        <v>1143</v>
      </c>
      <c r="B3038" s="1" t="s">
        <v>1453</v>
      </c>
      <c r="C3038" s="1" t="s">
        <v>1844</v>
      </c>
      <c r="D3038" s="1" t="s">
        <v>1462</v>
      </c>
      <c r="E3038">
        <v>20251216</v>
      </c>
      <c r="F3038" s="1" t="s">
        <v>1470</v>
      </c>
      <c r="G3038">
        <v>4</v>
      </c>
      <c r="H3038" s="1" t="s">
        <v>1503</v>
      </c>
      <c r="I3038" t="s">
        <v>1883</v>
      </c>
      <c r="J3038" s="1" t="s">
        <v>1456</v>
      </c>
      <c r="K3038" s="1" t="s">
        <v>1600</v>
      </c>
      <c r="L3038" s="1" t="s">
        <v>1729</v>
      </c>
      <c r="M3038" s="1" t="s">
        <v>1737</v>
      </c>
      <c r="N3038" t="s">
        <v>1975</v>
      </c>
      <c r="O3038" t="s">
        <v>2651</v>
      </c>
      <c r="P3038" t="s">
        <v>3530</v>
      </c>
      <c r="Q3038">
        <v>45</v>
      </c>
      <c r="R3038" s="1" t="s">
        <v>1839</v>
      </c>
      <c r="S3038">
        <v>3257</v>
      </c>
      <c r="T3038">
        <v>146565</v>
      </c>
    </row>
    <row r="3039" spans="1:20" hidden="1" x14ac:dyDescent="0.4">
      <c r="A3039" s="1" t="s">
        <v>1143</v>
      </c>
      <c r="B3039" s="1" t="s">
        <v>1454</v>
      </c>
      <c r="C3039" s="1" t="s">
        <v>1844</v>
      </c>
      <c r="D3039" s="1" t="s">
        <v>1462</v>
      </c>
      <c r="E3039">
        <v>20251216</v>
      </c>
      <c r="F3039" s="1" t="s">
        <v>1470</v>
      </c>
      <c r="G3039">
        <v>4</v>
      </c>
      <c r="H3039" s="1" t="s">
        <v>1503</v>
      </c>
      <c r="I3039" t="s">
        <v>1883</v>
      </c>
      <c r="J3039" s="1" t="s">
        <v>1456</v>
      </c>
      <c r="K3039" s="1" t="s">
        <v>1600</v>
      </c>
      <c r="L3039" s="1" t="s">
        <v>1729</v>
      </c>
      <c r="M3039" s="1" t="s">
        <v>1737</v>
      </c>
      <c r="N3039" t="s">
        <v>1975</v>
      </c>
      <c r="O3039" t="s">
        <v>2652</v>
      </c>
      <c r="P3039" t="s">
        <v>3530</v>
      </c>
      <c r="Q3039">
        <v>45</v>
      </c>
      <c r="R3039" s="1" t="s">
        <v>1839</v>
      </c>
      <c r="S3039">
        <v>3257</v>
      </c>
      <c r="T3039">
        <v>146565</v>
      </c>
    </row>
    <row r="3040" spans="1:20" hidden="1" x14ac:dyDescent="0.4">
      <c r="A3040" s="1" t="s">
        <v>1143</v>
      </c>
      <c r="B3040" s="1" t="s">
        <v>1455</v>
      </c>
      <c r="C3040" s="1" t="s">
        <v>1844</v>
      </c>
      <c r="D3040" s="1" t="s">
        <v>1462</v>
      </c>
      <c r="E3040">
        <v>20251216</v>
      </c>
      <c r="F3040" s="1" t="s">
        <v>1470</v>
      </c>
      <c r="G3040">
        <v>4</v>
      </c>
      <c r="H3040" s="1" t="s">
        <v>1503</v>
      </c>
      <c r="I3040" t="s">
        <v>1883</v>
      </c>
      <c r="J3040" s="1" t="s">
        <v>1456</v>
      </c>
      <c r="K3040" s="1" t="s">
        <v>1600</v>
      </c>
      <c r="L3040" s="1" t="s">
        <v>1729</v>
      </c>
      <c r="M3040" s="1" t="s">
        <v>1737</v>
      </c>
      <c r="N3040" t="s">
        <v>1975</v>
      </c>
      <c r="O3040" t="s">
        <v>2653</v>
      </c>
      <c r="P3040" t="s">
        <v>3530</v>
      </c>
      <c r="Q3040">
        <v>45</v>
      </c>
      <c r="R3040" s="1" t="s">
        <v>1839</v>
      </c>
      <c r="S3040">
        <v>3257</v>
      </c>
      <c r="T3040">
        <v>146565</v>
      </c>
    </row>
    <row r="3041" spans="1:20" hidden="1" x14ac:dyDescent="0.4">
      <c r="A3041" s="1" t="s">
        <v>1143</v>
      </c>
      <c r="B3041" s="1" t="s">
        <v>1456</v>
      </c>
      <c r="C3041" s="1" t="s">
        <v>1844</v>
      </c>
      <c r="D3041" s="1" t="s">
        <v>1462</v>
      </c>
      <c r="E3041">
        <v>20251216</v>
      </c>
      <c r="F3041" s="1" t="s">
        <v>1470</v>
      </c>
      <c r="G3041">
        <v>4</v>
      </c>
      <c r="H3041" s="1" t="s">
        <v>1503</v>
      </c>
      <c r="I3041" t="s">
        <v>1883</v>
      </c>
      <c r="J3041" s="1" t="s">
        <v>1456</v>
      </c>
      <c r="K3041" s="1" t="s">
        <v>1600</v>
      </c>
      <c r="L3041" s="1" t="s">
        <v>1729</v>
      </c>
      <c r="M3041" s="1" t="s">
        <v>1737</v>
      </c>
      <c r="N3041" t="s">
        <v>1975</v>
      </c>
      <c r="O3041" t="s">
        <v>2654</v>
      </c>
      <c r="P3041" t="s">
        <v>3530</v>
      </c>
      <c r="Q3041">
        <v>45</v>
      </c>
      <c r="R3041" s="1" t="s">
        <v>1839</v>
      </c>
      <c r="S3041">
        <v>3257</v>
      </c>
      <c r="T3041">
        <v>146565</v>
      </c>
    </row>
    <row r="3042" spans="1:20" hidden="1" x14ac:dyDescent="0.4">
      <c r="A3042" s="1" t="s">
        <v>1143</v>
      </c>
      <c r="B3042" s="1" t="s">
        <v>1457</v>
      </c>
      <c r="C3042" s="1" t="s">
        <v>1844</v>
      </c>
      <c r="D3042" s="1" t="s">
        <v>1462</v>
      </c>
      <c r="E3042">
        <v>20251216</v>
      </c>
      <c r="F3042" s="1" t="s">
        <v>1470</v>
      </c>
      <c r="G3042">
        <v>4</v>
      </c>
      <c r="H3042" s="1" t="s">
        <v>1503</v>
      </c>
      <c r="I3042" t="s">
        <v>1883</v>
      </c>
      <c r="J3042" s="1" t="s">
        <v>1456</v>
      </c>
      <c r="K3042" s="1" t="s">
        <v>1600</v>
      </c>
      <c r="L3042" s="1" t="s">
        <v>1729</v>
      </c>
      <c r="M3042" s="1" t="s">
        <v>1737</v>
      </c>
      <c r="N3042" t="s">
        <v>1975</v>
      </c>
      <c r="O3042" t="s">
        <v>2655</v>
      </c>
      <c r="P3042" t="s">
        <v>3530</v>
      </c>
      <c r="Q3042">
        <v>45</v>
      </c>
      <c r="R3042" s="1" t="s">
        <v>1839</v>
      </c>
      <c r="S3042">
        <v>3257</v>
      </c>
      <c r="T3042">
        <v>146565</v>
      </c>
    </row>
    <row r="3043" spans="1:20" hidden="1" x14ac:dyDescent="0.4">
      <c r="A3043" s="1" t="s">
        <v>1143</v>
      </c>
      <c r="B3043" s="1" t="s">
        <v>1458</v>
      </c>
      <c r="C3043" s="1" t="s">
        <v>1844</v>
      </c>
      <c r="D3043" s="1" t="s">
        <v>1462</v>
      </c>
      <c r="E3043">
        <v>20251216</v>
      </c>
      <c r="F3043" s="1" t="s">
        <v>1470</v>
      </c>
      <c r="G3043">
        <v>4</v>
      </c>
      <c r="H3043" s="1" t="s">
        <v>1503</v>
      </c>
      <c r="I3043" t="s">
        <v>1883</v>
      </c>
      <c r="J3043" s="1" t="s">
        <v>1456</v>
      </c>
      <c r="K3043" s="1" t="s">
        <v>1600</v>
      </c>
      <c r="L3043" s="1" t="s">
        <v>1729</v>
      </c>
      <c r="M3043" s="1" t="s">
        <v>1737</v>
      </c>
      <c r="N3043" t="s">
        <v>1975</v>
      </c>
      <c r="O3043" t="s">
        <v>2656</v>
      </c>
      <c r="P3043" t="s">
        <v>3530</v>
      </c>
      <c r="Q3043">
        <v>45</v>
      </c>
      <c r="R3043" s="1" t="s">
        <v>1839</v>
      </c>
      <c r="S3043">
        <v>3257</v>
      </c>
      <c r="T3043">
        <v>146565</v>
      </c>
    </row>
    <row r="3044" spans="1:20" hidden="1" x14ac:dyDescent="0.4">
      <c r="A3044" s="1" t="s">
        <v>1143</v>
      </c>
      <c r="B3044" s="1" t="s">
        <v>1459</v>
      </c>
      <c r="C3044" s="1" t="s">
        <v>1844</v>
      </c>
      <c r="D3044" s="1" t="s">
        <v>1462</v>
      </c>
      <c r="E3044">
        <v>20251216</v>
      </c>
      <c r="F3044" s="1" t="s">
        <v>1470</v>
      </c>
      <c r="G3044">
        <v>4</v>
      </c>
      <c r="H3044" s="1" t="s">
        <v>1503</v>
      </c>
      <c r="I3044" t="s">
        <v>1883</v>
      </c>
      <c r="J3044" s="1" t="s">
        <v>1456</v>
      </c>
      <c r="K3044" s="1" t="s">
        <v>1600</v>
      </c>
      <c r="L3044" s="1" t="s">
        <v>1729</v>
      </c>
      <c r="M3044" s="1" t="s">
        <v>1737</v>
      </c>
      <c r="N3044" t="s">
        <v>1975</v>
      </c>
      <c r="O3044" t="s">
        <v>2657</v>
      </c>
      <c r="P3044" t="s">
        <v>3530</v>
      </c>
      <c r="Q3044">
        <v>45</v>
      </c>
      <c r="R3044" s="1" t="s">
        <v>1839</v>
      </c>
      <c r="S3044">
        <v>3257</v>
      </c>
      <c r="T3044">
        <v>146565</v>
      </c>
    </row>
    <row r="3045" spans="1:20" hidden="1" x14ac:dyDescent="0.4">
      <c r="A3045" s="1" t="s">
        <v>1143</v>
      </c>
      <c r="B3045" s="1" t="s">
        <v>1460</v>
      </c>
      <c r="C3045" s="1" t="s">
        <v>1844</v>
      </c>
      <c r="D3045" s="1" t="s">
        <v>1462</v>
      </c>
      <c r="E3045">
        <v>20251216</v>
      </c>
      <c r="F3045" s="1" t="s">
        <v>1470</v>
      </c>
      <c r="G3045">
        <v>4</v>
      </c>
      <c r="H3045" s="1" t="s">
        <v>1503</v>
      </c>
      <c r="I3045" t="s">
        <v>1883</v>
      </c>
      <c r="J3045" s="1" t="s">
        <v>1456</v>
      </c>
      <c r="K3045" s="1" t="s">
        <v>1600</v>
      </c>
      <c r="L3045" s="1" t="s">
        <v>1729</v>
      </c>
      <c r="M3045" s="1" t="s">
        <v>1737</v>
      </c>
      <c r="N3045" t="s">
        <v>1975</v>
      </c>
      <c r="O3045" t="s">
        <v>2658</v>
      </c>
      <c r="P3045" t="s">
        <v>3530</v>
      </c>
      <c r="Q3045">
        <v>45</v>
      </c>
      <c r="R3045" s="1" t="s">
        <v>1839</v>
      </c>
      <c r="S3045">
        <v>3257</v>
      </c>
      <c r="T3045">
        <v>146565</v>
      </c>
    </row>
    <row r="3046" spans="1:20" hidden="1" x14ac:dyDescent="0.4">
      <c r="A3046" s="1" t="s">
        <v>1143</v>
      </c>
      <c r="B3046" s="1" t="s">
        <v>1461</v>
      </c>
      <c r="C3046" s="1" t="s">
        <v>1844</v>
      </c>
      <c r="D3046" s="1" t="s">
        <v>1462</v>
      </c>
      <c r="E3046">
        <v>20251216</v>
      </c>
      <c r="F3046" s="1" t="s">
        <v>1470</v>
      </c>
      <c r="G3046">
        <v>4</v>
      </c>
      <c r="H3046" s="1" t="s">
        <v>1503</v>
      </c>
      <c r="I3046" t="s">
        <v>1883</v>
      </c>
      <c r="J3046" s="1" t="s">
        <v>1456</v>
      </c>
      <c r="K3046" s="1" t="s">
        <v>1600</v>
      </c>
      <c r="L3046" s="1" t="s">
        <v>1729</v>
      </c>
      <c r="M3046" s="1" t="s">
        <v>1737</v>
      </c>
      <c r="N3046" t="s">
        <v>1975</v>
      </c>
      <c r="O3046" t="s">
        <v>2659</v>
      </c>
      <c r="P3046" t="s">
        <v>3530</v>
      </c>
      <c r="Q3046">
        <v>45</v>
      </c>
      <c r="R3046" s="1" t="s">
        <v>1839</v>
      </c>
      <c r="S3046">
        <v>3257</v>
      </c>
      <c r="T3046">
        <v>146565</v>
      </c>
    </row>
    <row r="3047" spans="1:20" hidden="1" x14ac:dyDescent="0.4">
      <c r="A3047" s="1" t="s">
        <v>1143</v>
      </c>
      <c r="B3047" s="1" t="s">
        <v>1462</v>
      </c>
      <c r="C3047" s="1" t="s">
        <v>1844</v>
      </c>
      <c r="D3047" s="1" t="s">
        <v>1462</v>
      </c>
      <c r="E3047">
        <v>20251216</v>
      </c>
      <c r="F3047" s="1" t="s">
        <v>1470</v>
      </c>
      <c r="G3047">
        <v>4</v>
      </c>
      <c r="H3047" s="1" t="s">
        <v>1503</v>
      </c>
      <c r="I3047" t="s">
        <v>1883</v>
      </c>
      <c r="J3047" s="1" t="s">
        <v>1456</v>
      </c>
      <c r="K3047" s="1" t="s">
        <v>1600</v>
      </c>
      <c r="L3047" s="1" t="s">
        <v>1729</v>
      </c>
      <c r="M3047" s="1" t="s">
        <v>1737</v>
      </c>
      <c r="N3047" t="s">
        <v>1975</v>
      </c>
      <c r="O3047" t="s">
        <v>2660</v>
      </c>
      <c r="P3047" t="s">
        <v>3530</v>
      </c>
      <c r="Q3047">
        <v>45</v>
      </c>
      <c r="R3047" s="1" t="s">
        <v>1839</v>
      </c>
      <c r="S3047">
        <v>3257</v>
      </c>
      <c r="T3047">
        <v>146565</v>
      </c>
    </row>
    <row r="3048" spans="1:20" hidden="1" x14ac:dyDescent="0.4">
      <c r="A3048" s="1" t="s">
        <v>1143</v>
      </c>
      <c r="B3048" s="1" t="s">
        <v>1463</v>
      </c>
      <c r="C3048" s="1" t="s">
        <v>1844</v>
      </c>
      <c r="D3048" s="1" t="s">
        <v>1462</v>
      </c>
      <c r="E3048">
        <v>20251216</v>
      </c>
      <c r="F3048" s="1" t="s">
        <v>1470</v>
      </c>
      <c r="G3048">
        <v>4</v>
      </c>
      <c r="H3048" s="1" t="s">
        <v>1503</v>
      </c>
      <c r="I3048" t="s">
        <v>1883</v>
      </c>
      <c r="J3048" s="1" t="s">
        <v>1456</v>
      </c>
      <c r="K3048" s="1" t="s">
        <v>1600</v>
      </c>
      <c r="L3048" s="1" t="s">
        <v>1729</v>
      </c>
      <c r="M3048" s="1" t="s">
        <v>1737</v>
      </c>
      <c r="N3048" t="s">
        <v>1975</v>
      </c>
      <c r="O3048" t="s">
        <v>2661</v>
      </c>
      <c r="P3048" t="s">
        <v>3530</v>
      </c>
      <c r="Q3048">
        <v>45</v>
      </c>
      <c r="R3048" s="1" t="s">
        <v>1839</v>
      </c>
      <c r="S3048">
        <v>3257</v>
      </c>
      <c r="T3048">
        <v>146565</v>
      </c>
    </row>
    <row r="3049" spans="1:20" hidden="1" x14ac:dyDescent="0.4">
      <c r="A3049" s="1" t="s">
        <v>1144</v>
      </c>
      <c r="B3049" s="1" t="s">
        <v>1453</v>
      </c>
      <c r="C3049" s="1" t="s">
        <v>1844</v>
      </c>
      <c r="D3049" s="1" t="s">
        <v>1462</v>
      </c>
      <c r="E3049">
        <v>20251216</v>
      </c>
      <c r="F3049" s="1" t="s">
        <v>1470</v>
      </c>
      <c r="G3049">
        <v>4</v>
      </c>
      <c r="H3049" s="1" t="s">
        <v>1503</v>
      </c>
      <c r="I3049" t="s">
        <v>1883</v>
      </c>
      <c r="J3049" s="1" t="s">
        <v>1456</v>
      </c>
      <c r="K3049" s="1" t="s">
        <v>1600</v>
      </c>
      <c r="L3049" s="1" t="s">
        <v>1729</v>
      </c>
      <c r="M3049" s="1" t="s">
        <v>1737</v>
      </c>
      <c r="N3049" t="s">
        <v>1975</v>
      </c>
      <c r="O3049" t="s">
        <v>2662</v>
      </c>
      <c r="P3049" t="s">
        <v>3530</v>
      </c>
      <c r="Q3049">
        <v>45</v>
      </c>
      <c r="R3049" s="1" t="s">
        <v>1839</v>
      </c>
      <c r="S3049">
        <v>3257</v>
      </c>
      <c r="T3049">
        <v>146565</v>
      </c>
    </row>
    <row r="3050" spans="1:20" hidden="1" x14ac:dyDescent="0.4">
      <c r="A3050" s="1" t="s">
        <v>1144</v>
      </c>
      <c r="B3050" s="1" t="s">
        <v>1454</v>
      </c>
      <c r="C3050" s="1" t="s">
        <v>1844</v>
      </c>
      <c r="D3050" s="1" t="s">
        <v>1462</v>
      </c>
      <c r="E3050">
        <v>20251216</v>
      </c>
      <c r="F3050" s="1" t="s">
        <v>1470</v>
      </c>
      <c r="G3050">
        <v>4</v>
      </c>
      <c r="H3050" s="1" t="s">
        <v>1503</v>
      </c>
      <c r="I3050" t="s">
        <v>1883</v>
      </c>
      <c r="J3050" s="1" t="s">
        <v>1456</v>
      </c>
      <c r="K3050" s="1" t="s">
        <v>1600</v>
      </c>
      <c r="L3050" s="1" t="s">
        <v>1729</v>
      </c>
      <c r="M3050" s="1" t="s">
        <v>1737</v>
      </c>
      <c r="N3050" t="s">
        <v>1975</v>
      </c>
      <c r="O3050" t="s">
        <v>2663</v>
      </c>
      <c r="P3050" t="s">
        <v>3530</v>
      </c>
      <c r="Q3050">
        <v>45</v>
      </c>
      <c r="R3050" s="1" t="s">
        <v>1839</v>
      </c>
      <c r="S3050">
        <v>3257</v>
      </c>
      <c r="T3050">
        <v>146565</v>
      </c>
    </row>
    <row r="3051" spans="1:20" hidden="1" x14ac:dyDescent="0.4">
      <c r="A3051" s="1" t="s">
        <v>1144</v>
      </c>
      <c r="B3051" s="1" t="s">
        <v>1455</v>
      </c>
      <c r="C3051" s="1" t="s">
        <v>1844</v>
      </c>
      <c r="D3051" s="1" t="s">
        <v>1462</v>
      </c>
      <c r="E3051">
        <v>20251216</v>
      </c>
      <c r="F3051" s="1" t="s">
        <v>1470</v>
      </c>
      <c r="G3051">
        <v>4</v>
      </c>
      <c r="H3051" s="1" t="s">
        <v>1503</v>
      </c>
      <c r="I3051" t="s">
        <v>1883</v>
      </c>
      <c r="J3051" s="1" t="s">
        <v>1456</v>
      </c>
      <c r="K3051" s="1" t="s">
        <v>1600</v>
      </c>
      <c r="L3051" s="1" t="s">
        <v>1729</v>
      </c>
      <c r="M3051" s="1" t="s">
        <v>1737</v>
      </c>
      <c r="N3051" t="s">
        <v>1975</v>
      </c>
      <c r="O3051" t="s">
        <v>2664</v>
      </c>
      <c r="P3051" t="s">
        <v>3530</v>
      </c>
      <c r="Q3051">
        <v>45</v>
      </c>
      <c r="R3051" s="1" t="s">
        <v>1839</v>
      </c>
      <c r="S3051">
        <v>3257</v>
      </c>
      <c r="T3051">
        <v>146565</v>
      </c>
    </row>
    <row r="3052" spans="1:20" hidden="1" x14ac:dyDescent="0.4">
      <c r="A3052" s="1" t="s">
        <v>1144</v>
      </c>
      <c r="B3052" s="1" t="s">
        <v>1456</v>
      </c>
      <c r="C3052" s="1" t="s">
        <v>1844</v>
      </c>
      <c r="D3052" s="1" t="s">
        <v>1462</v>
      </c>
      <c r="E3052">
        <v>20251216</v>
      </c>
      <c r="F3052" s="1" t="s">
        <v>1470</v>
      </c>
      <c r="G3052">
        <v>4</v>
      </c>
      <c r="H3052" s="1" t="s">
        <v>1503</v>
      </c>
      <c r="I3052" t="s">
        <v>1883</v>
      </c>
      <c r="J3052" s="1" t="s">
        <v>1456</v>
      </c>
      <c r="K3052" s="1" t="s">
        <v>1600</v>
      </c>
      <c r="L3052" s="1" t="s">
        <v>1729</v>
      </c>
      <c r="M3052" s="1" t="s">
        <v>1737</v>
      </c>
      <c r="N3052" t="s">
        <v>1975</v>
      </c>
      <c r="O3052" t="s">
        <v>2665</v>
      </c>
      <c r="P3052" t="s">
        <v>3530</v>
      </c>
      <c r="Q3052">
        <v>45</v>
      </c>
      <c r="R3052" s="1" t="s">
        <v>1839</v>
      </c>
      <c r="S3052">
        <v>3257</v>
      </c>
      <c r="T3052">
        <v>146565</v>
      </c>
    </row>
    <row r="3053" spans="1:20" hidden="1" x14ac:dyDescent="0.4">
      <c r="A3053" s="1" t="s">
        <v>1144</v>
      </c>
      <c r="B3053" s="1" t="s">
        <v>1457</v>
      </c>
      <c r="C3053" s="1" t="s">
        <v>1844</v>
      </c>
      <c r="D3053" s="1" t="s">
        <v>1462</v>
      </c>
      <c r="E3053">
        <v>20251216</v>
      </c>
      <c r="F3053" s="1" t="s">
        <v>1470</v>
      </c>
      <c r="G3053">
        <v>4</v>
      </c>
      <c r="H3053" s="1" t="s">
        <v>1503</v>
      </c>
      <c r="I3053" t="s">
        <v>1883</v>
      </c>
      <c r="J3053" s="1" t="s">
        <v>1456</v>
      </c>
      <c r="K3053" s="1" t="s">
        <v>1600</v>
      </c>
      <c r="L3053" s="1" t="s">
        <v>1729</v>
      </c>
      <c r="M3053" s="1" t="s">
        <v>1737</v>
      </c>
      <c r="N3053" t="s">
        <v>1975</v>
      </c>
      <c r="O3053" t="s">
        <v>2666</v>
      </c>
      <c r="P3053" t="s">
        <v>3530</v>
      </c>
      <c r="Q3053">
        <v>45</v>
      </c>
      <c r="R3053" s="1" t="s">
        <v>1839</v>
      </c>
      <c r="S3053">
        <v>3257</v>
      </c>
      <c r="T3053">
        <v>146565</v>
      </c>
    </row>
    <row r="3054" spans="1:20" hidden="1" x14ac:dyDescent="0.4">
      <c r="A3054" s="1" t="s">
        <v>1144</v>
      </c>
      <c r="B3054" s="1" t="s">
        <v>1458</v>
      </c>
      <c r="C3054" s="1" t="s">
        <v>1844</v>
      </c>
      <c r="D3054" s="1" t="s">
        <v>1462</v>
      </c>
      <c r="E3054">
        <v>20251216</v>
      </c>
      <c r="F3054" s="1" t="s">
        <v>1470</v>
      </c>
      <c r="G3054">
        <v>4</v>
      </c>
      <c r="H3054" s="1" t="s">
        <v>1503</v>
      </c>
      <c r="I3054" t="s">
        <v>1883</v>
      </c>
      <c r="J3054" s="1" t="s">
        <v>1456</v>
      </c>
      <c r="K3054" s="1" t="s">
        <v>1600</v>
      </c>
      <c r="L3054" s="1" t="s">
        <v>1729</v>
      </c>
      <c r="M3054" s="1" t="s">
        <v>1737</v>
      </c>
      <c r="N3054" t="s">
        <v>1975</v>
      </c>
      <c r="O3054" t="s">
        <v>2667</v>
      </c>
      <c r="P3054" t="s">
        <v>3530</v>
      </c>
      <c r="Q3054">
        <v>27</v>
      </c>
      <c r="R3054" s="1" t="s">
        <v>1839</v>
      </c>
      <c r="S3054">
        <v>3257</v>
      </c>
      <c r="T3054">
        <v>87939</v>
      </c>
    </row>
    <row r="3055" spans="1:20" hidden="1" x14ac:dyDescent="0.4">
      <c r="A3055" s="1" t="s">
        <v>1144</v>
      </c>
      <c r="B3055" s="1" t="s">
        <v>1459</v>
      </c>
      <c r="C3055" s="1" t="s">
        <v>1844</v>
      </c>
      <c r="D3055" s="1" t="s">
        <v>1462</v>
      </c>
      <c r="E3055">
        <v>20251216</v>
      </c>
      <c r="F3055" s="1" t="s">
        <v>1470</v>
      </c>
      <c r="G3055">
        <v>4</v>
      </c>
      <c r="H3055" s="1" t="s">
        <v>1503</v>
      </c>
      <c r="I3055" t="s">
        <v>1883</v>
      </c>
      <c r="J3055" s="1" t="s">
        <v>1456</v>
      </c>
      <c r="K3055" s="1" t="s">
        <v>1600</v>
      </c>
      <c r="L3055" s="1" t="s">
        <v>1729</v>
      </c>
      <c r="M3055" s="1" t="s">
        <v>1737</v>
      </c>
      <c r="N3055" t="s">
        <v>1975</v>
      </c>
      <c r="O3055" t="s">
        <v>2668</v>
      </c>
      <c r="P3055" t="s">
        <v>3530</v>
      </c>
      <c r="Q3055">
        <v>45</v>
      </c>
      <c r="R3055" s="1" t="s">
        <v>1839</v>
      </c>
      <c r="S3055">
        <v>3257</v>
      </c>
      <c r="T3055">
        <v>146565</v>
      </c>
    </row>
    <row r="3056" spans="1:20" hidden="1" x14ac:dyDescent="0.4">
      <c r="A3056" s="1" t="s">
        <v>1144</v>
      </c>
      <c r="B3056" s="1" t="s">
        <v>1460</v>
      </c>
      <c r="C3056" s="1" t="s">
        <v>1844</v>
      </c>
      <c r="D3056" s="1" t="s">
        <v>1462</v>
      </c>
      <c r="E3056">
        <v>20251216</v>
      </c>
      <c r="F3056" s="1" t="s">
        <v>1470</v>
      </c>
      <c r="G3056">
        <v>4</v>
      </c>
      <c r="H3056" s="1" t="s">
        <v>1503</v>
      </c>
      <c r="I3056" t="s">
        <v>1883</v>
      </c>
      <c r="J3056" s="1" t="s">
        <v>1456</v>
      </c>
      <c r="K3056" s="1" t="s">
        <v>1600</v>
      </c>
      <c r="L3056" s="1" t="s">
        <v>1729</v>
      </c>
      <c r="M3056" s="1" t="s">
        <v>1737</v>
      </c>
      <c r="N3056" t="s">
        <v>1975</v>
      </c>
      <c r="O3056" t="s">
        <v>2669</v>
      </c>
      <c r="P3056" t="s">
        <v>3530</v>
      </c>
      <c r="Q3056">
        <v>45</v>
      </c>
      <c r="R3056" s="1" t="s">
        <v>1839</v>
      </c>
      <c r="S3056">
        <v>3257</v>
      </c>
      <c r="T3056">
        <v>146565</v>
      </c>
    </row>
    <row r="3057" spans="1:20" hidden="1" x14ac:dyDescent="0.4">
      <c r="A3057" s="1" t="s">
        <v>1144</v>
      </c>
      <c r="B3057" s="1" t="s">
        <v>1461</v>
      </c>
      <c r="C3057" s="1" t="s">
        <v>1844</v>
      </c>
      <c r="D3057" s="1" t="s">
        <v>1462</v>
      </c>
      <c r="E3057">
        <v>20251216</v>
      </c>
      <c r="F3057" s="1" t="s">
        <v>1470</v>
      </c>
      <c r="G3057">
        <v>4</v>
      </c>
      <c r="H3057" s="1" t="s">
        <v>1503</v>
      </c>
      <c r="I3057" t="s">
        <v>1883</v>
      </c>
      <c r="J3057" s="1" t="s">
        <v>1456</v>
      </c>
      <c r="K3057" s="1" t="s">
        <v>1600</v>
      </c>
      <c r="L3057" s="1" t="s">
        <v>1729</v>
      </c>
      <c r="M3057" s="1" t="s">
        <v>1737</v>
      </c>
      <c r="N3057" t="s">
        <v>1975</v>
      </c>
      <c r="O3057" t="s">
        <v>2670</v>
      </c>
      <c r="P3057" t="s">
        <v>3530</v>
      </c>
      <c r="Q3057">
        <v>45</v>
      </c>
      <c r="R3057" s="1" t="s">
        <v>1839</v>
      </c>
      <c r="S3057">
        <v>3257</v>
      </c>
      <c r="T3057">
        <v>146565</v>
      </c>
    </row>
    <row r="3058" spans="1:20" hidden="1" x14ac:dyDescent="0.4">
      <c r="A3058" s="1" t="s">
        <v>1144</v>
      </c>
      <c r="B3058" s="1" t="s">
        <v>1462</v>
      </c>
      <c r="C3058" s="1" t="s">
        <v>1844</v>
      </c>
      <c r="D3058" s="1" t="s">
        <v>1462</v>
      </c>
      <c r="E3058">
        <v>20251216</v>
      </c>
      <c r="F3058" s="1" t="s">
        <v>1470</v>
      </c>
      <c r="G3058">
        <v>4</v>
      </c>
      <c r="H3058" s="1" t="s">
        <v>1503</v>
      </c>
      <c r="I3058" t="s">
        <v>1883</v>
      </c>
      <c r="J3058" s="1" t="s">
        <v>1456</v>
      </c>
      <c r="K3058" s="1" t="s">
        <v>1600</v>
      </c>
      <c r="L3058" s="1" t="s">
        <v>1729</v>
      </c>
      <c r="M3058" s="1" t="s">
        <v>1737</v>
      </c>
      <c r="N3058" t="s">
        <v>1975</v>
      </c>
      <c r="O3058" t="s">
        <v>2671</v>
      </c>
      <c r="P3058" t="s">
        <v>3530</v>
      </c>
      <c r="Q3058">
        <v>45</v>
      </c>
      <c r="R3058" s="1" t="s">
        <v>1839</v>
      </c>
      <c r="S3058">
        <v>3257</v>
      </c>
      <c r="T3058">
        <v>146565</v>
      </c>
    </row>
    <row r="3059" spans="1:20" hidden="1" x14ac:dyDescent="0.4">
      <c r="A3059" s="1" t="s">
        <v>1144</v>
      </c>
      <c r="B3059" s="1" t="s">
        <v>1463</v>
      </c>
      <c r="C3059" s="1" t="s">
        <v>1844</v>
      </c>
      <c r="D3059" s="1" t="s">
        <v>1462</v>
      </c>
      <c r="E3059">
        <v>20251216</v>
      </c>
      <c r="F3059" s="1" t="s">
        <v>1470</v>
      </c>
      <c r="G3059">
        <v>4</v>
      </c>
      <c r="H3059" s="1" t="s">
        <v>1503</v>
      </c>
      <c r="I3059" t="s">
        <v>1883</v>
      </c>
      <c r="J3059" s="1" t="s">
        <v>1456</v>
      </c>
      <c r="K3059" s="1" t="s">
        <v>1600</v>
      </c>
      <c r="L3059" s="1" t="s">
        <v>1729</v>
      </c>
      <c r="M3059" s="1" t="s">
        <v>1737</v>
      </c>
      <c r="N3059" t="s">
        <v>1975</v>
      </c>
      <c r="O3059" t="s">
        <v>2672</v>
      </c>
      <c r="P3059" t="s">
        <v>3530</v>
      </c>
      <c r="Q3059">
        <v>45</v>
      </c>
      <c r="R3059" s="1" t="s">
        <v>1839</v>
      </c>
      <c r="S3059">
        <v>3257</v>
      </c>
      <c r="T3059">
        <v>146565</v>
      </c>
    </row>
    <row r="3060" spans="1:20" hidden="1" x14ac:dyDescent="0.4">
      <c r="A3060" s="1" t="s">
        <v>1145</v>
      </c>
      <c r="B3060" s="1" t="s">
        <v>1453</v>
      </c>
      <c r="C3060" s="1" t="s">
        <v>1844</v>
      </c>
      <c r="D3060" s="1" t="s">
        <v>1462</v>
      </c>
      <c r="E3060">
        <v>20251216</v>
      </c>
      <c r="F3060" s="1" t="s">
        <v>1470</v>
      </c>
      <c r="G3060">
        <v>4</v>
      </c>
      <c r="H3060" s="1" t="s">
        <v>1503</v>
      </c>
      <c r="I3060" t="s">
        <v>1883</v>
      </c>
      <c r="J3060" s="1" t="s">
        <v>1456</v>
      </c>
      <c r="K3060" s="1" t="s">
        <v>1600</v>
      </c>
      <c r="L3060" s="1" t="s">
        <v>1729</v>
      </c>
      <c r="M3060" s="1" t="s">
        <v>1737</v>
      </c>
      <c r="N3060" t="s">
        <v>1975</v>
      </c>
      <c r="O3060" t="s">
        <v>2673</v>
      </c>
      <c r="P3060" t="s">
        <v>3530</v>
      </c>
      <c r="Q3060">
        <v>45</v>
      </c>
      <c r="R3060" s="1" t="s">
        <v>1839</v>
      </c>
      <c r="S3060">
        <v>3257</v>
      </c>
      <c r="T3060">
        <v>146565</v>
      </c>
    </row>
    <row r="3061" spans="1:20" hidden="1" x14ac:dyDescent="0.4">
      <c r="A3061" s="1" t="s">
        <v>1145</v>
      </c>
      <c r="B3061" s="1" t="s">
        <v>1454</v>
      </c>
      <c r="C3061" s="1" t="s">
        <v>1844</v>
      </c>
      <c r="D3061" s="1" t="s">
        <v>1462</v>
      </c>
      <c r="E3061">
        <v>20251216</v>
      </c>
      <c r="F3061" s="1" t="s">
        <v>1470</v>
      </c>
      <c r="G3061">
        <v>4</v>
      </c>
      <c r="H3061" s="1" t="s">
        <v>1503</v>
      </c>
      <c r="I3061" t="s">
        <v>1883</v>
      </c>
      <c r="J3061" s="1" t="s">
        <v>1456</v>
      </c>
      <c r="K3061" s="1" t="s">
        <v>1600</v>
      </c>
      <c r="L3061" s="1" t="s">
        <v>1729</v>
      </c>
      <c r="M3061" s="1" t="s">
        <v>1737</v>
      </c>
      <c r="N3061" t="s">
        <v>1975</v>
      </c>
      <c r="O3061" t="s">
        <v>2674</v>
      </c>
      <c r="P3061" t="s">
        <v>3530</v>
      </c>
      <c r="Q3061">
        <v>45</v>
      </c>
      <c r="R3061" s="1" t="s">
        <v>1839</v>
      </c>
      <c r="S3061">
        <v>3257</v>
      </c>
      <c r="T3061">
        <v>146565</v>
      </c>
    </row>
    <row r="3062" spans="1:20" hidden="1" x14ac:dyDescent="0.4">
      <c r="A3062" s="1" t="s">
        <v>1146</v>
      </c>
      <c r="B3062" s="1" t="s">
        <v>1453</v>
      </c>
      <c r="C3062" s="1" t="s">
        <v>1844</v>
      </c>
      <c r="D3062" s="1" t="s">
        <v>1731</v>
      </c>
      <c r="E3062">
        <v>20251216</v>
      </c>
      <c r="F3062" s="1" t="s">
        <v>1473</v>
      </c>
      <c r="G3062">
        <v>1</v>
      </c>
      <c r="H3062" s="1" t="s">
        <v>1494</v>
      </c>
      <c r="I3062" t="s">
        <v>1874</v>
      </c>
      <c r="J3062" s="1" t="s">
        <v>1453</v>
      </c>
      <c r="K3062" s="1" t="s">
        <v>1615</v>
      </c>
      <c r="L3062" s="1" t="s">
        <v>1716</v>
      </c>
      <c r="M3062" s="1" t="s">
        <v>1773</v>
      </c>
      <c r="N3062" t="s">
        <v>1989</v>
      </c>
      <c r="O3062" t="s">
        <v>2162</v>
      </c>
      <c r="P3062" t="s">
        <v>3099</v>
      </c>
      <c r="Q3062">
        <v>1772.6</v>
      </c>
      <c r="R3062" s="1" t="s">
        <v>1463</v>
      </c>
      <c r="S3062">
        <v>1720</v>
      </c>
      <c r="T3062">
        <v>3048872</v>
      </c>
    </row>
    <row r="3063" spans="1:20" hidden="1" x14ac:dyDescent="0.4">
      <c r="A3063" s="1" t="s">
        <v>1147</v>
      </c>
      <c r="B3063" s="1" t="s">
        <v>1453</v>
      </c>
      <c r="C3063" s="1" t="s">
        <v>1844</v>
      </c>
      <c r="D3063" s="1" t="s">
        <v>1731</v>
      </c>
      <c r="E3063">
        <v>20251215</v>
      </c>
      <c r="F3063" s="1" t="s">
        <v>1470</v>
      </c>
      <c r="G3063">
        <v>1</v>
      </c>
      <c r="H3063" s="1" t="s">
        <v>1490</v>
      </c>
      <c r="I3063" t="s">
        <v>1870</v>
      </c>
      <c r="J3063" s="1" t="s">
        <v>1459</v>
      </c>
      <c r="K3063" s="1" t="s">
        <v>1581</v>
      </c>
      <c r="L3063" s="1" t="s">
        <v>1717</v>
      </c>
      <c r="M3063" s="1" t="s">
        <v>1737</v>
      </c>
      <c r="N3063" t="s">
        <v>1956</v>
      </c>
      <c r="O3063" t="s">
        <v>2163</v>
      </c>
      <c r="P3063" t="s">
        <v>2157</v>
      </c>
      <c r="Q3063">
        <v>2000</v>
      </c>
      <c r="R3063" s="1" t="s">
        <v>1463</v>
      </c>
      <c r="S3063">
        <v>280</v>
      </c>
      <c r="T3063">
        <v>560000</v>
      </c>
    </row>
    <row r="3064" spans="1:20" hidden="1" x14ac:dyDescent="0.4">
      <c r="A3064" s="1" t="s">
        <v>1148</v>
      </c>
      <c r="B3064" s="1" t="s">
        <v>1453</v>
      </c>
      <c r="C3064" s="1" t="s">
        <v>1844</v>
      </c>
      <c r="D3064" s="1" t="s">
        <v>1462</v>
      </c>
      <c r="E3064">
        <v>20251216</v>
      </c>
      <c r="F3064" s="1" t="s">
        <v>1471</v>
      </c>
      <c r="G3064">
        <v>4</v>
      </c>
      <c r="H3064" s="1" t="s">
        <v>1516</v>
      </c>
      <c r="I3064" t="s">
        <v>1896</v>
      </c>
      <c r="J3064" s="1" t="s">
        <v>1460</v>
      </c>
      <c r="K3064" s="1" t="s">
        <v>1641</v>
      </c>
      <c r="L3064" s="1" t="s">
        <v>1730</v>
      </c>
      <c r="M3064" s="1" t="s">
        <v>1762</v>
      </c>
      <c r="N3064" t="s">
        <v>2102</v>
      </c>
      <c r="O3064" t="s">
        <v>2175</v>
      </c>
      <c r="P3064" t="s">
        <v>3191</v>
      </c>
      <c r="Q3064">
        <v>114</v>
      </c>
      <c r="R3064" s="1" t="s">
        <v>1718</v>
      </c>
      <c r="S3064">
        <v>3500</v>
      </c>
      <c r="T3064">
        <v>399000</v>
      </c>
    </row>
    <row r="3065" spans="1:20" hidden="1" x14ac:dyDescent="0.4">
      <c r="A3065" s="1" t="s">
        <v>1148</v>
      </c>
      <c r="B3065" s="1" t="s">
        <v>1454</v>
      </c>
      <c r="C3065" s="1" t="s">
        <v>1844</v>
      </c>
      <c r="D3065" s="1" t="s">
        <v>1462</v>
      </c>
      <c r="E3065">
        <v>20251216</v>
      </c>
      <c r="F3065" s="1" t="s">
        <v>1471</v>
      </c>
      <c r="G3065">
        <v>4</v>
      </c>
      <c r="H3065" s="1" t="s">
        <v>1516</v>
      </c>
      <c r="I3065" t="s">
        <v>1896</v>
      </c>
      <c r="J3065" s="1" t="s">
        <v>1460</v>
      </c>
      <c r="K3065" s="1" t="s">
        <v>1642</v>
      </c>
      <c r="L3065" s="1" t="s">
        <v>1725</v>
      </c>
      <c r="M3065" s="1" t="s">
        <v>1737</v>
      </c>
      <c r="N3065" t="s">
        <v>2023</v>
      </c>
      <c r="O3065" t="s">
        <v>2157</v>
      </c>
      <c r="P3065" t="s">
        <v>2157</v>
      </c>
      <c r="Q3065">
        <v>6</v>
      </c>
      <c r="R3065" s="1" t="s">
        <v>1841</v>
      </c>
      <c r="S3065">
        <v>1000</v>
      </c>
      <c r="T3065">
        <v>6000</v>
      </c>
    </row>
    <row r="3066" spans="1:20" hidden="1" x14ac:dyDescent="0.4">
      <c r="A3066" s="1" t="s">
        <v>1149</v>
      </c>
      <c r="B3066" s="1" t="s">
        <v>1453</v>
      </c>
      <c r="C3066" s="1" t="s">
        <v>1844</v>
      </c>
      <c r="D3066" s="1" t="s">
        <v>1467</v>
      </c>
      <c r="E3066">
        <v>20251217</v>
      </c>
      <c r="F3066" s="1" t="s">
        <v>1470</v>
      </c>
      <c r="G3066">
        <v>4</v>
      </c>
      <c r="H3066" s="1" t="s">
        <v>1503</v>
      </c>
      <c r="I3066" t="s">
        <v>1883</v>
      </c>
      <c r="J3066" s="1" t="s">
        <v>1456</v>
      </c>
      <c r="K3066" s="1" t="s">
        <v>1570</v>
      </c>
      <c r="L3066" s="1" t="s">
        <v>1729</v>
      </c>
      <c r="M3066" s="1" t="s">
        <v>1742</v>
      </c>
      <c r="N3066" t="s">
        <v>1943</v>
      </c>
      <c r="O3066" t="s">
        <v>2157</v>
      </c>
      <c r="P3066" t="s">
        <v>3245</v>
      </c>
      <c r="Q3066">
        <v>2</v>
      </c>
      <c r="R3066" s="1" t="s">
        <v>1718</v>
      </c>
      <c r="S3066">
        <v>12696</v>
      </c>
      <c r="T3066">
        <v>25392</v>
      </c>
    </row>
    <row r="3067" spans="1:20" hidden="1" x14ac:dyDescent="0.4">
      <c r="A3067" s="1" t="s">
        <v>1150</v>
      </c>
      <c r="B3067" s="1" t="s">
        <v>1453</v>
      </c>
      <c r="C3067" s="1" t="s">
        <v>1844</v>
      </c>
      <c r="D3067" s="1" t="s">
        <v>1462</v>
      </c>
      <c r="E3067">
        <v>20251217</v>
      </c>
      <c r="F3067" s="1" t="s">
        <v>1470</v>
      </c>
      <c r="G3067">
        <v>4</v>
      </c>
      <c r="H3067" s="1" t="s">
        <v>1511</v>
      </c>
      <c r="I3067" t="s">
        <v>1891</v>
      </c>
      <c r="J3067" s="1" t="s">
        <v>1456</v>
      </c>
      <c r="K3067" s="1" t="s">
        <v>1555</v>
      </c>
      <c r="L3067" s="1" t="s">
        <v>1729</v>
      </c>
      <c r="M3067" s="1" t="s">
        <v>1736</v>
      </c>
      <c r="N3067" t="s">
        <v>2088</v>
      </c>
      <c r="O3067" t="s">
        <v>2675</v>
      </c>
      <c r="P3067" t="s">
        <v>3213</v>
      </c>
      <c r="Q3067">
        <v>1</v>
      </c>
      <c r="R3067" s="1" t="s">
        <v>1718</v>
      </c>
      <c r="S3067">
        <v>13217</v>
      </c>
      <c r="T3067">
        <v>13217</v>
      </c>
    </row>
    <row r="3068" spans="1:20" hidden="1" x14ac:dyDescent="0.4">
      <c r="A3068" s="1" t="s">
        <v>1150</v>
      </c>
      <c r="B3068" s="1" t="s">
        <v>1454</v>
      </c>
      <c r="C3068" s="1" t="s">
        <v>1844</v>
      </c>
      <c r="D3068" s="1" t="s">
        <v>1462</v>
      </c>
      <c r="E3068">
        <v>20251217</v>
      </c>
      <c r="F3068" s="1" t="s">
        <v>1470</v>
      </c>
      <c r="G3068">
        <v>4</v>
      </c>
      <c r="H3068" s="1" t="s">
        <v>1511</v>
      </c>
      <c r="I3068" t="s">
        <v>1891</v>
      </c>
      <c r="J3068" s="1" t="s">
        <v>1456</v>
      </c>
      <c r="K3068" s="1" t="s">
        <v>1555</v>
      </c>
      <c r="L3068" s="1" t="s">
        <v>1729</v>
      </c>
      <c r="M3068" s="1" t="s">
        <v>1736</v>
      </c>
      <c r="N3068" t="s">
        <v>2088</v>
      </c>
      <c r="O3068" t="s">
        <v>2675</v>
      </c>
      <c r="P3068" t="s">
        <v>3303</v>
      </c>
      <c r="Q3068">
        <v>1</v>
      </c>
      <c r="R3068" s="1" t="s">
        <v>1718</v>
      </c>
      <c r="S3068">
        <v>13217</v>
      </c>
      <c r="T3068">
        <v>13217</v>
      </c>
    </row>
    <row r="3069" spans="1:20" hidden="1" x14ac:dyDescent="0.4">
      <c r="A3069" s="1" t="s">
        <v>1151</v>
      </c>
      <c r="B3069" s="1" t="s">
        <v>1453</v>
      </c>
      <c r="C3069" s="1" t="s">
        <v>1844</v>
      </c>
      <c r="D3069" s="1" t="s">
        <v>1462</v>
      </c>
      <c r="E3069">
        <v>20251217</v>
      </c>
      <c r="F3069" s="1" t="s">
        <v>1470</v>
      </c>
      <c r="G3069">
        <v>4</v>
      </c>
      <c r="H3069" s="1" t="s">
        <v>1503</v>
      </c>
      <c r="I3069" t="s">
        <v>1883</v>
      </c>
      <c r="J3069" s="1" t="s">
        <v>1456</v>
      </c>
      <c r="K3069" s="1" t="s">
        <v>1554</v>
      </c>
      <c r="L3069" s="1" t="s">
        <v>1729</v>
      </c>
      <c r="M3069" s="1" t="s">
        <v>1737</v>
      </c>
      <c r="N3069" t="s">
        <v>2118</v>
      </c>
      <c r="O3069" t="s">
        <v>2676</v>
      </c>
      <c r="P3069">
        <v>82291</v>
      </c>
      <c r="Q3069">
        <v>2</v>
      </c>
      <c r="R3069" s="1" t="s">
        <v>1718</v>
      </c>
      <c r="S3069">
        <v>9350</v>
      </c>
      <c r="T3069">
        <v>18700</v>
      </c>
    </row>
    <row r="3070" spans="1:20" hidden="1" x14ac:dyDescent="0.4">
      <c r="A3070" s="1" t="s">
        <v>1152</v>
      </c>
      <c r="B3070" s="1" t="s">
        <v>1453</v>
      </c>
      <c r="C3070" s="1" t="s">
        <v>1844</v>
      </c>
      <c r="D3070" s="1" t="s">
        <v>1462</v>
      </c>
      <c r="E3070">
        <v>20251217</v>
      </c>
      <c r="F3070" s="1" t="s">
        <v>1470</v>
      </c>
      <c r="G3070">
        <v>4</v>
      </c>
      <c r="H3070" s="1" t="s">
        <v>1503</v>
      </c>
      <c r="I3070" t="s">
        <v>1883</v>
      </c>
      <c r="J3070" s="1" t="s">
        <v>1456</v>
      </c>
      <c r="K3070" s="1" t="s">
        <v>1553</v>
      </c>
      <c r="L3070" s="1" t="s">
        <v>1729</v>
      </c>
      <c r="M3070" s="1" t="s">
        <v>1736</v>
      </c>
      <c r="N3070" t="s">
        <v>2108</v>
      </c>
      <c r="O3070" t="s">
        <v>2677</v>
      </c>
      <c r="P3070" t="s">
        <v>3531</v>
      </c>
      <c r="Q3070">
        <v>2</v>
      </c>
      <c r="R3070" s="1" t="s">
        <v>1718</v>
      </c>
      <c r="S3070">
        <v>1950</v>
      </c>
      <c r="T3070">
        <v>3900</v>
      </c>
    </row>
    <row r="3071" spans="1:20" hidden="1" x14ac:dyDescent="0.4">
      <c r="A3071" s="1" t="s">
        <v>1153</v>
      </c>
      <c r="B3071" s="1" t="s">
        <v>1453</v>
      </c>
      <c r="C3071" s="1" t="s">
        <v>1844</v>
      </c>
      <c r="D3071" s="1" t="s">
        <v>1462</v>
      </c>
      <c r="E3071">
        <v>20251217</v>
      </c>
      <c r="F3071" s="1" t="s">
        <v>1470</v>
      </c>
      <c r="G3071">
        <v>4</v>
      </c>
      <c r="H3071" s="1" t="s">
        <v>1503</v>
      </c>
      <c r="I3071" t="s">
        <v>1883</v>
      </c>
      <c r="J3071" s="1" t="s">
        <v>1456</v>
      </c>
      <c r="K3071" s="1" t="s">
        <v>1554</v>
      </c>
      <c r="L3071" s="1" t="s">
        <v>1729</v>
      </c>
      <c r="M3071" s="1" t="s">
        <v>1737</v>
      </c>
      <c r="N3071" t="s">
        <v>2090</v>
      </c>
      <c r="O3071" t="s">
        <v>2678</v>
      </c>
      <c r="P3071">
        <v>82297</v>
      </c>
      <c r="Q3071">
        <v>2</v>
      </c>
      <c r="R3071" s="1" t="s">
        <v>1718</v>
      </c>
      <c r="S3071">
        <v>18640</v>
      </c>
      <c r="T3071">
        <v>37280</v>
      </c>
    </row>
    <row r="3072" spans="1:20" hidden="1" x14ac:dyDescent="0.4">
      <c r="A3072" s="1" t="s">
        <v>1154</v>
      </c>
      <c r="B3072" s="1" t="s">
        <v>1453</v>
      </c>
      <c r="C3072" s="1" t="s">
        <v>1844</v>
      </c>
      <c r="D3072" s="1" t="s">
        <v>1462</v>
      </c>
      <c r="E3072">
        <v>20251217</v>
      </c>
      <c r="F3072" s="1" t="s">
        <v>1470</v>
      </c>
      <c r="G3072">
        <v>4</v>
      </c>
      <c r="H3072" s="1" t="s">
        <v>1503</v>
      </c>
      <c r="I3072" t="s">
        <v>1883</v>
      </c>
      <c r="J3072" s="1" t="s">
        <v>1456</v>
      </c>
      <c r="K3072" s="1" t="s">
        <v>1554</v>
      </c>
      <c r="L3072" s="1" t="s">
        <v>1729</v>
      </c>
      <c r="M3072" s="1" t="s">
        <v>1737</v>
      </c>
      <c r="N3072" t="s">
        <v>2118</v>
      </c>
      <c r="O3072" t="s">
        <v>2679</v>
      </c>
      <c r="P3072">
        <v>82251</v>
      </c>
      <c r="Q3072">
        <v>2</v>
      </c>
      <c r="R3072" s="1" t="s">
        <v>1718</v>
      </c>
      <c r="S3072">
        <v>9350</v>
      </c>
      <c r="T3072">
        <v>18700</v>
      </c>
    </row>
    <row r="3073" spans="1:20" hidden="1" x14ac:dyDescent="0.4">
      <c r="A3073" s="1" t="s">
        <v>1155</v>
      </c>
      <c r="B3073" s="1" t="s">
        <v>1453</v>
      </c>
      <c r="C3073" s="1" t="s">
        <v>1844</v>
      </c>
      <c r="D3073" s="1" t="s">
        <v>1462</v>
      </c>
      <c r="E3073">
        <v>20251217</v>
      </c>
      <c r="F3073" s="1" t="s">
        <v>1470</v>
      </c>
      <c r="G3073">
        <v>4</v>
      </c>
      <c r="H3073" s="1" t="s">
        <v>1503</v>
      </c>
      <c r="I3073" t="s">
        <v>1883</v>
      </c>
      <c r="J3073" s="1" t="s">
        <v>1456</v>
      </c>
      <c r="K3073" s="1" t="s">
        <v>1554</v>
      </c>
      <c r="L3073" s="1" t="s">
        <v>1729</v>
      </c>
      <c r="M3073" s="1" t="s">
        <v>1737</v>
      </c>
      <c r="N3073" t="s">
        <v>2113</v>
      </c>
      <c r="O3073" t="s">
        <v>2680</v>
      </c>
      <c r="P3073">
        <v>82281</v>
      </c>
      <c r="Q3073">
        <v>2</v>
      </c>
      <c r="R3073" s="1" t="s">
        <v>1718</v>
      </c>
      <c r="S3073">
        <v>37180</v>
      </c>
      <c r="T3073">
        <v>74360</v>
      </c>
    </row>
    <row r="3074" spans="1:20" hidden="1" x14ac:dyDescent="0.4">
      <c r="A3074" s="1" t="s">
        <v>1156</v>
      </c>
      <c r="B3074" s="1" t="s">
        <v>1453</v>
      </c>
      <c r="C3074" s="1" t="s">
        <v>1844</v>
      </c>
      <c r="D3074" s="1" t="s">
        <v>1462</v>
      </c>
      <c r="E3074">
        <v>20251217</v>
      </c>
      <c r="F3074" s="1" t="s">
        <v>1470</v>
      </c>
      <c r="G3074">
        <v>4</v>
      </c>
      <c r="H3074" s="1" t="s">
        <v>1503</v>
      </c>
      <c r="I3074" t="s">
        <v>1883</v>
      </c>
      <c r="J3074" s="1" t="s">
        <v>1456</v>
      </c>
      <c r="K3074" s="1" t="s">
        <v>1553</v>
      </c>
      <c r="L3074" s="1" t="s">
        <v>1729</v>
      </c>
      <c r="M3074" s="1" t="s">
        <v>1736</v>
      </c>
      <c r="N3074" t="s">
        <v>2140</v>
      </c>
      <c r="O3074" t="s">
        <v>2681</v>
      </c>
      <c r="P3074" t="s">
        <v>3532</v>
      </c>
      <c r="Q3074">
        <v>1</v>
      </c>
      <c r="R3074" s="1" t="s">
        <v>1718</v>
      </c>
      <c r="S3074">
        <v>6940</v>
      </c>
      <c r="T3074">
        <v>6940</v>
      </c>
    </row>
    <row r="3075" spans="1:20" hidden="1" x14ac:dyDescent="0.4">
      <c r="A3075" s="1" t="s">
        <v>1156</v>
      </c>
      <c r="B3075" s="1" t="s">
        <v>1454</v>
      </c>
      <c r="C3075" s="1" t="s">
        <v>1844</v>
      </c>
      <c r="D3075" s="1" t="s">
        <v>1462</v>
      </c>
      <c r="E3075">
        <v>20251217</v>
      </c>
      <c r="F3075" s="1" t="s">
        <v>1470</v>
      </c>
      <c r="G3075">
        <v>4</v>
      </c>
      <c r="H3075" s="1" t="s">
        <v>1503</v>
      </c>
      <c r="I3075" t="s">
        <v>1883</v>
      </c>
      <c r="J3075" s="1" t="s">
        <v>1456</v>
      </c>
      <c r="K3075" s="1" t="s">
        <v>1553</v>
      </c>
      <c r="L3075" s="1" t="s">
        <v>1729</v>
      </c>
      <c r="M3075" s="1" t="s">
        <v>1736</v>
      </c>
      <c r="N3075" t="s">
        <v>2140</v>
      </c>
      <c r="O3075" t="s">
        <v>2682</v>
      </c>
      <c r="P3075" t="s">
        <v>3533</v>
      </c>
      <c r="Q3075">
        <v>1</v>
      </c>
      <c r="R3075" s="1" t="s">
        <v>1718</v>
      </c>
      <c r="S3075">
        <v>6940</v>
      </c>
      <c r="T3075">
        <v>6940</v>
      </c>
    </row>
    <row r="3076" spans="1:20" hidden="1" x14ac:dyDescent="0.4">
      <c r="A3076" s="1" t="s">
        <v>1157</v>
      </c>
      <c r="B3076" s="1" t="s">
        <v>1453</v>
      </c>
      <c r="C3076" s="1" t="s">
        <v>1844</v>
      </c>
      <c r="D3076" s="1" t="s">
        <v>1462</v>
      </c>
      <c r="E3076">
        <v>20251217</v>
      </c>
      <c r="F3076" s="1" t="s">
        <v>1470</v>
      </c>
      <c r="G3076">
        <v>4</v>
      </c>
      <c r="H3076" s="1" t="s">
        <v>1503</v>
      </c>
      <c r="I3076" t="s">
        <v>1883</v>
      </c>
      <c r="J3076" s="1" t="s">
        <v>1456</v>
      </c>
      <c r="K3076" s="1" t="s">
        <v>1554</v>
      </c>
      <c r="L3076" s="1" t="s">
        <v>1729</v>
      </c>
      <c r="M3076" s="1" t="s">
        <v>1737</v>
      </c>
      <c r="N3076" t="s">
        <v>2092</v>
      </c>
      <c r="O3076" t="s">
        <v>2683</v>
      </c>
      <c r="P3076">
        <v>82259</v>
      </c>
      <c r="Q3076">
        <v>2</v>
      </c>
      <c r="R3076" s="1" t="s">
        <v>1718</v>
      </c>
      <c r="S3076">
        <v>14950</v>
      </c>
      <c r="T3076">
        <v>29900</v>
      </c>
    </row>
    <row r="3077" spans="1:20" hidden="1" x14ac:dyDescent="0.4">
      <c r="A3077" s="1" t="s">
        <v>1158</v>
      </c>
      <c r="B3077" s="1" t="s">
        <v>1453</v>
      </c>
      <c r="C3077" s="1" t="s">
        <v>1844</v>
      </c>
      <c r="D3077" s="1" t="s">
        <v>1462</v>
      </c>
      <c r="E3077">
        <v>20251217</v>
      </c>
      <c r="F3077" s="1" t="s">
        <v>1470</v>
      </c>
      <c r="G3077">
        <v>4</v>
      </c>
      <c r="H3077" s="1" t="s">
        <v>1503</v>
      </c>
      <c r="I3077" t="s">
        <v>1883</v>
      </c>
      <c r="J3077" s="1" t="s">
        <v>1456</v>
      </c>
      <c r="K3077" s="1" t="s">
        <v>1554</v>
      </c>
      <c r="L3077" s="1" t="s">
        <v>1729</v>
      </c>
      <c r="M3077" s="1" t="s">
        <v>1737</v>
      </c>
      <c r="N3077" t="s">
        <v>2109</v>
      </c>
      <c r="O3077" t="s">
        <v>2684</v>
      </c>
      <c r="P3077">
        <v>82287</v>
      </c>
      <c r="Q3077">
        <v>2</v>
      </c>
      <c r="R3077" s="1" t="s">
        <v>1718</v>
      </c>
      <c r="S3077">
        <v>100050</v>
      </c>
      <c r="T3077">
        <v>200100</v>
      </c>
    </row>
    <row r="3078" spans="1:20" hidden="1" x14ac:dyDescent="0.4">
      <c r="A3078" s="1" t="s">
        <v>1158</v>
      </c>
      <c r="B3078" s="1" t="s">
        <v>1454</v>
      </c>
      <c r="C3078" s="1" t="s">
        <v>1844</v>
      </c>
      <c r="D3078" s="1" t="s">
        <v>1462</v>
      </c>
      <c r="E3078">
        <v>20251217</v>
      </c>
      <c r="F3078" s="1" t="s">
        <v>1470</v>
      </c>
      <c r="G3078">
        <v>4</v>
      </c>
      <c r="H3078" s="1" t="s">
        <v>1503</v>
      </c>
      <c r="I3078" t="s">
        <v>1883</v>
      </c>
      <c r="J3078" s="1" t="s">
        <v>1456</v>
      </c>
      <c r="K3078" s="1" t="s">
        <v>1554</v>
      </c>
      <c r="L3078" s="1" t="s">
        <v>1729</v>
      </c>
      <c r="M3078" s="1" t="s">
        <v>1737</v>
      </c>
      <c r="N3078" t="s">
        <v>2091</v>
      </c>
      <c r="O3078" t="s">
        <v>2685</v>
      </c>
      <c r="P3078">
        <v>82288</v>
      </c>
      <c r="Q3078">
        <v>2</v>
      </c>
      <c r="R3078" s="1" t="s">
        <v>1718</v>
      </c>
      <c r="S3078">
        <v>39640</v>
      </c>
      <c r="T3078">
        <v>79280</v>
      </c>
    </row>
    <row r="3079" spans="1:20" hidden="1" x14ac:dyDescent="0.4">
      <c r="A3079" s="1" t="s">
        <v>1159</v>
      </c>
      <c r="B3079" s="1" t="s">
        <v>1453</v>
      </c>
      <c r="C3079" s="1" t="s">
        <v>1844</v>
      </c>
      <c r="D3079" s="1" t="s">
        <v>1462</v>
      </c>
      <c r="E3079">
        <v>20251217</v>
      </c>
      <c r="F3079" s="1" t="s">
        <v>1470</v>
      </c>
      <c r="G3079">
        <v>4</v>
      </c>
      <c r="H3079" s="1" t="s">
        <v>1503</v>
      </c>
      <c r="I3079" t="s">
        <v>1883</v>
      </c>
      <c r="J3079" s="1" t="s">
        <v>1456</v>
      </c>
      <c r="K3079" s="1" t="s">
        <v>1553</v>
      </c>
      <c r="L3079" s="1" t="s">
        <v>1729</v>
      </c>
      <c r="M3079" s="1" t="s">
        <v>1736</v>
      </c>
      <c r="N3079" t="s">
        <v>2108</v>
      </c>
      <c r="O3079" t="s">
        <v>2686</v>
      </c>
      <c r="P3079" t="s">
        <v>3534</v>
      </c>
      <c r="Q3079">
        <v>1</v>
      </c>
      <c r="R3079" s="1" t="s">
        <v>1718</v>
      </c>
      <c r="S3079">
        <v>3440</v>
      </c>
      <c r="T3079">
        <v>3440</v>
      </c>
    </row>
    <row r="3080" spans="1:20" hidden="1" x14ac:dyDescent="0.4">
      <c r="A3080" s="1" t="s">
        <v>1160</v>
      </c>
      <c r="B3080" s="1" t="s">
        <v>1453</v>
      </c>
      <c r="C3080" s="1" t="s">
        <v>1844</v>
      </c>
      <c r="D3080" s="1" t="s">
        <v>1462</v>
      </c>
      <c r="E3080">
        <v>20251217</v>
      </c>
      <c r="F3080" s="1" t="s">
        <v>1470</v>
      </c>
      <c r="G3080">
        <v>4</v>
      </c>
      <c r="H3080" s="1" t="s">
        <v>1503</v>
      </c>
      <c r="I3080" t="s">
        <v>1883</v>
      </c>
      <c r="J3080" s="1" t="s">
        <v>1456</v>
      </c>
      <c r="K3080" s="1" t="s">
        <v>1554</v>
      </c>
      <c r="L3080" s="1" t="s">
        <v>1729</v>
      </c>
      <c r="M3080" s="1" t="s">
        <v>1737</v>
      </c>
      <c r="N3080" t="s">
        <v>2109</v>
      </c>
      <c r="O3080" t="s">
        <v>2687</v>
      </c>
      <c r="P3080">
        <v>82289</v>
      </c>
      <c r="Q3080">
        <v>2</v>
      </c>
      <c r="R3080" s="1" t="s">
        <v>1718</v>
      </c>
      <c r="S3080">
        <v>24870</v>
      </c>
      <c r="T3080">
        <v>49740</v>
      </c>
    </row>
    <row r="3081" spans="1:20" hidden="1" x14ac:dyDescent="0.4">
      <c r="A3081" s="1" t="s">
        <v>1161</v>
      </c>
      <c r="B3081" s="1" t="s">
        <v>1453</v>
      </c>
      <c r="C3081" s="1" t="s">
        <v>1844</v>
      </c>
      <c r="D3081" s="1" t="s">
        <v>1462</v>
      </c>
      <c r="E3081">
        <v>20251217</v>
      </c>
      <c r="F3081" s="1" t="s">
        <v>1470</v>
      </c>
      <c r="G3081">
        <v>4</v>
      </c>
      <c r="H3081" s="1" t="s">
        <v>1503</v>
      </c>
      <c r="I3081" t="s">
        <v>1883</v>
      </c>
      <c r="J3081" s="1" t="s">
        <v>1456</v>
      </c>
      <c r="K3081" s="1" t="s">
        <v>1553</v>
      </c>
      <c r="L3081" s="1" t="s">
        <v>1729</v>
      </c>
      <c r="M3081" s="1" t="s">
        <v>1736</v>
      </c>
      <c r="N3081" t="s">
        <v>2140</v>
      </c>
      <c r="O3081" t="s">
        <v>2688</v>
      </c>
      <c r="P3081" t="s">
        <v>3535</v>
      </c>
      <c r="Q3081">
        <v>1</v>
      </c>
      <c r="R3081" s="1" t="s">
        <v>1718</v>
      </c>
      <c r="S3081">
        <v>6940</v>
      </c>
      <c r="T3081">
        <v>6940</v>
      </c>
    </row>
    <row r="3082" spans="1:20" hidden="1" x14ac:dyDescent="0.4">
      <c r="A3082" s="1" t="s">
        <v>1162</v>
      </c>
      <c r="B3082" s="1" t="s">
        <v>1453</v>
      </c>
      <c r="C3082" s="1" t="s">
        <v>1844</v>
      </c>
      <c r="D3082" s="1" t="s">
        <v>1462</v>
      </c>
      <c r="E3082">
        <v>20251217</v>
      </c>
      <c r="F3082" s="1" t="s">
        <v>1470</v>
      </c>
      <c r="G3082">
        <v>4</v>
      </c>
      <c r="H3082" s="1" t="s">
        <v>1503</v>
      </c>
      <c r="I3082" t="s">
        <v>1883</v>
      </c>
      <c r="J3082" s="1" t="s">
        <v>1456</v>
      </c>
      <c r="K3082" s="1" t="s">
        <v>1554</v>
      </c>
      <c r="L3082" s="1" t="s">
        <v>1729</v>
      </c>
      <c r="M3082" s="1" t="s">
        <v>1737</v>
      </c>
      <c r="N3082" t="s">
        <v>2091</v>
      </c>
      <c r="O3082" t="s">
        <v>2689</v>
      </c>
      <c r="P3082">
        <v>82284</v>
      </c>
      <c r="Q3082">
        <v>2</v>
      </c>
      <c r="R3082" s="1" t="s">
        <v>1718</v>
      </c>
      <c r="S3082">
        <v>45370</v>
      </c>
      <c r="T3082">
        <v>90740</v>
      </c>
    </row>
    <row r="3083" spans="1:20" hidden="1" x14ac:dyDescent="0.4">
      <c r="A3083" s="1" t="s">
        <v>1162</v>
      </c>
      <c r="B3083" s="1" t="s">
        <v>1454</v>
      </c>
      <c r="C3083" s="1" t="s">
        <v>1844</v>
      </c>
      <c r="D3083" s="1" t="s">
        <v>1462</v>
      </c>
      <c r="E3083">
        <v>20251217</v>
      </c>
      <c r="F3083" s="1" t="s">
        <v>1470</v>
      </c>
      <c r="G3083">
        <v>4</v>
      </c>
      <c r="H3083" s="1" t="s">
        <v>1503</v>
      </c>
      <c r="I3083" t="s">
        <v>1883</v>
      </c>
      <c r="J3083" s="1" t="s">
        <v>1456</v>
      </c>
      <c r="K3083" s="1" t="s">
        <v>1554</v>
      </c>
      <c r="L3083" s="1" t="s">
        <v>1729</v>
      </c>
      <c r="M3083" s="1" t="s">
        <v>1737</v>
      </c>
      <c r="N3083" t="s">
        <v>2091</v>
      </c>
      <c r="O3083" t="s">
        <v>2690</v>
      </c>
      <c r="P3083">
        <v>82285</v>
      </c>
      <c r="Q3083">
        <v>4</v>
      </c>
      <c r="R3083" s="1" t="s">
        <v>1718</v>
      </c>
      <c r="S3083">
        <v>26790</v>
      </c>
      <c r="T3083">
        <v>107160</v>
      </c>
    </row>
    <row r="3084" spans="1:20" hidden="1" x14ac:dyDescent="0.4">
      <c r="A3084" s="1" t="s">
        <v>1162</v>
      </c>
      <c r="B3084" s="1" t="s">
        <v>1455</v>
      </c>
      <c r="C3084" s="1" t="s">
        <v>1844</v>
      </c>
      <c r="D3084" s="1" t="s">
        <v>1462</v>
      </c>
      <c r="E3084">
        <v>20251217</v>
      </c>
      <c r="F3084" s="1" t="s">
        <v>1470</v>
      </c>
      <c r="G3084">
        <v>4</v>
      </c>
      <c r="H3084" s="1" t="s">
        <v>1503</v>
      </c>
      <c r="I3084" t="s">
        <v>1883</v>
      </c>
      <c r="J3084" s="1" t="s">
        <v>1456</v>
      </c>
      <c r="K3084" s="1" t="s">
        <v>1553</v>
      </c>
      <c r="L3084" s="1" t="s">
        <v>1729</v>
      </c>
      <c r="M3084" s="1" t="s">
        <v>1736</v>
      </c>
      <c r="N3084" t="s">
        <v>2093</v>
      </c>
      <c r="O3084" t="s">
        <v>2691</v>
      </c>
      <c r="P3084" t="s">
        <v>3536</v>
      </c>
      <c r="Q3084">
        <v>2</v>
      </c>
      <c r="R3084" s="1" t="s">
        <v>1718</v>
      </c>
      <c r="S3084">
        <v>14560</v>
      </c>
      <c r="T3084">
        <v>29120</v>
      </c>
    </row>
    <row r="3085" spans="1:20" hidden="1" x14ac:dyDescent="0.4">
      <c r="A3085" s="1" t="s">
        <v>1162</v>
      </c>
      <c r="B3085" s="1" t="s">
        <v>1456</v>
      </c>
      <c r="C3085" s="1" t="s">
        <v>1844</v>
      </c>
      <c r="D3085" s="1" t="s">
        <v>1462</v>
      </c>
      <c r="E3085">
        <v>20251217</v>
      </c>
      <c r="F3085" s="1" t="s">
        <v>1470</v>
      </c>
      <c r="G3085">
        <v>4</v>
      </c>
      <c r="H3085" s="1" t="s">
        <v>1503</v>
      </c>
      <c r="I3085" t="s">
        <v>1883</v>
      </c>
      <c r="J3085" s="1" t="s">
        <v>1456</v>
      </c>
      <c r="K3085" s="1" t="s">
        <v>1553</v>
      </c>
      <c r="L3085" s="1" t="s">
        <v>1729</v>
      </c>
      <c r="M3085" s="1" t="s">
        <v>1736</v>
      </c>
      <c r="N3085" t="s">
        <v>2093</v>
      </c>
      <c r="O3085" t="s">
        <v>2692</v>
      </c>
      <c r="P3085" t="s">
        <v>3537</v>
      </c>
      <c r="Q3085">
        <v>2</v>
      </c>
      <c r="R3085" s="1" t="s">
        <v>1718</v>
      </c>
      <c r="S3085">
        <v>14560</v>
      </c>
      <c r="T3085">
        <v>29120</v>
      </c>
    </row>
    <row r="3086" spans="1:20" hidden="1" x14ac:dyDescent="0.4">
      <c r="A3086" s="1" t="s">
        <v>1162</v>
      </c>
      <c r="B3086" s="1" t="s">
        <v>1457</v>
      </c>
      <c r="C3086" s="1" t="s">
        <v>1844</v>
      </c>
      <c r="D3086" s="1" t="s">
        <v>1462</v>
      </c>
      <c r="E3086">
        <v>20251217</v>
      </c>
      <c r="F3086" s="1" t="s">
        <v>1470</v>
      </c>
      <c r="G3086">
        <v>4</v>
      </c>
      <c r="H3086" s="1" t="s">
        <v>1503</v>
      </c>
      <c r="I3086" t="s">
        <v>1883</v>
      </c>
      <c r="J3086" s="1" t="s">
        <v>1456</v>
      </c>
      <c r="K3086" s="1" t="s">
        <v>1553</v>
      </c>
      <c r="L3086" s="1" t="s">
        <v>1729</v>
      </c>
      <c r="M3086" s="1" t="s">
        <v>1736</v>
      </c>
      <c r="N3086" t="s">
        <v>2093</v>
      </c>
      <c r="O3086" t="s">
        <v>2693</v>
      </c>
      <c r="P3086" t="s">
        <v>3538</v>
      </c>
      <c r="Q3086">
        <v>2</v>
      </c>
      <c r="R3086" s="1" t="s">
        <v>1718</v>
      </c>
      <c r="S3086">
        <v>14490</v>
      </c>
      <c r="T3086">
        <v>28980</v>
      </c>
    </row>
    <row r="3087" spans="1:20" hidden="1" x14ac:dyDescent="0.4">
      <c r="A3087" s="1" t="s">
        <v>1162</v>
      </c>
      <c r="B3087" s="1" t="s">
        <v>1458</v>
      </c>
      <c r="C3087" s="1" t="s">
        <v>1844</v>
      </c>
      <c r="D3087" s="1" t="s">
        <v>1462</v>
      </c>
      <c r="E3087">
        <v>20251217</v>
      </c>
      <c r="F3087" s="1" t="s">
        <v>1470</v>
      </c>
      <c r="G3087">
        <v>4</v>
      </c>
      <c r="H3087" s="1" t="s">
        <v>1503</v>
      </c>
      <c r="I3087" t="s">
        <v>1883</v>
      </c>
      <c r="J3087" s="1" t="s">
        <v>1456</v>
      </c>
      <c r="K3087" s="1" t="s">
        <v>1553</v>
      </c>
      <c r="L3087" s="1" t="s">
        <v>1729</v>
      </c>
      <c r="M3087" s="1" t="s">
        <v>1736</v>
      </c>
      <c r="N3087" t="s">
        <v>2093</v>
      </c>
      <c r="O3087" t="s">
        <v>2694</v>
      </c>
      <c r="P3087" t="s">
        <v>3539</v>
      </c>
      <c r="Q3087">
        <v>2</v>
      </c>
      <c r="R3087" s="1" t="s">
        <v>1718</v>
      </c>
      <c r="S3087">
        <v>14490</v>
      </c>
      <c r="T3087">
        <v>28980</v>
      </c>
    </row>
    <row r="3088" spans="1:20" hidden="1" x14ac:dyDescent="0.4">
      <c r="A3088" s="1" t="s">
        <v>1162</v>
      </c>
      <c r="B3088" s="1" t="s">
        <v>1459</v>
      </c>
      <c r="C3088" s="1" t="s">
        <v>1844</v>
      </c>
      <c r="D3088" s="1" t="s">
        <v>1462</v>
      </c>
      <c r="E3088">
        <v>20251217</v>
      </c>
      <c r="F3088" s="1" t="s">
        <v>1470</v>
      </c>
      <c r="G3088">
        <v>4</v>
      </c>
      <c r="H3088" s="1" t="s">
        <v>1503</v>
      </c>
      <c r="I3088" t="s">
        <v>1883</v>
      </c>
      <c r="J3088" s="1" t="s">
        <v>1456</v>
      </c>
      <c r="K3088" s="1" t="s">
        <v>1553</v>
      </c>
      <c r="L3088" s="1" t="s">
        <v>1729</v>
      </c>
      <c r="M3088" s="1" t="s">
        <v>1740</v>
      </c>
      <c r="N3088" t="s">
        <v>2111</v>
      </c>
      <c r="O3088" t="s">
        <v>2695</v>
      </c>
      <c r="P3088" t="s">
        <v>3540</v>
      </c>
      <c r="Q3088">
        <v>1</v>
      </c>
      <c r="R3088" s="1" t="s">
        <v>1718</v>
      </c>
      <c r="S3088">
        <v>8510</v>
      </c>
      <c r="T3088">
        <v>8510</v>
      </c>
    </row>
    <row r="3089" spans="1:20" hidden="1" x14ac:dyDescent="0.4">
      <c r="A3089" s="1" t="s">
        <v>1163</v>
      </c>
      <c r="B3089" s="1" t="s">
        <v>1453</v>
      </c>
      <c r="C3089" s="1" t="s">
        <v>1844</v>
      </c>
      <c r="D3089" s="1" t="s">
        <v>1462</v>
      </c>
      <c r="E3089">
        <v>20251217</v>
      </c>
      <c r="F3089" s="1" t="s">
        <v>1470</v>
      </c>
      <c r="G3089">
        <v>4</v>
      </c>
      <c r="H3089" s="1" t="s">
        <v>1503</v>
      </c>
      <c r="I3089" t="s">
        <v>1883</v>
      </c>
      <c r="J3089" s="1" t="s">
        <v>1456</v>
      </c>
      <c r="K3089" s="1" t="s">
        <v>1553</v>
      </c>
      <c r="L3089" s="1" t="s">
        <v>1729</v>
      </c>
      <c r="M3089" s="1" t="s">
        <v>1740</v>
      </c>
      <c r="N3089" t="s">
        <v>2111</v>
      </c>
      <c r="O3089" t="s">
        <v>2696</v>
      </c>
      <c r="P3089" t="s">
        <v>3541</v>
      </c>
      <c r="Q3089">
        <v>2</v>
      </c>
      <c r="R3089" s="1" t="s">
        <v>1718</v>
      </c>
      <c r="S3089">
        <v>11850</v>
      </c>
      <c r="T3089">
        <v>23700</v>
      </c>
    </row>
    <row r="3090" spans="1:20" hidden="1" x14ac:dyDescent="0.4">
      <c r="A3090" s="1" t="s">
        <v>1163</v>
      </c>
      <c r="B3090" s="1" t="s">
        <v>1454</v>
      </c>
      <c r="C3090" s="1" t="s">
        <v>1844</v>
      </c>
      <c r="D3090" s="1" t="s">
        <v>1462</v>
      </c>
      <c r="E3090">
        <v>20251217</v>
      </c>
      <c r="F3090" s="1" t="s">
        <v>1470</v>
      </c>
      <c r="G3090">
        <v>4</v>
      </c>
      <c r="H3090" s="1" t="s">
        <v>1503</v>
      </c>
      <c r="I3090" t="s">
        <v>1883</v>
      </c>
      <c r="J3090" s="1" t="s">
        <v>1456</v>
      </c>
      <c r="K3090" s="1" t="s">
        <v>1554</v>
      </c>
      <c r="L3090" s="1" t="s">
        <v>1729</v>
      </c>
      <c r="M3090" s="1" t="s">
        <v>1737</v>
      </c>
      <c r="N3090" t="s">
        <v>2109</v>
      </c>
      <c r="O3090" t="s">
        <v>2697</v>
      </c>
      <c r="P3090">
        <v>82272</v>
      </c>
      <c r="Q3090">
        <v>4</v>
      </c>
      <c r="R3090" s="1" t="s">
        <v>1718</v>
      </c>
      <c r="S3090">
        <v>24600</v>
      </c>
      <c r="T3090">
        <v>98400</v>
      </c>
    </row>
    <row r="3091" spans="1:20" hidden="1" x14ac:dyDescent="0.4">
      <c r="A3091" s="1" t="s">
        <v>1164</v>
      </c>
      <c r="B3091" s="1" t="s">
        <v>1453</v>
      </c>
      <c r="C3091" s="1" t="s">
        <v>1844</v>
      </c>
      <c r="D3091" s="1" t="s">
        <v>1462</v>
      </c>
      <c r="E3091">
        <v>20251217</v>
      </c>
      <c r="F3091" s="1" t="s">
        <v>1470</v>
      </c>
      <c r="G3091">
        <v>4</v>
      </c>
      <c r="H3091" s="1" t="s">
        <v>1503</v>
      </c>
      <c r="I3091" t="s">
        <v>1883</v>
      </c>
      <c r="J3091" s="1" t="s">
        <v>1456</v>
      </c>
      <c r="K3091" s="1" t="s">
        <v>1553</v>
      </c>
      <c r="L3091" s="1" t="s">
        <v>1729</v>
      </c>
      <c r="M3091" s="1" t="s">
        <v>1740</v>
      </c>
      <c r="N3091" t="s">
        <v>2111</v>
      </c>
      <c r="O3091">
        <v>15251203</v>
      </c>
      <c r="P3091" t="s">
        <v>3542</v>
      </c>
      <c r="Q3091">
        <v>2</v>
      </c>
      <c r="R3091" s="1" t="s">
        <v>1718</v>
      </c>
      <c r="S3091">
        <v>27760</v>
      </c>
      <c r="T3091">
        <v>55520</v>
      </c>
    </row>
    <row r="3092" spans="1:20" hidden="1" x14ac:dyDescent="0.4">
      <c r="A3092" s="1" t="s">
        <v>1165</v>
      </c>
      <c r="B3092" s="1" t="s">
        <v>1453</v>
      </c>
      <c r="C3092" s="1" t="s">
        <v>1844</v>
      </c>
      <c r="D3092" s="1" t="s">
        <v>1462</v>
      </c>
      <c r="E3092">
        <v>20251217</v>
      </c>
      <c r="F3092" s="1" t="s">
        <v>1470</v>
      </c>
      <c r="G3092">
        <v>4</v>
      </c>
      <c r="H3092" s="1" t="s">
        <v>1503</v>
      </c>
      <c r="I3092" t="s">
        <v>1883</v>
      </c>
      <c r="J3092" s="1" t="s">
        <v>1456</v>
      </c>
      <c r="K3092" s="1" t="s">
        <v>1554</v>
      </c>
      <c r="L3092" s="1" t="s">
        <v>1729</v>
      </c>
      <c r="M3092" s="1" t="s">
        <v>1737</v>
      </c>
      <c r="N3092" t="s">
        <v>2090</v>
      </c>
      <c r="O3092" t="s">
        <v>2698</v>
      </c>
      <c r="P3092">
        <v>82257</v>
      </c>
      <c r="Q3092">
        <v>2</v>
      </c>
      <c r="R3092" s="1" t="s">
        <v>1718</v>
      </c>
      <c r="S3092">
        <v>18640</v>
      </c>
      <c r="T3092">
        <v>37280</v>
      </c>
    </row>
    <row r="3093" spans="1:20" hidden="1" x14ac:dyDescent="0.4">
      <c r="A3093" s="1" t="s">
        <v>1165</v>
      </c>
      <c r="B3093" s="1" t="s">
        <v>1454</v>
      </c>
      <c r="C3093" s="1" t="s">
        <v>1844</v>
      </c>
      <c r="D3093" s="1" t="s">
        <v>1462</v>
      </c>
      <c r="E3093">
        <v>20251217</v>
      </c>
      <c r="F3093" s="1" t="s">
        <v>1470</v>
      </c>
      <c r="G3093">
        <v>4</v>
      </c>
      <c r="H3093" s="1" t="s">
        <v>1503</v>
      </c>
      <c r="I3093" t="s">
        <v>1883</v>
      </c>
      <c r="J3093" s="1" t="s">
        <v>1456</v>
      </c>
      <c r="K3093" s="1" t="s">
        <v>1554</v>
      </c>
      <c r="L3093" s="1" t="s">
        <v>1729</v>
      </c>
      <c r="M3093" s="1" t="s">
        <v>1737</v>
      </c>
      <c r="N3093" t="s">
        <v>2090</v>
      </c>
      <c r="O3093" t="s">
        <v>2699</v>
      </c>
      <c r="P3093">
        <v>82258</v>
      </c>
      <c r="Q3093">
        <v>2</v>
      </c>
      <c r="R3093" s="1" t="s">
        <v>1718</v>
      </c>
      <c r="S3093">
        <v>18640</v>
      </c>
      <c r="T3093">
        <v>37280</v>
      </c>
    </row>
    <row r="3094" spans="1:20" hidden="1" x14ac:dyDescent="0.4">
      <c r="A3094" s="1" t="s">
        <v>1165</v>
      </c>
      <c r="B3094" s="1" t="s">
        <v>1455</v>
      </c>
      <c r="C3094" s="1" t="s">
        <v>1844</v>
      </c>
      <c r="D3094" s="1" t="s">
        <v>1462</v>
      </c>
      <c r="E3094">
        <v>20251217</v>
      </c>
      <c r="F3094" s="1" t="s">
        <v>1470</v>
      </c>
      <c r="G3094">
        <v>4</v>
      </c>
      <c r="H3094" s="1" t="s">
        <v>1503</v>
      </c>
      <c r="I3094" t="s">
        <v>1883</v>
      </c>
      <c r="J3094" s="1" t="s">
        <v>1456</v>
      </c>
      <c r="K3094" s="1" t="s">
        <v>1553</v>
      </c>
      <c r="L3094" s="1" t="s">
        <v>1729</v>
      </c>
      <c r="M3094" s="1" t="s">
        <v>1740</v>
      </c>
      <c r="N3094" t="s">
        <v>2133</v>
      </c>
      <c r="O3094" t="s">
        <v>2700</v>
      </c>
      <c r="P3094" t="s">
        <v>3543</v>
      </c>
      <c r="Q3094">
        <v>2</v>
      </c>
      <c r="R3094" s="1" t="s">
        <v>1718</v>
      </c>
      <c r="S3094">
        <v>31614</v>
      </c>
      <c r="T3094">
        <v>63228</v>
      </c>
    </row>
    <row r="3095" spans="1:20" hidden="1" x14ac:dyDescent="0.4">
      <c r="A3095" s="1" t="s">
        <v>1165</v>
      </c>
      <c r="B3095" s="1" t="s">
        <v>1456</v>
      </c>
      <c r="C3095" s="1" t="s">
        <v>1844</v>
      </c>
      <c r="D3095" s="1" t="s">
        <v>1462</v>
      </c>
      <c r="E3095">
        <v>20251217</v>
      </c>
      <c r="F3095" s="1" t="s">
        <v>1470</v>
      </c>
      <c r="G3095">
        <v>4</v>
      </c>
      <c r="H3095" s="1" t="s">
        <v>1503</v>
      </c>
      <c r="I3095" t="s">
        <v>1883</v>
      </c>
      <c r="J3095" s="1" t="s">
        <v>1456</v>
      </c>
      <c r="K3095" s="1" t="s">
        <v>1553</v>
      </c>
      <c r="L3095" s="1" t="s">
        <v>1729</v>
      </c>
      <c r="M3095" s="1" t="s">
        <v>1740</v>
      </c>
      <c r="N3095" t="s">
        <v>2111</v>
      </c>
      <c r="O3095" t="s">
        <v>2701</v>
      </c>
      <c r="P3095" t="s">
        <v>3544</v>
      </c>
      <c r="Q3095">
        <v>2</v>
      </c>
      <c r="R3095" s="1" t="s">
        <v>1718</v>
      </c>
      <c r="S3095">
        <v>12120</v>
      </c>
      <c r="T3095">
        <v>24240</v>
      </c>
    </row>
    <row r="3096" spans="1:20" hidden="1" x14ac:dyDescent="0.4">
      <c r="A3096" s="1" t="s">
        <v>1165</v>
      </c>
      <c r="B3096" s="1" t="s">
        <v>1457</v>
      </c>
      <c r="C3096" s="1" t="s">
        <v>1844</v>
      </c>
      <c r="D3096" s="1" t="s">
        <v>1462</v>
      </c>
      <c r="E3096">
        <v>20251217</v>
      </c>
      <c r="F3096" s="1" t="s">
        <v>1470</v>
      </c>
      <c r="G3096">
        <v>4</v>
      </c>
      <c r="H3096" s="1" t="s">
        <v>1503</v>
      </c>
      <c r="I3096" t="s">
        <v>1883</v>
      </c>
      <c r="J3096" s="1" t="s">
        <v>1456</v>
      </c>
      <c r="K3096" s="1" t="s">
        <v>1553</v>
      </c>
      <c r="L3096" s="1" t="s">
        <v>1729</v>
      </c>
      <c r="M3096" s="1" t="s">
        <v>1736</v>
      </c>
      <c r="N3096" t="s">
        <v>2093</v>
      </c>
      <c r="O3096" t="s">
        <v>2702</v>
      </c>
      <c r="P3096" t="s">
        <v>3545</v>
      </c>
      <c r="Q3096">
        <v>2</v>
      </c>
      <c r="R3096" s="1" t="s">
        <v>1718</v>
      </c>
      <c r="S3096">
        <v>14310</v>
      </c>
      <c r="T3096">
        <v>28620</v>
      </c>
    </row>
    <row r="3097" spans="1:20" hidden="1" x14ac:dyDescent="0.4">
      <c r="A3097" s="1" t="s">
        <v>1166</v>
      </c>
      <c r="B3097" s="1" t="s">
        <v>1453</v>
      </c>
      <c r="C3097" s="1" t="s">
        <v>1844</v>
      </c>
      <c r="D3097" s="1" t="s">
        <v>1730</v>
      </c>
      <c r="E3097">
        <v>20251217</v>
      </c>
      <c r="F3097" s="1" t="s">
        <v>1470</v>
      </c>
      <c r="G3097">
        <v>4</v>
      </c>
      <c r="H3097" s="1" t="s">
        <v>1503</v>
      </c>
      <c r="I3097" t="s">
        <v>1883</v>
      </c>
      <c r="J3097" s="1" t="s">
        <v>1456</v>
      </c>
      <c r="K3097" s="1" t="s">
        <v>1570</v>
      </c>
      <c r="L3097" s="1" t="s">
        <v>1729</v>
      </c>
      <c r="M3097" s="1" t="s">
        <v>1742</v>
      </c>
      <c r="N3097" t="s">
        <v>1943</v>
      </c>
      <c r="O3097" t="s">
        <v>2513</v>
      </c>
      <c r="P3097" t="s">
        <v>3245</v>
      </c>
      <c r="Q3097">
        <v>2</v>
      </c>
      <c r="R3097" s="1" t="s">
        <v>1718</v>
      </c>
      <c r="S3097">
        <v>0</v>
      </c>
      <c r="T3097">
        <v>0</v>
      </c>
    </row>
    <row r="3098" spans="1:20" hidden="1" x14ac:dyDescent="0.4">
      <c r="A3098" s="1" t="s">
        <v>1167</v>
      </c>
      <c r="B3098" s="1" t="s">
        <v>1453</v>
      </c>
      <c r="C3098" s="1" t="s">
        <v>1844</v>
      </c>
      <c r="D3098" s="1" t="s">
        <v>1462</v>
      </c>
      <c r="E3098">
        <v>20251217</v>
      </c>
      <c r="F3098" s="1" t="s">
        <v>1470</v>
      </c>
      <c r="G3098">
        <v>4</v>
      </c>
      <c r="H3098" s="1" t="s">
        <v>1496</v>
      </c>
      <c r="I3098" t="s">
        <v>1876</v>
      </c>
      <c r="J3098" s="1" t="s">
        <v>1456</v>
      </c>
      <c r="K3098" s="1" t="s">
        <v>1557</v>
      </c>
      <c r="L3098" s="1" t="s">
        <v>1729</v>
      </c>
      <c r="M3098" s="1" t="s">
        <v>1737</v>
      </c>
      <c r="N3098" t="s">
        <v>1929</v>
      </c>
      <c r="O3098" t="s">
        <v>2703</v>
      </c>
      <c r="P3098" t="s">
        <v>3270</v>
      </c>
      <c r="Q3098">
        <v>2</v>
      </c>
      <c r="R3098" s="1" t="s">
        <v>1718</v>
      </c>
      <c r="S3098">
        <v>8680</v>
      </c>
      <c r="T3098">
        <v>17360</v>
      </c>
    </row>
    <row r="3099" spans="1:20" hidden="1" x14ac:dyDescent="0.4">
      <c r="A3099" s="1" t="s">
        <v>1167</v>
      </c>
      <c r="B3099" s="1" t="s">
        <v>1454</v>
      </c>
      <c r="C3099" s="1" t="s">
        <v>1844</v>
      </c>
      <c r="D3099" s="1" t="s">
        <v>1462</v>
      </c>
      <c r="E3099">
        <v>20251217</v>
      </c>
      <c r="F3099" s="1" t="s">
        <v>1470</v>
      </c>
      <c r="G3099">
        <v>4</v>
      </c>
      <c r="H3099" s="1" t="s">
        <v>1496</v>
      </c>
      <c r="I3099" t="s">
        <v>1876</v>
      </c>
      <c r="J3099" s="1" t="s">
        <v>1456</v>
      </c>
      <c r="K3099" s="1" t="s">
        <v>1557</v>
      </c>
      <c r="L3099" s="1" t="s">
        <v>1729</v>
      </c>
      <c r="M3099" s="1" t="s">
        <v>1737</v>
      </c>
      <c r="N3099" t="s">
        <v>1929</v>
      </c>
      <c r="O3099" t="s">
        <v>2703</v>
      </c>
      <c r="P3099" t="s">
        <v>3270</v>
      </c>
      <c r="Q3099">
        <v>2</v>
      </c>
      <c r="R3099" s="1" t="s">
        <v>1718</v>
      </c>
      <c r="S3099">
        <v>13930</v>
      </c>
      <c r="T3099">
        <v>27860</v>
      </c>
    </row>
    <row r="3100" spans="1:20" hidden="1" x14ac:dyDescent="0.4">
      <c r="A3100" s="1" t="s">
        <v>1167</v>
      </c>
      <c r="B3100" s="1" t="s">
        <v>1455</v>
      </c>
      <c r="C3100" s="1" t="s">
        <v>1844</v>
      </c>
      <c r="D3100" s="1" t="s">
        <v>1462</v>
      </c>
      <c r="E3100">
        <v>20251217</v>
      </c>
      <c r="F3100" s="1" t="s">
        <v>1470</v>
      </c>
      <c r="G3100">
        <v>4</v>
      </c>
      <c r="H3100" s="1" t="s">
        <v>1496</v>
      </c>
      <c r="I3100" t="s">
        <v>1876</v>
      </c>
      <c r="J3100" s="1" t="s">
        <v>1456</v>
      </c>
      <c r="K3100" s="1" t="s">
        <v>1557</v>
      </c>
      <c r="L3100" s="1" t="s">
        <v>1729</v>
      </c>
      <c r="M3100" s="1" t="s">
        <v>1737</v>
      </c>
      <c r="N3100" t="s">
        <v>1929</v>
      </c>
      <c r="O3100" t="s">
        <v>2703</v>
      </c>
      <c r="P3100" t="s">
        <v>3270</v>
      </c>
      <c r="Q3100">
        <v>2</v>
      </c>
      <c r="R3100" s="1" t="s">
        <v>1718</v>
      </c>
      <c r="S3100">
        <v>17388</v>
      </c>
      <c r="T3100">
        <v>34776</v>
      </c>
    </row>
    <row r="3101" spans="1:20" hidden="1" x14ac:dyDescent="0.4">
      <c r="A3101" s="1" t="s">
        <v>1167</v>
      </c>
      <c r="B3101" s="1" t="s">
        <v>1456</v>
      </c>
      <c r="C3101" s="1" t="s">
        <v>1844</v>
      </c>
      <c r="D3101" s="1" t="s">
        <v>1462</v>
      </c>
      <c r="E3101">
        <v>20251217</v>
      </c>
      <c r="F3101" s="1" t="s">
        <v>1470</v>
      </c>
      <c r="G3101">
        <v>4</v>
      </c>
      <c r="H3101" s="1" t="s">
        <v>1496</v>
      </c>
      <c r="I3101" t="s">
        <v>1876</v>
      </c>
      <c r="J3101" s="1" t="s">
        <v>1456</v>
      </c>
      <c r="K3101" s="1" t="s">
        <v>1557</v>
      </c>
      <c r="L3101" s="1" t="s">
        <v>1729</v>
      </c>
      <c r="M3101" s="1" t="s">
        <v>1737</v>
      </c>
      <c r="N3101" t="s">
        <v>1929</v>
      </c>
      <c r="O3101" t="s">
        <v>2703</v>
      </c>
      <c r="P3101" t="s">
        <v>3270</v>
      </c>
      <c r="Q3101">
        <v>2</v>
      </c>
      <c r="R3101" s="1" t="s">
        <v>1718</v>
      </c>
      <c r="S3101">
        <v>17388</v>
      </c>
      <c r="T3101">
        <v>34776</v>
      </c>
    </row>
    <row r="3102" spans="1:20" hidden="1" x14ac:dyDescent="0.4">
      <c r="A3102" s="1" t="s">
        <v>1167</v>
      </c>
      <c r="B3102" s="1" t="s">
        <v>1457</v>
      </c>
      <c r="C3102" s="1" t="s">
        <v>1844</v>
      </c>
      <c r="D3102" s="1" t="s">
        <v>1462</v>
      </c>
      <c r="E3102">
        <v>20251217</v>
      </c>
      <c r="F3102" s="1" t="s">
        <v>1470</v>
      </c>
      <c r="G3102">
        <v>4</v>
      </c>
      <c r="H3102" s="1" t="s">
        <v>1496</v>
      </c>
      <c r="I3102" t="s">
        <v>1876</v>
      </c>
      <c r="J3102" s="1" t="s">
        <v>1456</v>
      </c>
      <c r="K3102" s="1" t="s">
        <v>1557</v>
      </c>
      <c r="L3102" s="1" t="s">
        <v>1729</v>
      </c>
      <c r="M3102" s="1" t="s">
        <v>1737</v>
      </c>
      <c r="N3102" t="s">
        <v>1929</v>
      </c>
      <c r="O3102" t="s">
        <v>2703</v>
      </c>
      <c r="P3102" t="s">
        <v>3270</v>
      </c>
      <c r="Q3102">
        <v>2</v>
      </c>
      <c r="R3102" s="1" t="s">
        <v>1718</v>
      </c>
      <c r="S3102">
        <v>17388</v>
      </c>
      <c r="T3102">
        <v>34776</v>
      </c>
    </row>
    <row r="3103" spans="1:20" hidden="1" x14ac:dyDescent="0.4">
      <c r="A3103" s="1" t="s">
        <v>1167</v>
      </c>
      <c r="B3103" s="1" t="s">
        <v>1458</v>
      </c>
      <c r="C3103" s="1" t="s">
        <v>1844</v>
      </c>
      <c r="D3103" s="1" t="s">
        <v>1462</v>
      </c>
      <c r="E3103">
        <v>20251217</v>
      </c>
      <c r="F3103" s="1" t="s">
        <v>1470</v>
      </c>
      <c r="G3103">
        <v>4</v>
      </c>
      <c r="H3103" s="1" t="s">
        <v>1496</v>
      </c>
      <c r="I3103" t="s">
        <v>1876</v>
      </c>
      <c r="J3103" s="1" t="s">
        <v>1456</v>
      </c>
      <c r="K3103" s="1" t="s">
        <v>1557</v>
      </c>
      <c r="L3103" s="1" t="s">
        <v>1729</v>
      </c>
      <c r="M3103" s="1" t="s">
        <v>1737</v>
      </c>
      <c r="N3103" t="s">
        <v>1929</v>
      </c>
      <c r="O3103" t="s">
        <v>2703</v>
      </c>
      <c r="P3103" t="s">
        <v>3270</v>
      </c>
      <c r="Q3103">
        <v>2</v>
      </c>
      <c r="R3103" s="1" t="s">
        <v>1718</v>
      </c>
      <c r="S3103">
        <v>17388</v>
      </c>
      <c r="T3103">
        <v>34776</v>
      </c>
    </row>
    <row r="3104" spans="1:20" hidden="1" x14ac:dyDescent="0.4">
      <c r="A3104" s="1" t="s">
        <v>1167</v>
      </c>
      <c r="B3104" s="1" t="s">
        <v>1459</v>
      </c>
      <c r="C3104" s="1" t="s">
        <v>1844</v>
      </c>
      <c r="D3104" s="1" t="s">
        <v>1462</v>
      </c>
      <c r="E3104">
        <v>20251217</v>
      </c>
      <c r="F3104" s="1" t="s">
        <v>1470</v>
      </c>
      <c r="G3104">
        <v>4</v>
      </c>
      <c r="H3104" s="1" t="s">
        <v>1496</v>
      </c>
      <c r="I3104" t="s">
        <v>1876</v>
      </c>
      <c r="J3104" s="1" t="s">
        <v>1456</v>
      </c>
      <c r="K3104" s="1" t="s">
        <v>1557</v>
      </c>
      <c r="L3104" s="1" t="s">
        <v>1729</v>
      </c>
      <c r="M3104" s="1" t="s">
        <v>1737</v>
      </c>
      <c r="N3104" t="s">
        <v>1929</v>
      </c>
      <c r="O3104" t="s">
        <v>2703</v>
      </c>
      <c r="P3104" t="s">
        <v>3270</v>
      </c>
      <c r="Q3104">
        <v>2</v>
      </c>
      <c r="R3104" s="1" t="s">
        <v>1718</v>
      </c>
      <c r="S3104">
        <v>17388</v>
      </c>
      <c r="T3104">
        <v>34776</v>
      </c>
    </row>
    <row r="3105" spans="1:20" hidden="1" x14ac:dyDescent="0.4">
      <c r="A3105" s="1" t="s">
        <v>1167</v>
      </c>
      <c r="B3105" s="1" t="s">
        <v>1460</v>
      </c>
      <c r="C3105" s="1" t="s">
        <v>1844</v>
      </c>
      <c r="D3105" s="1" t="s">
        <v>1462</v>
      </c>
      <c r="E3105">
        <v>20251217</v>
      </c>
      <c r="F3105" s="1" t="s">
        <v>1470</v>
      </c>
      <c r="G3105">
        <v>4</v>
      </c>
      <c r="H3105" s="1" t="s">
        <v>1496</v>
      </c>
      <c r="I3105" t="s">
        <v>1876</v>
      </c>
      <c r="J3105" s="1" t="s">
        <v>1456</v>
      </c>
      <c r="K3105" s="1" t="s">
        <v>1557</v>
      </c>
      <c r="L3105" s="1" t="s">
        <v>1729</v>
      </c>
      <c r="M3105" s="1" t="s">
        <v>1737</v>
      </c>
      <c r="N3105" t="s">
        <v>1929</v>
      </c>
      <c r="O3105" t="s">
        <v>2703</v>
      </c>
      <c r="P3105" t="s">
        <v>3270</v>
      </c>
      <c r="Q3105">
        <v>2</v>
      </c>
      <c r="R3105" s="1" t="s">
        <v>1718</v>
      </c>
      <c r="S3105">
        <v>17388</v>
      </c>
      <c r="T3105">
        <v>34776</v>
      </c>
    </row>
    <row r="3106" spans="1:20" hidden="1" x14ac:dyDescent="0.4">
      <c r="A3106" s="1" t="s">
        <v>1168</v>
      </c>
      <c r="B3106" s="1" t="s">
        <v>1453</v>
      </c>
      <c r="C3106" s="1" t="s">
        <v>1844</v>
      </c>
      <c r="D3106" s="1" t="s">
        <v>1462</v>
      </c>
      <c r="E3106">
        <v>20251217</v>
      </c>
      <c r="F3106" s="1" t="s">
        <v>1470</v>
      </c>
      <c r="G3106">
        <v>4</v>
      </c>
      <c r="H3106" s="1" t="s">
        <v>1512</v>
      </c>
      <c r="I3106" t="s">
        <v>1892</v>
      </c>
      <c r="J3106" s="1" t="s">
        <v>1456</v>
      </c>
      <c r="K3106" s="1" t="s">
        <v>1558</v>
      </c>
      <c r="L3106" s="1" t="s">
        <v>1729</v>
      </c>
      <c r="M3106" s="1" t="s">
        <v>1737</v>
      </c>
      <c r="N3106" t="s">
        <v>2096</v>
      </c>
      <c r="O3106" t="s">
        <v>2704</v>
      </c>
      <c r="P3106" t="s">
        <v>3546</v>
      </c>
      <c r="Q3106">
        <v>2</v>
      </c>
      <c r="R3106" s="1" t="s">
        <v>1718</v>
      </c>
      <c r="S3106">
        <v>17541</v>
      </c>
      <c r="T3106">
        <v>35082</v>
      </c>
    </row>
    <row r="3107" spans="1:20" hidden="1" x14ac:dyDescent="0.4">
      <c r="A3107" s="1" t="s">
        <v>1169</v>
      </c>
      <c r="B3107" s="1" t="s">
        <v>1453</v>
      </c>
      <c r="C3107" s="1" t="s">
        <v>1844</v>
      </c>
      <c r="D3107" s="1" t="s">
        <v>1462</v>
      </c>
      <c r="E3107">
        <v>20251217</v>
      </c>
      <c r="F3107" s="1" t="s">
        <v>1470</v>
      </c>
      <c r="G3107">
        <v>4</v>
      </c>
      <c r="H3107" s="1" t="s">
        <v>1512</v>
      </c>
      <c r="I3107" t="s">
        <v>1892</v>
      </c>
      <c r="J3107" s="1" t="s">
        <v>1456</v>
      </c>
      <c r="K3107" s="1" t="s">
        <v>1558</v>
      </c>
      <c r="L3107" s="1" t="s">
        <v>1729</v>
      </c>
      <c r="M3107" s="1" t="s">
        <v>1737</v>
      </c>
      <c r="N3107" t="s">
        <v>2096</v>
      </c>
      <c r="O3107" t="s">
        <v>2705</v>
      </c>
      <c r="P3107" t="s">
        <v>3547</v>
      </c>
      <c r="Q3107">
        <v>1</v>
      </c>
      <c r="R3107" s="1" t="s">
        <v>1718</v>
      </c>
      <c r="S3107">
        <v>27657</v>
      </c>
      <c r="T3107">
        <v>27657</v>
      </c>
    </row>
    <row r="3108" spans="1:20" hidden="1" x14ac:dyDescent="0.4">
      <c r="A3108" s="1" t="s">
        <v>1169</v>
      </c>
      <c r="B3108" s="1" t="s">
        <v>1454</v>
      </c>
      <c r="C3108" s="1" t="s">
        <v>1844</v>
      </c>
      <c r="D3108" s="1" t="s">
        <v>1462</v>
      </c>
      <c r="E3108">
        <v>20251217</v>
      </c>
      <c r="F3108" s="1" t="s">
        <v>1470</v>
      </c>
      <c r="G3108">
        <v>4</v>
      </c>
      <c r="H3108" s="1" t="s">
        <v>1512</v>
      </c>
      <c r="I3108" t="s">
        <v>1892</v>
      </c>
      <c r="J3108" s="1" t="s">
        <v>1456</v>
      </c>
      <c r="K3108" s="1" t="s">
        <v>1558</v>
      </c>
      <c r="L3108" s="1" t="s">
        <v>1729</v>
      </c>
      <c r="M3108" s="1" t="s">
        <v>1737</v>
      </c>
      <c r="N3108" t="s">
        <v>2096</v>
      </c>
      <c r="O3108" t="s">
        <v>2706</v>
      </c>
      <c r="P3108" t="s">
        <v>3548</v>
      </c>
      <c r="Q3108">
        <v>1</v>
      </c>
      <c r="R3108" s="1" t="s">
        <v>1718</v>
      </c>
      <c r="S3108">
        <v>27657</v>
      </c>
      <c r="T3108">
        <v>27657</v>
      </c>
    </row>
    <row r="3109" spans="1:20" hidden="1" x14ac:dyDescent="0.4">
      <c r="A3109" s="1" t="s">
        <v>1170</v>
      </c>
      <c r="B3109" s="1" t="s">
        <v>1453</v>
      </c>
      <c r="C3109" s="1" t="s">
        <v>1844</v>
      </c>
      <c r="D3109" s="1" t="s">
        <v>1462</v>
      </c>
      <c r="E3109">
        <v>20251217</v>
      </c>
      <c r="F3109" s="1" t="s">
        <v>1470</v>
      </c>
      <c r="G3109">
        <v>4</v>
      </c>
      <c r="H3109" s="1" t="s">
        <v>1512</v>
      </c>
      <c r="I3109" t="s">
        <v>1892</v>
      </c>
      <c r="J3109" s="1" t="s">
        <v>1456</v>
      </c>
      <c r="K3109" s="1" t="s">
        <v>1558</v>
      </c>
      <c r="L3109" s="1" t="s">
        <v>1729</v>
      </c>
      <c r="M3109" s="1" t="s">
        <v>1737</v>
      </c>
      <c r="N3109" t="s">
        <v>2096</v>
      </c>
      <c r="O3109" t="s">
        <v>2707</v>
      </c>
      <c r="P3109" t="s">
        <v>3549</v>
      </c>
      <c r="Q3109">
        <v>2</v>
      </c>
      <c r="R3109" s="1" t="s">
        <v>1718</v>
      </c>
      <c r="S3109">
        <v>8067</v>
      </c>
      <c r="T3109">
        <v>16134</v>
      </c>
    </row>
    <row r="3110" spans="1:20" hidden="1" x14ac:dyDescent="0.4">
      <c r="A3110" s="1" t="s">
        <v>1171</v>
      </c>
      <c r="B3110" s="1" t="s">
        <v>1453</v>
      </c>
      <c r="C3110" s="1" t="s">
        <v>1844</v>
      </c>
      <c r="D3110" s="1" t="s">
        <v>1462</v>
      </c>
      <c r="E3110">
        <v>20251216</v>
      </c>
      <c r="F3110" s="1" t="s">
        <v>1471</v>
      </c>
      <c r="G3110">
        <v>4</v>
      </c>
      <c r="H3110" s="1" t="s">
        <v>1529</v>
      </c>
      <c r="I3110" t="s">
        <v>1909</v>
      </c>
      <c r="J3110" s="1" t="s">
        <v>1460</v>
      </c>
      <c r="K3110" s="1" t="s">
        <v>1653</v>
      </c>
      <c r="L3110" s="1" t="s">
        <v>1733</v>
      </c>
      <c r="M3110" s="1" t="s">
        <v>1737</v>
      </c>
      <c r="N3110" t="s">
        <v>2037</v>
      </c>
      <c r="O3110" t="s">
        <v>2162</v>
      </c>
      <c r="P3110" t="s">
        <v>2157</v>
      </c>
      <c r="Q3110">
        <v>48</v>
      </c>
      <c r="R3110" s="1" t="s">
        <v>1463</v>
      </c>
      <c r="S3110">
        <v>1170</v>
      </c>
      <c r="T3110">
        <v>56160</v>
      </c>
    </row>
    <row r="3111" spans="1:20" hidden="1" x14ac:dyDescent="0.4">
      <c r="A3111" s="1" t="s">
        <v>1172</v>
      </c>
      <c r="B3111" s="1" t="s">
        <v>1453</v>
      </c>
      <c r="C3111" s="1" t="s">
        <v>1844</v>
      </c>
      <c r="D3111" s="1" t="s">
        <v>1730</v>
      </c>
      <c r="E3111">
        <v>20251216</v>
      </c>
      <c r="F3111" s="1" t="s">
        <v>1473</v>
      </c>
      <c r="G3111">
        <v>4</v>
      </c>
      <c r="H3111" s="1" t="s">
        <v>1521</v>
      </c>
      <c r="I3111" t="s">
        <v>1901</v>
      </c>
      <c r="J3111" s="1" t="s">
        <v>1453</v>
      </c>
      <c r="K3111" s="1" t="s">
        <v>1583</v>
      </c>
      <c r="L3111" s="1" t="s">
        <v>1718</v>
      </c>
      <c r="M3111" s="1" t="s">
        <v>1777</v>
      </c>
      <c r="N3111" t="s">
        <v>1958</v>
      </c>
      <c r="O3111" t="s">
        <v>2164</v>
      </c>
      <c r="P3111" t="s">
        <v>3459</v>
      </c>
      <c r="Q3111">
        <v>91.72</v>
      </c>
      <c r="R3111" s="1" t="s">
        <v>1839</v>
      </c>
      <c r="S3111">
        <v>0</v>
      </c>
      <c r="T3111">
        <v>0</v>
      </c>
    </row>
    <row r="3112" spans="1:20" hidden="1" x14ac:dyDescent="0.4">
      <c r="A3112" s="1" t="s">
        <v>1172</v>
      </c>
      <c r="B3112" s="1" t="s">
        <v>1454</v>
      </c>
      <c r="C3112" s="1" t="s">
        <v>1844</v>
      </c>
      <c r="D3112" s="1" t="s">
        <v>1730</v>
      </c>
      <c r="E3112">
        <v>20251216</v>
      </c>
      <c r="F3112" s="1" t="s">
        <v>1473</v>
      </c>
      <c r="G3112">
        <v>4</v>
      </c>
      <c r="H3112" s="1" t="s">
        <v>1521</v>
      </c>
      <c r="I3112" t="s">
        <v>1901</v>
      </c>
      <c r="J3112" s="1" t="s">
        <v>1453</v>
      </c>
      <c r="K3112" s="1" t="s">
        <v>1583</v>
      </c>
      <c r="L3112" s="1" t="s">
        <v>1718</v>
      </c>
      <c r="M3112" s="1" t="s">
        <v>1777</v>
      </c>
      <c r="N3112" t="s">
        <v>1958</v>
      </c>
      <c r="O3112" t="s">
        <v>2164</v>
      </c>
      <c r="P3112" t="s">
        <v>3459</v>
      </c>
      <c r="Q3112">
        <v>91.36</v>
      </c>
      <c r="R3112" s="1" t="s">
        <v>1839</v>
      </c>
      <c r="S3112">
        <v>0</v>
      </c>
      <c r="T3112">
        <v>0</v>
      </c>
    </row>
    <row r="3113" spans="1:20" hidden="1" x14ac:dyDescent="0.4">
      <c r="A3113" s="1" t="s">
        <v>1172</v>
      </c>
      <c r="B3113" s="1" t="s">
        <v>1455</v>
      </c>
      <c r="C3113" s="1" t="s">
        <v>1844</v>
      </c>
      <c r="D3113" s="1" t="s">
        <v>1730</v>
      </c>
      <c r="E3113">
        <v>20251216</v>
      </c>
      <c r="F3113" s="1" t="s">
        <v>1473</v>
      </c>
      <c r="G3113">
        <v>4</v>
      </c>
      <c r="H3113" s="1" t="s">
        <v>1521</v>
      </c>
      <c r="I3113" t="s">
        <v>1901</v>
      </c>
      <c r="J3113" s="1" t="s">
        <v>1453</v>
      </c>
      <c r="K3113" s="1" t="s">
        <v>1583</v>
      </c>
      <c r="L3113" s="1" t="s">
        <v>1718</v>
      </c>
      <c r="M3113" s="1" t="s">
        <v>1777</v>
      </c>
      <c r="N3113" t="s">
        <v>1958</v>
      </c>
      <c r="O3113" t="s">
        <v>2164</v>
      </c>
      <c r="P3113" t="s">
        <v>3459</v>
      </c>
      <c r="Q3113">
        <v>103.74</v>
      </c>
      <c r="R3113" s="1" t="s">
        <v>1839</v>
      </c>
      <c r="S3113">
        <v>0</v>
      </c>
      <c r="T3113">
        <v>0</v>
      </c>
    </row>
    <row r="3114" spans="1:20" hidden="1" x14ac:dyDescent="0.4">
      <c r="A3114" s="1" t="s">
        <v>1173</v>
      </c>
      <c r="B3114" s="1" t="s">
        <v>1453</v>
      </c>
      <c r="C3114" s="1" t="s">
        <v>1844</v>
      </c>
      <c r="D3114" s="1" t="s">
        <v>1730</v>
      </c>
      <c r="E3114">
        <v>20251216</v>
      </c>
      <c r="F3114" s="1" t="s">
        <v>1473</v>
      </c>
      <c r="G3114">
        <v>4</v>
      </c>
      <c r="H3114" s="1" t="s">
        <v>1521</v>
      </c>
      <c r="I3114" t="s">
        <v>1901</v>
      </c>
      <c r="J3114" s="1" t="s">
        <v>1453</v>
      </c>
      <c r="K3114" s="1" t="s">
        <v>1583</v>
      </c>
      <c r="L3114" s="1" t="s">
        <v>1718</v>
      </c>
      <c r="M3114" s="1" t="s">
        <v>1824</v>
      </c>
      <c r="N3114" t="s">
        <v>1958</v>
      </c>
      <c r="O3114" t="s">
        <v>2164</v>
      </c>
      <c r="P3114" t="s">
        <v>3316</v>
      </c>
      <c r="Q3114">
        <v>109.2</v>
      </c>
      <c r="R3114" s="1" t="s">
        <v>1839</v>
      </c>
      <c r="S3114">
        <v>0</v>
      </c>
      <c r="T3114">
        <v>0</v>
      </c>
    </row>
    <row r="3115" spans="1:20" hidden="1" x14ac:dyDescent="0.4">
      <c r="A3115" s="1" t="s">
        <v>1174</v>
      </c>
      <c r="B3115" s="1" t="s">
        <v>1453</v>
      </c>
      <c r="C3115" s="1" t="s">
        <v>1844</v>
      </c>
      <c r="D3115" s="1" t="s">
        <v>1730</v>
      </c>
      <c r="E3115">
        <v>20251216</v>
      </c>
      <c r="F3115" s="1" t="s">
        <v>1473</v>
      </c>
      <c r="G3115">
        <v>4</v>
      </c>
      <c r="H3115" s="1" t="s">
        <v>1521</v>
      </c>
      <c r="I3115" t="s">
        <v>1901</v>
      </c>
      <c r="J3115" s="1" t="s">
        <v>1453</v>
      </c>
      <c r="K3115" s="1" t="s">
        <v>1596</v>
      </c>
      <c r="L3115" s="1" t="s">
        <v>1718</v>
      </c>
      <c r="M3115" s="1" t="s">
        <v>1763</v>
      </c>
      <c r="N3115" t="s">
        <v>1971</v>
      </c>
      <c r="O3115" t="s">
        <v>2164</v>
      </c>
      <c r="P3115" t="s">
        <v>3081</v>
      </c>
      <c r="Q3115">
        <v>145.6</v>
      </c>
      <c r="R3115" s="1" t="s">
        <v>1839</v>
      </c>
      <c r="S3115">
        <v>0</v>
      </c>
      <c r="T3115">
        <v>0</v>
      </c>
    </row>
    <row r="3116" spans="1:20" hidden="1" x14ac:dyDescent="0.4">
      <c r="A3116" s="1" t="s">
        <v>1174</v>
      </c>
      <c r="B3116" s="1" t="s">
        <v>1454</v>
      </c>
      <c r="C3116" s="1" t="s">
        <v>1844</v>
      </c>
      <c r="D3116" s="1" t="s">
        <v>1730</v>
      </c>
      <c r="E3116">
        <v>20251216</v>
      </c>
      <c r="F3116" s="1" t="s">
        <v>1473</v>
      </c>
      <c r="G3116">
        <v>4</v>
      </c>
      <c r="H3116" s="1" t="s">
        <v>1521</v>
      </c>
      <c r="I3116" t="s">
        <v>1901</v>
      </c>
      <c r="J3116" s="1" t="s">
        <v>1453</v>
      </c>
      <c r="K3116" s="1" t="s">
        <v>1607</v>
      </c>
      <c r="L3116" s="1" t="s">
        <v>1718</v>
      </c>
      <c r="M3116" s="1" t="s">
        <v>1735</v>
      </c>
      <c r="N3116" t="s">
        <v>1970</v>
      </c>
      <c r="O3116" t="s">
        <v>2164</v>
      </c>
      <c r="P3116" t="s">
        <v>3314</v>
      </c>
      <c r="Q3116">
        <v>53.75</v>
      </c>
      <c r="R3116" s="1" t="s">
        <v>1839</v>
      </c>
      <c r="S3116">
        <v>0</v>
      </c>
      <c r="T3116">
        <v>0</v>
      </c>
    </row>
    <row r="3117" spans="1:20" hidden="1" x14ac:dyDescent="0.4">
      <c r="A3117" s="1" t="s">
        <v>1174</v>
      </c>
      <c r="B3117" s="1" t="s">
        <v>1455</v>
      </c>
      <c r="C3117" s="1" t="s">
        <v>1844</v>
      </c>
      <c r="D3117" s="1" t="s">
        <v>1730</v>
      </c>
      <c r="E3117">
        <v>20251216</v>
      </c>
      <c r="F3117" s="1" t="s">
        <v>1473</v>
      </c>
      <c r="G3117">
        <v>4</v>
      </c>
      <c r="H3117" s="1" t="s">
        <v>1521</v>
      </c>
      <c r="I3117" t="s">
        <v>1901</v>
      </c>
      <c r="J3117" s="1" t="s">
        <v>1453</v>
      </c>
      <c r="K3117" s="1" t="s">
        <v>1595</v>
      </c>
      <c r="L3117" s="1" t="s">
        <v>1718</v>
      </c>
      <c r="M3117" s="1" t="s">
        <v>1735</v>
      </c>
      <c r="N3117" t="s">
        <v>2059</v>
      </c>
      <c r="O3117" t="s">
        <v>2164</v>
      </c>
      <c r="P3117" t="s">
        <v>3079</v>
      </c>
      <c r="Q3117">
        <v>73</v>
      </c>
      <c r="R3117" s="1" t="s">
        <v>1839</v>
      </c>
      <c r="S3117">
        <v>0</v>
      </c>
      <c r="T3117">
        <v>0</v>
      </c>
    </row>
    <row r="3118" spans="1:20" hidden="1" x14ac:dyDescent="0.4">
      <c r="A3118" s="1" t="s">
        <v>1175</v>
      </c>
      <c r="B3118" s="1" t="s">
        <v>1453</v>
      </c>
      <c r="C3118" s="1" t="s">
        <v>1844</v>
      </c>
      <c r="D3118" s="1" t="s">
        <v>1730</v>
      </c>
      <c r="E3118">
        <v>20251217</v>
      </c>
      <c r="F3118" s="1" t="s">
        <v>1470</v>
      </c>
      <c r="G3118">
        <v>4</v>
      </c>
      <c r="H3118" s="1" t="s">
        <v>1511</v>
      </c>
      <c r="I3118" t="s">
        <v>1891</v>
      </c>
      <c r="J3118" s="1" t="s">
        <v>1456</v>
      </c>
      <c r="K3118" s="1" t="s">
        <v>1573</v>
      </c>
      <c r="L3118" s="1" t="s">
        <v>1729</v>
      </c>
      <c r="M3118" s="1" t="s">
        <v>1741</v>
      </c>
      <c r="N3118" t="s">
        <v>2103</v>
      </c>
      <c r="O3118" t="s">
        <v>2223</v>
      </c>
      <c r="P3118" t="s">
        <v>3042</v>
      </c>
      <c r="Q3118">
        <v>400</v>
      </c>
      <c r="R3118" s="1" t="s">
        <v>1718</v>
      </c>
      <c r="S3118">
        <v>0</v>
      </c>
      <c r="T3118">
        <v>0</v>
      </c>
    </row>
    <row r="3119" spans="1:20" hidden="1" x14ac:dyDescent="0.4">
      <c r="A3119" s="1" t="s">
        <v>1175</v>
      </c>
      <c r="B3119" s="1" t="s">
        <v>1454</v>
      </c>
      <c r="C3119" s="1" t="s">
        <v>1844</v>
      </c>
      <c r="D3119" s="1" t="s">
        <v>1730</v>
      </c>
      <c r="E3119">
        <v>20251217</v>
      </c>
      <c r="F3119" s="1" t="s">
        <v>1470</v>
      </c>
      <c r="G3119">
        <v>4</v>
      </c>
      <c r="H3119" s="1" t="s">
        <v>1511</v>
      </c>
      <c r="I3119" t="s">
        <v>1891</v>
      </c>
      <c r="J3119" s="1" t="s">
        <v>1456</v>
      </c>
      <c r="K3119" s="1" t="s">
        <v>1573</v>
      </c>
      <c r="L3119" s="1" t="s">
        <v>1729</v>
      </c>
      <c r="M3119" s="1" t="s">
        <v>1741</v>
      </c>
      <c r="N3119" t="s">
        <v>2103</v>
      </c>
      <c r="O3119" t="s">
        <v>2287</v>
      </c>
      <c r="P3119" t="s">
        <v>3042</v>
      </c>
      <c r="Q3119">
        <v>200</v>
      </c>
      <c r="R3119" s="1" t="s">
        <v>1718</v>
      </c>
      <c r="S3119">
        <v>0</v>
      </c>
      <c r="T3119">
        <v>0</v>
      </c>
    </row>
    <row r="3120" spans="1:20" hidden="1" x14ac:dyDescent="0.4">
      <c r="A3120" s="1" t="s">
        <v>1175</v>
      </c>
      <c r="B3120" s="1" t="s">
        <v>1455</v>
      </c>
      <c r="C3120" s="1" t="s">
        <v>1844</v>
      </c>
      <c r="D3120" s="1" t="s">
        <v>1730</v>
      </c>
      <c r="E3120">
        <v>20251217</v>
      </c>
      <c r="F3120" s="1" t="s">
        <v>1470</v>
      </c>
      <c r="G3120">
        <v>4</v>
      </c>
      <c r="H3120" s="1" t="s">
        <v>1511</v>
      </c>
      <c r="I3120" t="s">
        <v>1891</v>
      </c>
      <c r="J3120" s="1" t="s">
        <v>1456</v>
      </c>
      <c r="K3120" s="1" t="s">
        <v>1573</v>
      </c>
      <c r="L3120" s="1" t="s">
        <v>1729</v>
      </c>
      <c r="M3120" s="1" t="s">
        <v>1741</v>
      </c>
      <c r="N3120" t="s">
        <v>2103</v>
      </c>
      <c r="O3120" t="s">
        <v>2708</v>
      </c>
      <c r="P3120" t="s">
        <v>3042</v>
      </c>
      <c r="Q3120">
        <v>235</v>
      </c>
      <c r="R3120" s="1" t="s">
        <v>1718</v>
      </c>
      <c r="S3120">
        <v>0</v>
      </c>
      <c r="T3120">
        <v>0</v>
      </c>
    </row>
    <row r="3121" spans="1:20" hidden="1" x14ac:dyDescent="0.4">
      <c r="A3121" s="1" t="s">
        <v>1175</v>
      </c>
      <c r="B3121" s="1" t="s">
        <v>1456</v>
      </c>
      <c r="C3121" s="1" t="s">
        <v>1844</v>
      </c>
      <c r="D3121" s="1" t="s">
        <v>1730</v>
      </c>
      <c r="E3121">
        <v>20251217</v>
      </c>
      <c r="F3121" s="1" t="s">
        <v>1470</v>
      </c>
      <c r="G3121">
        <v>4</v>
      </c>
      <c r="H3121" s="1" t="s">
        <v>1511</v>
      </c>
      <c r="I3121" t="s">
        <v>1891</v>
      </c>
      <c r="J3121" s="1" t="s">
        <v>1456</v>
      </c>
      <c r="K3121" s="1" t="s">
        <v>1573</v>
      </c>
      <c r="L3121" s="1" t="s">
        <v>1729</v>
      </c>
      <c r="M3121" s="1" t="s">
        <v>1741</v>
      </c>
      <c r="N3121" t="s">
        <v>2103</v>
      </c>
      <c r="O3121" t="s">
        <v>2224</v>
      </c>
      <c r="P3121" t="s">
        <v>3042</v>
      </c>
      <c r="Q3121">
        <v>125</v>
      </c>
      <c r="R3121" s="1" t="s">
        <v>1718</v>
      </c>
      <c r="S3121">
        <v>0</v>
      </c>
      <c r="T3121">
        <v>0</v>
      </c>
    </row>
    <row r="3122" spans="1:20" hidden="1" x14ac:dyDescent="0.4">
      <c r="A3122" s="1" t="s">
        <v>1175</v>
      </c>
      <c r="B3122" s="1" t="s">
        <v>1457</v>
      </c>
      <c r="C3122" s="1" t="s">
        <v>1844</v>
      </c>
      <c r="D3122" s="1" t="s">
        <v>1730</v>
      </c>
      <c r="E3122">
        <v>20251217</v>
      </c>
      <c r="F3122" s="1" t="s">
        <v>1470</v>
      </c>
      <c r="G3122">
        <v>4</v>
      </c>
      <c r="H3122" s="1" t="s">
        <v>1511</v>
      </c>
      <c r="I3122" t="s">
        <v>1891</v>
      </c>
      <c r="J3122" s="1" t="s">
        <v>1456</v>
      </c>
      <c r="K3122" s="1" t="s">
        <v>1573</v>
      </c>
      <c r="L3122" s="1" t="s">
        <v>1729</v>
      </c>
      <c r="M3122" s="1" t="s">
        <v>1741</v>
      </c>
      <c r="N3122" t="s">
        <v>2103</v>
      </c>
      <c r="O3122" t="s">
        <v>2288</v>
      </c>
      <c r="P3122" t="s">
        <v>3042</v>
      </c>
      <c r="Q3122">
        <v>27</v>
      </c>
      <c r="R3122" s="1" t="s">
        <v>1718</v>
      </c>
      <c r="S3122">
        <v>0</v>
      </c>
      <c r="T3122">
        <v>0</v>
      </c>
    </row>
    <row r="3123" spans="1:20" hidden="1" x14ac:dyDescent="0.4">
      <c r="A3123" s="1" t="s">
        <v>1175</v>
      </c>
      <c r="B3123" s="1" t="s">
        <v>1458</v>
      </c>
      <c r="C3123" s="1" t="s">
        <v>1844</v>
      </c>
      <c r="D3123" s="1" t="s">
        <v>1730</v>
      </c>
      <c r="E3123">
        <v>20251217</v>
      </c>
      <c r="F3123" s="1" t="s">
        <v>1470</v>
      </c>
      <c r="G3123">
        <v>4</v>
      </c>
      <c r="H3123" s="1" t="s">
        <v>1511</v>
      </c>
      <c r="I3123" t="s">
        <v>1891</v>
      </c>
      <c r="J3123" s="1" t="s">
        <v>1456</v>
      </c>
      <c r="K3123" s="1" t="s">
        <v>1573</v>
      </c>
      <c r="L3123" s="1" t="s">
        <v>1729</v>
      </c>
      <c r="M3123" s="1" t="s">
        <v>1741</v>
      </c>
      <c r="N3123" t="s">
        <v>2103</v>
      </c>
      <c r="O3123" t="s">
        <v>2573</v>
      </c>
      <c r="P3123" t="s">
        <v>3042</v>
      </c>
      <c r="Q3123">
        <v>55</v>
      </c>
      <c r="R3123" s="1" t="s">
        <v>1718</v>
      </c>
      <c r="S3123">
        <v>0</v>
      </c>
      <c r="T3123">
        <v>0</v>
      </c>
    </row>
    <row r="3124" spans="1:20" hidden="1" x14ac:dyDescent="0.4">
      <c r="A3124" s="1" t="s">
        <v>1175</v>
      </c>
      <c r="B3124" s="1" t="s">
        <v>1459</v>
      </c>
      <c r="C3124" s="1" t="s">
        <v>1844</v>
      </c>
      <c r="D3124" s="1" t="s">
        <v>1730</v>
      </c>
      <c r="E3124">
        <v>20251217</v>
      </c>
      <c r="F3124" s="1" t="s">
        <v>1470</v>
      </c>
      <c r="G3124">
        <v>4</v>
      </c>
      <c r="H3124" s="1" t="s">
        <v>1511</v>
      </c>
      <c r="I3124" t="s">
        <v>1891</v>
      </c>
      <c r="J3124" s="1" t="s">
        <v>1456</v>
      </c>
      <c r="K3124" s="1" t="s">
        <v>1573</v>
      </c>
      <c r="L3124" s="1" t="s">
        <v>1729</v>
      </c>
      <c r="M3124" s="1" t="s">
        <v>1741</v>
      </c>
      <c r="N3124" t="s">
        <v>2103</v>
      </c>
      <c r="O3124" t="s">
        <v>2709</v>
      </c>
      <c r="P3124" t="s">
        <v>3042</v>
      </c>
      <c r="Q3124">
        <v>72</v>
      </c>
      <c r="R3124" s="1" t="s">
        <v>1718</v>
      </c>
      <c r="S3124">
        <v>0</v>
      </c>
      <c r="T3124">
        <v>0</v>
      </c>
    </row>
    <row r="3125" spans="1:20" hidden="1" x14ac:dyDescent="0.4">
      <c r="A3125" s="1" t="s">
        <v>1175</v>
      </c>
      <c r="B3125" s="1" t="s">
        <v>1460</v>
      </c>
      <c r="C3125" s="1" t="s">
        <v>1844</v>
      </c>
      <c r="D3125" s="1" t="s">
        <v>1730</v>
      </c>
      <c r="E3125">
        <v>20251217</v>
      </c>
      <c r="F3125" s="1" t="s">
        <v>1470</v>
      </c>
      <c r="G3125">
        <v>4</v>
      </c>
      <c r="H3125" s="1" t="s">
        <v>1511</v>
      </c>
      <c r="I3125" t="s">
        <v>1891</v>
      </c>
      <c r="J3125" s="1" t="s">
        <v>1456</v>
      </c>
      <c r="K3125" s="1" t="s">
        <v>1573</v>
      </c>
      <c r="L3125" s="1" t="s">
        <v>1729</v>
      </c>
      <c r="M3125" s="1" t="s">
        <v>1741</v>
      </c>
      <c r="N3125" t="s">
        <v>2103</v>
      </c>
      <c r="O3125" t="s">
        <v>2289</v>
      </c>
      <c r="P3125" t="s">
        <v>3042</v>
      </c>
      <c r="Q3125">
        <v>30</v>
      </c>
      <c r="R3125" s="1" t="s">
        <v>1718</v>
      </c>
      <c r="S3125">
        <v>0</v>
      </c>
      <c r="T3125">
        <v>0</v>
      </c>
    </row>
    <row r="3126" spans="1:20" hidden="1" x14ac:dyDescent="0.4">
      <c r="A3126" s="1" t="s">
        <v>1175</v>
      </c>
      <c r="B3126" s="1" t="s">
        <v>1461</v>
      </c>
      <c r="C3126" s="1" t="s">
        <v>1844</v>
      </c>
      <c r="D3126" s="1" t="s">
        <v>1730</v>
      </c>
      <c r="E3126">
        <v>20251217</v>
      </c>
      <c r="F3126" s="1" t="s">
        <v>1470</v>
      </c>
      <c r="G3126">
        <v>4</v>
      </c>
      <c r="H3126" s="1" t="s">
        <v>1511</v>
      </c>
      <c r="I3126" t="s">
        <v>1891</v>
      </c>
      <c r="J3126" s="1" t="s">
        <v>1456</v>
      </c>
      <c r="K3126" s="1" t="s">
        <v>1569</v>
      </c>
      <c r="L3126" s="1" t="s">
        <v>1729</v>
      </c>
      <c r="M3126" s="1" t="s">
        <v>1742</v>
      </c>
      <c r="N3126" t="s">
        <v>2119</v>
      </c>
      <c r="O3126" t="s">
        <v>2710</v>
      </c>
      <c r="P3126" t="s">
        <v>3043</v>
      </c>
      <c r="Q3126">
        <v>400</v>
      </c>
      <c r="R3126" s="1" t="s">
        <v>1718</v>
      </c>
      <c r="S3126">
        <v>0</v>
      </c>
      <c r="T3126">
        <v>0</v>
      </c>
    </row>
    <row r="3127" spans="1:20" hidden="1" x14ac:dyDescent="0.4">
      <c r="A3127" s="1" t="s">
        <v>1175</v>
      </c>
      <c r="B3127" s="1" t="s">
        <v>1462</v>
      </c>
      <c r="C3127" s="1" t="s">
        <v>1844</v>
      </c>
      <c r="D3127" s="1" t="s">
        <v>1730</v>
      </c>
      <c r="E3127">
        <v>20251217</v>
      </c>
      <c r="F3127" s="1" t="s">
        <v>1470</v>
      </c>
      <c r="G3127">
        <v>4</v>
      </c>
      <c r="H3127" s="1" t="s">
        <v>1511</v>
      </c>
      <c r="I3127" t="s">
        <v>1891</v>
      </c>
      <c r="J3127" s="1" t="s">
        <v>1456</v>
      </c>
      <c r="K3127" s="1" t="s">
        <v>1569</v>
      </c>
      <c r="L3127" s="1" t="s">
        <v>1729</v>
      </c>
      <c r="M3127" s="1" t="s">
        <v>1742</v>
      </c>
      <c r="N3127" t="s">
        <v>2119</v>
      </c>
      <c r="O3127" t="s">
        <v>2711</v>
      </c>
      <c r="P3127" t="s">
        <v>3043</v>
      </c>
      <c r="Q3127">
        <v>150</v>
      </c>
      <c r="R3127" s="1" t="s">
        <v>1718</v>
      </c>
      <c r="S3127">
        <v>0</v>
      </c>
      <c r="T3127">
        <v>0</v>
      </c>
    </row>
    <row r="3128" spans="1:20" hidden="1" x14ac:dyDescent="0.4">
      <c r="A3128" s="1" t="s">
        <v>1175</v>
      </c>
      <c r="B3128" s="1" t="s">
        <v>1463</v>
      </c>
      <c r="C3128" s="1" t="s">
        <v>1844</v>
      </c>
      <c r="D3128" s="1" t="s">
        <v>1730</v>
      </c>
      <c r="E3128">
        <v>20251217</v>
      </c>
      <c r="F3128" s="1" t="s">
        <v>1470</v>
      </c>
      <c r="G3128">
        <v>4</v>
      </c>
      <c r="H3128" s="1" t="s">
        <v>1511</v>
      </c>
      <c r="I3128" t="s">
        <v>1891</v>
      </c>
      <c r="J3128" s="1" t="s">
        <v>1456</v>
      </c>
      <c r="K3128" s="1" t="s">
        <v>1569</v>
      </c>
      <c r="L3128" s="1" t="s">
        <v>1729</v>
      </c>
      <c r="M3128" s="1" t="s">
        <v>1742</v>
      </c>
      <c r="N3128" t="s">
        <v>2119</v>
      </c>
      <c r="O3128" t="s">
        <v>2712</v>
      </c>
      <c r="P3128" t="s">
        <v>3043</v>
      </c>
      <c r="Q3128">
        <v>125</v>
      </c>
      <c r="R3128" s="1" t="s">
        <v>1718</v>
      </c>
      <c r="S3128">
        <v>0</v>
      </c>
      <c r="T3128">
        <v>0</v>
      </c>
    </row>
    <row r="3129" spans="1:20" hidden="1" x14ac:dyDescent="0.4">
      <c r="A3129" s="1" t="s">
        <v>1176</v>
      </c>
      <c r="B3129" s="1" t="s">
        <v>1453</v>
      </c>
      <c r="C3129" s="1" t="s">
        <v>1844</v>
      </c>
      <c r="D3129" s="1" t="s">
        <v>1730</v>
      </c>
      <c r="E3129">
        <v>20251217</v>
      </c>
      <c r="F3129" s="1" t="s">
        <v>1470</v>
      </c>
      <c r="G3129">
        <v>4</v>
      </c>
      <c r="H3129" s="1" t="s">
        <v>1511</v>
      </c>
      <c r="I3129" t="s">
        <v>1891</v>
      </c>
      <c r="J3129" s="1" t="s">
        <v>1456</v>
      </c>
      <c r="K3129" s="1" t="s">
        <v>1566</v>
      </c>
      <c r="L3129" s="1" t="s">
        <v>1729</v>
      </c>
      <c r="M3129" s="1" t="s">
        <v>1737</v>
      </c>
      <c r="N3129" t="s">
        <v>1938</v>
      </c>
      <c r="O3129" t="s">
        <v>2286</v>
      </c>
      <c r="P3129" t="s">
        <v>2157</v>
      </c>
      <c r="Q3129">
        <v>600</v>
      </c>
      <c r="R3129" s="1" t="s">
        <v>1718</v>
      </c>
      <c r="S3129">
        <v>0</v>
      </c>
      <c r="T3129">
        <v>0</v>
      </c>
    </row>
    <row r="3130" spans="1:20" hidden="1" x14ac:dyDescent="0.4">
      <c r="A3130" s="1" t="s">
        <v>1176</v>
      </c>
      <c r="B3130" s="1" t="s">
        <v>1454</v>
      </c>
      <c r="C3130" s="1" t="s">
        <v>1844</v>
      </c>
      <c r="D3130" s="1" t="s">
        <v>1730</v>
      </c>
      <c r="E3130">
        <v>20251217</v>
      </c>
      <c r="F3130" s="1" t="s">
        <v>1470</v>
      </c>
      <c r="G3130">
        <v>4</v>
      </c>
      <c r="H3130" s="1" t="s">
        <v>1511</v>
      </c>
      <c r="I3130" t="s">
        <v>1891</v>
      </c>
      <c r="J3130" s="1" t="s">
        <v>1456</v>
      </c>
      <c r="K3130" s="1" t="s">
        <v>1566</v>
      </c>
      <c r="L3130" s="1" t="s">
        <v>1729</v>
      </c>
      <c r="M3130" s="1" t="s">
        <v>1737</v>
      </c>
      <c r="N3130" t="s">
        <v>1938</v>
      </c>
      <c r="O3130" t="s">
        <v>2713</v>
      </c>
      <c r="P3130" t="s">
        <v>2157</v>
      </c>
      <c r="Q3130">
        <v>100</v>
      </c>
      <c r="R3130" s="1" t="s">
        <v>1718</v>
      </c>
      <c r="S3130">
        <v>0</v>
      </c>
      <c r="T3130">
        <v>0</v>
      </c>
    </row>
    <row r="3131" spans="1:20" hidden="1" x14ac:dyDescent="0.4">
      <c r="A3131" s="1" t="s">
        <v>1176</v>
      </c>
      <c r="B3131" s="1" t="s">
        <v>1455</v>
      </c>
      <c r="C3131" s="1" t="s">
        <v>1844</v>
      </c>
      <c r="D3131" s="1" t="s">
        <v>1730</v>
      </c>
      <c r="E3131">
        <v>20251217</v>
      </c>
      <c r="F3131" s="1" t="s">
        <v>1470</v>
      </c>
      <c r="G3131">
        <v>4</v>
      </c>
      <c r="H3131" s="1" t="s">
        <v>1511</v>
      </c>
      <c r="I3131" t="s">
        <v>1891</v>
      </c>
      <c r="J3131" s="1" t="s">
        <v>1456</v>
      </c>
      <c r="K3131" s="1" t="s">
        <v>1562</v>
      </c>
      <c r="L3131" s="1" t="s">
        <v>1729</v>
      </c>
      <c r="M3131" s="1" t="s">
        <v>1735</v>
      </c>
      <c r="N3131" t="s">
        <v>1939</v>
      </c>
      <c r="O3131" t="s">
        <v>2714</v>
      </c>
      <c r="P3131" t="s">
        <v>3037</v>
      </c>
      <c r="Q3131">
        <v>100</v>
      </c>
      <c r="R3131" s="1" t="s">
        <v>1718</v>
      </c>
      <c r="S3131">
        <v>0</v>
      </c>
      <c r="T3131">
        <v>0</v>
      </c>
    </row>
    <row r="3132" spans="1:20" hidden="1" x14ac:dyDescent="0.4">
      <c r="A3132" s="1" t="s">
        <v>1176</v>
      </c>
      <c r="B3132" s="1" t="s">
        <v>1456</v>
      </c>
      <c r="C3132" s="1" t="s">
        <v>1844</v>
      </c>
      <c r="D3132" s="1" t="s">
        <v>1730</v>
      </c>
      <c r="E3132">
        <v>20251217</v>
      </c>
      <c r="F3132" s="1" t="s">
        <v>1470</v>
      </c>
      <c r="G3132">
        <v>4</v>
      </c>
      <c r="H3132" s="1" t="s">
        <v>1511</v>
      </c>
      <c r="I3132" t="s">
        <v>1891</v>
      </c>
      <c r="J3132" s="1" t="s">
        <v>1456</v>
      </c>
      <c r="K3132" s="1" t="s">
        <v>1575</v>
      </c>
      <c r="L3132" s="1" t="s">
        <v>1729</v>
      </c>
      <c r="M3132" s="1" t="s">
        <v>1735</v>
      </c>
      <c r="N3132" t="s">
        <v>1948</v>
      </c>
      <c r="O3132" t="s">
        <v>2574</v>
      </c>
      <c r="P3132" t="s">
        <v>3037</v>
      </c>
      <c r="Q3132">
        <v>240</v>
      </c>
      <c r="R3132" s="1" t="s">
        <v>1718</v>
      </c>
      <c r="S3132">
        <v>0</v>
      </c>
      <c r="T3132">
        <v>0</v>
      </c>
    </row>
    <row r="3133" spans="1:20" hidden="1" x14ac:dyDescent="0.4">
      <c r="A3133" s="1" t="s">
        <v>1176</v>
      </c>
      <c r="B3133" s="1" t="s">
        <v>1457</v>
      </c>
      <c r="C3133" s="1" t="s">
        <v>1844</v>
      </c>
      <c r="D3133" s="1" t="s">
        <v>1730</v>
      </c>
      <c r="E3133">
        <v>20251217</v>
      </c>
      <c r="F3133" s="1" t="s">
        <v>1470</v>
      </c>
      <c r="G3133">
        <v>4</v>
      </c>
      <c r="H3133" s="1" t="s">
        <v>1511</v>
      </c>
      <c r="I3133" t="s">
        <v>1891</v>
      </c>
      <c r="J3133" s="1" t="s">
        <v>1456</v>
      </c>
      <c r="K3133" s="1" t="s">
        <v>1575</v>
      </c>
      <c r="L3133" s="1" t="s">
        <v>1729</v>
      </c>
      <c r="M3133" s="1" t="s">
        <v>1735</v>
      </c>
      <c r="N3133" t="s">
        <v>1948</v>
      </c>
      <c r="O3133" t="s">
        <v>2575</v>
      </c>
      <c r="P3133" t="s">
        <v>3037</v>
      </c>
      <c r="Q3133">
        <v>100</v>
      </c>
      <c r="R3133" s="1" t="s">
        <v>1718</v>
      </c>
      <c r="S3133">
        <v>0</v>
      </c>
      <c r="T3133">
        <v>0</v>
      </c>
    </row>
    <row r="3134" spans="1:20" hidden="1" x14ac:dyDescent="0.4">
      <c r="A3134" s="1" t="s">
        <v>1177</v>
      </c>
      <c r="B3134" s="1" t="s">
        <v>1453</v>
      </c>
      <c r="C3134" s="1" t="s">
        <v>1844</v>
      </c>
      <c r="D3134" s="1" t="s">
        <v>1462</v>
      </c>
      <c r="E3134">
        <v>20251201</v>
      </c>
      <c r="F3134" s="1" t="s">
        <v>1471</v>
      </c>
      <c r="G3134">
        <v>4</v>
      </c>
      <c r="H3134" s="1" t="s">
        <v>1529</v>
      </c>
      <c r="I3134" t="s">
        <v>1909</v>
      </c>
      <c r="J3134" s="1" t="s">
        <v>1460</v>
      </c>
      <c r="K3134" s="1" t="s">
        <v>1674</v>
      </c>
      <c r="L3134" s="1" t="s">
        <v>1734</v>
      </c>
      <c r="M3134" s="1" t="s">
        <v>1737</v>
      </c>
      <c r="N3134" t="s">
        <v>2065</v>
      </c>
      <c r="O3134" t="s">
        <v>2180</v>
      </c>
      <c r="P3134" t="s">
        <v>2157</v>
      </c>
      <c r="Q3134">
        <v>591</v>
      </c>
      <c r="R3134" s="1" t="s">
        <v>1840</v>
      </c>
      <c r="S3134">
        <v>535</v>
      </c>
      <c r="T3134">
        <v>316185</v>
      </c>
    </row>
    <row r="3135" spans="1:20" hidden="1" x14ac:dyDescent="0.4">
      <c r="A3135" s="1" t="s">
        <v>1178</v>
      </c>
      <c r="B3135" s="1" t="s">
        <v>1453</v>
      </c>
      <c r="C3135" s="1" t="s">
        <v>1844</v>
      </c>
      <c r="D3135" s="1" t="s">
        <v>1730</v>
      </c>
      <c r="E3135">
        <v>20251217</v>
      </c>
      <c r="F3135" s="1" t="s">
        <v>1470</v>
      </c>
      <c r="G3135">
        <v>4</v>
      </c>
      <c r="H3135" s="1" t="s">
        <v>1503</v>
      </c>
      <c r="I3135" t="s">
        <v>1883</v>
      </c>
      <c r="J3135" s="1" t="s">
        <v>1456</v>
      </c>
      <c r="K3135" s="1" t="s">
        <v>1612</v>
      </c>
      <c r="L3135" s="1" t="s">
        <v>1729</v>
      </c>
      <c r="M3135" s="1" t="s">
        <v>1737</v>
      </c>
      <c r="N3135" t="s">
        <v>1986</v>
      </c>
      <c r="O3135" t="s">
        <v>2715</v>
      </c>
      <c r="P3135" t="s">
        <v>2627</v>
      </c>
      <c r="Q3135">
        <v>12.3</v>
      </c>
      <c r="R3135" s="1" t="s">
        <v>1839</v>
      </c>
      <c r="S3135">
        <v>0</v>
      </c>
      <c r="T3135">
        <v>0</v>
      </c>
    </row>
    <row r="3136" spans="1:20" hidden="1" x14ac:dyDescent="0.4">
      <c r="A3136" s="1" t="s">
        <v>1179</v>
      </c>
      <c r="B3136" s="1" t="s">
        <v>1453</v>
      </c>
      <c r="C3136" s="1" t="s">
        <v>1844</v>
      </c>
      <c r="D3136" s="1" t="s">
        <v>1730</v>
      </c>
      <c r="E3136">
        <v>20251217</v>
      </c>
      <c r="F3136" s="1" t="s">
        <v>1470</v>
      </c>
      <c r="G3136">
        <v>4</v>
      </c>
      <c r="H3136" s="1" t="s">
        <v>1503</v>
      </c>
      <c r="I3136" t="s">
        <v>1883</v>
      </c>
      <c r="J3136" s="1" t="s">
        <v>1456</v>
      </c>
      <c r="K3136" s="1" t="s">
        <v>1612</v>
      </c>
      <c r="L3136" s="1" t="s">
        <v>1729</v>
      </c>
      <c r="M3136" s="1" t="s">
        <v>1737</v>
      </c>
      <c r="N3136" t="s">
        <v>1986</v>
      </c>
      <c r="O3136" t="s">
        <v>2716</v>
      </c>
      <c r="P3136" t="s">
        <v>2628</v>
      </c>
      <c r="Q3136">
        <v>12.3</v>
      </c>
      <c r="R3136" s="1" t="s">
        <v>1839</v>
      </c>
      <c r="S3136">
        <v>0</v>
      </c>
      <c r="T3136">
        <v>0</v>
      </c>
    </row>
    <row r="3137" spans="1:20" hidden="1" x14ac:dyDescent="0.4">
      <c r="A3137" s="1" t="s">
        <v>1180</v>
      </c>
      <c r="B3137" s="1" t="s">
        <v>1453</v>
      </c>
      <c r="C3137" s="1" t="s">
        <v>1844</v>
      </c>
      <c r="D3137" s="1" t="s">
        <v>1730</v>
      </c>
      <c r="E3137">
        <v>20251217</v>
      </c>
      <c r="F3137" s="1" t="s">
        <v>1470</v>
      </c>
      <c r="G3137">
        <v>4</v>
      </c>
      <c r="H3137" s="1" t="s">
        <v>1503</v>
      </c>
      <c r="I3137" t="s">
        <v>1883</v>
      </c>
      <c r="J3137" s="1" t="s">
        <v>1456</v>
      </c>
      <c r="K3137" s="1" t="s">
        <v>1612</v>
      </c>
      <c r="L3137" s="1" t="s">
        <v>1729</v>
      </c>
      <c r="M3137" s="1" t="s">
        <v>1737</v>
      </c>
      <c r="N3137" t="s">
        <v>1986</v>
      </c>
      <c r="O3137" t="s">
        <v>2717</v>
      </c>
      <c r="P3137" t="s">
        <v>2629</v>
      </c>
      <c r="Q3137">
        <v>12.3</v>
      </c>
      <c r="R3137" s="1" t="s">
        <v>1839</v>
      </c>
      <c r="S3137">
        <v>0</v>
      </c>
      <c r="T3137">
        <v>0</v>
      </c>
    </row>
    <row r="3138" spans="1:20" hidden="1" x14ac:dyDescent="0.4">
      <c r="A3138" s="1" t="s">
        <v>1181</v>
      </c>
      <c r="B3138" s="1" t="s">
        <v>1453</v>
      </c>
      <c r="C3138" s="1" t="s">
        <v>1844</v>
      </c>
      <c r="D3138" s="1" t="s">
        <v>1730</v>
      </c>
      <c r="E3138">
        <v>20251217</v>
      </c>
      <c r="F3138" s="1" t="s">
        <v>1470</v>
      </c>
      <c r="G3138">
        <v>4</v>
      </c>
      <c r="H3138" s="1" t="s">
        <v>1503</v>
      </c>
      <c r="I3138" t="s">
        <v>1883</v>
      </c>
      <c r="J3138" s="1" t="s">
        <v>1456</v>
      </c>
      <c r="K3138" s="1" t="s">
        <v>1612</v>
      </c>
      <c r="L3138" s="1" t="s">
        <v>1729</v>
      </c>
      <c r="M3138" s="1" t="s">
        <v>1737</v>
      </c>
      <c r="N3138" t="s">
        <v>1986</v>
      </c>
      <c r="O3138" t="s">
        <v>2718</v>
      </c>
      <c r="P3138" t="s">
        <v>2630</v>
      </c>
      <c r="Q3138">
        <v>12.3</v>
      </c>
      <c r="R3138" s="1" t="s">
        <v>1839</v>
      </c>
      <c r="S3138">
        <v>0</v>
      </c>
      <c r="T3138">
        <v>0</v>
      </c>
    </row>
    <row r="3139" spans="1:20" hidden="1" x14ac:dyDescent="0.4">
      <c r="A3139" s="1" t="s">
        <v>1182</v>
      </c>
      <c r="B3139" s="1" t="s">
        <v>1453</v>
      </c>
      <c r="C3139" s="1" t="s">
        <v>1844</v>
      </c>
      <c r="D3139" s="1" t="s">
        <v>1467</v>
      </c>
      <c r="E3139">
        <v>20251216</v>
      </c>
      <c r="F3139" s="1" t="s">
        <v>1473</v>
      </c>
      <c r="G3139">
        <v>4</v>
      </c>
      <c r="H3139" s="1" t="s">
        <v>1521</v>
      </c>
      <c r="I3139" t="s">
        <v>1901</v>
      </c>
      <c r="J3139" s="1" t="s">
        <v>1453</v>
      </c>
      <c r="K3139" s="1" t="s">
        <v>1596</v>
      </c>
      <c r="L3139" s="1" t="s">
        <v>1718</v>
      </c>
      <c r="M3139" s="1" t="s">
        <v>1764</v>
      </c>
      <c r="N3139" t="s">
        <v>1971</v>
      </c>
      <c r="O3139" t="s">
        <v>2164</v>
      </c>
      <c r="P3139" t="s">
        <v>3082</v>
      </c>
      <c r="Q3139">
        <v>138.32</v>
      </c>
      <c r="R3139" s="1" t="s">
        <v>1839</v>
      </c>
      <c r="S3139">
        <v>1419</v>
      </c>
      <c r="T3139">
        <v>196276</v>
      </c>
    </row>
    <row r="3140" spans="1:20" hidden="1" x14ac:dyDescent="0.4">
      <c r="A3140" s="1" t="s">
        <v>1182</v>
      </c>
      <c r="B3140" s="1" t="s">
        <v>1454</v>
      </c>
      <c r="C3140" s="1" t="s">
        <v>1844</v>
      </c>
      <c r="D3140" s="1" t="s">
        <v>1467</v>
      </c>
      <c r="E3140">
        <v>20251216</v>
      </c>
      <c r="F3140" s="1" t="s">
        <v>1473</v>
      </c>
      <c r="G3140">
        <v>4</v>
      </c>
      <c r="H3140" s="1" t="s">
        <v>1521</v>
      </c>
      <c r="I3140" t="s">
        <v>1901</v>
      </c>
      <c r="J3140" s="1" t="s">
        <v>1453</v>
      </c>
      <c r="K3140" s="1" t="s">
        <v>1596</v>
      </c>
      <c r="L3140" s="1" t="s">
        <v>1718</v>
      </c>
      <c r="M3140" s="1" t="s">
        <v>1764</v>
      </c>
      <c r="N3140" t="s">
        <v>1971</v>
      </c>
      <c r="O3140" t="s">
        <v>2164</v>
      </c>
      <c r="P3140" t="s">
        <v>3082</v>
      </c>
      <c r="Q3140">
        <v>138.32</v>
      </c>
      <c r="R3140" s="1" t="s">
        <v>1839</v>
      </c>
      <c r="S3140">
        <v>1419</v>
      </c>
      <c r="T3140">
        <v>196276</v>
      </c>
    </row>
    <row r="3141" spans="1:20" hidden="1" x14ac:dyDescent="0.4">
      <c r="A3141" s="1" t="s">
        <v>1182</v>
      </c>
      <c r="B3141" s="1" t="s">
        <v>1455</v>
      </c>
      <c r="C3141" s="1" t="s">
        <v>1844</v>
      </c>
      <c r="D3141" s="1" t="s">
        <v>1467</v>
      </c>
      <c r="E3141">
        <v>20251216</v>
      </c>
      <c r="F3141" s="1" t="s">
        <v>1473</v>
      </c>
      <c r="G3141">
        <v>4</v>
      </c>
      <c r="H3141" s="1" t="s">
        <v>1521</v>
      </c>
      <c r="I3141" t="s">
        <v>1901</v>
      </c>
      <c r="J3141" s="1" t="s">
        <v>1453</v>
      </c>
      <c r="K3141" s="1" t="s">
        <v>1596</v>
      </c>
      <c r="L3141" s="1" t="s">
        <v>1718</v>
      </c>
      <c r="M3141" s="1" t="s">
        <v>1764</v>
      </c>
      <c r="N3141" t="s">
        <v>1971</v>
      </c>
      <c r="O3141" t="s">
        <v>2164</v>
      </c>
      <c r="P3141" t="s">
        <v>3082</v>
      </c>
      <c r="Q3141">
        <v>138.32</v>
      </c>
      <c r="R3141" s="1" t="s">
        <v>1839</v>
      </c>
      <c r="S3141">
        <v>1419</v>
      </c>
      <c r="T3141">
        <v>196276</v>
      </c>
    </row>
    <row r="3142" spans="1:20" hidden="1" x14ac:dyDescent="0.4">
      <c r="A3142" s="1" t="s">
        <v>1182</v>
      </c>
      <c r="B3142" s="1" t="s">
        <v>1456</v>
      </c>
      <c r="C3142" s="1" t="s">
        <v>1844</v>
      </c>
      <c r="D3142" s="1" t="s">
        <v>1467</v>
      </c>
      <c r="E3142">
        <v>20251216</v>
      </c>
      <c r="F3142" s="1" t="s">
        <v>1473</v>
      </c>
      <c r="G3142">
        <v>4</v>
      </c>
      <c r="H3142" s="1" t="s">
        <v>1521</v>
      </c>
      <c r="I3142" t="s">
        <v>1901</v>
      </c>
      <c r="J3142" s="1" t="s">
        <v>1453</v>
      </c>
      <c r="K3142" s="1" t="s">
        <v>1596</v>
      </c>
      <c r="L3142" s="1" t="s">
        <v>1718</v>
      </c>
      <c r="M3142" s="1" t="s">
        <v>1764</v>
      </c>
      <c r="N3142" t="s">
        <v>1971</v>
      </c>
      <c r="O3142" t="s">
        <v>2164</v>
      </c>
      <c r="P3142" t="s">
        <v>3082</v>
      </c>
      <c r="Q3142">
        <v>120.84</v>
      </c>
      <c r="R3142" s="1" t="s">
        <v>1839</v>
      </c>
      <c r="S3142">
        <v>1419</v>
      </c>
      <c r="T3142">
        <v>171472</v>
      </c>
    </row>
    <row r="3143" spans="1:20" hidden="1" x14ac:dyDescent="0.4">
      <c r="A3143" s="1" t="s">
        <v>1182</v>
      </c>
      <c r="B3143" s="1" t="s">
        <v>1457</v>
      </c>
      <c r="C3143" s="1" t="s">
        <v>1844</v>
      </c>
      <c r="D3143" s="1" t="s">
        <v>1467</v>
      </c>
      <c r="E3143">
        <v>20251216</v>
      </c>
      <c r="F3143" s="1" t="s">
        <v>1473</v>
      </c>
      <c r="G3143">
        <v>4</v>
      </c>
      <c r="H3143" s="1" t="s">
        <v>1521</v>
      </c>
      <c r="I3143" t="s">
        <v>1901</v>
      </c>
      <c r="J3143" s="1" t="s">
        <v>1453</v>
      </c>
      <c r="K3143" s="1" t="s">
        <v>1596</v>
      </c>
      <c r="L3143" s="1" t="s">
        <v>1718</v>
      </c>
      <c r="M3143" s="1" t="s">
        <v>1764</v>
      </c>
      <c r="N3143" t="s">
        <v>1971</v>
      </c>
      <c r="O3143" t="s">
        <v>2164</v>
      </c>
      <c r="P3143" t="s">
        <v>3082</v>
      </c>
      <c r="Q3143">
        <v>145.6</v>
      </c>
      <c r="R3143" s="1" t="s">
        <v>1839</v>
      </c>
      <c r="S3143">
        <v>1419</v>
      </c>
      <c r="T3143">
        <v>206606</v>
      </c>
    </row>
    <row r="3144" spans="1:20" hidden="1" x14ac:dyDescent="0.4">
      <c r="A3144" s="1" t="s">
        <v>1182</v>
      </c>
      <c r="B3144" s="1" t="s">
        <v>1458</v>
      </c>
      <c r="C3144" s="1" t="s">
        <v>1844</v>
      </c>
      <c r="D3144" s="1" t="s">
        <v>1467</v>
      </c>
      <c r="E3144">
        <v>20251216</v>
      </c>
      <c r="F3144" s="1" t="s">
        <v>1473</v>
      </c>
      <c r="G3144">
        <v>4</v>
      </c>
      <c r="H3144" s="1" t="s">
        <v>1521</v>
      </c>
      <c r="I3144" t="s">
        <v>1901</v>
      </c>
      <c r="J3144" s="1" t="s">
        <v>1453</v>
      </c>
      <c r="K3144" s="1" t="s">
        <v>1596</v>
      </c>
      <c r="L3144" s="1" t="s">
        <v>1718</v>
      </c>
      <c r="M3144" s="1" t="s">
        <v>1764</v>
      </c>
      <c r="N3144" t="s">
        <v>1971</v>
      </c>
      <c r="O3144" t="s">
        <v>2164</v>
      </c>
      <c r="P3144" t="s">
        <v>3082</v>
      </c>
      <c r="Q3144">
        <v>145.6</v>
      </c>
      <c r="R3144" s="1" t="s">
        <v>1839</v>
      </c>
      <c r="S3144">
        <v>1419</v>
      </c>
      <c r="T3144">
        <v>206606</v>
      </c>
    </row>
    <row r="3145" spans="1:20" hidden="1" x14ac:dyDescent="0.4">
      <c r="A3145" s="1" t="s">
        <v>1182</v>
      </c>
      <c r="B3145" s="1" t="s">
        <v>1459</v>
      </c>
      <c r="C3145" s="1" t="s">
        <v>1844</v>
      </c>
      <c r="D3145" s="1" t="s">
        <v>1467</v>
      </c>
      <c r="E3145">
        <v>20251216</v>
      </c>
      <c r="F3145" s="1" t="s">
        <v>1473</v>
      </c>
      <c r="G3145">
        <v>4</v>
      </c>
      <c r="H3145" s="1" t="s">
        <v>1521</v>
      </c>
      <c r="I3145" t="s">
        <v>1901</v>
      </c>
      <c r="J3145" s="1" t="s">
        <v>1453</v>
      </c>
      <c r="K3145" s="1" t="s">
        <v>1596</v>
      </c>
      <c r="L3145" s="1" t="s">
        <v>1718</v>
      </c>
      <c r="M3145" s="1" t="s">
        <v>1764</v>
      </c>
      <c r="N3145" t="s">
        <v>1971</v>
      </c>
      <c r="O3145" t="s">
        <v>2164</v>
      </c>
      <c r="P3145" t="s">
        <v>3082</v>
      </c>
      <c r="Q3145">
        <v>143.78</v>
      </c>
      <c r="R3145" s="1" t="s">
        <v>1839</v>
      </c>
      <c r="S3145">
        <v>1419</v>
      </c>
      <c r="T3145">
        <v>204024</v>
      </c>
    </row>
    <row r="3146" spans="1:20" hidden="1" x14ac:dyDescent="0.4">
      <c r="A3146" s="1" t="s">
        <v>1182</v>
      </c>
      <c r="B3146" s="1" t="s">
        <v>1460</v>
      </c>
      <c r="C3146" s="1" t="s">
        <v>1844</v>
      </c>
      <c r="D3146" s="1" t="s">
        <v>1467</v>
      </c>
      <c r="E3146">
        <v>20251216</v>
      </c>
      <c r="F3146" s="1" t="s">
        <v>1473</v>
      </c>
      <c r="G3146">
        <v>4</v>
      </c>
      <c r="H3146" s="1" t="s">
        <v>1521</v>
      </c>
      <c r="I3146" t="s">
        <v>1901</v>
      </c>
      <c r="J3146" s="1" t="s">
        <v>1453</v>
      </c>
      <c r="K3146" s="1" t="s">
        <v>1596</v>
      </c>
      <c r="L3146" s="1" t="s">
        <v>1718</v>
      </c>
      <c r="M3146" s="1" t="s">
        <v>1764</v>
      </c>
      <c r="N3146" t="s">
        <v>1971</v>
      </c>
      <c r="O3146" t="s">
        <v>2164</v>
      </c>
      <c r="P3146" t="s">
        <v>3082</v>
      </c>
      <c r="Q3146">
        <v>109.2</v>
      </c>
      <c r="R3146" s="1" t="s">
        <v>1839</v>
      </c>
      <c r="S3146">
        <v>1419</v>
      </c>
      <c r="T3146">
        <v>154955</v>
      </c>
    </row>
    <row r="3147" spans="1:20" hidden="1" x14ac:dyDescent="0.4">
      <c r="A3147" s="1" t="s">
        <v>1182</v>
      </c>
      <c r="B3147" s="1" t="s">
        <v>1461</v>
      </c>
      <c r="C3147" s="1" t="s">
        <v>1844</v>
      </c>
      <c r="D3147" s="1" t="s">
        <v>1467</v>
      </c>
      <c r="E3147">
        <v>20251216</v>
      </c>
      <c r="F3147" s="1" t="s">
        <v>1473</v>
      </c>
      <c r="G3147">
        <v>4</v>
      </c>
      <c r="H3147" s="1" t="s">
        <v>1521</v>
      </c>
      <c r="I3147" t="s">
        <v>1901</v>
      </c>
      <c r="J3147" s="1" t="s">
        <v>1453</v>
      </c>
      <c r="K3147" s="1" t="s">
        <v>1596</v>
      </c>
      <c r="L3147" s="1" t="s">
        <v>1718</v>
      </c>
      <c r="M3147" s="1" t="s">
        <v>1764</v>
      </c>
      <c r="N3147" t="s">
        <v>1971</v>
      </c>
      <c r="O3147" t="s">
        <v>2164</v>
      </c>
      <c r="P3147" t="s">
        <v>3082</v>
      </c>
      <c r="Q3147">
        <v>112.84</v>
      </c>
      <c r="R3147" s="1" t="s">
        <v>1839</v>
      </c>
      <c r="S3147">
        <v>1419</v>
      </c>
      <c r="T3147">
        <v>160120</v>
      </c>
    </row>
    <row r="3148" spans="1:20" hidden="1" x14ac:dyDescent="0.4">
      <c r="A3148" s="1" t="s">
        <v>1182</v>
      </c>
      <c r="B3148" s="1" t="s">
        <v>1462</v>
      </c>
      <c r="C3148" s="1" t="s">
        <v>1844</v>
      </c>
      <c r="D3148" s="1" t="s">
        <v>1467</v>
      </c>
      <c r="E3148">
        <v>20251216</v>
      </c>
      <c r="F3148" s="1" t="s">
        <v>1473</v>
      </c>
      <c r="G3148">
        <v>4</v>
      </c>
      <c r="H3148" s="1" t="s">
        <v>1521</v>
      </c>
      <c r="I3148" t="s">
        <v>1901</v>
      </c>
      <c r="J3148" s="1" t="s">
        <v>1453</v>
      </c>
      <c r="K3148" s="1" t="s">
        <v>1596</v>
      </c>
      <c r="L3148" s="1" t="s">
        <v>1718</v>
      </c>
      <c r="M3148" s="1" t="s">
        <v>1764</v>
      </c>
      <c r="N3148" t="s">
        <v>1971</v>
      </c>
      <c r="O3148" t="s">
        <v>2164</v>
      </c>
      <c r="P3148" t="s">
        <v>3082</v>
      </c>
      <c r="Q3148">
        <v>145.6</v>
      </c>
      <c r="R3148" s="1" t="s">
        <v>1839</v>
      </c>
      <c r="S3148">
        <v>1419</v>
      </c>
      <c r="T3148">
        <v>206606</v>
      </c>
    </row>
    <row r="3149" spans="1:20" hidden="1" x14ac:dyDescent="0.4">
      <c r="A3149" s="1" t="s">
        <v>1182</v>
      </c>
      <c r="B3149" s="1" t="s">
        <v>1463</v>
      </c>
      <c r="C3149" s="1" t="s">
        <v>1844</v>
      </c>
      <c r="D3149" s="1" t="s">
        <v>1467</v>
      </c>
      <c r="E3149">
        <v>20251216</v>
      </c>
      <c r="F3149" s="1" t="s">
        <v>1473</v>
      </c>
      <c r="G3149">
        <v>4</v>
      </c>
      <c r="H3149" s="1" t="s">
        <v>1521</v>
      </c>
      <c r="I3149" t="s">
        <v>1901</v>
      </c>
      <c r="J3149" s="1" t="s">
        <v>1453</v>
      </c>
      <c r="K3149" s="1" t="s">
        <v>1596</v>
      </c>
      <c r="L3149" s="1" t="s">
        <v>1718</v>
      </c>
      <c r="M3149" s="1" t="s">
        <v>1764</v>
      </c>
      <c r="N3149" t="s">
        <v>1971</v>
      </c>
      <c r="O3149" t="s">
        <v>2164</v>
      </c>
      <c r="P3149" t="s">
        <v>3082</v>
      </c>
      <c r="Q3149">
        <v>139.41</v>
      </c>
      <c r="R3149" s="1" t="s">
        <v>1839</v>
      </c>
      <c r="S3149">
        <v>1419</v>
      </c>
      <c r="T3149">
        <v>197823</v>
      </c>
    </row>
    <row r="3150" spans="1:20" hidden="1" x14ac:dyDescent="0.4">
      <c r="A3150" s="1" t="s">
        <v>1183</v>
      </c>
      <c r="B3150" s="1" t="s">
        <v>1453</v>
      </c>
      <c r="C3150" s="1" t="s">
        <v>1844</v>
      </c>
      <c r="D3150" s="1" t="s">
        <v>1467</v>
      </c>
      <c r="E3150">
        <v>20251216</v>
      </c>
      <c r="F3150" s="1" t="s">
        <v>1473</v>
      </c>
      <c r="G3150">
        <v>4</v>
      </c>
      <c r="H3150" s="1" t="s">
        <v>1521</v>
      </c>
      <c r="I3150" t="s">
        <v>1901</v>
      </c>
      <c r="J3150" s="1" t="s">
        <v>1453</v>
      </c>
      <c r="K3150" s="1" t="s">
        <v>1596</v>
      </c>
      <c r="L3150" s="1" t="s">
        <v>1718</v>
      </c>
      <c r="M3150" s="1" t="s">
        <v>1764</v>
      </c>
      <c r="N3150" t="s">
        <v>1971</v>
      </c>
      <c r="O3150" t="s">
        <v>2164</v>
      </c>
      <c r="P3150" t="s">
        <v>3082</v>
      </c>
      <c r="Q3150">
        <v>140.5</v>
      </c>
      <c r="R3150" s="1" t="s">
        <v>1839</v>
      </c>
      <c r="S3150">
        <v>1419</v>
      </c>
      <c r="T3150">
        <v>199370</v>
      </c>
    </row>
    <row r="3151" spans="1:20" hidden="1" x14ac:dyDescent="0.4">
      <c r="A3151" s="1" t="s">
        <v>1184</v>
      </c>
      <c r="B3151" s="1" t="s">
        <v>1453</v>
      </c>
      <c r="C3151" s="1" t="s">
        <v>1844</v>
      </c>
      <c r="D3151" s="1" t="s">
        <v>1730</v>
      </c>
      <c r="E3151">
        <v>20251217</v>
      </c>
      <c r="F3151" s="1" t="s">
        <v>1470</v>
      </c>
      <c r="G3151">
        <v>4</v>
      </c>
      <c r="H3151" s="1" t="s">
        <v>1503</v>
      </c>
      <c r="I3151" t="s">
        <v>1883</v>
      </c>
      <c r="J3151" s="1" t="s">
        <v>1456</v>
      </c>
      <c r="K3151" s="1" t="s">
        <v>1552</v>
      </c>
      <c r="L3151" s="1" t="s">
        <v>1729</v>
      </c>
      <c r="M3151" s="1" t="s">
        <v>1743</v>
      </c>
      <c r="N3151" t="s">
        <v>2097</v>
      </c>
      <c r="O3151" t="s">
        <v>2719</v>
      </c>
      <c r="P3151" t="s">
        <v>3044</v>
      </c>
      <c r="Q3151">
        <v>6</v>
      </c>
      <c r="R3151" s="1" t="s">
        <v>1718</v>
      </c>
      <c r="S3151">
        <v>0</v>
      </c>
      <c r="T3151">
        <v>0</v>
      </c>
    </row>
    <row r="3152" spans="1:20" hidden="1" x14ac:dyDescent="0.4">
      <c r="A3152" s="1" t="s">
        <v>1184</v>
      </c>
      <c r="B3152" s="1" t="s">
        <v>1454</v>
      </c>
      <c r="C3152" s="1" t="s">
        <v>1844</v>
      </c>
      <c r="D3152" s="1" t="s">
        <v>1730</v>
      </c>
      <c r="E3152">
        <v>20251217</v>
      </c>
      <c r="F3152" s="1" t="s">
        <v>1470</v>
      </c>
      <c r="G3152">
        <v>4</v>
      </c>
      <c r="H3152" s="1" t="s">
        <v>1503</v>
      </c>
      <c r="I3152" t="s">
        <v>1883</v>
      </c>
      <c r="J3152" s="1" t="s">
        <v>1456</v>
      </c>
      <c r="K3152" s="1" t="s">
        <v>1552</v>
      </c>
      <c r="L3152" s="1" t="s">
        <v>1729</v>
      </c>
      <c r="M3152" s="1" t="s">
        <v>1743</v>
      </c>
      <c r="N3152" t="s">
        <v>2097</v>
      </c>
      <c r="O3152" t="s">
        <v>2719</v>
      </c>
      <c r="P3152" t="s">
        <v>3044</v>
      </c>
      <c r="Q3152">
        <v>14</v>
      </c>
      <c r="R3152" s="1" t="s">
        <v>1718</v>
      </c>
      <c r="S3152">
        <v>0</v>
      </c>
      <c r="T3152">
        <v>0</v>
      </c>
    </row>
    <row r="3153" spans="1:20" hidden="1" x14ac:dyDescent="0.4">
      <c r="A3153" s="1" t="s">
        <v>1185</v>
      </c>
      <c r="B3153" s="1" t="s">
        <v>1453</v>
      </c>
      <c r="C3153" s="1" t="s">
        <v>1844</v>
      </c>
      <c r="D3153" s="1" t="s">
        <v>1731</v>
      </c>
      <c r="E3153">
        <v>20251216</v>
      </c>
      <c r="F3153" s="1" t="s">
        <v>1470</v>
      </c>
      <c r="G3153">
        <v>1</v>
      </c>
      <c r="H3153" s="1" t="s">
        <v>1494</v>
      </c>
      <c r="I3153" t="s">
        <v>1874</v>
      </c>
      <c r="J3153" s="1" t="s">
        <v>1459</v>
      </c>
      <c r="K3153" s="1" t="s">
        <v>1581</v>
      </c>
      <c r="L3153" s="1" t="s">
        <v>1717</v>
      </c>
      <c r="M3153" s="1" t="s">
        <v>1737</v>
      </c>
      <c r="N3153" t="s">
        <v>1956</v>
      </c>
      <c r="O3153" t="s">
        <v>2163</v>
      </c>
      <c r="P3153" t="s">
        <v>2157</v>
      </c>
      <c r="Q3153">
        <v>4000</v>
      </c>
      <c r="R3153" s="1" t="s">
        <v>1463</v>
      </c>
      <c r="S3153">
        <v>280</v>
      </c>
      <c r="T3153">
        <v>1120000</v>
      </c>
    </row>
    <row r="3154" spans="1:20" hidden="1" x14ac:dyDescent="0.4">
      <c r="A3154" s="1" t="s">
        <v>1186</v>
      </c>
      <c r="B3154" s="1" t="s">
        <v>1453</v>
      </c>
      <c r="C3154" s="1" t="s">
        <v>1844</v>
      </c>
      <c r="D3154" s="1" t="s">
        <v>1731</v>
      </c>
      <c r="E3154">
        <v>20251216</v>
      </c>
      <c r="F3154" s="1" t="s">
        <v>1471</v>
      </c>
      <c r="G3154">
        <v>1</v>
      </c>
      <c r="H3154" s="1" t="s">
        <v>1494</v>
      </c>
      <c r="I3154" t="s">
        <v>1874</v>
      </c>
      <c r="J3154" s="1" t="s">
        <v>1454</v>
      </c>
      <c r="K3154" s="1" t="s">
        <v>1675</v>
      </c>
      <c r="L3154" s="1" t="s">
        <v>1716</v>
      </c>
      <c r="M3154" s="1" t="s">
        <v>1759</v>
      </c>
      <c r="N3154" t="s">
        <v>2066</v>
      </c>
      <c r="O3154" t="s">
        <v>2162</v>
      </c>
      <c r="P3154" t="s">
        <v>3074</v>
      </c>
      <c r="Q3154">
        <v>1001</v>
      </c>
      <c r="R3154" s="1" t="s">
        <v>1463</v>
      </c>
      <c r="S3154">
        <v>1000</v>
      </c>
      <c r="T3154">
        <v>1001000</v>
      </c>
    </row>
    <row r="3155" spans="1:20" hidden="1" x14ac:dyDescent="0.4">
      <c r="A3155" s="1" t="s">
        <v>1187</v>
      </c>
      <c r="B3155" s="1" t="s">
        <v>1453</v>
      </c>
      <c r="C3155" s="1" t="s">
        <v>1844</v>
      </c>
      <c r="D3155" s="1" t="s">
        <v>1462</v>
      </c>
      <c r="E3155">
        <v>20251215</v>
      </c>
      <c r="F3155" s="1" t="s">
        <v>1471</v>
      </c>
      <c r="G3155">
        <v>4</v>
      </c>
      <c r="H3155" s="1" t="s">
        <v>1538</v>
      </c>
      <c r="I3155" t="s">
        <v>1918</v>
      </c>
      <c r="J3155" s="1" t="s">
        <v>1460</v>
      </c>
      <c r="K3155" s="1" t="s">
        <v>1676</v>
      </c>
      <c r="L3155" s="1" t="s">
        <v>1731</v>
      </c>
      <c r="M3155" s="1" t="s">
        <v>1812</v>
      </c>
      <c r="N3155" t="s">
        <v>2067</v>
      </c>
      <c r="O3155" t="s">
        <v>2178</v>
      </c>
      <c r="P3155" t="s">
        <v>3193</v>
      </c>
      <c r="Q3155">
        <v>7000</v>
      </c>
      <c r="R3155" s="1" t="s">
        <v>1463</v>
      </c>
      <c r="S3155">
        <v>2375</v>
      </c>
      <c r="T3155">
        <v>16625000</v>
      </c>
    </row>
    <row r="3156" spans="1:20" hidden="1" x14ac:dyDescent="0.4">
      <c r="A3156" s="1" t="s">
        <v>1188</v>
      </c>
      <c r="B3156" s="1" t="s">
        <v>1453</v>
      </c>
      <c r="C3156" s="1" t="s">
        <v>1844</v>
      </c>
      <c r="D3156" s="1" t="s">
        <v>1462</v>
      </c>
      <c r="E3156">
        <v>20251212</v>
      </c>
      <c r="F3156" s="1" t="s">
        <v>1471</v>
      </c>
      <c r="G3156">
        <v>4</v>
      </c>
      <c r="H3156" s="1" t="s">
        <v>1524</v>
      </c>
      <c r="I3156" t="s">
        <v>1904</v>
      </c>
      <c r="J3156" s="1" t="s">
        <v>1460</v>
      </c>
      <c r="K3156" s="1" t="s">
        <v>1651</v>
      </c>
      <c r="L3156" s="1" t="s">
        <v>1731</v>
      </c>
      <c r="M3156" s="1" t="s">
        <v>1737</v>
      </c>
      <c r="N3156" t="s">
        <v>2035</v>
      </c>
      <c r="O3156" t="s">
        <v>2178</v>
      </c>
      <c r="P3156" t="s">
        <v>2157</v>
      </c>
      <c r="Q3156">
        <v>50</v>
      </c>
      <c r="R3156" s="1" t="s">
        <v>1463</v>
      </c>
      <c r="S3156">
        <v>2734</v>
      </c>
      <c r="T3156">
        <v>136700</v>
      </c>
    </row>
    <row r="3157" spans="1:20" hidden="1" x14ac:dyDescent="0.4">
      <c r="A3157" s="1" t="s">
        <v>1189</v>
      </c>
      <c r="B3157" s="1" t="s">
        <v>1453</v>
      </c>
      <c r="C3157" s="1" t="s">
        <v>1844</v>
      </c>
      <c r="D3157" s="1" t="s">
        <v>1462</v>
      </c>
      <c r="E3157">
        <v>20251215</v>
      </c>
      <c r="F3157" s="1" t="s">
        <v>1471</v>
      </c>
      <c r="G3157">
        <v>4</v>
      </c>
      <c r="H3157" s="1" t="s">
        <v>1527</v>
      </c>
      <c r="I3157" t="s">
        <v>1907</v>
      </c>
      <c r="J3157" s="1" t="s">
        <v>1460</v>
      </c>
      <c r="K3157" s="1" t="s">
        <v>1649</v>
      </c>
      <c r="L3157" s="1" t="s">
        <v>1731</v>
      </c>
      <c r="M3157" s="1" t="s">
        <v>1761</v>
      </c>
      <c r="N3157" t="s">
        <v>2031</v>
      </c>
      <c r="O3157" t="s">
        <v>2178</v>
      </c>
      <c r="P3157" t="s">
        <v>3156</v>
      </c>
      <c r="Q3157">
        <v>1000</v>
      </c>
      <c r="R3157" s="1" t="s">
        <v>1463</v>
      </c>
      <c r="S3157">
        <v>1560</v>
      </c>
      <c r="T3157">
        <v>1560000</v>
      </c>
    </row>
    <row r="3158" spans="1:20" hidden="1" x14ac:dyDescent="0.4">
      <c r="A3158" s="1" t="s">
        <v>1190</v>
      </c>
      <c r="B3158" s="1" t="s">
        <v>1453</v>
      </c>
      <c r="C3158" s="1" t="s">
        <v>1844</v>
      </c>
      <c r="D3158" s="1" t="s">
        <v>1462</v>
      </c>
      <c r="E3158">
        <v>20251215</v>
      </c>
      <c r="F3158" s="1" t="s">
        <v>1471</v>
      </c>
      <c r="G3158">
        <v>4</v>
      </c>
      <c r="H3158" s="1" t="s">
        <v>1537</v>
      </c>
      <c r="I3158" t="s">
        <v>1917</v>
      </c>
      <c r="J3158" s="1" t="s">
        <v>1460</v>
      </c>
      <c r="K3158" s="1" t="s">
        <v>1628</v>
      </c>
      <c r="L3158" s="1" t="s">
        <v>1731</v>
      </c>
      <c r="M3158" s="1" t="s">
        <v>1735</v>
      </c>
      <c r="N3158" t="s">
        <v>2062</v>
      </c>
      <c r="O3158" t="s">
        <v>2178</v>
      </c>
      <c r="P3158" t="s">
        <v>3189</v>
      </c>
      <c r="Q3158">
        <v>6250</v>
      </c>
      <c r="R3158" s="1" t="s">
        <v>1463</v>
      </c>
      <c r="S3158">
        <v>475</v>
      </c>
      <c r="T3158">
        <v>2968750</v>
      </c>
    </row>
    <row r="3159" spans="1:20" hidden="1" x14ac:dyDescent="0.4">
      <c r="A3159" s="1" t="s">
        <v>1191</v>
      </c>
      <c r="B3159" s="1" t="s">
        <v>1453</v>
      </c>
      <c r="C3159" s="1" t="s">
        <v>1844</v>
      </c>
      <c r="D3159" s="1" t="s">
        <v>1462</v>
      </c>
      <c r="E3159">
        <v>20251215</v>
      </c>
      <c r="F3159" s="1" t="s">
        <v>1471</v>
      </c>
      <c r="G3159">
        <v>4</v>
      </c>
      <c r="H3159" s="1" t="s">
        <v>1526</v>
      </c>
      <c r="I3159" t="s">
        <v>1906</v>
      </c>
      <c r="J3159" s="1" t="s">
        <v>1460</v>
      </c>
      <c r="K3159" s="1" t="s">
        <v>1628</v>
      </c>
      <c r="L3159" s="1" t="s">
        <v>1731</v>
      </c>
      <c r="M3159" s="1" t="s">
        <v>1735</v>
      </c>
      <c r="N3159" t="s">
        <v>2062</v>
      </c>
      <c r="O3159" t="s">
        <v>2178</v>
      </c>
      <c r="P3159" t="s">
        <v>3189</v>
      </c>
      <c r="Q3159">
        <v>1500</v>
      </c>
      <c r="R3159" s="1" t="s">
        <v>1463</v>
      </c>
      <c r="S3159">
        <v>511</v>
      </c>
      <c r="T3159">
        <v>766500</v>
      </c>
    </row>
    <row r="3160" spans="1:20" hidden="1" x14ac:dyDescent="0.4">
      <c r="A3160" s="1" t="s">
        <v>1191</v>
      </c>
      <c r="B3160" s="1" t="s">
        <v>1454</v>
      </c>
      <c r="C3160" s="1" t="s">
        <v>1844</v>
      </c>
      <c r="D3160" s="1" t="s">
        <v>1462</v>
      </c>
      <c r="E3160">
        <v>20251215</v>
      </c>
      <c r="F3160" s="1" t="s">
        <v>1471</v>
      </c>
      <c r="G3160">
        <v>4</v>
      </c>
      <c r="H3160" s="1" t="s">
        <v>1526</v>
      </c>
      <c r="I3160" t="s">
        <v>1906</v>
      </c>
      <c r="J3160" s="1" t="s">
        <v>1460</v>
      </c>
      <c r="K3160" s="1" t="s">
        <v>1647</v>
      </c>
      <c r="L3160" s="1" t="s">
        <v>1731</v>
      </c>
      <c r="M3160" s="1" t="s">
        <v>1813</v>
      </c>
      <c r="N3160" t="s">
        <v>2029</v>
      </c>
      <c r="O3160" t="s">
        <v>2178</v>
      </c>
      <c r="P3160" t="s">
        <v>3194</v>
      </c>
      <c r="Q3160">
        <v>1000</v>
      </c>
      <c r="R3160" s="1" t="s">
        <v>1463</v>
      </c>
      <c r="S3160">
        <v>490</v>
      </c>
      <c r="T3160">
        <v>490000</v>
      </c>
    </row>
    <row r="3161" spans="1:20" hidden="1" x14ac:dyDescent="0.4">
      <c r="A3161" s="1" t="s">
        <v>1192</v>
      </c>
      <c r="B3161" s="1" t="s">
        <v>1453</v>
      </c>
      <c r="C3161" s="1" t="s">
        <v>1844</v>
      </c>
      <c r="D3161" s="1" t="s">
        <v>1462</v>
      </c>
      <c r="E3161">
        <v>20251215</v>
      </c>
      <c r="F3161" s="1" t="s">
        <v>1471</v>
      </c>
      <c r="G3161">
        <v>4</v>
      </c>
      <c r="H3161" s="1" t="s">
        <v>1522</v>
      </c>
      <c r="I3161" t="s">
        <v>1902</v>
      </c>
      <c r="J3161" s="1" t="s">
        <v>1460</v>
      </c>
      <c r="K3161" s="1" t="s">
        <v>1659</v>
      </c>
      <c r="L3161" s="1" t="s">
        <v>1731</v>
      </c>
      <c r="M3161" s="1" t="s">
        <v>1807</v>
      </c>
      <c r="N3161" t="s">
        <v>2047</v>
      </c>
      <c r="O3161" t="s">
        <v>2178</v>
      </c>
      <c r="P3161" t="s">
        <v>3176</v>
      </c>
      <c r="Q3161">
        <v>250</v>
      </c>
      <c r="R3161" s="1" t="s">
        <v>1463</v>
      </c>
      <c r="S3161">
        <v>1000</v>
      </c>
      <c r="T3161">
        <v>250000</v>
      </c>
    </row>
    <row r="3162" spans="1:20" hidden="1" x14ac:dyDescent="0.4">
      <c r="A3162" s="1" t="s">
        <v>1193</v>
      </c>
      <c r="B3162" s="1" t="s">
        <v>1453</v>
      </c>
      <c r="C3162" s="1" t="s">
        <v>1844</v>
      </c>
      <c r="D3162" s="1" t="s">
        <v>1731</v>
      </c>
      <c r="E3162">
        <v>20251217</v>
      </c>
      <c r="F3162" s="1" t="s">
        <v>1473</v>
      </c>
      <c r="G3162">
        <v>1</v>
      </c>
      <c r="H3162" s="1" t="s">
        <v>1494</v>
      </c>
      <c r="I3162" t="s">
        <v>1874</v>
      </c>
      <c r="J3162" s="1" t="s">
        <v>1453</v>
      </c>
      <c r="K3162" s="1" t="s">
        <v>1608</v>
      </c>
      <c r="L3162" s="1" t="s">
        <v>1727</v>
      </c>
      <c r="M3162" s="1" t="s">
        <v>1769</v>
      </c>
      <c r="N3162" t="s">
        <v>1982</v>
      </c>
      <c r="O3162" t="s">
        <v>2179</v>
      </c>
      <c r="P3162" t="s">
        <v>3093</v>
      </c>
      <c r="Q3162">
        <v>684.32</v>
      </c>
      <c r="R3162" s="1" t="s">
        <v>1839</v>
      </c>
      <c r="S3162">
        <v>1841</v>
      </c>
      <c r="T3162">
        <v>1259833</v>
      </c>
    </row>
    <row r="3163" spans="1:20" hidden="1" x14ac:dyDescent="0.4">
      <c r="A3163" s="1" t="s">
        <v>1194</v>
      </c>
      <c r="B3163" s="1" t="s">
        <v>1453</v>
      </c>
      <c r="C3163" s="1" t="s">
        <v>1844</v>
      </c>
      <c r="D3163" s="1" t="s">
        <v>1731</v>
      </c>
      <c r="E3163">
        <v>20251216</v>
      </c>
      <c r="F3163" s="1" t="s">
        <v>1473</v>
      </c>
      <c r="G3163">
        <v>1</v>
      </c>
      <c r="H3163" s="1" t="s">
        <v>1494</v>
      </c>
      <c r="I3163" t="s">
        <v>1874</v>
      </c>
      <c r="J3163" s="1" t="s">
        <v>1453</v>
      </c>
      <c r="K3163" s="1" t="s">
        <v>1611</v>
      </c>
      <c r="L3163" s="1" t="s">
        <v>1716</v>
      </c>
      <c r="M3163" s="1" t="s">
        <v>1788</v>
      </c>
      <c r="N3163" t="s">
        <v>1985</v>
      </c>
      <c r="O3163" t="s">
        <v>2162</v>
      </c>
      <c r="P3163" t="s">
        <v>3138</v>
      </c>
      <c r="Q3163">
        <v>1009.4</v>
      </c>
      <c r="R3163" s="1" t="s">
        <v>1463</v>
      </c>
      <c r="S3163">
        <v>1350</v>
      </c>
      <c r="T3163">
        <v>1362690</v>
      </c>
    </row>
    <row r="3164" spans="1:20" hidden="1" x14ac:dyDescent="0.4">
      <c r="A3164" s="1" t="s">
        <v>1195</v>
      </c>
      <c r="B3164" s="1" t="s">
        <v>1453</v>
      </c>
      <c r="C3164" s="1" t="s">
        <v>1844</v>
      </c>
      <c r="D3164" s="1" t="s">
        <v>1731</v>
      </c>
      <c r="E3164">
        <v>20251217</v>
      </c>
      <c r="F3164" s="1" t="s">
        <v>1470</v>
      </c>
      <c r="G3164">
        <v>1</v>
      </c>
      <c r="H3164" s="1" t="s">
        <v>1494</v>
      </c>
      <c r="I3164" t="s">
        <v>1874</v>
      </c>
      <c r="J3164" s="1" t="s">
        <v>1459</v>
      </c>
      <c r="K3164" s="1" t="s">
        <v>1645</v>
      </c>
      <c r="L3164" s="1" t="s">
        <v>1721</v>
      </c>
      <c r="M3164" s="1" t="s">
        <v>1737</v>
      </c>
      <c r="N3164" t="s">
        <v>2003</v>
      </c>
      <c r="O3164" t="s">
        <v>2167</v>
      </c>
      <c r="P3164" t="s">
        <v>3139</v>
      </c>
      <c r="Q3164">
        <v>1810</v>
      </c>
      <c r="R3164" s="1" t="s">
        <v>1840</v>
      </c>
      <c r="S3164">
        <v>459.8</v>
      </c>
      <c r="T3164">
        <v>832238</v>
      </c>
    </row>
    <row r="3165" spans="1:20" hidden="1" x14ac:dyDescent="0.4">
      <c r="A3165" s="1" t="s">
        <v>1196</v>
      </c>
      <c r="B3165" s="1" t="s">
        <v>1453</v>
      </c>
      <c r="C3165" s="1" t="s">
        <v>1844</v>
      </c>
      <c r="D3165" s="1" t="s">
        <v>1462</v>
      </c>
      <c r="E3165">
        <v>20251217</v>
      </c>
      <c r="F3165" s="1" t="s">
        <v>1471</v>
      </c>
      <c r="G3165">
        <v>4</v>
      </c>
      <c r="H3165" s="1" t="s">
        <v>1516</v>
      </c>
      <c r="I3165" t="s">
        <v>1896</v>
      </c>
      <c r="J3165" s="1" t="s">
        <v>1460</v>
      </c>
      <c r="K3165" s="1" t="s">
        <v>1641</v>
      </c>
      <c r="L3165" s="1" t="s">
        <v>1730</v>
      </c>
      <c r="M3165" s="1" t="s">
        <v>1792</v>
      </c>
      <c r="N3165" t="s">
        <v>2102</v>
      </c>
      <c r="O3165" t="s">
        <v>2175</v>
      </c>
      <c r="P3165" t="s">
        <v>3190</v>
      </c>
      <c r="Q3165">
        <v>213</v>
      </c>
      <c r="R3165" s="1" t="s">
        <v>1718</v>
      </c>
      <c r="S3165">
        <v>2608</v>
      </c>
      <c r="T3165">
        <v>555504</v>
      </c>
    </row>
    <row r="3166" spans="1:20" hidden="1" x14ac:dyDescent="0.4">
      <c r="A3166" s="1" t="s">
        <v>1196</v>
      </c>
      <c r="B3166" s="1" t="s">
        <v>1454</v>
      </c>
      <c r="C3166" s="1" t="s">
        <v>1844</v>
      </c>
      <c r="D3166" s="1" t="s">
        <v>1462</v>
      </c>
      <c r="E3166">
        <v>20251217</v>
      </c>
      <c r="F3166" s="1" t="s">
        <v>1471</v>
      </c>
      <c r="G3166">
        <v>4</v>
      </c>
      <c r="H3166" s="1" t="s">
        <v>1516</v>
      </c>
      <c r="I3166" t="s">
        <v>1896</v>
      </c>
      <c r="J3166" s="1" t="s">
        <v>1460</v>
      </c>
      <c r="K3166" s="1" t="s">
        <v>1642</v>
      </c>
      <c r="L3166" s="1" t="s">
        <v>1725</v>
      </c>
      <c r="M3166" s="1" t="s">
        <v>1737</v>
      </c>
      <c r="N3166" t="s">
        <v>2023</v>
      </c>
      <c r="O3166" t="s">
        <v>2157</v>
      </c>
      <c r="P3166" t="s">
        <v>2157</v>
      </c>
      <c r="Q3166">
        <v>9</v>
      </c>
      <c r="R3166" s="1" t="s">
        <v>1841</v>
      </c>
      <c r="S3166">
        <v>1000</v>
      </c>
      <c r="T3166">
        <v>9000</v>
      </c>
    </row>
    <row r="3167" spans="1:20" hidden="1" x14ac:dyDescent="0.4">
      <c r="A3167" s="1" t="s">
        <v>1197</v>
      </c>
      <c r="B3167" s="1" t="s">
        <v>1453</v>
      </c>
      <c r="C3167" s="1" t="s">
        <v>1844</v>
      </c>
      <c r="D3167" s="1" t="s">
        <v>1467</v>
      </c>
      <c r="E3167">
        <v>20251218</v>
      </c>
      <c r="F3167" s="1" t="s">
        <v>1470</v>
      </c>
      <c r="G3167">
        <v>4</v>
      </c>
      <c r="H3167" s="1" t="s">
        <v>1503</v>
      </c>
      <c r="I3167" t="s">
        <v>1883</v>
      </c>
      <c r="J3167" s="1" t="s">
        <v>1456</v>
      </c>
      <c r="K3167" s="1" t="s">
        <v>1570</v>
      </c>
      <c r="L3167" s="1" t="s">
        <v>1729</v>
      </c>
      <c r="M3167" s="1" t="s">
        <v>1744</v>
      </c>
      <c r="N3167" t="s">
        <v>1943</v>
      </c>
      <c r="O3167" t="s">
        <v>2157</v>
      </c>
      <c r="P3167" t="s">
        <v>3244</v>
      </c>
      <c r="Q3167">
        <v>2</v>
      </c>
      <c r="R3167" s="1" t="s">
        <v>1718</v>
      </c>
      <c r="S3167">
        <v>23118</v>
      </c>
      <c r="T3167">
        <v>46236</v>
      </c>
    </row>
    <row r="3168" spans="1:20" hidden="1" x14ac:dyDescent="0.4">
      <c r="A3168" s="1" t="s">
        <v>1198</v>
      </c>
      <c r="B3168" s="1" t="s">
        <v>1453</v>
      </c>
      <c r="C3168" s="1" t="s">
        <v>1844</v>
      </c>
      <c r="D3168" s="1" t="s">
        <v>1467</v>
      </c>
      <c r="E3168">
        <v>20251218</v>
      </c>
      <c r="F3168" s="1" t="s">
        <v>1470</v>
      </c>
      <c r="G3168">
        <v>4</v>
      </c>
      <c r="H3168" s="1" t="s">
        <v>1503</v>
      </c>
      <c r="I3168" t="s">
        <v>1883</v>
      </c>
      <c r="J3168" s="1" t="s">
        <v>1456</v>
      </c>
      <c r="K3168" s="1" t="s">
        <v>1570</v>
      </c>
      <c r="L3168" s="1" t="s">
        <v>1729</v>
      </c>
      <c r="M3168" s="1" t="s">
        <v>1741</v>
      </c>
      <c r="N3168" t="s">
        <v>1943</v>
      </c>
      <c r="O3168" t="s">
        <v>2157</v>
      </c>
      <c r="P3168" t="s">
        <v>3243</v>
      </c>
      <c r="Q3168">
        <v>5</v>
      </c>
      <c r="R3168" s="1" t="s">
        <v>1718</v>
      </c>
      <c r="S3168">
        <v>4782</v>
      </c>
      <c r="T3168">
        <v>23910</v>
      </c>
    </row>
    <row r="3169" spans="1:20" hidden="1" x14ac:dyDescent="0.4">
      <c r="A3169" s="1" t="s">
        <v>1198</v>
      </c>
      <c r="B3169" s="1" t="s">
        <v>1454</v>
      </c>
      <c r="C3169" s="1" t="s">
        <v>1844</v>
      </c>
      <c r="D3169" s="1" t="s">
        <v>1467</v>
      </c>
      <c r="E3169">
        <v>20251218</v>
      </c>
      <c r="F3169" s="1" t="s">
        <v>1470</v>
      </c>
      <c r="G3169">
        <v>4</v>
      </c>
      <c r="H3169" s="1" t="s">
        <v>1503</v>
      </c>
      <c r="I3169" t="s">
        <v>1883</v>
      </c>
      <c r="J3169" s="1" t="s">
        <v>1456</v>
      </c>
      <c r="K3169" s="1" t="s">
        <v>1570</v>
      </c>
      <c r="L3169" s="1" t="s">
        <v>1729</v>
      </c>
      <c r="M3169" s="1" t="s">
        <v>1741</v>
      </c>
      <c r="N3169" t="s">
        <v>1943</v>
      </c>
      <c r="O3169" t="s">
        <v>2157</v>
      </c>
      <c r="P3169" t="s">
        <v>3243</v>
      </c>
      <c r="Q3169">
        <v>2</v>
      </c>
      <c r="R3169" s="1" t="s">
        <v>1718</v>
      </c>
      <c r="S3169">
        <v>12696</v>
      </c>
      <c r="T3169">
        <v>25392</v>
      </c>
    </row>
    <row r="3170" spans="1:20" hidden="1" x14ac:dyDescent="0.4">
      <c r="A3170" s="1" t="s">
        <v>1198</v>
      </c>
      <c r="B3170" s="1" t="s">
        <v>1455</v>
      </c>
      <c r="C3170" s="1" t="s">
        <v>1844</v>
      </c>
      <c r="D3170" s="1" t="s">
        <v>1467</v>
      </c>
      <c r="E3170">
        <v>20251218</v>
      </c>
      <c r="F3170" s="1" t="s">
        <v>1470</v>
      </c>
      <c r="G3170">
        <v>4</v>
      </c>
      <c r="H3170" s="1" t="s">
        <v>1503</v>
      </c>
      <c r="I3170" t="s">
        <v>1883</v>
      </c>
      <c r="J3170" s="1" t="s">
        <v>1456</v>
      </c>
      <c r="K3170" s="1" t="s">
        <v>1570</v>
      </c>
      <c r="L3170" s="1" t="s">
        <v>1729</v>
      </c>
      <c r="M3170" s="1" t="s">
        <v>1741</v>
      </c>
      <c r="N3170" t="s">
        <v>1943</v>
      </c>
      <c r="O3170" t="s">
        <v>2157</v>
      </c>
      <c r="P3170" t="s">
        <v>3243</v>
      </c>
      <c r="Q3170">
        <v>2</v>
      </c>
      <c r="R3170" s="1" t="s">
        <v>1718</v>
      </c>
      <c r="S3170">
        <v>21398</v>
      </c>
      <c r="T3170">
        <v>42796</v>
      </c>
    </row>
    <row r="3171" spans="1:20" hidden="1" x14ac:dyDescent="0.4">
      <c r="A3171" s="1" t="s">
        <v>1199</v>
      </c>
      <c r="B3171" s="1" t="s">
        <v>1453</v>
      </c>
      <c r="C3171" s="1" t="s">
        <v>1844</v>
      </c>
      <c r="D3171" s="1" t="s">
        <v>1462</v>
      </c>
      <c r="E3171">
        <v>20251218</v>
      </c>
      <c r="F3171" s="1" t="s">
        <v>1470</v>
      </c>
      <c r="G3171">
        <v>4</v>
      </c>
      <c r="H3171" s="1" t="s">
        <v>1511</v>
      </c>
      <c r="I3171" t="s">
        <v>1891</v>
      </c>
      <c r="J3171" s="1" t="s">
        <v>1456</v>
      </c>
      <c r="K3171" s="1" t="s">
        <v>1555</v>
      </c>
      <c r="L3171" s="1" t="s">
        <v>1729</v>
      </c>
      <c r="M3171" s="1" t="s">
        <v>1736</v>
      </c>
      <c r="N3171" t="s">
        <v>2088</v>
      </c>
      <c r="O3171" t="s">
        <v>2720</v>
      </c>
      <c r="P3171" t="s">
        <v>3215</v>
      </c>
      <c r="Q3171">
        <v>1</v>
      </c>
      <c r="R3171" s="1" t="s">
        <v>1718</v>
      </c>
      <c r="S3171">
        <v>13217</v>
      </c>
      <c r="T3171">
        <v>13217</v>
      </c>
    </row>
    <row r="3172" spans="1:20" hidden="1" x14ac:dyDescent="0.4">
      <c r="A3172" s="1" t="s">
        <v>1200</v>
      </c>
      <c r="B3172" s="1" t="s">
        <v>1453</v>
      </c>
      <c r="C3172" s="1" t="s">
        <v>1844</v>
      </c>
      <c r="D3172" s="1" t="s">
        <v>1462</v>
      </c>
      <c r="E3172">
        <v>20251218</v>
      </c>
      <c r="F3172" s="1" t="s">
        <v>1470</v>
      </c>
      <c r="G3172">
        <v>4</v>
      </c>
      <c r="H3172" s="1" t="s">
        <v>1511</v>
      </c>
      <c r="I3172" t="s">
        <v>1891</v>
      </c>
      <c r="J3172" s="1" t="s">
        <v>1456</v>
      </c>
      <c r="K3172" s="1" t="s">
        <v>1561</v>
      </c>
      <c r="L3172" s="1" t="s">
        <v>1729</v>
      </c>
      <c r="M3172" s="1" t="s">
        <v>1737</v>
      </c>
      <c r="N3172" t="s">
        <v>2106</v>
      </c>
      <c r="O3172" t="s">
        <v>2721</v>
      </c>
      <c r="P3172" t="s">
        <v>3446</v>
      </c>
      <c r="Q3172">
        <v>2</v>
      </c>
      <c r="R3172" s="1" t="s">
        <v>1718</v>
      </c>
      <c r="S3172">
        <v>10048</v>
      </c>
      <c r="T3172">
        <v>20096</v>
      </c>
    </row>
    <row r="3173" spans="1:20" hidden="1" x14ac:dyDescent="0.4">
      <c r="A3173" s="1" t="s">
        <v>1201</v>
      </c>
      <c r="B3173" s="1" t="s">
        <v>1453</v>
      </c>
      <c r="C3173" s="1" t="s">
        <v>1844</v>
      </c>
      <c r="D3173" s="1" t="s">
        <v>1462</v>
      </c>
      <c r="E3173">
        <v>20251218</v>
      </c>
      <c r="F3173" s="1" t="s">
        <v>1470</v>
      </c>
      <c r="G3173">
        <v>4</v>
      </c>
      <c r="H3173" s="1" t="s">
        <v>1511</v>
      </c>
      <c r="I3173" t="s">
        <v>1891</v>
      </c>
      <c r="J3173" s="1" t="s">
        <v>1456</v>
      </c>
      <c r="K3173" s="1" t="s">
        <v>1561</v>
      </c>
      <c r="L3173" s="1" t="s">
        <v>1729</v>
      </c>
      <c r="M3173" s="1" t="s">
        <v>1737</v>
      </c>
      <c r="N3173" t="s">
        <v>2106</v>
      </c>
      <c r="O3173" t="s">
        <v>2722</v>
      </c>
      <c r="P3173" t="s">
        <v>3048</v>
      </c>
      <c r="Q3173">
        <v>1</v>
      </c>
      <c r="R3173" s="1" t="s">
        <v>1718</v>
      </c>
      <c r="S3173">
        <v>20247</v>
      </c>
      <c r="T3173">
        <v>20247</v>
      </c>
    </row>
    <row r="3174" spans="1:20" hidden="1" x14ac:dyDescent="0.4">
      <c r="A3174" s="1" t="s">
        <v>1202</v>
      </c>
      <c r="B3174" s="1" t="s">
        <v>1453</v>
      </c>
      <c r="C3174" s="1" t="s">
        <v>1844</v>
      </c>
      <c r="D3174" s="1" t="s">
        <v>1462</v>
      </c>
      <c r="E3174">
        <v>20251218</v>
      </c>
      <c r="F3174" s="1" t="s">
        <v>1470</v>
      </c>
      <c r="G3174">
        <v>4</v>
      </c>
      <c r="H3174" s="1" t="s">
        <v>1503</v>
      </c>
      <c r="I3174" t="s">
        <v>1883</v>
      </c>
      <c r="J3174" s="1" t="s">
        <v>1456</v>
      </c>
      <c r="K3174" s="1" t="s">
        <v>1554</v>
      </c>
      <c r="L3174" s="1" t="s">
        <v>1729</v>
      </c>
      <c r="M3174" s="1" t="s">
        <v>1737</v>
      </c>
      <c r="N3174" t="s">
        <v>2118</v>
      </c>
      <c r="O3174" t="s">
        <v>2723</v>
      </c>
      <c r="P3174">
        <v>82262</v>
      </c>
      <c r="Q3174">
        <v>2</v>
      </c>
      <c r="R3174" s="1" t="s">
        <v>1718</v>
      </c>
      <c r="S3174">
        <v>9450</v>
      </c>
      <c r="T3174">
        <v>18900</v>
      </c>
    </row>
    <row r="3175" spans="1:20" hidden="1" x14ac:dyDescent="0.4">
      <c r="A3175" s="1" t="s">
        <v>1203</v>
      </c>
      <c r="B3175" s="1" t="s">
        <v>1453</v>
      </c>
      <c r="C3175" s="1" t="s">
        <v>1844</v>
      </c>
      <c r="D3175" s="1" t="s">
        <v>1462</v>
      </c>
      <c r="E3175">
        <v>20251218</v>
      </c>
      <c r="F3175" s="1" t="s">
        <v>1470</v>
      </c>
      <c r="G3175">
        <v>4</v>
      </c>
      <c r="H3175" s="1" t="s">
        <v>1503</v>
      </c>
      <c r="I3175" t="s">
        <v>1883</v>
      </c>
      <c r="J3175" s="1" t="s">
        <v>1456</v>
      </c>
      <c r="K3175" s="1" t="s">
        <v>1554</v>
      </c>
      <c r="L3175" s="1" t="s">
        <v>1729</v>
      </c>
      <c r="M3175" s="1" t="s">
        <v>1737</v>
      </c>
      <c r="N3175" t="s">
        <v>2091</v>
      </c>
      <c r="O3175" t="s">
        <v>2724</v>
      </c>
      <c r="P3175">
        <v>82313</v>
      </c>
      <c r="Q3175">
        <v>2</v>
      </c>
      <c r="R3175" s="1" t="s">
        <v>1718</v>
      </c>
      <c r="S3175">
        <v>73920</v>
      </c>
      <c r="T3175">
        <v>147840</v>
      </c>
    </row>
    <row r="3176" spans="1:20" hidden="1" x14ac:dyDescent="0.4">
      <c r="A3176" s="1" t="s">
        <v>1203</v>
      </c>
      <c r="B3176" s="1" t="s">
        <v>1454</v>
      </c>
      <c r="C3176" s="1" t="s">
        <v>1844</v>
      </c>
      <c r="D3176" s="1" t="s">
        <v>1462</v>
      </c>
      <c r="E3176">
        <v>20251218</v>
      </c>
      <c r="F3176" s="1" t="s">
        <v>1470</v>
      </c>
      <c r="G3176">
        <v>4</v>
      </c>
      <c r="H3176" s="1" t="s">
        <v>1503</v>
      </c>
      <c r="I3176" t="s">
        <v>1883</v>
      </c>
      <c r="J3176" s="1" t="s">
        <v>1456</v>
      </c>
      <c r="K3176" s="1" t="s">
        <v>1553</v>
      </c>
      <c r="L3176" s="1" t="s">
        <v>1729</v>
      </c>
      <c r="M3176" s="1" t="s">
        <v>1736</v>
      </c>
      <c r="N3176" t="s">
        <v>2093</v>
      </c>
      <c r="O3176" t="s">
        <v>2725</v>
      </c>
      <c r="P3176" t="s">
        <v>3550</v>
      </c>
      <c r="Q3176">
        <v>4</v>
      </c>
      <c r="R3176" s="1" t="s">
        <v>1718</v>
      </c>
      <c r="S3176">
        <v>14560</v>
      </c>
      <c r="T3176">
        <v>58240</v>
      </c>
    </row>
    <row r="3177" spans="1:20" hidden="1" x14ac:dyDescent="0.4">
      <c r="A3177" s="1" t="s">
        <v>1204</v>
      </c>
      <c r="B3177" s="1" t="s">
        <v>1453</v>
      </c>
      <c r="C3177" s="1" t="s">
        <v>1844</v>
      </c>
      <c r="D3177" s="1" t="s">
        <v>1462</v>
      </c>
      <c r="E3177">
        <v>20251218</v>
      </c>
      <c r="F3177" s="1" t="s">
        <v>1470</v>
      </c>
      <c r="G3177">
        <v>4</v>
      </c>
      <c r="H3177" s="1" t="s">
        <v>1503</v>
      </c>
      <c r="I3177" t="s">
        <v>1883</v>
      </c>
      <c r="J3177" s="1" t="s">
        <v>1456</v>
      </c>
      <c r="K3177" s="1" t="s">
        <v>1554</v>
      </c>
      <c r="L3177" s="1" t="s">
        <v>1729</v>
      </c>
      <c r="M3177" s="1" t="s">
        <v>1737</v>
      </c>
      <c r="N3177" t="s">
        <v>2109</v>
      </c>
      <c r="O3177" t="s">
        <v>2726</v>
      </c>
      <c r="P3177">
        <v>82306</v>
      </c>
      <c r="Q3177">
        <v>1</v>
      </c>
      <c r="R3177" s="1" t="s">
        <v>1718</v>
      </c>
      <c r="S3177">
        <v>18040</v>
      </c>
      <c r="T3177">
        <v>18040</v>
      </c>
    </row>
    <row r="3178" spans="1:20" hidden="1" x14ac:dyDescent="0.4">
      <c r="A3178" s="1" t="s">
        <v>1204</v>
      </c>
      <c r="B3178" s="1" t="s">
        <v>1454</v>
      </c>
      <c r="C3178" s="1" t="s">
        <v>1844</v>
      </c>
      <c r="D3178" s="1" t="s">
        <v>1462</v>
      </c>
      <c r="E3178">
        <v>20251218</v>
      </c>
      <c r="F3178" s="1" t="s">
        <v>1470</v>
      </c>
      <c r="G3178">
        <v>4</v>
      </c>
      <c r="H3178" s="1" t="s">
        <v>1503</v>
      </c>
      <c r="I3178" t="s">
        <v>1883</v>
      </c>
      <c r="J3178" s="1" t="s">
        <v>1456</v>
      </c>
      <c r="K3178" s="1" t="s">
        <v>1553</v>
      </c>
      <c r="L3178" s="1" t="s">
        <v>1729</v>
      </c>
      <c r="M3178" s="1" t="s">
        <v>1740</v>
      </c>
      <c r="N3178" t="s">
        <v>2134</v>
      </c>
      <c r="O3178" t="s">
        <v>2727</v>
      </c>
      <c r="P3178" t="s">
        <v>3551</v>
      </c>
      <c r="Q3178">
        <v>2</v>
      </c>
      <c r="R3178" s="1" t="s">
        <v>1718</v>
      </c>
      <c r="S3178">
        <v>8224</v>
      </c>
      <c r="T3178">
        <v>16448</v>
      </c>
    </row>
    <row r="3179" spans="1:20" hidden="1" x14ac:dyDescent="0.4">
      <c r="A3179" s="1" t="s">
        <v>1205</v>
      </c>
      <c r="B3179" s="1" t="s">
        <v>1453</v>
      </c>
      <c r="C3179" s="1" t="s">
        <v>1844</v>
      </c>
      <c r="D3179" s="1" t="s">
        <v>1462</v>
      </c>
      <c r="E3179">
        <v>20251218</v>
      </c>
      <c r="F3179" s="1" t="s">
        <v>1470</v>
      </c>
      <c r="G3179">
        <v>4</v>
      </c>
      <c r="H3179" s="1" t="s">
        <v>1503</v>
      </c>
      <c r="I3179" t="s">
        <v>1883</v>
      </c>
      <c r="J3179" s="1" t="s">
        <v>1456</v>
      </c>
      <c r="K3179" s="1" t="s">
        <v>1554</v>
      </c>
      <c r="L3179" s="1" t="s">
        <v>1729</v>
      </c>
      <c r="M3179" s="1" t="s">
        <v>1737</v>
      </c>
      <c r="N3179" t="s">
        <v>2118</v>
      </c>
      <c r="O3179" t="s">
        <v>2728</v>
      </c>
      <c r="P3179">
        <v>82278</v>
      </c>
      <c r="Q3179">
        <v>2</v>
      </c>
      <c r="R3179" s="1" t="s">
        <v>1718</v>
      </c>
      <c r="S3179">
        <v>9350</v>
      </c>
      <c r="T3179">
        <v>18700</v>
      </c>
    </row>
    <row r="3180" spans="1:20" hidden="1" x14ac:dyDescent="0.4">
      <c r="A3180" s="1" t="s">
        <v>1206</v>
      </c>
      <c r="B3180" s="1" t="s">
        <v>1453</v>
      </c>
      <c r="C3180" s="1" t="s">
        <v>1844</v>
      </c>
      <c r="D3180" s="1" t="s">
        <v>1462</v>
      </c>
      <c r="E3180">
        <v>20251218</v>
      </c>
      <c r="F3180" s="1" t="s">
        <v>1470</v>
      </c>
      <c r="G3180">
        <v>4</v>
      </c>
      <c r="H3180" s="1" t="s">
        <v>1503</v>
      </c>
      <c r="I3180" t="s">
        <v>1883</v>
      </c>
      <c r="J3180" s="1" t="s">
        <v>1456</v>
      </c>
      <c r="K3180" s="1" t="s">
        <v>1554</v>
      </c>
      <c r="L3180" s="1" t="s">
        <v>1729</v>
      </c>
      <c r="M3180" s="1" t="s">
        <v>1737</v>
      </c>
      <c r="N3180" t="s">
        <v>2091</v>
      </c>
      <c r="O3180" t="s">
        <v>2729</v>
      </c>
      <c r="P3180">
        <v>82298</v>
      </c>
      <c r="Q3180">
        <v>2</v>
      </c>
      <c r="R3180" s="1" t="s">
        <v>1718</v>
      </c>
      <c r="S3180">
        <v>12220</v>
      </c>
      <c r="T3180">
        <v>24440</v>
      </c>
    </row>
    <row r="3181" spans="1:20" hidden="1" x14ac:dyDescent="0.4">
      <c r="A3181" s="1" t="s">
        <v>1207</v>
      </c>
      <c r="B3181" s="1" t="s">
        <v>1453</v>
      </c>
      <c r="C3181" s="1" t="s">
        <v>1844</v>
      </c>
      <c r="D3181" s="1" t="s">
        <v>1462</v>
      </c>
      <c r="E3181">
        <v>20251218</v>
      </c>
      <c r="F3181" s="1" t="s">
        <v>1470</v>
      </c>
      <c r="G3181">
        <v>4</v>
      </c>
      <c r="H3181" s="1" t="s">
        <v>1503</v>
      </c>
      <c r="I3181" t="s">
        <v>1883</v>
      </c>
      <c r="J3181" s="1" t="s">
        <v>1456</v>
      </c>
      <c r="K3181" s="1" t="s">
        <v>1554</v>
      </c>
      <c r="L3181" s="1" t="s">
        <v>1729</v>
      </c>
      <c r="M3181" s="1" t="s">
        <v>1737</v>
      </c>
      <c r="N3181" t="s">
        <v>2091</v>
      </c>
      <c r="O3181" t="s">
        <v>2730</v>
      </c>
      <c r="P3181">
        <v>82271</v>
      </c>
      <c r="Q3181">
        <v>1</v>
      </c>
      <c r="R3181" s="1" t="s">
        <v>1718</v>
      </c>
      <c r="S3181">
        <v>5660</v>
      </c>
      <c r="T3181">
        <v>5660</v>
      </c>
    </row>
    <row r="3182" spans="1:20" hidden="1" x14ac:dyDescent="0.4">
      <c r="A3182" s="1" t="s">
        <v>1207</v>
      </c>
      <c r="B3182" s="1" t="s">
        <v>1454</v>
      </c>
      <c r="C3182" s="1" t="s">
        <v>1844</v>
      </c>
      <c r="D3182" s="1" t="s">
        <v>1462</v>
      </c>
      <c r="E3182">
        <v>20251218</v>
      </c>
      <c r="F3182" s="1" t="s">
        <v>1470</v>
      </c>
      <c r="G3182">
        <v>4</v>
      </c>
      <c r="H3182" s="1" t="s">
        <v>1503</v>
      </c>
      <c r="I3182" t="s">
        <v>1883</v>
      </c>
      <c r="J3182" s="1" t="s">
        <v>1456</v>
      </c>
      <c r="K3182" s="1" t="s">
        <v>1553</v>
      </c>
      <c r="L3182" s="1" t="s">
        <v>1729</v>
      </c>
      <c r="M3182" s="1" t="s">
        <v>1740</v>
      </c>
      <c r="N3182" t="s">
        <v>2134</v>
      </c>
      <c r="O3182" t="s">
        <v>2731</v>
      </c>
      <c r="P3182" t="s">
        <v>3552</v>
      </c>
      <c r="Q3182">
        <v>2</v>
      </c>
      <c r="R3182" s="1" t="s">
        <v>1718</v>
      </c>
      <c r="S3182">
        <v>8224</v>
      </c>
      <c r="T3182">
        <v>16448</v>
      </c>
    </row>
    <row r="3183" spans="1:20" hidden="1" x14ac:dyDescent="0.4">
      <c r="A3183" s="1" t="s">
        <v>1208</v>
      </c>
      <c r="B3183" s="1" t="s">
        <v>1453</v>
      </c>
      <c r="C3183" s="1" t="s">
        <v>1844</v>
      </c>
      <c r="D3183" s="1" t="s">
        <v>1462</v>
      </c>
      <c r="E3183">
        <v>20251218</v>
      </c>
      <c r="F3183" s="1" t="s">
        <v>1470</v>
      </c>
      <c r="G3183">
        <v>4</v>
      </c>
      <c r="H3183" s="1" t="s">
        <v>1503</v>
      </c>
      <c r="I3183" t="s">
        <v>1883</v>
      </c>
      <c r="J3183" s="1" t="s">
        <v>1456</v>
      </c>
      <c r="K3183" s="1" t="s">
        <v>1554</v>
      </c>
      <c r="L3183" s="1" t="s">
        <v>1729</v>
      </c>
      <c r="M3183" s="1" t="s">
        <v>1737</v>
      </c>
      <c r="N3183" t="s">
        <v>2091</v>
      </c>
      <c r="O3183" t="s">
        <v>2732</v>
      </c>
      <c r="P3183">
        <v>82295</v>
      </c>
      <c r="Q3183">
        <v>2</v>
      </c>
      <c r="R3183" s="1" t="s">
        <v>1718</v>
      </c>
      <c r="S3183">
        <v>17410</v>
      </c>
      <c r="T3183">
        <v>34820</v>
      </c>
    </row>
    <row r="3184" spans="1:20" hidden="1" x14ac:dyDescent="0.4">
      <c r="A3184" s="1" t="s">
        <v>1209</v>
      </c>
      <c r="B3184" s="1" t="s">
        <v>1453</v>
      </c>
      <c r="C3184" s="1" t="s">
        <v>1844</v>
      </c>
      <c r="D3184" s="1" t="s">
        <v>1462</v>
      </c>
      <c r="E3184">
        <v>20251218</v>
      </c>
      <c r="F3184" s="1" t="s">
        <v>1470</v>
      </c>
      <c r="G3184">
        <v>4</v>
      </c>
      <c r="H3184" s="1" t="s">
        <v>1503</v>
      </c>
      <c r="I3184" t="s">
        <v>1883</v>
      </c>
      <c r="J3184" s="1" t="s">
        <v>1456</v>
      </c>
      <c r="K3184" s="1" t="s">
        <v>1554</v>
      </c>
      <c r="L3184" s="1" t="s">
        <v>1729</v>
      </c>
      <c r="M3184" s="1" t="s">
        <v>1737</v>
      </c>
      <c r="N3184" t="s">
        <v>2109</v>
      </c>
      <c r="O3184" t="s">
        <v>2733</v>
      </c>
      <c r="P3184">
        <v>82286</v>
      </c>
      <c r="Q3184">
        <v>2</v>
      </c>
      <c r="R3184" s="1" t="s">
        <v>1718</v>
      </c>
      <c r="S3184">
        <v>56200</v>
      </c>
      <c r="T3184">
        <v>112400</v>
      </c>
    </row>
    <row r="3185" spans="1:20" hidden="1" x14ac:dyDescent="0.4">
      <c r="A3185" s="1" t="s">
        <v>1210</v>
      </c>
      <c r="B3185" s="1" t="s">
        <v>1453</v>
      </c>
      <c r="C3185" s="1" t="s">
        <v>1844</v>
      </c>
      <c r="D3185" s="1" t="s">
        <v>1462</v>
      </c>
      <c r="E3185">
        <v>20251218</v>
      </c>
      <c r="F3185" s="1" t="s">
        <v>1470</v>
      </c>
      <c r="G3185">
        <v>4</v>
      </c>
      <c r="H3185" s="1" t="s">
        <v>1503</v>
      </c>
      <c r="I3185" t="s">
        <v>1883</v>
      </c>
      <c r="J3185" s="1" t="s">
        <v>1456</v>
      </c>
      <c r="K3185" s="1" t="s">
        <v>1553</v>
      </c>
      <c r="L3185" s="1" t="s">
        <v>1729</v>
      </c>
      <c r="M3185" s="1" t="s">
        <v>1740</v>
      </c>
      <c r="N3185" t="s">
        <v>2111</v>
      </c>
      <c r="O3185" t="s">
        <v>2734</v>
      </c>
      <c r="P3185" t="s">
        <v>3553</v>
      </c>
      <c r="Q3185">
        <v>2</v>
      </c>
      <c r="R3185" s="1" t="s">
        <v>1718</v>
      </c>
      <c r="S3185">
        <v>12890</v>
      </c>
      <c r="T3185">
        <v>25780</v>
      </c>
    </row>
    <row r="3186" spans="1:20" hidden="1" x14ac:dyDescent="0.4">
      <c r="A3186" s="1" t="s">
        <v>1211</v>
      </c>
      <c r="B3186" s="1" t="s">
        <v>1453</v>
      </c>
      <c r="C3186" s="1" t="s">
        <v>1844</v>
      </c>
      <c r="D3186" s="1" t="s">
        <v>1462</v>
      </c>
      <c r="E3186">
        <v>20251218</v>
      </c>
      <c r="F3186" s="1" t="s">
        <v>1470</v>
      </c>
      <c r="G3186">
        <v>4</v>
      </c>
      <c r="H3186" s="1" t="s">
        <v>1503</v>
      </c>
      <c r="I3186" t="s">
        <v>1883</v>
      </c>
      <c r="J3186" s="1" t="s">
        <v>1456</v>
      </c>
      <c r="K3186" s="1" t="s">
        <v>1554</v>
      </c>
      <c r="L3186" s="1" t="s">
        <v>1729</v>
      </c>
      <c r="M3186" s="1" t="s">
        <v>1737</v>
      </c>
      <c r="N3186" t="s">
        <v>2092</v>
      </c>
      <c r="O3186" t="s">
        <v>2735</v>
      </c>
      <c r="P3186">
        <v>82234</v>
      </c>
      <c r="Q3186">
        <v>2</v>
      </c>
      <c r="R3186" s="1" t="s">
        <v>1718</v>
      </c>
      <c r="S3186">
        <v>14950</v>
      </c>
      <c r="T3186">
        <v>29900</v>
      </c>
    </row>
    <row r="3187" spans="1:20" hidden="1" x14ac:dyDescent="0.4">
      <c r="A3187" s="1" t="s">
        <v>1212</v>
      </c>
      <c r="B3187" s="1" t="s">
        <v>1453</v>
      </c>
      <c r="C3187" s="1" t="s">
        <v>1844</v>
      </c>
      <c r="D3187" s="1" t="s">
        <v>1462</v>
      </c>
      <c r="E3187">
        <v>20251218</v>
      </c>
      <c r="F3187" s="1" t="s">
        <v>1470</v>
      </c>
      <c r="G3187">
        <v>4</v>
      </c>
      <c r="H3187" s="1" t="s">
        <v>1503</v>
      </c>
      <c r="I3187" t="s">
        <v>1883</v>
      </c>
      <c r="J3187" s="1" t="s">
        <v>1456</v>
      </c>
      <c r="K3187" s="1" t="s">
        <v>1554</v>
      </c>
      <c r="L3187" s="1" t="s">
        <v>1729</v>
      </c>
      <c r="M3187" s="1" t="s">
        <v>1737</v>
      </c>
      <c r="N3187" t="s">
        <v>2141</v>
      </c>
      <c r="O3187" t="s">
        <v>2736</v>
      </c>
      <c r="P3187">
        <v>82301</v>
      </c>
      <c r="Q3187">
        <v>1</v>
      </c>
      <c r="R3187" s="1" t="s">
        <v>1718</v>
      </c>
      <c r="S3187">
        <v>49470</v>
      </c>
      <c r="T3187">
        <v>49470</v>
      </c>
    </row>
    <row r="3188" spans="1:20" hidden="1" x14ac:dyDescent="0.4">
      <c r="A3188" s="1" t="s">
        <v>1212</v>
      </c>
      <c r="B3188" s="1" t="s">
        <v>1454</v>
      </c>
      <c r="C3188" s="1" t="s">
        <v>1844</v>
      </c>
      <c r="D3188" s="1" t="s">
        <v>1462</v>
      </c>
      <c r="E3188">
        <v>20251218</v>
      </c>
      <c r="F3188" s="1" t="s">
        <v>1470</v>
      </c>
      <c r="G3188">
        <v>4</v>
      </c>
      <c r="H3188" s="1" t="s">
        <v>1503</v>
      </c>
      <c r="I3188" t="s">
        <v>1883</v>
      </c>
      <c r="J3188" s="1" t="s">
        <v>1456</v>
      </c>
      <c r="K3188" s="1" t="s">
        <v>1554</v>
      </c>
      <c r="L3188" s="1" t="s">
        <v>1729</v>
      </c>
      <c r="M3188" s="1" t="s">
        <v>1737</v>
      </c>
      <c r="N3188" t="s">
        <v>2110</v>
      </c>
      <c r="O3188" t="s">
        <v>2737</v>
      </c>
      <c r="P3188">
        <v>82305</v>
      </c>
      <c r="Q3188">
        <v>2</v>
      </c>
      <c r="R3188" s="1" t="s">
        <v>1718</v>
      </c>
      <c r="S3188">
        <v>29800</v>
      </c>
      <c r="T3188">
        <v>59600</v>
      </c>
    </row>
    <row r="3189" spans="1:20" hidden="1" x14ac:dyDescent="0.4">
      <c r="A3189" s="1" t="s">
        <v>1212</v>
      </c>
      <c r="B3189" s="1" t="s">
        <v>1455</v>
      </c>
      <c r="C3189" s="1" t="s">
        <v>1844</v>
      </c>
      <c r="D3189" s="1" t="s">
        <v>1462</v>
      </c>
      <c r="E3189">
        <v>20251218</v>
      </c>
      <c r="F3189" s="1" t="s">
        <v>1470</v>
      </c>
      <c r="G3189">
        <v>4</v>
      </c>
      <c r="H3189" s="1" t="s">
        <v>1503</v>
      </c>
      <c r="I3189" t="s">
        <v>1883</v>
      </c>
      <c r="J3189" s="1" t="s">
        <v>1456</v>
      </c>
      <c r="K3189" s="1" t="s">
        <v>1553</v>
      </c>
      <c r="L3189" s="1" t="s">
        <v>1729</v>
      </c>
      <c r="M3189" s="1" t="s">
        <v>1736</v>
      </c>
      <c r="N3189" t="s">
        <v>2093</v>
      </c>
      <c r="O3189" t="s">
        <v>2738</v>
      </c>
      <c r="P3189" t="s">
        <v>3554</v>
      </c>
      <c r="Q3189">
        <v>2</v>
      </c>
      <c r="R3189" s="1" t="s">
        <v>1718</v>
      </c>
      <c r="S3189">
        <v>10310</v>
      </c>
      <c r="T3189">
        <v>20620</v>
      </c>
    </row>
    <row r="3190" spans="1:20" hidden="1" x14ac:dyDescent="0.4">
      <c r="A3190" s="1" t="s">
        <v>1213</v>
      </c>
      <c r="B3190" s="1" t="s">
        <v>1453</v>
      </c>
      <c r="C3190" s="1" t="s">
        <v>1844</v>
      </c>
      <c r="D3190" s="1" t="s">
        <v>1462</v>
      </c>
      <c r="E3190">
        <v>20251218</v>
      </c>
      <c r="F3190" s="1" t="s">
        <v>1470</v>
      </c>
      <c r="G3190">
        <v>4</v>
      </c>
      <c r="H3190" s="1" t="s">
        <v>1503</v>
      </c>
      <c r="I3190" t="s">
        <v>1883</v>
      </c>
      <c r="J3190" s="1" t="s">
        <v>1456</v>
      </c>
      <c r="K3190" s="1" t="s">
        <v>1553</v>
      </c>
      <c r="L3190" s="1" t="s">
        <v>1729</v>
      </c>
      <c r="M3190" s="1" t="s">
        <v>1736</v>
      </c>
      <c r="N3190" t="s">
        <v>2093</v>
      </c>
      <c r="O3190" t="s">
        <v>2739</v>
      </c>
      <c r="P3190" t="s">
        <v>3555</v>
      </c>
      <c r="Q3190">
        <v>2</v>
      </c>
      <c r="R3190" s="1" t="s">
        <v>1718</v>
      </c>
      <c r="S3190">
        <v>12560</v>
      </c>
      <c r="T3190">
        <v>25120</v>
      </c>
    </row>
    <row r="3191" spans="1:20" hidden="1" x14ac:dyDescent="0.4">
      <c r="A3191" s="1" t="s">
        <v>1214</v>
      </c>
      <c r="B3191" s="1" t="s">
        <v>1453</v>
      </c>
      <c r="C3191" s="1" t="s">
        <v>1844</v>
      </c>
      <c r="D3191" s="1" t="s">
        <v>1462</v>
      </c>
      <c r="E3191">
        <v>20251218</v>
      </c>
      <c r="F3191" s="1" t="s">
        <v>1470</v>
      </c>
      <c r="G3191">
        <v>4</v>
      </c>
      <c r="H3191" s="1" t="s">
        <v>1503</v>
      </c>
      <c r="I3191" t="s">
        <v>1883</v>
      </c>
      <c r="J3191" s="1" t="s">
        <v>1456</v>
      </c>
      <c r="K3191" s="1" t="s">
        <v>1553</v>
      </c>
      <c r="L3191" s="1" t="s">
        <v>1729</v>
      </c>
      <c r="M3191" s="1" t="s">
        <v>1736</v>
      </c>
      <c r="N3191" t="s">
        <v>2108</v>
      </c>
      <c r="O3191" t="s">
        <v>2740</v>
      </c>
      <c r="P3191" t="s">
        <v>3556</v>
      </c>
      <c r="Q3191">
        <v>1</v>
      </c>
      <c r="R3191" s="1" t="s">
        <v>1718</v>
      </c>
      <c r="S3191">
        <v>3200</v>
      </c>
      <c r="T3191">
        <v>3200</v>
      </c>
    </row>
    <row r="3192" spans="1:20" hidden="1" x14ac:dyDescent="0.4">
      <c r="A3192" s="1" t="s">
        <v>1215</v>
      </c>
      <c r="B3192" s="1" t="s">
        <v>1453</v>
      </c>
      <c r="C3192" s="1" t="s">
        <v>1844</v>
      </c>
      <c r="D3192" s="1" t="s">
        <v>1462</v>
      </c>
      <c r="E3192">
        <v>20251218</v>
      </c>
      <c r="F3192" s="1" t="s">
        <v>1470</v>
      </c>
      <c r="G3192">
        <v>4</v>
      </c>
      <c r="H3192" s="1" t="s">
        <v>1503</v>
      </c>
      <c r="I3192" t="s">
        <v>1883</v>
      </c>
      <c r="J3192" s="1" t="s">
        <v>1456</v>
      </c>
      <c r="K3192" s="1" t="s">
        <v>1554</v>
      </c>
      <c r="L3192" s="1" t="s">
        <v>1729</v>
      </c>
      <c r="M3192" s="1" t="s">
        <v>1737</v>
      </c>
      <c r="N3192" t="s">
        <v>2118</v>
      </c>
      <c r="O3192" t="s">
        <v>2741</v>
      </c>
      <c r="P3192">
        <v>82304</v>
      </c>
      <c r="Q3192">
        <v>2</v>
      </c>
      <c r="R3192" s="1" t="s">
        <v>1718</v>
      </c>
      <c r="S3192">
        <v>9350</v>
      </c>
      <c r="T3192">
        <v>18700</v>
      </c>
    </row>
    <row r="3193" spans="1:20" hidden="1" x14ac:dyDescent="0.4">
      <c r="A3193" s="1" t="s">
        <v>1215</v>
      </c>
      <c r="B3193" s="1" t="s">
        <v>1454</v>
      </c>
      <c r="C3193" s="1" t="s">
        <v>1844</v>
      </c>
      <c r="D3193" s="1" t="s">
        <v>1462</v>
      </c>
      <c r="E3193">
        <v>20251218</v>
      </c>
      <c r="F3193" s="1" t="s">
        <v>1470</v>
      </c>
      <c r="G3193">
        <v>4</v>
      </c>
      <c r="H3193" s="1" t="s">
        <v>1503</v>
      </c>
      <c r="I3193" t="s">
        <v>1883</v>
      </c>
      <c r="J3193" s="1" t="s">
        <v>1456</v>
      </c>
      <c r="K3193" s="1" t="s">
        <v>1553</v>
      </c>
      <c r="L3193" s="1" t="s">
        <v>1729</v>
      </c>
      <c r="M3193" s="1" t="s">
        <v>1740</v>
      </c>
      <c r="N3193" t="s">
        <v>2134</v>
      </c>
      <c r="O3193" t="s">
        <v>2742</v>
      </c>
      <c r="P3193" t="s">
        <v>3557</v>
      </c>
      <c r="Q3193">
        <v>2</v>
      </c>
      <c r="R3193" s="1" t="s">
        <v>1718</v>
      </c>
      <c r="S3193">
        <v>8224</v>
      </c>
      <c r="T3193">
        <v>16448</v>
      </c>
    </row>
    <row r="3194" spans="1:20" hidden="1" x14ac:dyDescent="0.4">
      <c r="A3194" s="1" t="s">
        <v>1216</v>
      </c>
      <c r="B3194" s="1" t="s">
        <v>1453</v>
      </c>
      <c r="C3194" s="1" t="s">
        <v>1844</v>
      </c>
      <c r="D3194" s="1" t="s">
        <v>1462</v>
      </c>
      <c r="E3194">
        <v>20251218</v>
      </c>
      <c r="F3194" s="1" t="s">
        <v>1470</v>
      </c>
      <c r="G3194">
        <v>4</v>
      </c>
      <c r="H3194" s="1" t="s">
        <v>1503</v>
      </c>
      <c r="I3194" t="s">
        <v>1883</v>
      </c>
      <c r="J3194" s="1" t="s">
        <v>1456</v>
      </c>
      <c r="K3194" s="1" t="s">
        <v>1554</v>
      </c>
      <c r="L3194" s="1" t="s">
        <v>1729</v>
      </c>
      <c r="M3194" s="1" t="s">
        <v>1737</v>
      </c>
      <c r="N3194" t="s">
        <v>2091</v>
      </c>
      <c r="O3194" t="s">
        <v>2743</v>
      </c>
      <c r="P3194">
        <v>82274</v>
      </c>
      <c r="Q3194">
        <v>2</v>
      </c>
      <c r="R3194" s="1" t="s">
        <v>1718</v>
      </c>
      <c r="S3194">
        <v>9760</v>
      </c>
      <c r="T3194">
        <v>19520</v>
      </c>
    </row>
    <row r="3195" spans="1:20" hidden="1" x14ac:dyDescent="0.4">
      <c r="A3195" s="1" t="s">
        <v>1217</v>
      </c>
      <c r="B3195" s="1" t="s">
        <v>1453</v>
      </c>
      <c r="C3195" s="1" t="s">
        <v>1844</v>
      </c>
      <c r="D3195" s="1" t="s">
        <v>1462</v>
      </c>
      <c r="E3195">
        <v>20251218</v>
      </c>
      <c r="F3195" s="1" t="s">
        <v>1470</v>
      </c>
      <c r="G3195">
        <v>4</v>
      </c>
      <c r="H3195" s="1" t="s">
        <v>1503</v>
      </c>
      <c r="I3195" t="s">
        <v>1883</v>
      </c>
      <c r="J3195" s="1" t="s">
        <v>1456</v>
      </c>
      <c r="K3195" s="1" t="s">
        <v>1554</v>
      </c>
      <c r="L3195" s="1" t="s">
        <v>1729</v>
      </c>
      <c r="M3195" s="1" t="s">
        <v>1737</v>
      </c>
      <c r="N3195" t="s">
        <v>2091</v>
      </c>
      <c r="O3195" t="s">
        <v>2744</v>
      </c>
      <c r="P3195">
        <v>82219</v>
      </c>
      <c r="Q3195">
        <v>2</v>
      </c>
      <c r="R3195" s="1" t="s">
        <v>1718</v>
      </c>
      <c r="S3195">
        <v>16830</v>
      </c>
      <c r="T3195">
        <v>33660</v>
      </c>
    </row>
    <row r="3196" spans="1:20" hidden="1" x14ac:dyDescent="0.4">
      <c r="A3196" s="1" t="s">
        <v>1217</v>
      </c>
      <c r="B3196" s="1" t="s">
        <v>1454</v>
      </c>
      <c r="C3196" s="1" t="s">
        <v>1844</v>
      </c>
      <c r="D3196" s="1" t="s">
        <v>1462</v>
      </c>
      <c r="E3196">
        <v>20251218</v>
      </c>
      <c r="F3196" s="1" t="s">
        <v>1470</v>
      </c>
      <c r="G3196">
        <v>4</v>
      </c>
      <c r="H3196" s="1" t="s">
        <v>1503</v>
      </c>
      <c r="I3196" t="s">
        <v>1883</v>
      </c>
      <c r="J3196" s="1" t="s">
        <v>1456</v>
      </c>
      <c r="K3196" s="1" t="s">
        <v>1554</v>
      </c>
      <c r="L3196" s="1" t="s">
        <v>1729</v>
      </c>
      <c r="M3196" s="1" t="s">
        <v>1737</v>
      </c>
      <c r="N3196" t="s">
        <v>2118</v>
      </c>
      <c r="O3196" t="s">
        <v>2745</v>
      </c>
      <c r="P3196">
        <v>82270</v>
      </c>
      <c r="Q3196">
        <v>2</v>
      </c>
      <c r="R3196" s="1" t="s">
        <v>1718</v>
      </c>
      <c r="S3196">
        <v>9450</v>
      </c>
      <c r="T3196">
        <v>18900</v>
      </c>
    </row>
    <row r="3197" spans="1:20" hidden="1" x14ac:dyDescent="0.4">
      <c r="A3197" s="1" t="s">
        <v>1218</v>
      </c>
      <c r="B3197" s="1" t="s">
        <v>1453</v>
      </c>
      <c r="C3197" s="1" t="s">
        <v>1844</v>
      </c>
      <c r="D3197" s="1" t="s">
        <v>1462</v>
      </c>
      <c r="E3197">
        <v>20251218</v>
      </c>
      <c r="F3197" s="1" t="s">
        <v>1470</v>
      </c>
      <c r="G3197">
        <v>4</v>
      </c>
      <c r="H3197" s="1" t="s">
        <v>1503</v>
      </c>
      <c r="I3197" t="s">
        <v>1883</v>
      </c>
      <c r="J3197" s="1" t="s">
        <v>1456</v>
      </c>
      <c r="K3197" s="1" t="s">
        <v>1553</v>
      </c>
      <c r="L3197" s="1" t="s">
        <v>1729</v>
      </c>
      <c r="M3197" s="1" t="s">
        <v>1736</v>
      </c>
      <c r="N3197" t="s">
        <v>2093</v>
      </c>
      <c r="O3197">
        <v>15251204</v>
      </c>
      <c r="P3197" t="s">
        <v>3558</v>
      </c>
      <c r="Q3197">
        <v>1</v>
      </c>
      <c r="R3197" s="1" t="s">
        <v>1718</v>
      </c>
      <c r="S3197">
        <v>20210</v>
      </c>
      <c r="T3197">
        <v>20210</v>
      </c>
    </row>
    <row r="3198" spans="1:20" hidden="1" x14ac:dyDescent="0.4">
      <c r="A3198" s="1" t="s">
        <v>1218</v>
      </c>
      <c r="B3198" s="1" t="s">
        <v>1454</v>
      </c>
      <c r="C3198" s="1" t="s">
        <v>1844</v>
      </c>
      <c r="D3198" s="1" t="s">
        <v>1462</v>
      </c>
      <c r="E3198">
        <v>20251218</v>
      </c>
      <c r="F3198" s="1" t="s">
        <v>1470</v>
      </c>
      <c r="G3198">
        <v>4</v>
      </c>
      <c r="H3198" s="1" t="s">
        <v>1503</v>
      </c>
      <c r="I3198" t="s">
        <v>1883</v>
      </c>
      <c r="J3198" s="1" t="s">
        <v>1456</v>
      </c>
      <c r="K3198" s="1" t="s">
        <v>1553</v>
      </c>
      <c r="L3198" s="1" t="s">
        <v>1729</v>
      </c>
      <c r="M3198" s="1" t="s">
        <v>1736</v>
      </c>
      <c r="N3198" t="s">
        <v>2093</v>
      </c>
      <c r="O3198">
        <v>15251205</v>
      </c>
      <c r="P3198" t="s">
        <v>3559</v>
      </c>
      <c r="Q3198">
        <v>1</v>
      </c>
      <c r="R3198" s="1" t="s">
        <v>1718</v>
      </c>
      <c r="S3198">
        <v>20210</v>
      </c>
      <c r="T3198">
        <v>20210</v>
      </c>
    </row>
    <row r="3199" spans="1:20" hidden="1" x14ac:dyDescent="0.4">
      <c r="A3199" s="1" t="s">
        <v>1219</v>
      </c>
      <c r="B3199" s="1" t="s">
        <v>1453</v>
      </c>
      <c r="C3199" s="1" t="s">
        <v>1844</v>
      </c>
      <c r="D3199" s="1" t="s">
        <v>1462</v>
      </c>
      <c r="E3199">
        <v>20251218</v>
      </c>
      <c r="F3199" s="1" t="s">
        <v>1470</v>
      </c>
      <c r="G3199">
        <v>4</v>
      </c>
      <c r="H3199" s="1" t="s">
        <v>1503</v>
      </c>
      <c r="I3199" t="s">
        <v>1883</v>
      </c>
      <c r="J3199" s="1" t="s">
        <v>1456</v>
      </c>
      <c r="K3199" s="1" t="s">
        <v>1554</v>
      </c>
      <c r="L3199" s="1" t="s">
        <v>1729</v>
      </c>
      <c r="M3199" s="1" t="s">
        <v>1737</v>
      </c>
      <c r="N3199" t="s">
        <v>2109</v>
      </c>
      <c r="O3199" t="s">
        <v>2746</v>
      </c>
      <c r="P3199">
        <v>82292</v>
      </c>
      <c r="Q3199">
        <v>1</v>
      </c>
      <c r="R3199" s="1" t="s">
        <v>1718</v>
      </c>
      <c r="S3199">
        <v>58440</v>
      </c>
      <c r="T3199">
        <v>58440</v>
      </c>
    </row>
    <row r="3200" spans="1:20" hidden="1" x14ac:dyDescent="0.4">
      <c r="A3200" s="1" t="s">
        <v>1219</v>
      </c>
      <c r="B3200" s="1" t="s">
        <v>1454</v>
      </c>
      <c r="C3200" s="1" t="s">
        <v>1844</v>
      </c>
      <c r="D3200" s="1" t="s">
        <v>1462</v>
      </c>
      <c r="E3200">
        <v>20251218</v>
      </c>
      <c r="F3200" s="1" t="s">
        <v>1470</v>
      </c>
      <c r="G3200">
        <v>4</v>
      </c>
      <c r="H3200" s="1" t="s">
        <v>1503</v>
      </c>
      <c r="I3200" t="s">
        <v>1883</v>
      </c>
      <c r="J3200" s="1" t="s">
        <v>1456</v>
      </c>
      <c r="K3200" s="1" t="s">
        <v>1554</v>
      </c>
      <c r="L3200" s="1" t="s">
        <v>1729</v>
      </c>
      <c r="M3200" s="1" t="s">
        <v>1737</v>
      </c>
      <c r="N3200" t="s">
        <v>2109</v>
      </c>
      <c r="O3200" t="s">
        <v>2747</v>
      </c>
      <c r="P3200">
        <v>82293</v>
      </c>
      <c r="Q3200">
        <v>2</v>
      </c>
      <c r="R3200" s="1" t="s">
        <v>1718</v>
      </c>
      <c r="S3200">
        <v>29240</v>
      </c>
      <c r="T3200">
        <v>58480</v>
      </c>
    </row>
    <row r="3201" spans="1:20" hidden="1" x14ac:dyDescent="0.4">
      <c r="A3201" s="1" t="s">
        <v>1220</v>
      </c>
      <c r="B3201" s="1" t="s">
        <v>1453</v>
      </c>
      <c r="C3201" s="1" t="s">
        <v>1844</v>
      </c>
      <c r="D3201" s="1" t="s">
        <v>1462</v>
      </c>
      <c r="E3201">
        <v>20251218</v>
      </c>
      <c r="F3201" s="1" t="s">
        <v>1470</v>
      </c>
      <c r="G3201">
        <v>4</v>
      </c>
      <c r="H3201" s="1" t="s">
        <v>1503</v>
      </c>
      <c r="I3201" t="s">
        <v>1883</v>
      </c>
      <c r="J3201" s="1" t="s">
        <v>1456</v>
      </c>
      <c r="K3201" s="1" t="s">
        <v>1554</v>
      </c>
      <c r="L3201" s="1" t="s">
        <v>1729</v>
      </c>
      <c r="M3201" s="1" t="s">
        <v>1737</v>
      </c>
      <c r="N3201" t="s">
        <v>2109</v>
      </c>
      <c r="O3201" t="s">
        <v>2746</v>
      </c>
      <c r="P3201">
        <v>82292</v>
      </c>
      <c r="Q3201">
        <v>1</v>
      </c>
      <c r="R3201" s="1" t="s">
        <v>1718</v>
      </c>
      <c r="S3201">
        <v>58440</v>
      </c>
      <c r="T3201">
        <v>58440</v>
      </c>
    </row>
    <row r="3202" spans="1:20" hidden="1" x14ac:dyDescent="0.4">
      <c r="A3202" s="1" t="s">
        <v>1220</v>
      </c>
      <c r="B3202" s="1" t="s">
        <v>1454</v>
      </c>
      <c r="C3202" s="1" t="s">
        <v>1844</v>
      </c>
      <c r="D3202" s="1" t="s">
        <v>1462</v>
      </c>
      <c r="E3202">
        <v>20251218</v>
      </c>
      <c r="F3202" s="1" t="s">
        <v>1470</v>
      </c>
      <c r="G3202">
        <v>4</v>
      </c>
      <c r="H3202" s="1" t="s">
        <v>1503</v>
      </c>
      <c r="I3202" t="s">
        <v>1883</v>
      </c>
      <c r="J3202" s="1" t="s">
        <v>1456</v>
      </c>
      <c r="K3202" s="1" t="s">
        <v>1554</v>
      </c>
      <c r="L3202" s="1" t="s">
        <v>1729</v>
      </c>
      <c r="M3202" s="1" t="s">
        <v>1737</v>
      </c>
      <c r="N3202" t="s">
        <v>2109</v>
      </c>
      <c r="O3202" t="s">
        <v>2747</v>
      </c>
      <c r="P3202">
        <v>82293</v>
      </c>
      <c r="Q3202">
        <v>2</v>
      </c>
      <c r="R3202" s="1" t="s">
        <v>1718</v>
      </c>
      <c r="S3202">
        <v>29240</v>
      </c>
      <c r="T3202">
        <v>58480</v>
      </c>
    </row>
    <row r="3203" spans="1:20" hidden="1" x14ac:dyDescent="0.4">
      <c r="A3203" s="1" t="s">
        <v>1221</v>
      </c>
      <c r="B3203" s="1" t="s">
        <v>1453</v>
      </c>
      <c r="C3203" s="1" t="s">
        <v>1844</v>
      </c>
      <c r="D3203" s="1" t="s">
        <v>1730</v>
      </c>
      <c r="E3203">
        <v>20251218</v>
      </c>
      <c r="F3203" s="1" t="s">
        <v>1470</v>
      </c>
      <c r="G3203">
        <v>4</v>
      </c>
      <c r="H3203" s="1" t="s">
        <v>1503</v>
      </c>
      <c r="I3203" t="s">
        <v>1883</v>
      </c>
      <c r="J3203" s="1" t="s">
        <v>1456</v>
      </c>
      <c r="K3203" s="1" t="s">
        <v>1570</v>
      </c>
      <c r="L3203" s="1" t="s">
        <v>1729</v>
      </c>
      <c r="M3203" s="1" t="s">
        <v>1744</v>
      </c>
      <c r="N3203" t="s">
        <v>1943</v>
      </c>
      <c r="O3203" t="s">
        <v>2748</v>
      </c>
      <c r="P3203" t="s">
        <v>3244</v>
      </c>
      <c r="Q3203">
        <v>2</v>
      </c>
      <c r="R3203" s="1" t="s">
        <v>1718</v>
      </c>
      <c r="S3203">
        <v>0</v>
      </c>
      <c r="T3203">
        <v>0</v>
      </c>
    </row>
    <row r="3204" spans="1:20" hidden="1" x14ac:dyDescent="0.4">
      <c r="A3204" s="1" t="s">
        <v>1222</v>
      </c>
      <c r="B3204" s="1" t="s">
        <v>1453</v>
      </c>
      <c r="C3204" s="1" t="s">
        <v>1844</v>
      </c>
      <c r="D3204" s="1" t="s">
        <v>1730</v>
      </c>
      <c r="E3204">
        <v>20251218</v>
      </c>
      <c r="F3204" s="1" t="s">
        <v>1470</v>
      </c>
      <c r="G3204">
        <v>4</v>
      </c>
      <c r="H3204" s="1" t="s">
        <v>1503</v>
      </c>
      <c r="I3204" t="s">
        <v>1883</v>
      </c>
      <c r="J3204" s="1" t="s">
        <v>1456</v>
      </c>
      <c r="K3204" s="1" t="s">
        <v>1570</v>
      </c>
      <c r="L3204" s="1" t="s">
        <v>1729</v>
      </c>
      <c r="M3204" s="1" t="s">
        <v>1741</v>
      </c>
      <c r="N3204" t="s">
        <v>1943</v>
      </c>
      <c r="O3204" t="s">
        <v>2749</v>
      </c>
      <c r="P3204" t="s">
        <v>3243</v>
      </c>
      <c r="Q3204">
        <v>2</v>
      </c>
      <c r="R3204" s="1" t="s">
        <v>1718</v>
      </c>
      <c r="S3204">
        <v>0</v>
      </c>
      <c r="T3204">
        <v>0</v>
      </c>
    </row>
    <row r="3205" spans="1:20" hidden="1" x14ac:dyDescent="0.4">
      <c r="A3205" s="1" t="s">
        <v>1222</v>
      </c>
      <c r="B3205" s="1" t="s">
        <v>1454</v>
      </c>
      <c r="C3205" s="1" t="s">
        <v>1844</v>
      </c>
      <c r="D3205" s="1" t="s">
        <v>1730</v>
      </c>
      <c r="E3205">
        <v>20251218</v>
      </c>
      <c r="F3205" s="1" t="s">
        <v>1470</v>
      </c>
      <c r="G3205">
        <v>4</v>
      </c>
      <c r="H3205" s="1" t="s">
        <v>1503</v>
      </c>
      <c r="I3205" t="s">
        <v>1883</v>
      </c>
      <c r="J3205" s="1" t="s">
        <v>1456</v>
      </c>
      <c r="K3205" s="1" t="s">
        <v>1570</v>
      </c>
      <c r="L3205" s="1" t="s">
        <v>1729</v>
      </c>
      <c r="M3205" s="1" t="s">
        <v>1741</v>
      </c>
      <c r="N3205" t="s">
        <v>1943</v>
      </c>
      <c r="O3205" t="s">
        <v>2749</v>
      </c>
      <c r="P3205" t="s">
        <v>3243</v>
      </c>
      <c r="Q3205">
        <v>2</v>
      </c>
      <c r="R3205" s="1" t="s">
        <v>1718</v>
      </c>
      <c r="S3205">
        <v>0</v>
      </c>
      <c r="T3205">
        <v>0</v>
      </c>
    </row>
    <row r="3206" spans="1:20" hidden="1" x14ac:dyDescent="0.4">
      <c r="A3206" s="1" t="s">
        <v>1222</v>
      </c>
      <c r="B3206" s="1" t="s">
        <v>1455</v>
      </c>
      <c r="C3206" s="1" t="s">
        <v>1844</v>
      </c>
      <c r="D3206" s="1" t="s">
        <v>1730</v>
      </c>
      <c r="E3206">
        <v>20251218</v>
      </c>
      <c r="F3206" s="1" t="s">
        <v>1470</v>
      </c>
      <c r="G3206">
        <v>4</v>
      </c>
      <c r="H3206" s="1" t="s">
        <v>1503</v>
      </c>
      <c r="I3206" t="s">
        <v>1883</v>
      </c>
      <c r="J3206" s="1" t="s">
        <v>1456</v>
      </c>
      <c r="K3206" s="1" t="s">
        <v>1570</v>
      </c>
      <c r="L3206" s="1" t="s">
        <v>1729</v>
      </c>
      <c r="M3206" s="1" t="s">
        <v>1741</v>
      </c>
      <c r="N3206" t="s">
        <v>1943</v>
      </c>
      <c r="O3206" t="s">
        <v>2749</v>
      </c>
      <c r="P3206" t="s">
        <v>3243</v>
      </c>
      <c r="Q3206">
        <v>4</v>
      </c>
      <c r="R3206" s="1" t="s">
        <v>1718</v>
      </c>
      <c r="S3206">
        <v>0</v>
      </c>
      <c r="T3206">
        <v>0</v>
      </c>
    </row>
    <row r="3207" spans="1:20" hidden="1" x14ac:dyDescent="0.4">
      <c r="A3207" s="1" t="s">
        <v>1222</v>
      </c>
      <c r="B3207" s="1" t="s">
        <v>1456</v>
      </c>
      <c r="C3207" s="1" t="s">
        <v>1844</v>
      </c>
      <c r="D3207" s="1" t="s">
        <v>1730</v>
      </c>
      <c r="E3207">
        <v>20251218</v>
      </c>
      <c r="F3207" s="1" t="s">
        <v>1470</v>
      </c>
      <c r="G3207">
        <v>4</v>
      </c>
      <c r="H3207" s="1" t="s">
        <v>1503</v>
      </c>
      <c r="I3207" t="s">
        <v>1883</v>
      </c>
      <c r="J3207" s="1" t="s">
        <v>1456</v>
      </c>
      <c r="K3207" s="1" t="s">
        <v>1570</v>
      </c>
      <c r="L3207" s="1" t="s">
        <v>1729</v>
      </c>
      <c r="M3207" s="1" t="s">
        <v>1742</v>
      </c>
      <c r="N3207" t="s">
        <v>1943</v>
      </c>
      <c r="O3207" t="s">
        <v>2749</v>
      </c>
      <c r="P3207" t="s">
        <v>3245</v>
      </c>
      <c r="Q3207">
        <v>2</v>
      </c>
      <c r="R3207" s="1" t="s">
        <v>1718</v>
      </c>
      <c r="S3207">
        <v>0</v>
      </c>
      <c r="T3207">
        <v>0</v>
      </c>
    </row>
    <row r="3208" spans="1:20" hidden="1" x14ac:dyDescent="0.4">
      <c r="A3208" s="1" t="s">
        <v>1222</v>
      </c>
      <c r="B3208" s="1" t="s">
        <v>1457</v>
      </c>
      <c r="C3208" s="1" t="s">
        <v>1844</v>
      </c>
      <c r="D3208" s="1" t="s">
        <v>1730</v>
      </c>
      <c r="E3208">
        <v>20251218</v>
      </c>
      <c r="F3208" s="1" t="s">
        <v>1470</v>
      </c>
      <c r="G3208">
        <v>4</v>
      </c>
      <c r="H3208" s="1" t="s">
        <v>1503</v>
      </c>
      <c r="I3208" t="s">
        <v>1883</v>
      </c>
      <c r="J3208" s="1" t="s">
        <v>1456</v>
      </c>
      <c r="K3208" s="1" t="s">
        <v>1570</v>
      </c>
      <c r="L3208" s="1" t="s">
        <v>1729</v>
      </c>
      <c r="M3208" s="1" t="s">
        <v>1741</v>
      </c>
      <c r="N3208" t="s">
        <v>1943</v>
      </c>
      <c r="O3208" t="s">
        <v>2749</v>
      </c>
      <c r="P3208" t="s">
        <v>3243</v>
      </c>
      <c r="Q3208">
        <v>4</v>
      </c>
      <c r="R3208" s="1" t="s">
        <v>1718</v>
      </c>
      <c r="S3208">
        <v>0</v>
      </c>
      <c r="T3208">
        <v>0</v>
      </c>
    </row>
    <row r="3209" spans="1:20" hidden="1" x14ac:dyDescent="0.4">
      <c r="A3209" s="1" t="s">
        <v>1222</v>
      </c>
      <c r="B3209" s="1" t="s">
        <v>1458</v>
      </c>
      <c r="C3209" s="1" t="s">
        <v>1844</v>
      </c>
      <c r="D3209" s="1" t="s">
        <v>1730</v>
      </c>
      <c r="E3209">
        <v>20251218</v>
      </c>
      <c r="F3209" s="1" t="s">
        <v>1470</v>
      </c>
      <c r="G3209">
        <v>4</v>
      </c>
      <c r="H3209" s="1" t="s">
        <v>1503</v>
      </c>
      <c r="I3209" t="s">
        <v>1883</v>
      </c>
      <c r="J3209" s="1" t="s">
        <v>1456</v>
      </c>
      <c r="K3209" s="1" t="s">
        <v>1570</v>
      </c>
      <c r="L3209" s="1" t="s">
        <v>1729</v>
      </c>
      <c r="M3209" s="1" t="s">
        <v>1741</v>
      </c>
      <c r="N3209" t="s">
        <v>1943</v>
      </c>
      <c r="O3209" t="s">
        <v>2749</v>
      </c>
      <c r="P3209" t="s">
        <v>3243</v>
      </c>
      <c r="Q3209">
        <v>5</v>
      </c>
      <c r="R3209" s="1" t="s">
        <v>1718</v>
      </c>
      <c r="S3209">
        <v>0</v>
      </c>
      <c r="T3209">
        <v>0</v>
      </c>
    </row>
    <row r="3210" spans="1:20" hidden="1" x14ac:dyDescent="0.4">
      <c r="A3210" s="1" t="s">
        <v>1222</v>
      </c>
      <c r="B3210" s="1" t="s">
        <v>1459</v>
      </c>
      <c r="C3210" s="1" t="s">
        <v>1844</v>
      </c>
      <c r="D3210" s="1" t="s">
        <v>1730</v>
      </c>
      <c r="E3210">
        <v>20251218</v>
      </c>
      <c r="F3210" s="1" t="s">
        <v>1470</v>
      </c>
      <c r="G3210">
        <v>4</v>
      </c>
      <c r="H3210" s="1" t="s">
        <v>1503</v>
      </c>
      <c r="I3210" t="s">
        <v>1883</v>
      </c>
      <c r="J3210" s="1" t="s">
        <v>1456</v>
      </c>
      <c r="K3210" s="1" t="s">
        <v>1570</v>
      </c>
      <c r="L3210" s="1" t="s">
        <v>1729</v>
      </c>
      <c r="M3210" s="1" t="s">
        <v>1742</v>
      </c>
      <c r="N3210" t="s">
        <v>1943</v>
      </c>
      <c r="O3210" t="s">
        <v>2749</v>
      </c>
      <c r="P3210" t="s">
        <v>3245</v>
      </c>
      <c r="Q3210">
        <v>10</v>
      </c>
      <c r="R3210" s="1" t="s">
        <v>1718</v>
      </c>
      <c r="S3210">
        <v>0</v>
      </c>
      <c r="T3210">
        <v>0</v>
      </c>
    </row>
    <row r="3211" spans="1:20" hidden="1" x14ac:dyDescent="0.4">
      <c r="A3211" s="1" t="s">
        <v>1222</v>
      </c>
      <c r="B3211" s="1" t="s">
        <v>1460</v>
      </c>
      <c r="C3211" s="1" t="s">
        <v>1844</v>
      </c>
      <c r="D3211" s="1" t="s">
        <v>1730</v>
      </c>
      <c r="E3211">
        <v>20251218</v>
      </c>
      <c r="F3211" s="1" t="s">
        <v>1470</v>
      </c>
      <c r="G3211">
        <v>4</v>
      </c>
      <c r="H3211" s="1" t="s">
        <v>1503</v>
      </c>
      <c r="I3211" t="s">
        <v>1883</v>
      </c>
      <c r="J3211" s="1" t="s">
        <v>1456</v>
      </c>
      <c r="K3211" s="1" t="s">
        <v>1570</v>
      </c>
      <c r="L3211" s="1" t="s">
        <v>1729</v>
      </c>
      <c r="M3211" s="1" t="s">
        <v>1741</v>
      </c>
      <c r="N3211" t="s">
        <v>1943</v>
      </c>
      <c r="O3211" t="s">
        <v>2749</v>
      </c>
      <c r="P3211" t="s">
        <v>3243</v>
      </c>
      <c r="Q3211">
        <v>10</v>
      </c>
      <c r="R3211" s="1" t="s">
        <v>1718</v>
      </c>
      <c r="S3211">
        <v>0</v>
      </c>
      <c r="T3211">
        <v>0</v>
      </c>
    </row>
    <row r="3212" spans="1:20" hidden="1" x14ac:dyDescent="0.4">
      <c r="A3212" s="1" t="s">
        <v>1223</v>
      </c>
      <c r="B3212" s="1" t="s">
        <v>1453</v>
      </c>
      <c r="C3212" s="1" t="s">
        <v>1844</v>
      </c>
      <c r="D3212" s="1" t="s">
        <v>1730</v>
      </c>
      <c r="E3212">
        <v>20251218</v>
      </c>
      <c r="F3212" s="1" t="s">
        <v>1470</v>
      </c>
      <c r="G3212">
        <v>4</v>
      </c>
      <c r="H3212" s="1" t="s">
        <v>1503</v>
      </c>
      <c r="I3212" t="s">
        <v>1883</v>
      </c>
      <c r="J3212" s="1" t="s">
        <v>1456</v>
      </c>
      <c r="K3212" s="1" t="s">
        <v>1570</v>
      </c>
      <c r="L3212" s="1" t="s">
        <v>1729</v>
      </c>
      <c r="M3212" s="1" t="s">
        <v>1741</v>
      </c>
      <c r="N3212" t="s">
        <v>1943</v>
      </c>
      <c r="O3212" t="s">
        <v>2750</v>
      </c>
      <c r="P3212" t="s">
        <v>3243</v>
      </c>
      <c r="Q3212">
        <v>30</v>
      </c>
      <c r="R3212" s="1" t="s">
        <v>1718</v>
      </c>
      <c r="S3212">
        <v>0</v>
      </c>
      <c r="T3212">
        <v>0</v>
      </c>
    </row>
    <row r="3213" spans="1:20" hidden="1" x14ac:dyDescent="0.4">
      <c r="A3213" s="1" t="s">
        <v>1223</v>
      </c>
      <c r="B3213" s="1" t="s">
        <v>1454</v>
      </c>
      <c r="C3213" s="1" t="s">
        <v>1844</v>
      </c>
      <c r="D3213" s="1" t="s">
        <v>1730</v>
      </c>
      <c r="E3213">
        <v>20251218</v>
      </c>
      <c r="F3213" s="1" t="s">
        <v>1470</v>
      </c>
      <c r="G3213">
        <v>4</v>
      </c>
      <c r="H3213" s="1" t="s">
        <v>1503</v>
      </c>
      <c r="I3213" t="s">
        <v>1883</v>
      </c>
      <c r="J3213" s="1" t="s">
        <v>1456</v>
      </c>
      <c r="K3213" s="1" t="s">
        <v>1570</v>
      </c>
      <c r="L3213" s="1" t="s">
        <v>1729</v>
      </c>
      <c r="M3213" s="1" t="s">
        <v>1741</v>
      </c>
      <c r="N3213" t="s">
        <v>1943</v>
      </c>
      <c r="O3213" t="s">
        <v>2750</v>
      </c>
      <c r="P3213" t="s">
        <v>3243</v>
      </c>
      <c r="Q3213">
        <v>20</v>
      </c>
      <c r="R3213" s="1" t="s">
        <v>1718</v>
      </c>
      <c r="S3213">
        <v>0</v>
      </c>
      <c r="T3213">
        <v>0</v>
      </c>
    </row>
    <row r="3214" spans="1:20" hidden="1" x14ac:dyDescent="0.4">
      <c r="A3214" s="1" t="s">
        <v>1224</v>
      </c>
      <c r="B3214" s="1" t="s">
        <v>1453</v>
      </c>
      <c r="C3214" s="1" t="s">
        <v>1844</v>
      </c>
      <c r="D3214" s="1" t="s">
        <v>1462</v>
      </c>
      <c r="E3214">
        <v>20251218</v>
      </c>
      <c r="F3214" s="1" t="s">
        <v>1470</v>
      </c>
      <c r="G3214">
        <v>4</v>
      </c>
      <c r="H3214" s="1" t="s">
        <v>1496</v>
      </c>
      <c r="I3214" t="s">
        <v>1876</v>
      </c>
      <c r="J3214" s="1" t="s">
        <v>1456</v>
      </c>
      <c r="K3214" s="1" t="s">
        <v>1557</v>
      </c>
      <c r="L3214" s="1" t="s">
        <v>1729</v>
      </c>
      <c r="M3214" s="1" t="s">
        <v>1737</v>
      </c>
      <c r="N3214" t="s">
        <v>1929</v>
      </c>
      <c r="O3214" t="s">
        <v>2751</v>
      </c>
      <c r="P3214" t="s">
        <v>3270</v>
      </c>
      <c r="Q3214">
        <v>2</v>
      </c>
      <c r="R3214" s="1" t="s">
        <v>1718</v>
      </c>
      <c r="S3214">
        <v>17388</v>
      </c>
      <c r="T3214">
        <v>34776</v>
      </c>
    </row>
    <row r="3215" spans="1:20" hidden="1" x14ac:dyDescent="0.4">
      <c r="A3215" s="1" t="s">
        <v>1225</v>
      </c>
      <c r="B3215" s="1" t="s">
        <v>1453</v>
      </c>
      <c r="C3215" s="1" t="s">
        <v>1844</v>
      </c>
      <c r="D3215" s="1" t="s">
        <v>1462</v>
      </c>
      <c r="E3215">
        <v>20251218</v>
      </c>
      <c r="F3215" s="1" t="s">
        <v>1470</v>
      </c>
      <c r="G3215">
        <v>4</v>
      </c>
      <c r="H3215" s="1" t="s">
        <v>1496</v>
      </c>
      <c r="I3215" t="s">
        <v>1876</v>
      </c>
      <c r="J3215" s="1" t="s">
        <v>1456</v>
      </c>
      <c r="K3215" s="1" t="s">
        <v>1557</v>
      </c>
      <c r="L3215" s="1" t="s">
        <v>1729</v>
      </c>
      <c r="M3215" s="1" t="s">
        <v>1737</v>
      </c>
      <c r="N3215" t="s">
        <v>1929</v>
      </c>
      <c r="O3215" t="s">
        <v>2752</v>
      </c>
      <c r="P3215" t="s">
        <v>2157</v>
      </c>
      <c r="Q3215">
        <v>2</v>
      </c>
      <c r="R3215" s="1" t="s">
        <v>1718</v>
      </c>
      <c r="S3215">
        <v>8580</v>
      </c>
      <c r="T3215">
        <v>17160</v>
      </c>
    </row>
    <row r="3216" spans="1:20" hidden="1" x14ac:dyDescent="0.4">
      <c r="A3216" s="1" t="s">
        <v>1226</v>
      </c>
      <c r="B3216" s="1" t="s">
        <v>1453</v>
      </c>
      <c r="C3216" s="1" t="s">
        <v>1844</v>
      </c>
      <c r="D3216" s="1" t="s">
        <v>1462</v>
      </c>
      <c r="E3216">
        <v>20251218</v>
      </c>
      <c r="F3216" s="1" t="s">
        <v>1470</v>
      </c>
      <c r="G3216">
        <v>4</v>
      </c>
      <c r="H3216" s="1" t="s">
        <v>1496</v>
      </c>
      <c r="I3216" t="s">
        <v>1876</v>
      </c>
      <c r="J3216" s="1" t="s">
        <v>1456</v>
      </c>
      <c r="K3216" s="1" t="s">
        <v>1557</v>
      </c>
      <c r="L3216" s="1" t="s">
        <v>1729</v>
      </c>
      <c r="M3216" s="1" t="s">
        <v>1737</v>
      </c>
      <c r="N3216" t="s">
        <v>1929</v>
      </c>
      <c r="O3216" t="s">
        <v>2753</v>
      </c>
      <c r="P3216" t="s">
        <v>2157</v>
      </c>
      <c r="Q3216">
        <v>2</v>
      </c>
      <c r="R3216" s="1" t="s">
        <v>1718</v>
      </c>
      <c r="S3216">
        <v>38546</v>
      </c>
      <c r="T3216">
        <v>77092</v>
      </c>
    </row>
    <row r="3217" spans="1:20" hidden="1" x14ac:dyDescent="0.4">
      <c r="A3217" s="1" t="s">
        <v>1227</v>
      </c>
      <c r="B3217" s="1" t="s">
        <v>1453</v>
      </c>
      <c r="C3217" s="1" t="s">
        <v>1844</v>
      </c>
      <c r="D3217" s="1" t="s">
        <v>1462</v>
      </c>
      <c r="E3217">
        <v>20251218</v>
      </c>
      <c r="F3217" s="1" t="s">
        <v>1470</v>
      </c>
      <c r="G3217">
        <v>4</v>
      </c>
      <c r="H3217" s="1" t="s">
        <v>1496</v>
      </c>
      <c r="I3217" t="s">
        <v>1876</v>
      </c>
      <c r="J3217" s="1" t="s">
        <v>1456</v>
      </c>
      <c r="K3217" s="1" t="s">
        <v>1557</v>
      </c>
      <c r="L3217" s="1" t="s">
        <v>1729</v>
      </c>
      <c r="M3217" s="1" t="s">
        <v>1737</v>
      </c>
      <c r="N3217" t="s">
        <v>1929</v>
      </c>
      <c r="O3217" t="s">
        <v>2754</v>
      </c>
      <c r="P3217" t="s">
        <v>3270</v>
      </c>
      <c r="Q3217">
        <v>2</v>
      </c>
      <c r="R3217" s="1" t="s">
        <v>1718</v>
      </c>
      <c r="S3217">
        <v>17388</v>
      </c>
      <c r="T3217">
        <v>34776</v>
      </c>
    </row>
    <row r="3218" spans="1:20" hidden="1" x14ac:dyDescent="0.4">
      <c r="A3218" s="1" t="s">
        <v>1227</v>
      </c>
      <c r="B3218" s="1" t="s">
        <v>1454</v>
      </c>
      <c r="C3218" s="1" t="s">
        <v>1844</v>
      </c>
      <c r="D3218" s="1" t="s">
        <v>1462</v>
      </c>
      <c r="E3218">
        <v>20251218</v>
      </c>
      <c r="F3218" s="1" t="s">
        <v>1470</v>
      </c>
      <c r="G3218">
        <v>4</v>
      </c>
      <c r="H3218" s="1" t="s">
        <v>1496</v>
      </c>
      <c r="I3218" t="s">
        <v>1876</v>
      </c>
      <c r="J3218" s="1" t="s">
        <v>1456</v>
      </c>
      <c r="K3218" s="1" t="s">
        <v>1557</v>
      </c>
      <c r="L3218" s="1" t="s">
        <v>1729</v>
      </c>
      <c r="M3218" s="1" t="s">
        <v>1737</v>
      </c>
      <c r="N3218" t="s">
        <v>1929</v>
      </c>
      <c r="O3218" t="s">
        <v>2754</v>
      </c>
      <c r="P3218" t="s">
        <v>3497</v>
      </c>
      <c r="Q3218">
        <v>2</v>
      </c>
      <c r="R3218" s="1" t="s">
        <v>1718</v>
      </c>
      <c r="S3218">
        <v>18235</v>
      </c>
      <c r="T3218">
        <v>36470</v>
      </c>
    </row>
    <row r="3219" spans="1:20" hidden="1" x14ac:dyDescent="0.4">
      <c r="A3219" s="1" t="s">
        <v>1228</v>
      </c>
      <c r="B3219" s="1" t="s">
        <v>1453</v>
      </c>
      <c r="C3219" s="1" t="s">
        <v>1844</v>
      </c>
      <c r="D3219" s="1" t="s">
        <v>1462</v>
      </c>
      <c r="E3219">
        <v>20251218</v>
      </c>
      <c r="F3219" s="1" t="s">
        <v>1470</v>
      </c>
      <c r="G3219">
        <v>4</v>
      </c>
      <c r="H3219" s="1" t="s">
        <v>1512</v>
      </c>
      <c r="I3219" t="s">
        <v>1892</v>
      </c>
      <c r="J3219" s="1" t="s">
        <v>1456</v>
      </c>
      <c r="K3219" s="1" t="s">
        <v>1558</v>
      </c>
      <c r="L3219" s="1" t="s">
        <v>1729</v>
      </c>
      <c r="M3219" s="1" t="s">
        <v>1737</v>
      </c>
      <c r="N3219" t="s">
        <v>2096</v>
      </c>
      <c r="O3219" t="s">
        <v>2755</v>
      </c>
      <c r="P3219" t="s">
        <v>3560</v>
      </c>
      <c r="Q3219">
        <v>2</v>
      </c>
      <c r="R3219" s="1" t="s">
        <v>1718</v>
      </c>
      <c r="S3219">
        <v>51167</v>
      </c>
      <c r="T3219">
        <v>102334</v>
      </c>
    </row>
    <row r="3220" spans="1:20" hidden="1" x14ac:dyDescent="0.4">
      <c r="A3220" s="1" t="s">
        <v>1229</v>
      </c>
      <c r="B3220" s="1" t="s">
        <v>1453</v>
      </c>
      <c r="C3220" s="1" t="s">
        <v>1844</v>
      </c>
      <c r="D3220" s="1" t="s">
        <v>1462</v>
      </c>
      <c r="E3220">
        <v>20251218</v>
      </c>
      <c r="F3220" s="1" t="s">
        <v>1470</v>
      </c>
      <c r="G3220">
        <v>4</v>
      </c>
      <c r="H3220" s="1" t="s">
        <v>1512</v>
      </c>
      <c r="I3220" t="s">
        <v>1892</v>
      </c>
      <c r="J3220" s="1" t="s">
        <v>1456</v>
      </c>
      <c r="K3220" s="1" t="s">
        <v>1558</v>
      </c>
      <c r="L3220" s="1" t="s">
        <v>1729</v>
      </c>
      <c r="M3220" s="1" t="s">
        <v>1737</v>
      </c>
      <c r="N3220" t="s">
        <v>2096</v>
      </c>
      <c r="O3220" t="s">
        <v>2756</v>
      </c>
      <c r="P3220" t="s">
        <v>3561</v>
      </c>
      <c r="Q3220">
        <v>2</v>
      </c>
      <c r="R3220" s="1" t="s">
        <v>1718</v>
      </c>
      <c r="S3220">
        <v>6274</v>
      </c>
      <c r="T3220">
        <v>12548</v>
      </c>
    </row>
    <row r="3221" spans="1:20" hidden="1" x14ac:dyDescent="0.4">
      <c r="A3221" s="1" t="s">
        <v>1229</v>
      </c>
      <c r="B3221" s="1" t="s">
        <v>1454</v>
      </c>
      <c r="C3221" s="1" t="s">
        <v>1844</v>
      </c>
      <c r="D3221" s="1" t="s">
        <v>1462</v>
      </c>
      <c r="E3221">
        <v>20251218</v>
      </c>
      <c r="F3221" s="1" t="s">
        <v>1470</v>
      </c>
      <c r="G3221">
        <v>4</v>
      </c>
      <c r="H3221" s="1" t="s">
        <v>1512</v>
      </c>
      <c r="I3221" t="s">
        <v>1892</v>
      </c>
      <c r="J3221" s="1" t="s">
        <v>1456</v>
      </c>
      <c r="K3221" s="1" t="s">
        <v>1558</v>
      </c>
      <c r="L3221" s="1" t="s">
        <v>1729</v>
      </c>
      <c r="M3221" s="1" t="s">
        <v>1737</v>
      </c>
      <c r="N3221" t="s">
        <v>2096</v>
      </c>
      <c r="O3221" t="s">
        <v>2756</v>
      </c>
      <c r="P3221" t="s">
        <v>3562</v>
      </c>
      <c r="Q3221">
        <v>2</v>
      </c>
      <c r="R3221" s="1" t="s">
        <v>1718</v>
      </c>
      <c r="S3221">
        <v>17926</v>
      </c>
      <c r="T3221">
        <v>35852</v>
      </c>
    </row>
    <row r="3222" spans="1:20" hidden="1" x14ac:dyDescent="0.4">
      <c r="A3222" s="1" t="s">
        <v>1230</v>
      </c>
      <c r="B3222" s="1" t="s">
        <v>1453</v>
      </c>
      <c r="C3222" s="1" t="s">
        <v>1844</v>
      </c>
      <c r="D3222" s="1" t="s">
        <v>1730</v>
      </c>
      <c r="E3222">
        <v>20251218</v>
      </c>
      <c r="F3222" s="1" t="s">
        <v>1470</v>
      </c>
      <c r="G3222">
        <v>4</v>
      </c>
      <c r="H3222" s="1" t="s">
        <v>1503</v>
      </c>
      <c r="I3222" t="s">
        <v>1883</v>
      </c>
      <c r="J3222" s="1" t="s">
        <v>1456</v>
      </c>
      <c r="K3222" s="1" t="s">
        <v>1552</v>
      </c>
      <c r="L3222" s="1" t="s">
        <v>1729</v>
      </c>
      <c r="M3222" s="1" t="s">
        <v>1735</v>
      </c>
      <c r="N3222" t="s">
        <v>2097</v>
      </c>
      <c r="O3222" t="s">
        <v>2757</v>
      </c>
      <c r="P3222" t="s">
        <v>3037</v>
      </c>
      <c r="Q3222">
        <v>20</v>
      </c>
      <c r="R3222" s="1" t="s">
        <v>1718</v>
      </c>
      <c r="S3222">
        <v>0</v>
      </c>
      <c r="T3222">
        <v>0</v>
      </c>
    </row>
    <row r="3223" spans="1:20" hidden="1" x14ac:dyDescent="0.4">
      <c r="A3223" s="1" t="s">
        <v>1231</v>
      </c>
      <c r="B3223" s="1" t="s">
        <v>1453</v>
      </c>
      <c r="C3223" s="1" t="s">
        <v>1844</v>
      </c>
      <c r="D3223" s="1" t="s">
        <v>1730</v>
      </c>
      <c r="E3223">
        <v>20251218</v>
      </c>
      <c r="F3223" s="1" t="s">
        <v>1470</v>
      </c>
      <c r="G3223">
        <v>4</v>
      </c>
      <c r="H3223" s="1" t="s">
        <v>1503</v>
      </c>
      <c r="I3223" t="s">
        <v>1883</v>
      </c>
      <c r="J3223" s="1" t="s">
        <v>1456</v>
      </c>
      <c r="K3223" s="1" t="s">
        <v>1612</v>
      </c>
      <c r="L3223" s="1" t="s">
        <v>1729</v>
      </c>
      <c r="M3223" s="1" t="s">
        <v>1737</v>
      </c>
      <c r="N3223" t="s">
        <v>1986</v>
      </c>
      <c r="O3223" t="s">
        <v>2758</v>
      </c>
      <c r="P3223" t="s">
        <v>2631</v>
      </c>
      <c r="Q3223">
        <v>12.3</v>
      </c>
      <c r="R3223" s="1" t="s">
        <v>1839</v>
      </c>
      <c r="S3223">
        <v>0</v>
      </c>
      <c r="T3223">
        <v>0</v>
      </c>
    </row>
    <row r="3224" spans="1:20" hidden="1" x14ac:dyDescent="0.4">
      <c r="A3224" s="1" t="s">
        <v>1232</v>
      </c>
      <c r="B3224" s="1" t="s">
        <v>1453</v>
      </c>
      <c r="C3224" s="1" t="s">
        <v>1844</v>
      </c>
      <c r="D3224" s="1" t="s">
        <v>1462</v>
      </c>
      <c r="E3224">
        <v>20251217</v>
      </c>
      <c r="F3224" s="1" t="s">
        <v>1471</v>
      </c>
      <c r="G3224">
        <v>4</v>
      </c>
      <c r="H3224" s="1" t="s">
        <v>1515</v>
      </c>
      <c r="I3224" t="s">
        <v>1895</v>
      </c>
      <c r="J3224" s="1" t="s">
        <v>1460</v>
      </c>
      <c r="K3224" s="1" t="s">
        <v>1695</v>
      </c>
      <c r="L3224" s="1" t="s">
        <v>1720</v>
      </c>
      <c r="M3224" s="1" t="s">
        <v>1801</v>
      </c>
      <c r="N3224" t="s">
        <v>2101</v>
      </c>
      <c r="O3224" t="s">
        <v>2166</v>
      </c>
      <c r="P3224" t="s">
        <v>3257</v>
      </c>
      <c r="Q3224">
        <v>77.7</v>
      </c>
      <c r="R3224" s="1" t="s">
        <v>1840</v>
      </c>
      <c r="S3224">
        <v>917</v>
      </c>
      <c r="T3224">
        <v>71250</v>
      </c>
    </row>
    <row r="3225" spans="1:20" hidden="1" x14ac:dyDescent="0.4">
      <c r="A3225" s="1" t="s">
        <v>1232</v>
      </c>
      <c r="B3225" s="1" t="s">
        <v>1454</v>
      </c>
      <c r="C3225" s="1" t="s">
        <v>1844</v>
      </c>
      <c r="D3225" s="1" t="s">
        <v>1462</v>
      </c>
      <c r="E3225">
        <v>20251217</v>
      </c>
      <c r="F3225" s="1" t="s">
        <v>1471</v>
      </c>
      <c r="G3225">
        <v>4</v>
      </c>
      <c r="H3225" s="1" t="s">
        <v>1515</v>
      </c>
      <c r="I3225" t="s">
        <v>1895</v>
      </c>
      <c r="J3225" s="1" t="s">
        <v>1460</v>
      </c>
      <c r="K3225" s="1" t="s">
        <v>1695</v>
      </c>
      <c r="L3225" s="1" t="s">
        <v>1720</v>
      </c>
      <c r="M3225" s="1" t="s">
        <v>1759</v>
      </c>
      <c r="N3225" t="s">
        <v>2101</v>
      </c>
      <c r="O3225" t="s">
        <v>2166</v>
      </c>
      <c r="P3225" t="s">
        <v>3258</v>
      </c>
      <c r="Q3225">
        <v>90</v>
      </c>
      <c r="R3225" s="1" t="s">
        <v>1840</v>
      </c>
      <c r="S3225">
        <v>917</v>
      </c>
      <c r="T3225">
        <v>82530</v>
      </c>
    </row>
    <row r="3226" spans="1:20" hidden="1" x14ac:dyDescent="0.4">
      <c r="A3226" s="1" t="s">
        <v>1232</v>
      </c>
      <c r="B3226" s="1" t="s">
        <v>1455</v>
      </c>
      <c r="C3226" s="1" t="s">
        <v>1844</v>
      </c>
      <c r="D3226" s="1" t="s">
        <v>1462</v>
      </c>
      <c r="E3226">
        <v>20251217</v>
      </c>
      <c r="F3226" s="1" t="s">
        <v>1471</v>
      </c>
      <c r="G3226">
        <v>4</v>
      </c>
      <c r="H3226" s="1" t="s">
        <v>1515</v>
      </c>
      <c r="I3226" t="s">
        <v>1895</v>
      </c>
      <c r="J3226" s="1" t="s">
        <v>1460</v>
      </c>
      <c r="K3226" s="1" t="s">
        <v>1695</v>
      </c>
      <c r="L3226" s="1" t="s">
        <v>1720</v>
      </c>
      <c r="M3226" s="1" t="s">
        <v>1821</v>
      </c>
      <c r="N3226" t="s">
        <v>2101</v>
      </c>
      <c r="O3226" t="s">
        <v>2166</v>
      </c>
      <c r="P3226" t="s">
        <v>3074</v>
      </c>
      <c r="Q3226">
        <v>57.7</v>
      </c>
      <c r="R3226" s="1" t="s">
        <v>1840</v>
      </c>
      <c r="S3226">
        <v>917</v>
      </c>
      <c r="T3226">
        <v>52910</v>
      </c>
    </row>
    <row r="3227" spans="1:20" hidden="1" x14ac:dyDescent="0.4">
      <c r="A3227" s="1" t="s">
        <v>1232</v>
      </c>
      <c r="B3227" s="1" t="s">
        <v>1456</v>
      </c>
      <c r="C3227" s="1" t="s">
        <v>1844</v>
      </c>
      <c r="D3227" s="1" t="s">
        <v>1462</v>
      </c>
      <c r="E3227">
        <v>20251217</v>
      </c>
      <c r="F3227" s="1" t="s">
        <v>1471</v>
      </c>
      <c r="G3227">
        <v>4</v>
      </c>
      <c r="H3227" s="1" t="s">
        <v>1515</v>
      </c>
      <c r="I3227" t="s">
        <v>1895</v>
      </c>
      <c r="J3227" s="1" t="s">
        <v>1460</v>
      </c>
      <c r="K3227" s="1" t="s">
        <v>1695</v>
      </c>
      <c r="L3227" s="1" t="s">
        <v>1720</v>
      </c>
      <c r="M3227" s="1" t="s">
        <v>1801</v>
      </c>
      <c r="N3227" t="s">
        <v>2101</v>
      </c>
      <c r="O3227" t="s">
        <v>2166</v>
      </c>
      <c r="P3227" t="s">
        <v>3257</v>
      </c>
      <c r="Q3227">
        <v>56.4</v>
      </c>
      <c r="R3227" s="1" t="s">
        <v>1840</v>
      </c>
      <c r="S3227">
        <v>1096</v>
      </c>
      <c r="T3227">
        <v>61814</v>
      </c>
    </row>
    <row r="3228" spans="1:20" hidden="1" x14ac:dyDescent="0.4">
      <c r="A3228" s="1" t="s">
        <v>1232</v>
      </c>
      <c r="B3228" s="1" t="s">
        <v>1457</v>
      </c>
      <c r="C3228" s="1" t="s">
        <v>1844</v>
      </c>
      <c r="D3228" s="1" t="s">
        <v>1462</v>
      </c>
      <c r="E3228">
        <v>20251217</v>
      </c>
      <c r="F3228" s="1" t="s">
        <v>1471</v>
      </c>
      <c r="G3228">
        <v>4</v>
      </c>
      <c r="H3228" s="1" t="s">
        <v>1515</v>
      </c>
      <c r="I3228" t="s">
        <v>1895</v>
      </c>
      <c r="J3228" s="1" t="s">
        <v>1460</v>
      </c>
      <c r="K3228" s="1" t="s">
        <v>1695</v>
      </c>
      <c r="L3228" s="1" t="s">
        <v>1720</v>
      </c>
      <c r="M3228" s="1" t="s">
        <v>1759</v>
      </c>
      <c r="N3228" t="s">
        <v>2101</v>
      </c>
      <c r="O3228" t="s">
        <v>2166</v>
      </c>
      <c r="P3228" t="s">
        <v>3258</v>
      </c>
      <c r="Q3228">
        <v>87.6</v>
      </c>
      <c r="R3228" s="1" t="s">
        <v>1840</v>
      </c>
      <c r="S3228">
        <v>1096</v>
      </c>
      <c r="T3228">
        <v>96009</v>
      </c>
    </row>
    <row r="3229" spans="1:20" hidden="1" x14ac:dyDescent="0.4">
      <c r="A3229" s="1" t="s">
        <v>1232</v>
      </c>
      <c r="B3229" s="1" t="s">
        <v>1458</v>
      </c>
      <c r="C3229" s="1" t="s">
        <v>1844</v>
      </c>
      <c r="D3229" s="1" t="s">
        <v>1462</v>
      </c>
      <c r="E3229">
        <v>20251217</v>
      </c>
      <c r="F3229" s="1" t="s">
        <v>1471</v>
      </c>
      <c r="G3229">
        <v>4</v>
      </c>
      <c r="H3229" s="1" t="s">
        <v>1515</v>
      </c>
      <c r="I3229" t="s">
        <v>1895</v>
      </c>
      <c r="J3229" s="1" t="s">
        <v>1460</v>
      </c>
      <c r="K3229" s="1" t="s">
        <v>1695</v>
      </c>
      <c r="L3229" s="1" t="s">
        <v>1720</v>
      </c>
      <c r="M3229" s="1" t="s">
        <v>1821</v>
      </c>
      <c r="N3229" t="s">
        <v>2101</v>
      </c>
      <c r="O3229" t="s">
        <v>2166</v>
      </c>
      <c r="P3229" t="s">
        <v>3074</v>
      </c>
      <c r="Q3229">
        <v>99.8</v>
      </c>
      <c r="R3229" s="1" t="s">
        <v>1840</v>
      </c>
      <c r="S3229">
        <v>1096</v>
      </c>
      <c r="T3229">
        <v>109380</v>
      </c>
    </row>
    <row r="3230" spans="1:20" hidden="1" x14ac:dyDescent="0.4">
      <c r="A3230" s="1" t="s">
        <v>1233</v>
      </c>
      <c r="B3230" s="1" t="s">
        <v>1453</v>
      </c>
      <c r="C3230" s="1" t="s">
        <v>1844</v>
      </c>
      <c r="D3230" s="1" t="s">
        <v>1467</v>
      </c>
      <c r="E3230">
        <v>20251218</v>
      </c>
      <c r="F3230" s="1" t="s">
        <v>1470</v>
      </c>
      <c r="G3230">
        <v>4</v>
      </c>
      <c r="H3230" s="1" t="s">
        <v>1503</v>
      </c>
      <c r="I3230" t="s">
        <v>1883</v>
      </c>
      <c r="J3230" s="1" t="s">
        <v>1456</v>
      </c>
      <c r="K3230" s="1" t="s">
        <v>1570</v>
      </c>
      <c r="L3230" s="1" t="s">
        <v>1729</v>
      </c>
      <c r="M3230" s="1" t="s">
        <v>1742</v>
      </c>
      <c r="N3230" t="s">
        <v>1943</v>
      </c>
      <c r="O3230" t="s">
        <v>2157</v>
      </c>
      <c r="P3230" t="s">
        <v>3245</v>
      </c>
      <c r="Q3230">
        <v>10</v>
      </c>
      <c r="R3230" s="1" t="s">
        <v>1718</v>
      </c>
      <c r="S3230">
        <v>17834</v>
      </c>
      <c r="T3230">
        <v>178340</v>
      </c>
    </row>
    <row r="3231" spans="1:20" hidden="1" x14ac:dyDescent="0.4">
      <c r="A3231" s="1" t="s">
        <v>1234</v>
      </c>
      <c r="B3231" s="1" t="s">
        <v>1453</v>
      </c>
      <c r="C3231" s="1" t="s">
        <v>1844</v>
      </c>
      <c r="D3231" s="1" t="s">
        <v>1462</v>
      </c>
      <c r="E3231">
        <v>20251210</v>
      </c>
      <c r="F3231" s="1" t="s">
        <v>1471</v>
      </c>
      <c r="G3231">
        <v>4</v>
      </c>
      <c r="H3231" s="1" t="s">
        <v>1528</v>
      </c>
      <c r="I3231" t="s">
        <v>1908</v>
      </c>
      <c r="J3231" s="1" t="s">
        <v>1460</v>
      </c>
      <c r="K3231" s="1" t="s">
        <v>1629</v>
      </c>
      <c r="L3231" s="1" t="s">
        <v>1731</v>
      </c>
      <c r="M3231" s="1" t="s">
        <v>1809</v>
      </c>
      <c r="N3231" t="s">
        <v>2038</v>
      </c>
      <c r="O3231" t="s">
        <v>2178</v>
      </c>
      <c r="P3231" t="s">
        <v>3184</v>
      </c>
      <c r="Q3231">
        <v>250</v>
      </c>
      <c r="R3231" s="1" t="s">
        <v>1463</v>
      </c>
      <c r="S3231">
        <v>567</v>
      </c>
      <c r="T3231">
        <v>141750</v>
      </c>
    </row>
    <row r="3232" spans="1:20" hidden="1" x14ac:dyDescent="0.4">
      <c r="A3232" s="1" t="s">
        <v>1235</v>
      </c>
      <c r="B3232" s="1" t="s">
        <v>1453</v>
      </c>
      <c r="C3232" s="1" t="s">
        <v>1844</v>
      </c>
      <c r="D3232" s="1" t="s">
        <v>1462</v>
      </c>
      <c r="E3232">
        <v>20251217</v>
      </c>
      <c r="F3232" s="1" t="s">
        <v>1471</v>
      </c>
      <c r="G3232">
        <v>4</v>
      </c>
      <c r="H3232" s="1" t="s">
        <v>1524</v>
      </c>
      <c r="I3232" t="s">
        <v>1904</v>
      </c>
      <c r="J3232" s="1" t="s">
        <v>1460</v>
      </c>
      <c r="K3232" s="1" t="s">
        <v>1651</v>
      </c>
      <c r="L3232" s="1" t="s">
        <v>1731</v>
      </c>
      <c r="M3232" s="1" t="s">
        <v>1737</v>
      </c>
      <c r="N3232" t="s">
        <v>2035</v>
      </c>
      <c r="O3232" t="s">
        <v>2178</v>
      </c>
      <c r="P3232" t="s">
        <v>2157</v>
      </c>
      <c r="Q3232">
        <v>50</v>
      </c>
      <c r="R3232" s="1" t="s">
        <v>1463</v>
      </c>
      <c r="S3232">
        <v>2734</v>
      </c>
      <c r="T3232">
        <v>136700</v>
      </c>
    </row>
    <row r="3233" spans="1:20" hidden="1" x14ac:dyDescent="0.4">
      <c r="A3233" s="1" t="s">
        <v>1236</v>
      </c>
      <c r="B3233" s="1" t="s">
        <v>1453</v>
      </c>
      <c r="C3233" s="1" t="s">
        <v>1844</v>
      </c>
      <c r="D3233" s="1" t="s">
        <v>1730</v>
      </c>
      <c r="E3233">
        <v>20251218</v>
      </c>
      <c r="F3233" s="1" t="s">
        <v>1473</v>
      </c>
      <c r="G3233">
        <v>4</v>
      </c>
      <c r="H3233" s="1" t="s">
        <v>1521</v>
      </c>
      <c r="I3233" t="s">
        <v>1901</v>
      </c>
      <c r="J3233" s="1" t="s">
        <v>1453</v>
      </c>
      <c r="K3233" s="1" t="s">
        <v>1618</v>
      </c>
      <c r="L3233" s="1" t="s">
        <v>1718</v>
      </c>
      <c r="M3233" s="1" t="s">
        <v>1838</v>
      </c>
      <c r="N3233" t="s">
        <v>1992</v>
      </c>
      <c r="O3233" t="s">
        <v>2164</v>
      </c>
      <c r="P3233" t="s">
        <v>3458</v>
      </c>
      <c r="Q3233">
        <v>104.46</v>
      </c>
      <c r="R3233" s="1" t="s">
        <v>1839</v>
      </c>
      <c r="S3233">
        <v>0</v>
      </c>
      <c r="T3233">
        <v>0</v>
      </c>
    </row>
    <row r="3234" spans="1:20" hidden="1" x14ac:dyDescent="0.4">
      <c r="A3234" s="1" t="s">
        <v>1237</v>
      </c>
      <c r="B3234" s="1" t="s">
        <v>1453</v>
      </c>
      <c r="C3234" s="1" t="s">
        <v>1844</v>
      </c>
      <c r="D3234" s="1" t="s">
        <v>1730</v>
      </c>
      <c r="E3234">
        <v>20251218</v>
      </c>
      <c r="F3234" s="1" t="s">
        <v>1473</v>
      </c>
      <c r="G3234">
        <v>4</v>
      </c>
      <c r="H3234" s="1" t="s">
        <v>1521</v>
      </c>
      <c r="I3234" t="s">
        <v>1901</v>
      </c>
      <c r="J3234" s="1" t="s">
        <v>1453</v>
      </c>
      <c r="K3234" s="1" t="s">
        <v>1583</v>
      </c>
      <c r="L3234" s="1" t="s">
        <v>1718</v>
      </c>
      <c r="M3234" s="1" t="s">
        <v>1777</v>
      </c>
      <c r="N3234" t="s">
        <v>1958</v>
      </c>
      <c r="O3234" t="s">
        <v>2164</v>
      </c>
      <c r="P3234" t="s">
        <v>3459</v>
      </c>
      <c r="Q3234">
        <v>109.2</v>
      </c>
      <c r="R3234" s="1" t="s">
        <v>1839</v>
      </c>
      <c r="S3234">
        <v>0</v>
      </c>
      <c r="T3234">
        <v>0</v>
      </c>
    </row>
    <row r="3235" spans="1:20" hidden="1" x14ac:dyDescent="0.4">
      <c r="A3235" s="1" t="s">
        <v>1237</v>
      </c>
      <c r="B3235" s="1" t="s">
        <v>1454</v>
      </c>
      <c r="C3235" s="1" t="s">
        <v>1844</v>
      </c>
      <c r="D3235" s="1" t="s">
        <v>1730</v>
      </c>
      <c r="E3235">
        <v>20251218</v>
      </c>
      <c r="F3235" s="1" t="s">
        <v>1473</v>
      </c>
      <c r="G3235">
        <v>4</v>
      </c>
      <c r="H3235" s="1" t="s">
        <v>1521</v>
      </c>
      <c r="I3235" t="s">
        <v>1901</v>
      </c>
      <c r="J3235" s="1" t="s">
        <v>1453</v>
      </c>
      <c r="K3235" s="1" t="s">
        <v>1596</v>
      </c>
      <c r="L3235" s="1" t="s">
        <v>1718</v>
      </c>
      <c r="M3235" s="1" t="s">
        <v>1763</v>
      </c>
      <c r="N3235" t="s">
        <v>1971</v>
      </c>
      <c r="O3235" t="s">
        <v>2164</v>
      </c>
      <c r="P3235" t="s">
        <v>3081</v>
      </c>
      <c r="Q3235">
        <v>145.6</v>
      </c>
      <c r="R3235" s="1" t="s">
        <v>1839</v>
      </c>
      <c r="S3235">
        <v>0</v>
      </c>
      <c r="T3235">
        <v>0</v>
      </c>
    </row>
    <row r="3236" spans="1:20" hidden="1" x14ac:dyDescent="0.4">
      <c r="A3236" s="1" t="s">
        <v>1238</v>
      </c>
      <c r="B3236" s="1" t="s">
        <v>1453</v>
      </c>
      <c r="C3236" s="1" t="s">
        <v>1844</v>
      </c>
      <c r="D3236" s="1" t="s">
        <v>1467</v>
      </c>
      <c r="E3236">
        <v>20251219</v>
      </c>
      <c r="F3236" s="1" t="s">
        <v>1470</v>
      </c>
      <c r="G3236">
        <v>4</v>
      </c>
      <c r="H3236" s="1" t="s">
        <v>1503</v>
      </c>
      <c r="I3236" t="s">
        <v>1883</v>
      </c>
      <c r="J3236" s="1" t="s">
        <v>1456</v>
      </c>
      <c r="K3236" s="1" t="s">
        <v>1570</v>
      </c>
      <c r="L3236" s="1" t="s">
        <v>1729</v>
      </c>
      <c r="M3236" s="1" t="s">
        <v>1744</v>
      </c>
      <c r="N3236" t="s">
        <v>1943</v>
      </c>
      <c r="O3236" t="s">
        <v>2157</v>
      </c>
      <c r="P3236" t="s">
        <v>3244</v>
      </c>
      <c r="Q3236">
        <v>10</v>
      </c>
      <c r="R3236" s="1" t="s">
        <v>1718</v>
      </c>
      <c r="S3236">
        <v>1245</v>
      </c>
      <c r="T3236">
        <v>12450</v>
      </c>
    </row>
    <row r="3237" spans="1:20" hidden="1" x14ac:dyDescent="0.4">
      <c r="A3237" s="1" t="s">
        <v>1239</v>
      </c>
      <c r="B3237" s="1" t="s">
        <v>1453</v>
      </c>
      <c r="C3237" s="1" t="s">
        <v>1844</v>
      </c>
      <c r="D3237" s="1" t="s">
        <v>1462</v>
      </c>
      <c r="E3237">
        <v>20251219</v>
      </c>
      <c r="F3237" s="1" t="s">
        <v>1470</v>
      </c>
      <c r="G3237">
        <v>4</v>
      </c>
      <c r="H3237" s="1" t="s">
        <v>1514</v>
      </c>
      <c r="I3237" t="s">
        <v>1894</v>
      </c>
      <c r="J3237" s="1" t="s">
        <v>1456</v>
      </c>
      <c r="K3237" s="1" t="s">
        <v>1572</v>
      </c>
      <c r="L3237" s="1" t="s">
        <v>1729</v>
      </c>
      <c r="M3237" s="1" t="s">
        <v>1736</v>
      </c>
      <c r="N3237" t="s">
        <v>1945</v>
      </c>
      <c r="O3237" t="s">
        <v>2759</v>
      </c>
      <c r="P3237" t="s">
        <v>3563</v>
      </c>
      <c r="Q3237">
        <v>2</v>
      </c>
      <c r="R3237" s="1" t="s">
        <v>1718</v>
      </c>
      <c r="S3237">
        <v>22921</v>
      </c>
      <c r="T3237">
        <v>45842</v>
      </c>
    </row>
    <row r="3238" spans="1:20" hidden="1" x14ac:dyDescent="0.4">
      <c r="A3238" s="1" t="s">
        <v>1240</v>
      </c>
      <c r="B3238" s="1" t="s">
        <v>1453</v>
      </c>
      <c r="C3238" s="1" t="s">
        <v>1844</v>
      </c>
      <c r="D3238" s="1" t="s">
        <v>1462</v>
      </c>
      <c r="E3238">
        <v>20251219</v>
      </c>
      <c r="F3238" s="1" t="s">
        <v>1470</v>
      </c>
      <c r="G3238">
        <v>4</v>
      </c>
      <c r="H3238" s="1" t="s">
        <v>1514</v>
      </c>
      <c r="I3238" t="s">
        <v>1894</v>
      </c>
      <c r="J3238" s="1" t="s">
        <v>1456</v>
      </c>
      <c r="K3238" s="1" t="s">
        <v>1568</v>
      </c>
      <c r="L3238" s="1" t="s">
        <v>1729</v>
      </c>
      <c r="M3238" s="1" t="s">
        <v>1737</v>
      </c>
      <c r="N3238" t="s">
        <v>2126</v>
      </c>
      <c r="O3238" t="s">
        <v>2760</v>
      </c>
      <c r="P3238" t="s">
        <v>3564</v>
      </c>
      <c r="Q3238">
        <v>2</v>
      </c>
      <c r="R3238" s="1" t="s">
        <v>1718</v>
      </c>
      <c r="S3238">
        <v>10972</v>
      </c>
      <c r="T3238">
        <v>21944</v>
      </c>
    </row>
    <row r="3239" spans="1:20" hidden="1" x14ac:dyDescent="0.4">
      <c r="A3239" s="1" t="s">
        <v>1241</v>
      </c>
      <c r="B3239" s="1" t="s">
        <v>1453</v>
      </c>
      <c r="C3239" s="1" t="s">
        <v>1844</v>
      </c>
      <c r="D3239" s="1" t="s">
        <v>1462</v>
      </c>
      <c r="E3239">
        <v>20251219</v>
      </c>
      <c r="F3239" s="1" t="s">
        <v>1470</v>
      </c>
      <c r="G3239">
        <v>4</v>
      </c>
      <c r="H3239" s="1" t="s">
        <v>1511</v>
      </c>
      <c r="I3239" t="s">
        <v>1891</v>
      </c>
      <c r="J3239" s="1" t="s">
        <v>1456</v>
      </c>
      <c r="K3239" s="1" t="s">
        <v>1555</v>
      </c>
      <c r="L3239" s="1" t="s">
        <v>1729</v>
      </c>
      <c r="M3239" s="1" t="s">
        <v>1736</v>
      </c>
      <c r="N3239" t="s">
        <v>2088</v>
      </c>
      <c r="O3239" t="s">
        <v>2761</v>
      </c>
      <c r="P3239" t="s">
        <v>3213</v>
      </c>
      <c r="Q3239">
        <v>2</v>
      </c>
      <c r="R3239" s="1" t="s">
        <v>1718</v>
      </c>
      <c r="S3239">
        <v>15354</v>
      </c>
      <c r="T3239">
        <v>30708</v>
      </c>
    </row>
    <row r="3240" spans="1:20" hidden="1" x14ac:dyDescent="0.4">
      <c r="A3240" s="1" t="s">
        <v>1242</v>
      </c>
      <c r="B3240" s="1" t="s">
        <v>1453</v>
      </c>
      <c r="C3240" s="1" t="s">
        <v>1844</v>
      </c>
      <c r="D3240" s="1" t="s">
        <v>1462</v>
      </c>
      <c r="E3240">
        <v>20251219</v>
      </c>
      <c r="F3240" s="1" t="s">
        <v>1470</v>
      </c>
      <c r="G3240">
        <v>4</v>
      </c>
      <c r="H3240" s="1" t="s">
        <v>1503</v>
      </c>
      <c r="I3240" t="s">
        <v>1883</v>
      </c>
      <c r="J3240" s="1" t="s">
        <v>1456</v>
      </c>
      <c r="K3240" s="1" t="s">
        <v>1553</v>
      </c>
      <c r="L3240" s="1" t="s">
        <v>1729</v>
      </c>
      <c r="M3240" s="1" t="s">
        <v>1736</v>
      </c>
      <c r="N3240" t="s">
        <v>2093</v>
      </c>
      <c r="O3240" t="s">
        <v>2762</v>
      </c>
      <c r="P3240" t="s">
        <v>3565</v>
      </c>
      <c r="Q3240">
        <v>2</v>
      </c>
      <c r="R3240" s="1" t="s">
        <v>1718</v>
      </c>
      <c r="S3240">
        <v>19210</v>
      </c>
      <c r="T3240">
        <v>38420</v>
      </c>
    </row>
    <row r="3241" spans="1:20" hidden="1" x14ac:dyDescent="0.4">
      <c r="A3241" s="1" t="s">
        <v>1243</v>
      </c>
      <c r="B3241" s="1" t="s">
        <v>1453</v>
      </c>
      <c r="C3241" s="1" t="s">
        <v>1844</v>
      </c>
      <c r="D3241" s="1" t="s">
        <v>1462</v>
      </c>
      <c r="E3241">
        <v>20251219</v>
      </c>
      <c r="F3241" s="1" t="s">
        <v>1470</v>
      </c>
      <c r="G3241">
        <v>4</v>
      </c>
      <c r="H3241" s="1" t="s">
        <v>1503</v>
      </c>
      <c r="I3241" t="s">
        <v>1883</v>
      </c>
      <c r="J3241" s="1" t="s">
        <v>1456</v>
      </c>
      <c r="K3241" s="1" t="s">
        <v>1554</v>
      </c>
      <c r="L3241" s="1" t="s">
        <v>1729</v>
      </c>
      <c r="M3241" s="1" t="s">
        <v>1737</v>
      </c>
      <c r="N3241" t="s">
        <v>2090</v>
      </c>
      <c r="O3241" t="s">
        <v>2763</v>
      </c>
      <c r="P3241">
        <v>82307</v>
      </c>
      <c r="Q3241">
        <v>2</v>
      </c>
      <c r="R3241" s="1" t="s">
        <v>1718</v>
      </c>
      <c r="S3241">
        <v>18640</v>
      </c>
      <c r="T3241">
        <v>37280</v>
      </c>
    </row>
    <row r="3242" spans="1:20" hidden="1" x14ac:dyDescent="0.4">
      <c r="A3242" s="1" t="s">
        <v>1244</v>
      </c>
      <c r="B3242" s="1" t="s">
        <v>1453</v>
      </c>
      <c r="C3242" s="1" t="s">
        <v>1844</v>
      </c>
      <c r="D3242" s="1" t="s">
        <v>1462</v>
      </c>
      <c r="E3242">
        <v>20251219</v>
      </c>
      <c r="F3242" s="1" t="s">
        <v>1470</v>
      </c>
      <c r="G3242">
        <v>4</v>
      </c>
      <c r="H3242" s="1" t="s">
        <v>1503</v>
      </c>
      <c r="I3242" t="s">
        <v>1883</v>
      </c>
      <c r="J3242" s="1" t="s">
        <v>1456</v>
      </c>
      <c r="K3242" s="1" t="s">
        <v>1554</v>
      </c>
      <c r="L3242" s="1" t="s">
        <v>1729</v>
      </c>
      <c r="M3242" s="1" t="s">
        <v>1737</v>
      </c>
      <c r="N3242" t="s">
        <v>2092</v>
      </c>
      <c r="O3242" t="s">
        <v>2764</v>
      </c>
      <c r="P3242">
        <v>82315</v>
      </c>
      <c r="Q3242">
        <v>2</v>
      </c>
      <c r="R3242" s="1" t="s">
        <v>1718</v>
      </c>
      <c r="S3242">
        <v>15050</v>
      </c>
      <c r="T3242">
        <v>30100</v>
      </c>
    </row>
    <row r="3243" spans="1:20" hidden="1" x14ac:dyDescent="0.4">
      <c r="A3243" s="1" t="s">
        <v>1244</v>
      </c>
      <c r="B3243" s="1" t="s">
        <v>1454</v>
      </c>
      <c r="C3243" s="1" t="s">
        <v>1844</v>
      </c>
      <c r="D3243" s="1" t="s">
        <v>1462</v>
      </c>
      <c r="E3243">
        <v>20251219</v>
      </c>
      <c r="F3243" s="1" t="s">
        <v>1470</v>
      </c>
      <c r="G3243">
        <v>4</v>
      </c>
      <c r="H3243" s="1" t="s">
        <v>1503</v>
      </c>
      <c r="I3243" t="s">
        <v>1883</v>
      </c>
      <c r="J3243" s="1" t="s">
        <v>1456</v>
      </c>
      <c r="K3243" s="1" t="s">
        <v>1554</v>
      </c>
      <c r="L3243" s="1" t="s">
        <v>1729</v>
      </c>
      <c r="M3243" s="1" t="s">
        <v>1737</v>
      </c>
      <c r="N3243" t="s">
        <v>2092</v>
      </c>
      <c r="O3243" t="s">
        <v>2765</v>
      </c>
      <c r="P3243">
        <v>82326</v>
      </c>
      <c r="Q3243">
        <v>2</v>
      </c>
      <c r="R3243" s="1" t="s">
        <v>1718</v>
      </c>
      <c r="S3243">
        <v>15050</v>
      </c>
      <c r="T3243">
        <v>30100</v>
      </c>
    </row>
    <row r="3244" spans="1:20" hidden="1" x14ac:dyDescent="0.4">
      <c r="A3244" s="1" t="s">
        <v>1245</v>
      </c>
      <c r="B3244" s="1" t="s">
        <v>1453</v>
      </c>
      <c r="C3244" s="1" t="s">
        <v>1844</v>
      </c>
      <c r="D3244" s="1" t="s">
        <v>1462</v>
      </c>
      <c r="E3244">
        <v>20251219</v>
      </c>
      <c r="F3244" s="1" t="s">
        <v>1470</v>
      </c>
      <c r="G3244">
        <v>4</v>
      </c>
      <c r="H3244" s="1" t="s">
        <v>1503</v>
      </c>
      <c r="I3244" t="s">
        <v>1883</v>
      </c>
      <c r="J3244" s="1" t="s">
        <v>1456</v>
      </c>
      <c r="K3244" s="1" t="s">
        <v>1553</v>
      </c>
      <c r="L3244" s="1" t="s">
        <v>1729</v>
      </c>
      <c r="M3244" s="1" t="s">
        <v>1745</v>
      </c>
      <c r="N3244" t="s">
        <v>2139</v>
      </c>
      <c r="O3244" t="s">
        <v>2766</v>
      </c>
      <c r="P3244" t="s">
        <v>3566</v>
      </c>
      <c r="Q3244">
        <v>2</v>
      </c>
      <c r="R3244" s="1" t="s">
        <v>1718</v>
      </c>
      <c r="S3244">
        <v>7160</v>
      </c>
      <c r="T3244">
        <v>14320</v>
      </c>
    </row>
    <row r="3245" spans="1:20" hidden="1" x14ac:dyDescent="0.4">
      <c r="A3245" s="1" t="s">
        <v>1246</v>
      </c>
      <c r="B3245" s="1" t="s">
        <v>1453</v>
      </c>
      <c r="C3245" s="1" t="s">
        <v>1844</v>
      </c>
      <c r="D3245" s="1" t="s">
        <v>1462</v>
      </c>
      <c r="E3245">
        <v>20251219</v>
      </c>
      <c r="F3245" s="1" t="s">
        <v>1470</v>
      </c>
      <c r="G3245">
        <v>4</v>
      </c>
      <c r="H3245" s="1" t="s">
        <v>1503</v>
      </c>
      <c r="I3245" t="s">
        <v>1883</v>
      </c>
      <c r="J3245" s="1" t="s">
        <v>1456</v>
      </c>
      <c r="K3245" s="1" t="s">
        <v>1554</v>
      </c>
      <c r="L3245" s="1" t="s">
        <v>1729</v>
      </c>
      <c r="M3245" s="1" t="s">
        <v>1737</v>
      </c>
      <c r="N3245" t="s">
        <v>2118</v>
      </c>
      <c r="O3245" t="s">
        <v>2767</v>
      </c>
      <c r="P3245">
        <v>82276</v>
      </c>
      <c r="Q3245">
        <v>2</v>
      </c>
      <c r="R3245" s="1" t="s">
        <v>1718</v>
      </c>
      <c r="S3245">
        <v>9550</v>
      </c>
      <c r="T3245">
        <v>19100</v>
      </c>
    </row>
    <row r="3246" spans="1:20" hidden="1" x14ac:dyDescent="0.4">
      <c r="A3246" s="1" t="s">
        <v>1247</v>
      </c>
      <c r="B3246" s="1" t="s">
        <v>1453</v>
      </c>
      <c r="C3246" s="1" t="s">
        <v>1844</v>
      </c>
      <c r="D3246" s="1" t="s">
        <v>1462</v>
      </c>
      <c r="E3246">
        <v>20251219</v>
      </c>
      <c r="F3246" s="1" t="s">
        <v>1470</v>
      </c>
      <c r="G3246">
        <v>4</v>
      </c>
      <c r="H3246" s="1" t="s">
        <v>1503</v>
      </c>
      <c r="I3246" t="s">
        <v>1883</v>
      </c>
      <c r="J3246" s="1" t="s">
        <v>1456</v>
      </c>
      <c r="K3246" s="1" t="s">
        <v>1552</v>
      </c>
      <c r="L3246" s="1" t="s">
        <v>1729</v>
      </c>
      <c r="M3246" s="1" t="s">
        <v>1735</v>
      </c>
      <c r="N3246" t="s">
        <v>2094</v>
      </c>
      <c r="O3246" t="s">
        <v>2768</v>
      </c>
      <c r="P3246" t="s">
        <v>3567</v>
      </c>
      <c r="Q3246">
        <v>2</v>
      </c>
      <c r="R3246" s="1" t="s">
        <v>1839</v>
      </c>
      <c r="S3246">
        <v>11250</v>
      </c>
      <c r="T3246">
        <v>22500</v>
      </c>
    </row>
    <row r="3247" spans="1:20" hidden="1" x14ac:dyDescent="0.4">
      <c r="A3247" s="1" t="s">
        <v>1248</v>
      </c>
      <c r="B3247" s="1" t="s">
        <v>1453</v>
      </c>
      <c r="C3247" s="1" t="s">
        <v>1844</v>
      </c>
      <c r="D3247" s="1" t="s">
        <v>1462</v>
      </c>
      <c r="E3247">
        <v>20251219</v>
      </c>
      <c r="F3247" s="1" t="s">
        <v>1470</v>
      </c>
      <c r="G3247">
        <v>4</v>
      </c>
      <c r="H3247" s="1" t="s">
        <v>1503</v>
      </c>
      <c r="I3247" t="s">
        <v>1883</v>
      </c>
      <c r="J3247" s="1" t="s">
        <v>1456</v>
      </c>
      <c r="K3247" s="1" t="s">
        <v>1554</v>
      </c>
      <c r="L3247" s="1" t="s">
        <v>1729</v>
      </c>
      <c r="M3247" s="1" t="s">
        <v>1737</v>
      </c>
      <c r="N3247" t="s">
        <v>2109</v>
      </c>
      <c r="O3247" t="s">
        <v>2769</v>
      </c>
      <c r="P3247">
        <v>82290</v>
      </c>
      <c r="Q3247">
        <v>2</v>
      </c>
      <c r="R3247" s="1" t="s">
        <v>1718</v>
      </c>
      <c r="S3247">
        <v>12720</v>
      </c>
      <c r="T3247">
        <v>25440</v>
      </c>
    </row>
    <row r="3248" spans="1:20" hidden="1" x14ac:dyDescent="0.4">
      <c r="A3248" s="1" t="s">
        <v>1249</v>
      </c>
      <c r="B3248" s="1" t="s">
        <v>1453</v>
      </c>
      <c r="C3248" s="1" t="s">
        <v>1844</v>
      </c>
      <c r="D3248" s="1" t="s">
        <v>1462</v>
      </c>
      <c r="E3248">
        <v>20251219</v>
      </c>
      <c r="F3248" s="1" t="s">
        <v>1470</v>
      </c>
      <c r="G3248">
        <v>4</v>
      </c>
      <c r="H3248" s="1" t="s">
        <v>1503</v>
      </c>
      <c r="I3248" t="s">
        <v>1883</v>
      </c>
      <c r="J3248" s="1" t="s">
        <v>1456</v>
      </c>
      <c r="K3248" s="1" t="s">
        <v>1554</v>
      </c>
      <c r="L3248" s="1" t="s">
        <v>1729</v>
      </c>
      <c r="M3248" s="1" t="s">
        <v>1737</v>
      </c>
      <c r="N3248" t="s">
        <v>2092</v>
      </c>
      <c r="O3248" t="s">
        <v>2770</v>
      </c>
      <c r="P3248">
        <v>82321</v>
      </c>
      <c r="Q3248">
        <v>2</v>
      </c>
      <c r="R3248" s="1" t="s">
        <v>1718</v>
      </c>
      <c r="S3248">
        <v>14950</v>
      </c>
      <c r="T3248">
        <v>29900</v>
      </c>
    </row>
    <row r="3249" spans="1:20" hidden="1" x14ac:dyDescent="0.4">
      <c r="A3249" s="1" t="s">
        <v>1250</v>
      </c>
      <c r="B3249" s="1" t="s">
        <v>1453</v>
      </c>
      <c r="C3249" s="1" t="s">
        <v>1844</v>
      </c>
      <c r="D3249" s="1" t="s">
        <v>1462</v>
      </c>
      <c r="E3249">
        <v>20251219</v>
      </c>
      <c r="F3249" s="1" t="s">
        <v>1470</v>
      </c>
      <c r="G3249">
        <v>4</v>
      </c>
      <c r="H3249" s="1" t="s">
        <v>1503</v>
      </c>
      <c r="I3249" t="s">
        <v>1883</v>
      </c>
      <c r="J3249" s="1" t="s">
        <v>1456</v>
      </c>
      <c r="K3249" s="1" t="s">
        <v>1554</v>
      </c>
      <c r="L3249" s="1" t="s">
        <v>1729</v>
      </c>
      <c r="M3249" s="1" t="s">
        <v>1737</v>
      </c>
      <c r="N3249" t="s">
        <v>2091</v>
      </c>
      <c r="O3249" t="s">
        <v>2771</v>
      </c>
      <c r="P3249">
        <v>82299</v>
      </c>
      <c r="Q3249">
        <v>2</v>
      </c>
      <c r="R3249" s="1" t="s">
        <v>1718</v>
      </c>
      <c r="S3249">
        <v>13720</v>
      </c>
      <c r="T3249">
        <v>27440</v>
      </c>
    </row>
    <row r="3250" spans="1:20" hidden="1" x14ac:dyDescent="0.4">
      <c r="A3250" s="1" t="s">
        <v>1251</v>
      </c>
      <c r="B3250" s="1" t="s">
        <v>1453</v>
      </c>
      <c r="C3250" s="1" t="s">
        <v>1844</v>
      </c>
      <c r="D3250" s="1" t="s">
        <v>1462</v>
      </c>
      <c r="E3250">
        <v>20251219</v>
      </c>
      <c r="F3250" s="1" t="s">
        <v>1470</v>
      </c>
      <c r="G3250">
        <v>4</v>
      </c>
      <c r="H3250" s="1" t="s">
        <v>1503</v>
      </c>
      <c r="I3250" t="s">
        <v>1883</v>
      </c>
      <c r="J3250" s="1" t="s">
        <v>1456</v>
      </c>
      <c r="K3250" s="1" t="s">
        <v>1552</v>
      </c>
      <c r="L3250" s="1" t="s">
        <v>1729</v>
      </c>
      <c r="M3250" s="1" t="s">
        <v>1735</v>
      </c>
      <c r="N3250" t="s">
        <v>2094</v>
      </c>
      <c r="O3250" t="s">
        <v>2772</v>
      </c>
      <c r="P3250" t="s">
        <v>3568</v>
      </c>
      <c r="Q3250">
        <v>2</v>
      </c>
      <c r="R3250" s="1" t="s">
        <v>1839</v>
      </c>
      <c r="S3250">
        <v>10430</v>
      </c>
      <c r="T3250">
        <v>20860</v>
      </c>
    </row>
    <row r="3251" spans="1:20" hidden="1" x14ac:dyDescent="0.4">
      <c r="A3251" s="1" t="s">
        <v>1251</v>
      </c>
      <c r="B3251" s="1" t="s">
        <v>1454</v>
      </c>
      <c r="C3251" s="1" t="s">
        <v>1844</v>
      </c>
      <c r="D3251" s="1" t="s">
        <v>1462</v>
      </c>
      <c r="E3251">
        <v>20251219</v>
      </c>
      <c r="F3251" s="1" t="s">
        <v>1470</v>
      </c>
      <c r="G3251">
        <v>4</v>
      </c>
      <c r="H3251" s="1" t="s">
        <v>1503</v>
      </c>
      <c r="I3251" t="s">
        <v>1883</v>
      </c>
      <c r="J3251" s="1" t="s">
        <v>1456</v>
      </c>
      <c r="K3251" s="1" t="s">
        <v>1552</v>
      </c>
      <c r="L3251" s="1" t="s">
        <v>1729</v>
      </c>
      <c r="M3251" s="1" t="s">
        <v>1735</v>
      </c>
      <c r="N3251" t="s">
        <v>2094</v>
      </c>
      <c r="O3251" t="s">
        <v>2773</v>
      </c>
      <c r="P3251" t="s">
        <v>3569</v>
      </c>
      <c r="Q3251">
        <v>2</v>
      </c>
      <c r="R3251" s="1" t="s">
        <v>1839</v>
      </c>
      <c r="S3251">
        <v>12230</v>
      </c>
      <c r="T3251">
        <v>24460</v>
      </c>
    </row>
    <row r="3252" spans="1:20" hidden="1" x14ac:dyDescent="0.4">
      <c r="A3252" s="1" t="s">
        <v>1252</v>
      </c>
      <c r="B3252" s="1" t="s">
        <v>1453</v>
      </c>
      <c r="C3252" s="1" t="s">
        <v>1844</v>
      </c>
      <c r="D3252" s="1" t="s">
        <v>1462</v>
      </c>
      <c r="E3252">
        <v>20251219</v>
      </c>
      <c r="F3252" s="1" t="s">
        <v>1470</v>
      </c>
      <c r="G3252">
        <v>4</v>
      </c>
      <c r="H3252" s="1" t="s">
        <v>1503</v>
      </c>
      <c r="I3252" t="s">
        <v>1883</v>
      </c>
      <c r="J3252" s="1" t="s">
        <v>1456</v>
      </c>
      <c r="K3252" s="1" t="s">
        <v>1554</v>
      </c>
      <c r="L3252" s="1" t="s">
        <v>1729</v>
      </c>
      <c r="M3252" s="1" t="s">
        <v>1737</v>
      </c>
      <c r="N3252" t="s">
        <v>2118</v>
      </c>
      <c r="O3252" t="s">
        <v>2774</v>
      </c>
      <c r="P3252">
        <v>82314</v>
      </c>
      <c r="Q3252">
        <v>2</v>
      </c>
      <c r="R3252" s="1" t="s">
        <v>1718</v>
      </c>
      <c r="S3252">
        <v>9350</v>
      </c>
      <c r="T3252">
        <v>18700</v>
      </c>
    </row>
    <row r="3253" spans="1:20" hidden="1" x14ac:dyDescent="0.4">
      <c r="A3253" s="1" t="s">
        <v>1252</v>
      </c>
      <c r="B3253" s="1" t="s">
        <v>1454</v>
      </c>
      <c r="C3253" s="1" t="s">
        <v>1844</v>
      </c>
      <c r="D3253" s="1" t="s">
        <v>1462</v>
      </c>
      <c r="E3253">
        <v>20251219</v>
      </c>
      <c r="F3253" s="1" t="s">
        <v>1470</v>
      </c>
      <c r="G3253">
        <v>4</v>
      </c>
      <c r="H3253" s="1" t="s">
        <v>1503</v>
      </c>
      <c r="I3253" t="s">
        <v>1883</v>
      </c>
      <c r="J3253" s="1" t="s">
        <v>1456</v>
      </c>
      <c r="K3253" s="1" t="s">
        <v>1554</v>
      </c>
      <c r="L3253" s="1" t="s">
        <v>1729</v>
      </c>
      <c r="M3253" s="1" t="s">
        <v>1737</v>
      </c>
      <c r="N3253" t="s">
        <v>2109</v>
      </c>
      <c r="O3253" t="s">
        <v>2775</v>
      </c>
      <c r="P3253">
        <v>82318</v>
      </c>
      <c r="Q3253">
        <v>2</v>
      </c>
      <c r="R3253" s="1" t="s">
        <v>1718</v>
      </c>
      <c r="S3253">
        <v>71230</v>
      </c>
      <c r="T3253">
        <v>142460</v>
      </c>
    </row>
    <row r="3254" spans="1:20" hidden="1" x14ac:dyDescent="0.4">
      <c r="A3254" s="1" t="s">
        <v>1253</v>
      </c>
      <c r="B3254" s="1" t="s">
        <v>1453</v>
      </c>
      <c r="C3254" s="1" t="s">
        <v>1844</v>
      </c>
      <c r="D3254" s="1" t="s">
        <v>1462</v>
      </c>
      <c r="E3254">
        <v>20251219</v>
      </c>
      <c r="F3254" s="1" t="s">
        <v>1470</v>
      </c>
      <c r="G3254">
        <v>4</v>
      </c>
      <c r="H3254" s="1" t="s">
        <v>1503</v>
      </c>
      <c r="I3254" t="s">
        <v>1883</v>
      </c>
      <c r="J3254" s="1" t="s">
        <v>1456</v>
      </c>
      <c r="K3254" s="1" t="s">
        <v>1554</v>
      </c>
      <c r="L3254" s="1" t="s">
        <v>1729</v>
      </c>
      <c r="M3254" s="1" t="s">
        <v>1737</v>
      </c>
      <c r="N3254" t="s">
        <v>2110</v>
      </c>
      <c r="O3254" t="s">
        <v>2776</v>
      </c>
      <c r="P3254">
        <v>82311</v>
      </c>
      <c r="Q3254">
        <v>2</v>
      </c>
      <c r="R3254" s="1" t="s">
        <v>1718</v>
      </c>
      <c r="S3254">
        <v>29900</v>
      </c>
      <c r="T3254">
        <v>59800</v>
      </c>
    </row>
    <row r="3255" spans="1:20" hidden="1" x14ac:dyDescent="0.4">
      <c r="A3255" s="1" t="s">
        <v>1254</v>
      </c>
      <c r="B3255" s="1" t="s">
        <v>1453</v>
      </c>
      <c r="C3255" s="1" t="s">
        <v>1844</v>
      </c>
      <c r="D3255" s="1" t="s">
        <v>1462</v>
      </c>
      <c r="E3255">
        <v>20251219</v>
      </c>
      <c r="F3255" s="1" t="s">
        <v>1470</v>
      </c>
      <c r="G3255">
        <v>4</v>
      </c>
      <c r="H3255" s="1" t="s">
        <v>1503</v>
      </c>
      <c r="I3255" t="s">
        <v>1883</v>
      </c>
      <c r="J3255" s="1" t="s">
        <v>1456</v>
      </c>
      <c r="K3255" s="1" t="s">
        <v>1554</v>
      </c>
      <c r="L3255" s="1" t="s">
        <v>1729</v>
      </c>
      <c r="M3255" s="1" t="s">
        <v>1737</v>
      </c>
      <c r="N3255" t="s">
        <v>2118</v>
      </c>
      <c r="O3255" t="s">
        <v>2777</v>
      </c>
      <c r="P3255">
        <v>82294</v>
      </c>
      <c r="Q3255">
        <v>2</v>
      </c>
      <c r="R3255" s="1" t="s">
        <v>1718</v>
      </c>
      <c r="S3255">
        <v>9350</v>
      </c>
      <c r="T3255">
        <v>18700</v>
      </c>
    </row>
    <row r="3256" spans="1:20" hidden="1" x14ac:dyDescent="0.4">
      <c r="A3256" s="1" t="s">
        <v>1254</v>
      </c>
      <c r="B3256" s="1" t="s">
        <v>1454</v>
      </c>
      <c r="C3256" s="1" t="s">
        <v>1844</v>
      </c>
      <c r="D3256" s="1" t="s">
        <v>1462</v>
      </c>
      <c r="E3256">
        <v>20251219</v>
      </c>
      <c r="F3256" s="1" t="s">
        <v>1470</v>
      </c>
      <c r="G3256">
        <v>4</v>
      </c>
      <c r="H3256" s="1" t="s">
        <v>1503</v>
      </c>
      <c r="I3256" t="s">
        <v>1883</v>
      </c>
      <c r="J3256" s="1" t="s">
        <v>1456</v>
      </c>
      <c r="K3256" s="1" t="s">
        <v>1554</v>
      </c>
      <c r="L3256" s="1" t="s">
        <v>1729</v>
      </c>
      <c r="M3256" s="1" t="s">
        <v>1737</v>
      </c>
      <c r="N3256" t="s">
        <v>2118</v>
      </c>
      <c r="O3256" t="s">
        <v>2778</v>
      </c>
      <c r="P3256">
        <v>82246</v>
      </c>
      <c r="Q3256">
        <v>2</v>
      </c>
      <c r="R3256" s="1" t="s">
        <v>1718</v>
      </c>
      <c r="S3256">
        <v>9350</v>
      </c>
      <c r="T3256">
        <v>18700</v>
      </c>
    </row>
    <row r="3257" spans="1:20" hidden="1" x14ac:dyDescent="0.4">
      <c r="A3257" s="1" t="s">
        <v>1255</v>
      </c>
      <c r="B3257" s="1" t="s">
        <v>1453</v>
      </c>
      <c r="C3257" s="1" t="s">
        <v>1844</v>
      </c>
      <c r="D3257" s="1" t="s">
        <v>1462</v>
      </c>
      <c r="E3257">
        <v>20251219</v>
      </c>
      <c r="F3257" s="1" t="s">
        <v>1470</v>
      </c>
      <c r="G3257">
        <v>4</v>
      </c>
      <c r="H3257" s="1" t="s">
        <v>1503</v>
      </c>
      <c r="I3257" t="s">
        <v>1883</v>
      </c>
      <c r="J3257" s="1" t="s">
        <v>1456</v>
      </c>
      <c r="K3257" s="1" t="s">
        <v>1554</v>
      </c>
      <c r="L3257" s="1" t="s">
        <v>1729</v>
      </c>
      <c r="M3257" s="1" t="s">
        <v>1737</v>
      </c>
      <c r="N3257" t="s">
        <v>2118</v>
      </c>
      <c r="O3257" t="s">
        <v>2779</v>
      </c>
      <c r="P3257">
        <v>82316</v>
      </c>
      <c r="Q3257">
        <v>2</v>
      </c>
      <c r="R3257" s="1" t="s">
        <v>1718</v>
      </c>
      <c r="S3257">
        <v>9350</v>
      </c>
      <c r="T3257">
        <v>18700</v>
      </c>
    </row>
    <row r="3258" spans="1:20" hidden="1" x14ac:dyDescent="0.4">
      <c r="A3258" s="1" t="s">
        <v>1256</v>
      </c>
      <c r="B3258" s="1" t="s">
        <v>1453</v>
      </c>
      <c r="C3258" s="1" t="s">
        <v>1844</v>
      </c>
      <c r="D3258" s="1" t="s">
        <v>1462</v>
      </c>
      <c r="E3258">
        <v>20251219</v>
      </c>
      <c r="F3258" s="1" t="s">
        <v>1470</v>
      </c>
      <c r="G3258">
        <v>4</v>
      </c>
      <c r="H3258" s="1" t="s">
        <v>1503</v>
      </c>
      <c r="I3258" t="s">
        <v>1883</v>
      </c>
      <c r="J3258" s="1" t="s">
        <v>1456</v>
      </c>
      <c r="K3258" s="1" t="s">
        <v>1553</v>
      </c>
      <c r="L3258" s="1" t="s">
        <v>1729</v>
      </c>
      <c r="M3258" s="1" t="s">
        <v>1740</v>
      </c>
      <c r="N3258" t="s">
        <v>2111</v>
      </c>
      <c r="O3258" t="s">
        <v>2780</v>
      </c>
      <c r="P3258" t="s">
        <v>3570</v>
      </c>
      <c r="Q3258">
        <v>4</v>
      </c>
      <c r="R3258" s="1" t="s">
        <v>1718</v>
      </c>
      <c r="S3258">
        <v>38760</v>
      </c>
      <c r="T3258">
        <v>155040</v>
      </c>
    </row>
    <row r="3259" spans="1:20" hidden="1" x14ac:dyDescent="0.4">
      <c r="A3259" s="1" t="s">
        <v>1256</v>
      </c>
      <c r="B3259" s="1" t="s">
        <v>1454</v>
      </c>
      <c r="C3259" s="1" t="s">
        <v>1844</v>
      </c>
      <c r="D3259" s="1" t="s">
        <v>1462</v>
      </c>
      <c r="E3259">
        <v>20251219</v>
      </c>
      <c r="F3259" s="1" t="s">
        <v>1470</v>
      </c>
      <c r="G3259">
        <v>4</v>
      </c>
      <c r="H3259" s="1" t="s">
        <v>1503</v>
      </c>
      <c r="I3259" t="s">
        <v>1883</v>
      </c>
      <c r="J3259" s="1" t="s">
        <v>1456</v>
      </c>
      <c r="K3259" s="1" t="s">
        <v>1554</v>
      </c>
      <c r="L3259" s="1" t="s">
        <v>1729</v>
      </c>
      <c r="M3259" s="1" t="s">
        <v>1737</v>
      </c>
      <c r="N3259" t="s">
        <v>2092</v>
      </c>
      <c r="P3259">
        <v>82317</v>
      </c>
      <c r="Q3259">
        <v>1</v>
      </c>
      <c r="R3259" s="1" t="s">
        <v>1718</v>
      </c>
      <c r="S3259">
        <v>14950</v>
      </c>
      <c r="T3259">
        <v>14950</v>
      </c>
    </row>
    <row r="3260" spans="1:20" hidden="1" x14ac:dyDescent="0.4">
      <c r="A3260" s="1" t="s">
        <v>1256</v>
      </c>
      <c r="B3260" s="1" t="s">
        <v>1455</v>
      </c>
      <c r="C3260" s="1" t="s">
        <v>1844</v>
      </c>
      <c r="D3260" s="1" t="s">
        <v>1462</v>
      </c>
      <c r="E3260">
        <v>20251219</v>
      </c>
      <c r="F3260" s="1" t="s">
        <v>1470</v>
      </c>
      <c r="G3260">
        <v>4</v>
      </c>
      <c r="H3260" s="1" t="s">
        <v>1503</v>
      </c>
      <c r="I3260" t="s">
        <v>1883</v>
      </c>
      <c r="J3260" s="1" t="s">
        <v>1456</v>
      </c>
      <c r="K3260" s="1" t="s">
        <v>1554</v>
      </c>
      <c r="L3260" s="1" t="s">
        <v>1729</v>
      </c>
      <c r="M3260" s="1" t="s">
        <v>1737</v>
      </c>
      <c r="N3260" t="s">
        <v>2091</v>
      </c>
      <c r="O3260" t="s">
        <v>2781</v>
      </c>
      <c r="P3260">
        <v>82327</v>
      </c>
      <c r="Q3260">
        <v>2</v>
      </c>
      <c r="R3260" s="1" t="s">
        <v>1718</v>
      </c>
      <c r="S3260">
        <v>27620</v>
      </c>
      <c r="T3260">
        <v>55240</v>
      </c>
    </row>
    <row r="3261" spans="1:20" hidden="1" x14ac:dyDescent="0.4">
      <c r="A3261" s="1" t="s">
        <v>1257</v>
      </c>
      <c r="B3261" s="1" t="s">
        <v>1453</v>
      </c>
      <c r="C3261" s="1" t="s">
        <v>1844</v>
      </c>
      <c r="D3261" s="1" t="s">
        <v>1462</v>
      </c>
      <c r="E3261">
        <v>20251219</v>
      </c>
      <c r="F3261" s="1" t="s">
        <v>1470</v>
      </c>
      <c r="G3261">
        <v>4</v>
      </c>
      <c r="H3261" s="1" t="s">
        <v>1503</v>
      </c>
      <c r="I3261" t="s">
        <v>1883</v>
      </c>
      <c r="J3261" s="1" t="s">
        <v>1456</v>
      </c>
      <c r="K3261" s="1" t="s">
        <v>1554</v>
      </c>
      <c r="L3261" s="1" t="s">
        <v>1729</v>
      </c>
      <c r="M3261" s="1" t="s">
        <v>1737</v>
      </c>
      <c r="N3261" t="s">
        <v>2091</v>
      </c>
      <c r="O3261" t="s">
        <v>2782</v>
      </c>
      <c r="P3261">
        <v>82303</v>
      </c>
      <c r="Q3261">
        <v>1</v>
      </c>
      <c r="R3261" s="1" t="s">
        <v>1718</v>
      </c>
      <c r="S3261">
        <v>7300</v>
      </c>
      <c r="T3261">
        <v>7300</v>
      </c>
    </row>
    <row r="3262" spans="1:20" hidden="1" x14ac:dyDescent="0.4">
      <c r="A3262" s="1" t="s">
        <v>1258</v>
      </c>
      <c r="B3262" s="1" t="s">
        <v>1453</v>
      </c>
      <c r="C3262" s="1" t="s">
        <v>1844</v>
      </c>
      <c r="D3262" s="1" t="s">
        <v>1462</v>
      </c>
      <c r="E3262">
        <v>20251219</v>
      </c>
      <c r="F3262" s="1" t="s">
        <v>1470</v>
      </c>
      <c r="G3262">
        <v>4</v>
      </c>
      <c r="H3262" s="1" t="s">
        <v>1503</v>
      </c>
      <c r="I3262" t="s">
        <v>1883</v>
      </c>
      <c r="J3262" s="1" t="s">
        <v>1456</v>
      </c>
      <c r="K3262" s="1" t="s">
        <v>1553</v>
      </c>
      <c r="L3262" s="1" t="s">
        <v>1729</v>
      </c>
      <c r="M3262" s="1" t="s">
        <v>1736</v>
      </c>
      <c r="N3262" t="s">
        <v>2093</v>
      </c>
      <c r="O3262" t="s">
        <v>2783</v>
      </c>
      <c r="P3262" t="s">
        <v>3571</v>
      </c>
      <c r="Q3262">
        <v>2</v>
      </c>
      <c r="R3262" s="1" t="s">
        <v>1718</v>
      </c>
      <c r="S3262">
        <v>6440</v>
      </c>
      <c r="T3262">
        <v>12880</v>
      </c>
    </row>
    <row r="3263" spans="1:20" hidden="1" x14ac:dyDescent="0.4">
      <c r="A3263" s="1" t="s">
        <v>1258</v>
      </c>
      <c r="B3263" s="1" t="s">
        <v>1454</v>
      </c>
      <c r="C3263" s="1" t="s">
        <v>1844</v>
      </c>
      <c r="D3263" s="1" t="s">
        <v>1462</v>
      </c>
      <c r="E3263">
        <v>20251219</v>
      </c>
      <c r="F3263" s="1" t="s">
        <v>1470</v>
      </c>
      <c r="G3263">
        <v>4</v>
      </c>
      <c r="H3263" s="1" t="s">
        <v>1503</v>
      </c>
      <c r="I3263" t="s">
        <v>1883</v>
      </c>
      <c r="J3263" s="1" t="s">
        <v>1456</v>
      </c>
      <c r="K3263" s="1" t="s">
        <v>1553</v>
      </c>
      <c r="L3263" s="1" t="s">
        <v>1729</v>
      </c>
      <c r="M3263" s="1" t="s">
        <v>1736</v>
      </c>
      <c r="N3263" t="s">
        <v>2093</v>
      </c>
      <c r="O3263" t="s">
        <v>2784</v>
      </c>
      <c r="P3263" t="s">
        <v>3572</v>
      </c>
      <c r="Q3263">
        <v>2</v>
      </c>
      <c r="R3263" s="1" t="s">
        <v>1718</v>
      </c>
      <c r="S3263">
        <v>6260</v>
      </c>
      <c r="T3263">
        <v>12520</v>
      </c>
    </row>
    <row r="3264" spans="1:20" hidden="1" x14ac:dyDescent="0.4">
      <c r="A3264" s="1" t="s">
        <v>1259</v>
      </c>
      <c r="B3264" s="1" t="s">
        <v>1453</v>
      </c>
      <c r="C3264" s="1" t="s">
        <v>1844</v>
      </c>
      <c r="D3264" s="1" t="s">
        <v>1462</v>
      </c>
      <c r="E3264">
        <v>20251219</v>
      </c>
      <c r="F3264" s="1" t="s">
        <v>1470</v>
      </c>
      <c r="G3264">
        <v>4</v>
      </c>
      <c r="H3264" s="1" t="s">
        <v>1503</v>
      </c>
      <c r="I3264" t="s">
        <v>1883</v>
      </c>
      <c r="J3264" s="1" t="s">
        <v>1456</v>
      </c>
      <c r="K3264" s="1" t="s">
        <v>1554</v>
      </c>
      <c r="L3264" s="1" t="s">
        <v>1729</v>
      </c>
      <c r="M3264" s="1" t="s">
        <v>1737</v>
      </c>
      <c r="N3264" t="s">
        <v>2109</v>
      </c>
      <c r="O3264" t="s">
        <v>2785</v>
      </c>
      <c r="P3264">
        <v>82267</v>
      </c>
      <c r="Q3264">
        <v>2</v>
      </c>
      <c r="R3264" s="1" t="s">
        <v>1718</v>
      </c>
      <c r="S3264">
        <v>38630</v>
      </c>
      <c r="T3264">
        <v>77260</v>
      </c>
    </row>
    <row r="3265" spans="1:20" hidden="1" x14ac:dyDescent="0.4">
      <c r="A3265" s="1" t="s">
        <v>1259</v>
      </c>
      <c r="B3265" s="1" t="s">
        <v>1454</v>
      </c>
      <c r="C3265" s="1" t="s">
        <v>1844</v>
      </c>
      <c r="D3265" s="1" t="s">
        <v>1462</v>
      </c>
      <c r="E3265">
        <v>20251219</v>
      </c>
      <c r="F3265" s="1" t="s">
        <v>1470</v>
      </c>
      <c r="G3265">
        <v>4</v>
      </c>
      <c r="H3265" s="1" t="s">
        <v>1503</v>
      </c>
      <c r="I3265" t="s">
        <v>1883</v>
      </c>
      <c r="J3265" s="1" t="s">
        <v>1456</v>
      </c>
      <c r="K3265" s="1" t="s">
        <v>1554</v>
      </c>
      <c r="L3265" s="1" t="s">
        <v>1729</v>
      </c>
      <c r="M3265" s="1" t="s">
        <v>1737</v>
      </c>
      <c r="N3265" t="s">
        <v>2109</v>
      </c>
      <c r="O3265" t="s">
        <v>2786</v>
      </c>
      <c r="P3265">
        <v>82268</v>
      </c>
      <c r="Q3265">
        <v>2</v>
      </c>
      <c r="R3265" s="1" t="s">
        <v>1718</v>
      </c>
      <c r="S3265">
        <v>42320</v>
      </c>
      <c r="T3265">
        <v>84640</v>
      </c>
    </row>
    <row r="3266" spans="1:20" hidden="1" x14ac:dyDescent="0.4">
      <c r="A3266" s="1" t="s">
        <v>1260</v>
      </c>
      <c r="B3266" s="1" t="s">
        <v>1453</v>
      </c>
      <c r="C3266" s="1" t="s">
        <v>1844</v>
      </c>
      <c r="D3266" s="1" t="s">
        <v>1462</v>
      </c>
      <c r="E3266">
        <v>20251219</v>
      </c>
      <c r="F3266" s="1" t="s">
        <v>1470</v>
      </c>
      <c r="G3266">
        <v>4</v>
      </c>
      <c r="H3266" s="1" t="s">
        <v>1503</v>
      </c>
      <c r="I3266" t="s">
        <v>1883</v>
      </c>
      <c r="J3266" s="1" t="s">
        <v>1456</v>
      </c>
      <c r="K3266" s="1" t="s">
        <v>1553</v>
      </c>
      <c r="L3266" s="1" t="s">
        <v>1729</v>
      </c>
      <c r="M3266" s="1" t="s">
        <v>1746</v>
      </c>
      <c r="N3266" t="s">
        <v>2142</v>
      </c>
      <c r="O3266" t="s">
        <v>2787</v>
      </c>
      <c r="P3266" t="s">
        <v>3573</v>
      </c>
      <c r="Q3266">
        <v>4</v>
      </c>
      <c r="R3266" s="1" t="s">
        <v>1718</v>
      </c>
      <c r="S3266">
        <v>14336</v>
      </c>
      <c r="T3266">
        <v>57344</v>
      </c>
    </row>
    <row r="3267" spans="1:20" hidden="1" x14ac:dyDescent="0.4">
      <c r="A3267" s="1" t="s">
        <v>1261</v>
      </c>
      <c r="B3267" s="1" t="s">
        <v>1453</v>
      </c>
      <c r="C3267" s="1" t="s">
        <v>1844</v>
      </c>
      <c r="D3267" s="1" t="s">
        <v>1730</v>
      </c>
      <c r="E3267">
        <v>20251219</v>
      </c>
      <c r="F3267" s="1" t="s">
        <v>1470</v>
      </c>
      <c r="G3267">
        <v>4</v>
      </c>
      <c r="H3267" s="1" t="s">
        <v>1503</v>
      </c>
      <c r="I3267" t="s">
        <v>1883</v>
      </c>
      <c r="J3267" s="1" t="s">
        <v>1456</v>
      </c>
      <c r="K3267" s="1" t="s">
        <v>1570</v>
      </c>
      <c r="L3267" s="1" t="s">
        <v>1729</v>
      </c>
      <c r="M3267" s="1" t="s">
        <v>1744</v>
      </c>
      <c r="N3267" t="s">
        <v>1943</v>
      </c>
      <c r="O3267" t="s">
        <v>2603</v>
      </c>
      <c r="P3267" t="s">
        <v>3244</v>
      </c>
      <c r="Q3267">
        <v>10</v>
      </c>
      <c r="R3267" s="1" t="s">
        <v>1718</v>
      </c>
      <c r="S3267">
        <v>0</v>
      </c>
      <c r="T3267">
        <v>0</v>
      </c>
    </row>
    <row r="3268" spans="1:20" hidden="1" x14ac:dyDescent="0.4">
      <c r="A3268" s="1" t="s">
        <v>1262</v>
      </c>
      <c r="B3268" s="1" t="s">
        <v>1453</v>
      </c>
      <c r="C3268" s="1" t="s">
        <v>1844</v>
      </c>
      <c r="D3268" s="1" t="s">
        <v>1730</v>
      </c>
      <c r="E3268">
        <v>20251219</v>
      </c>
      <c r="F3268" s="1" t="s">
        <v>1470</v>
      </c>
      <c r="G3268">
        <v>4</v>
      </c>
      <c r="H3268" s="1" t="s">
        <v>1503</v>
      </c>
      <c r="I3268" t="s">
        <v>1883</v>
      </c>
      <c r="J3268" s="1" t="s">
        <v>1456</v>
      </c>
      <c r="K3268" s="1" t="s">
        <v>1570</v>
      </c>
      <c r="L3268" s="1" t="s">
        <v>1729</v>
      </c>
      <c r="M3268" s="1" t="s">
        <v>1741</v>
      </c>
      <c r="N3268" t="s">
        <v>1943</v>
      </c>
      <c r="O3268" t="s">
        <v>2788</v>
      </c>
      <c r="P3268" t="s">
        <v>3243</v>
      </c>
      <c r="Q3268">
        <v>8</v>
      </c>
      <c r="R3268" s="1" t="s">
        <v>1718</v>
      </c>
      <c r="S3268">
        <v>0</v>
      </c>
      <c r="T3268">
        <v>0</v>
      </c>
    </row>
    <row r="3269" spans="1:20" hidden="1" x14ac:dyDescent="0.4">
      <c r="A3269" s="1" t="s">
        <v>1263</v>
      </c>
      <c r="B3269" s="1" t="s">
        <v>1453</v>
      </c>
      <c r="C3269" s="1" t="s">
        <v>1844</v>
      </c>
      <c r="D3269" s="1" t="s">
        <v>1462</v>
      </c>
      <c r="E3269">
        <v>20251219</v>
      </c>
      <c r="F3269" s="1" t="s">
        <v>1470</v>
      </c>
      <c r="G3269">
        <v>4</v>
      </c>
      <c r="H3269" s="1" t="s">
        <v>1496</v>
      </c>
      <c r="I3269" t="s">
        <v>1876</v>
      </c>
      <c r="J3269" s="1" t="s">
        <v>1456</v>
      </c>
      <c r="K3269" s="1" t="s">
        <v>1557</v>
      </c>
      <c r="L3269" s="1" t="s">
        <v>1729</v>
      </c>
      <c r="M3269" s="1" t="s">
        <v>1737</v>
      </c>
      <c r="N3269" t="s">
        <v>1929</v>
      </c>
      <c r="O3269" t="s">
        <v>2789</v>
      </c>
      <c r="P3269" t="s">
        <v>3220</v>
      </c>
      <c r="Q3269">
        <v>2</v>
      </c>
      <c r="R3269" s="1" t="s">
        <v>1718</v>
      </c>
      <c r="S3269">
        <v>12109</v>
      </c>
      <c r="T3269">
        <v>24218</v>
      </c>
    </row>
    <row r="3270" spans="1:20" hidden="1" x14ac:dyDescent="0.4">
      <c r="A3270" s="1" t="s">
        <v>1264</v>
      </c>
      <c r="B3270" s="1" t="s">
        <v>1453</v>
      </c>
      <c r="C3270" s="1" t="s">
        <v>1844</v>
      </c>
      <c r="D3270" s="1" t="s">
        <v>1462</v>
      </c>
      <c r="E3270">
        <v>20251219</v>
      </c>
      <c r="F3270" s="1" t="s">
        <v>1470</v>
      </c>
      <c r="G3270">
        <v>4</v>
      </c>
      <c r="H3270" s="1" t="s">
        <v>1496</v>
      </c>
      <c r="I3270" t="s">
        <v>1876</v>
      </c>
      <c r="J3270" s="1" t="s">
        <v>1456</v>
      </c>
      <c r="K3270" s="1" t="s">
        <v>1557</v>
      </c>
      <c r="L3270" s="1" t="s">
        <v>1729</v>
      </c>
      <c r="M3270" s="1" t="s">
        <v>1737</v>
      </c>
      <c r="N3270" t="s">
        <v>1929</v>
      </c>
      <c r="O3270" t="s">
        <v>2790</v>
      </c>
      <c r="P3270" t="s">
        <v>3220</v>
      </c>
      <c r="Q3270">
        <v>1</v>
      </c>
      <c r="R3270" s="1" t="s">
        <v>1718</v>
      </c>
      <c r="S3270">
        <v>8780</v>
      </c>
      <c r="T3270">
        <v>8780</v>
      </c>
    </row>
    <row r="3271" spans="1:20" hidden="1" x14ac:dyDescent="0.4">
      <c r="A3271" s="1" t="s">
        <v>1264</v>
      </c>
      <c r="B3271" s="1" t="s">
        <v>1454</v>
      </c>
      <c r="C3271" s="1" t="s">
        <v>1844</v>
      </c>
      <c r="D3271" s="1" t="s">
        <v>1462</v>
      </c>
      <c r="E3271">
        <v>20251219</v>
      </c>
      <c r="F3271" s="1" t="s">
        <v>1470</v>
      </c>
      <c r="G3271">
        <v>4</v>
      </c>
      <c r="H3271" s="1" t="s">
        <v>1496</v>
      </c>
      <c r="I3271" t="s">
        <v>1876</v>
      </c>
      <c r="J3271" s="1" t="s">
        <v>1456</v>
      </c>
      <c r="K3271" s="1" t="s">
        <v>1557</v>
      </c>
      <c r="L3271" s="1" t="s">
        <v>1729</v>
      </c>
      <c r="M3271" s="1" t="s">
        <v>1737</v>
      </c>
      <c r="N3271" t="s">
        <v>1929</v>
      </c>
      <c r="O3271" t="s">
        <v>2790</v>
      </c>
      <c r="P3271" t="s">
        <v>3220</v>
      </c>
      <c r="Q3271">
        <v>1</v>
      </c>
      <c r="R3271" s="1" t="s">
        <v>1718</v>
      </c>
      <c r="S3271">
        <v>8780</v>
      </c>
      <c r="T3271">
        <v>8780</v>
      </c>
    </row>
    <row r="3272" spans="1:20" hidden="1" x14ac:dyDescent="0.4">
      <c r="A3272" s="1" t="s">
        <v>1264</v>
      </c>
      <c r="B3272" s="1" t="s">
        <v>1455</v>
      </c>
      <c r="C3272" s="1" t="s">
        <v>1844</v>
      </c>
      <c r="D3272" s="1" t="s">
        <v>1462</v>
      </c>
      <c r="E3272">
        <v>20251219</v>
      </c>
      <c r="F3272" s="1" t="s">
        <v>1470</v>
      </c>
      <c r="G3272">
        <v>4</v>
      </c>
      <c r="H3272" s="1" t="s">
        <v>1496</v>
      </c>
      <c r="I3272" t="s">
        <v>1876</v>
      </c>
      <c r="J3272" s="1" t="s">
        <v>1456</v>
      </c>
      <c r="K3272" s="1" t="s">
        <v>1557</v>
      </c>
      <c r="L3272" s="1" t="s">
        <v>1729</v>
      </c>
      <c r="M3272" s="1" t="s">
        <v>1737</v>
      </c>
      <c r="N3272" t="s">
        <v>1929</v>
      </c>
      <c r="O3272" t="s">
        <v>2791</v>
      </c>
      <c r="P3272" t="s">
        <v>3574</v>
      </c>
      <c r="Q3272">
        <v>2</v>
      </c>
      <c r="R3272" s="1" t="s">
        <v>1718</v>
      </c>
      <c r="S3272">
        <v>15902</v>
      </c>
      <c r="T3272">
        <v>31804</v>
      </c>
    </row>
    <row r="3273" spans="1:20" hidden="1" x14ac:dyDescent="0.4">
      <c r="A3273" s="1" t="s">
        <v>1264</v>
      </c>
      <c r="B3273" s="1" t="s">
        <v>1456</v>
      </c>
      <c r="C3273" s="1" t="s">
        <v>1844</v>
      </c>
      <c r="D3273" s="1" t="s">
        <v>1462</v>
      </c>
      <c r="E3273">
        <v>20251219</v>
      </c>
      <c r="F3273" s="1" t="s">
        <v>1470</v>
      </c>
      <c r="G3273">
        <v>4</v>
      </c>
      <c r="H3273" s="1" t="s">
        <v>1496</v>
      </c>
      <c r="I3273" t="s">
        <v>1876</v>
      </c>
      <c r="J3273" s="1" t="s">
        <v>1456</v>
      </c>
      <c r="K3273" s="1" t="s">
        <v>1557</v>
      </c>
      <c r="L3273" s="1" t="s">
        <v>1729</v>
      </c>
      <c r="M3273" s="1" t="s">
        <v>1737</v>
      </c>
      <c r="N3273" t="s">
        <v>1929</v>
      </c>
      <c r="O3273" t="s">
        <v>2791</v>
      </c>
      <c r="P3273" t="s">
        <v>3575</v>
      </c>
      <c r="Q3273">
        <v>2</v>
      </c>
      <c r="R3273" s="1" t="s">
        <v>1718</v>
      </c>
      <c r="S3273">
        <v>17154</v>
      </c>
      <c r="T3273">
        <v>34308</v>
      </c>
    </row>
    <row r="3274" spans="1:20" hidden="1" x14ac:dyDescent="0.4">
      <c r="A3274" s="1" t="s">
        <v>1265</v>
      </c>
      <c r="B3274" s="1" t="s">
        <v>1453</v>
      </c>
      <c r="C3274" s="1" t="s">
        <v>1844</v>
      </c>
      <c r="D3274" s="1" t="s">
        <v>1462</v>
      </c>
      <c r="E3274">
        <v>20251219</v>
      </c>
      <c r="F3274" s="1" t="s">
        <v>1470</v>
      </c>
      <c r="G3274">
        <v>4</v>
      </c>
      <c r="H3274" s="1" t="s">
        <v>1496</v>
      </c>
      <c r="I3274" t="s">
        <v>1876</v>
      </c>
      <c r="J3274" s="1" t="s">
        <v>1456</v>
      </c>
      <c r="K3274" s="1" t="s">
        <v>1557</v>
      </c>
      <c r="L3274" s="1" t="s">
        <v>1729</v>
      </c>
      <c r="M3274" s="1" t="s">
        <v>1737</v>
      </c>
      <c r="N3274" t="s">
        <v>1929</v>
      </c>
      <c r="O3274" t="s">
        <v>2792</v>
      </c>
      <c r="P3274" t="s">
        <v>2157</v>
      </c>
      <c r="Q3274">
        <v>2</v>
      </c>
      <c r="R3274" s="1" t="s">
        <v>1718</v>
      </c>
      <c r="S3274">
        <v>34576</v>
      </c>
      <c r="T3274">
        <v>69152</v>
      </c>
    </row>
    <row r="3275" spans="1:20" hidden="1" x14ac:dyDescent="0.4">
      <c r="A3275" s="1" t="s">
        <v>1266</v>
      </c>
      <c r="B3275" s="1" t="s">
        <v>1453</v>
      </c>
      <c r="C3275" s="1" t="s">
        <v>1844</v>
      </c>
      <c r="D3275" s="1" t="s">
        <v>1462</v>
      </c>
      <c r="E3275">
        <v>20251219</v>
      </c>
      <c r="F3275" s="1" t="s">
        <v>1470</v>
      </c>
      <c r="G3275">
        <v>4</v>
      </c>
      <c r="H3275" s="1" t="s">
        <v>1496</v>
      </c>
      <c r="I3275" t="s">
        <v>1876</v>
      </c>
      <c r="J3275" s="1" t="s">
        <v>1456</v>
      </c>
      <c r="K3275" s="1" t="s">
        <v>1557</v>
      </c>
      <c r="L3275" s="1" t="s">
        <v>1729</v>
      </c>
      <c r="M3275" s="1" t="s">
        <v>1737</v>
      </c>
      <c r="N3275" t="s">
        <v>1929</v>
      </c>
      <c r="O3275" t="s">
        <v>2793</v>
      </c>
      <c r="P3275" t="s">
        <v>3220</v>
      </c>
      <c r="Q3275">
        <v>2</v>
      </c>
      <c r="R3275" s="1" t="s">
        <v>1718</v>
      </c>
      <c r="S3275">
        <v>8780</v>
      </c>
      <c r="T3275">
        <v>17560</v>
      </c>
    </row>
    <row r="3276" spans="1:20" hidden="1" x14ac:dyDescent="0.4">
      <c r="A3276" s="1" t="s">
        <v>1267</v>
      </c>
      <c r="B3276" s="1" t="s">
        <v>1453</v>
      </c>
      <c r="C3276" s="1" t="s">
        <v>1844</v>
      </c>
      <c r="D3276" s="1" t="s">
        <v>1462</v>
      </c>
      <c r="E3276">
        <v>20251219</v>
      </c>
      <c r="F3276" s="1" t="s">
        <v>1470</v>
      </c>
      <c r="G3276">
        <v>4</v>
      </c>
      <c r="H3276" s="1" t="s">
        <v>1496</v>
      </c>
      <c r="I3276" t="s">
        <v>1876</v>
      </c>
      <c r="J3276" s="1" t="s">
        <v>1456</v>
      </c>
      <c r="K3276" s="1" t="s">
        <v>1557</v>
      </c>
      <c r="L3276" s="1" t="s">
        <v>1729</v>
      </c>
      <c r="M3276" s="1" t="s">
        <v>1737</v>
      </c>
      <c r="N3276" t="s">
        <v>1929</v>
      </c>
      <c r="O3276" t="s">
        <v>2794</v>
      </c>
      <c r="P3276" t="s">
        <v>3497</v>
      </c>
      <c r="Q3276">
        <v>2</v>
      </c>
      <c r="R3276" s="1" t="s">
        <v>1718</v>
      </c>
      <c r="S3276">
        <v>30785</v>
      </c>
      <c r="T3276">
        <v>61570</v>
      </c>
    </row>
    <row r="3277" spans="1:20" hidden="1" x14ac:dyDescent="0.4">
      <c r="A3277" s="1" t="s">
        <v>1268</v>
      </c>
      <c r="B3277" s="1" t="s">
        <v>1453</v>
      </c>
      <c r="C3277" s="1" t="s">
        <v>1844</v>
      </c>
      <c r="D3277" s="1" t="s">
        <v>1462</v>
      </c>
      <c r="E3277">
        <v>20251219</v>
      </c>
      <c r="F3277" s="1" t="s">
        <v>1470</v>
      </c>
      <c r="G3277">
        <v>4</v>
      </c>
      <c r="H3277" s="1" t="s">
        <v>1496</v>
      </c>
      <c r="I3277" t="s">
        <v>1876</v>
      </c>
      <c r="J3277" s="1" t="s">
        <v>1456</v>
      </c>
      <c r="K3277" s="1" t="s">
        <v>1559</v>
      </c>
      <c r="L3277" s="1" t="s">
        <v>1729</v>
      </c>
      <c r="M3277" s="1" t="s">
        <v>1739</v>
      </c>
      <c r="N3277" t="s">
        <v>1931</v>
      </c>
      <c r="O3277" t="s">
        <v>2450</v>
      </c>
      <c r="P3277" t="s">
        <v>3422</v>
      </c>
      <c r="Q3277">
        <v>2</v>
      </c>
      <c r="R3277" s="1" t="s">
        <v>1718</v>
      </c>
      <c r="S3277">
        <v>6878</v>
      </c>
      <c r="T3277">
        <v>13756</v>
      </c>
    </row>
    <row r="3278" spans="1:20" hidden="1" x14ac:dyDescent="0.4">
      <c r="A3278" s="1" t="s">
        <v>1269</v>
      </c>
      <c r="B3278" s="1" t="s">
        <v>1453</v>
      </c>
      <c r="C3278" s="1" t="s">
        <v>1844</v>
      </c>
      <c r="D3278" s="1" t="s">
        <v>1462</v>
      </c>
      <c r="E3278">
        <v>20251219</v>
      </c>
      <c r="F3278" s="1" t="s">
        <v>1470</v>
      </c>
      <c r="G3278">
        <v>4</v>
      </c>
      <c r="H3278" s="1" t="s">
        <v>1512</v>
      </c>
      <c r="I3278" t="s">
        <v>1892</v>
      </c>
      <c r="J3278" s="1" t="s">
        <v>1456</v>
      </c>
      <c r="K3278" s="1" t="s">
        <v>1558</v>
      </c>
      <c r="L3278" s="1" t="s">
        <v>1729</v>
      </c>
      <c r="M3278" s="1" t="s">
        <v>1737</v>
      </c>
      <c r="N3278" t="s">
        <v>2096</v>
      </c>
      <c r="O3278" t="s">
        <v>2795</v>
      </c>
      <c r="P3278" t="s">
        <v>3576</v>
      </c>
      <c r="Q3278">
        <v>1</v>
      </c>
      <c r="R3278" s="1" t="s">
        <v>1718</v>
      </c>
      <c r="S3278">
        <v>29529</v>
      </c>
      <c r="T3278">
        <v>29529</v>
      </c>
    </row>
    <row r="3279" spans="1:20" hidden="1" x14ac:dyDescent="0.4">
      <c r="A3279" s="1" t="s">
        <v>1270</v>
      </c>
      <c r="B3279" s="1" t="s">
        <v>1453</v>
      </c>
      <c r="C3279" s="1" t="s">
        <v>1844</v>
      </c>
      <c r="D3279" s="1" t="s">
        <v>1462</v>
      </c>
      <c r="E3279">
        <v>20251219</v>
      </c>
      <c r="F3279" s="1" t="s">
        <v>1470</v>
      </c>
      <c r="G3279">
        <v>4</v>
      </c>
      <c r="H3279" s="1" t="s">
        <v>1512</v>
      </c>
      <c r="I3279" t="s">
        <v>1892</v>
      </c>
      <c r="J3279" s="1" t="s">
        <v>1456</v>
      </c>
      <c r="K3279" s="1" t="s">
        <v>1558</v>
      </c>
      <c r="L3279" s="1" t="s">
        <v>1729</v>
      </c>
      <c r="M3279" s="1" t="s">
        <v>1737</v>
      </c>
      <c r="N3279" t="s">
        <v>2096</v>
      </c>
      <c r="O3279" t="s">
        <v>2796</v>
      </c>
      <c r="P3279" t="s">
        <v>3577</v>
      </c>
      <c r="Q3279">
        <v>2</v>
      </c>
      <c r="R3279" s="1" t="s">
        <v>1718</v>
      </c>
      <c r="S3279">
        <v>17285</v>
      </c>
      <c r="T3279">
        <v>34570</v>
      </c>
    </row>
    <row r="3280" spans="1:20" hidden="1" x14ac:dyDescent="0.4">
      <c r="A3280" s="1" t="s">
        <v>1271</v>
      </c>
      <c r="B3280" s="1" t="s">
        <v>1453</v>
      </c>
      <c r="C3280" s="1" t="s">
        <v>1844</v>
      </c>
      <c r="D3280" s="1" t="s">
        <v>1462</v>
      </c>
      <c r="E3280">
        <v>20251219</v>
      </c>
      <c r="F3280" s="1" t="s">
        <v>1470</v>
      </c>
      <c r="G3280">
        <v>4</v>
      </c>
      <c r="H3280" s="1" t="s">
        <v>1512</v>
      </c>
      <c r="I3280" t="s">
        <v>1892</v>
      </c>
      <c r="J3280" s="1" t="s">
        <v>1456</v>
      </c>
      <c r="K3280" s="1" t="s">
        <v>1558</v>
      </c>
      <c r="L3280" s="1" t="s">
        <v>1729</v>
      </c>
      <c r="M3280" s="1" t="s">
        <v>1737</v>
      </c>
      <c r="N3280" t="s">
        <v>2096</v>
      </c>
      <c r="O3280" t="s">
        <v>2797</v>
      </c>
      <c r="P3280" t="s">
        <v>3578</v>
      </c>
      <c r="Q3280">
        <v>1</v>
      </c>
      <c r="R3280" s="1" t="s">
        <v>1718</v>
      </c>
      <c r="S3280">
        <v>17237</v>
      </c>
      <c r="T3280">
        <v>17237</v>
      </c>
    </row>
    <row r="3281" spans="1:20" hidden="1" x14ac:dyDescent="0.4">
      <c r="A3281" s="1" t="s">
        <v>1272</v>
      </c>
      <c r="B3281" s="1" t="s">
        <v>1453</v>
      </c>
      <c r="C3281" s="1" t="s">
        <v>1844</v>
      </c>
      <c r="D3281" s="1" t="s">
        <v>1462</v>
      </c>
      <c r="E3281">
        <v>20251219</v>
      </c>
      <c r="F3281" s="1" t="s">
        <v>1470</v>
      </c>
      <c r="G3281">
        <v>4</v>
      </c>
      <c r="H3281" s="1" t="s">
        <v>1512</v>
      </c>
      <c r="I3281" t="s">
        <v>1892</v>
      </c>
      <c r="J3281" s="1" t="s">
        <v>1456</v>
      </c>
      <c r="K3281" s="1" t="s">
        <v>1558</v>
      </c>
      <c r="L3281" s="1" t="s">
        <v>1729</v>
      </c>
      <c r="M3281" s="1" t="s">
        <v>1737</v>
      </c>
      <c r="N3281" t="s">
        <v>2096</v>
      </c>
      <c r="O3281" t="s">
        <v>2256</v>
      </c>
      <c r="P3281" t="s">
        <v>3579</v>
      </c>
      <c r="Q3281">
        <v>2</v>
      </c>
      <c r="R3281" s="1" t="s">
        <v>1718</v>
      </c>
      <c r="S3281">
        <v>19898</v>
      </c>
      <c r="T3281">
        <v>39796</v>
      </c>
    </row>
    <row r="3282" spans="1:20" hidden="1" x14ac:dyDescent="0.4">
      <c r="A3282" s="1" t="s">
        <v>1272</v>
      </c>
      <c r="B3282" s="1" t="s">
        <v>1454</v>
      </c>
      <c r="C3282" s="1" t="s">
        <v>1844</v>
      </c>
      <c r="D3282" s="1" t="s">
        <v>1462</v>
      </c>
      <c r="E3282">
        <v>20251219</v>
      </c>
      <c r="F3282" s="1" t="s">
        <v>1470</v>
      </c>
      <c r="G3282">
        <v>4</v>
      </c>
      <c r="H3282" s="1" t="s">
        <v>1512</v>
      </c>
      <c r="I3282" t="s">
        <v>1892</v>
      </c>
      <c r="J3282" s="1" t="s">
        <v>1456</v>
      </c>
      <c r="K3282" s="1" t="s">
        <v>1558</v>
      </c>
      <c r="L3282" s="1" t="s">
        <v>1729</v>
      </c>
      <c r="M3282" s="1" t="s">
        <v>1737</v>
      </c>
      <c r="N3282" t="s">
        <v>2096</v>
      </c>
      <c r="O3282" t="s">
        <v>2798</v>
      </c>
      <c r="P3282" t="s">
        <v>3580</v>
      </c>
      <c r="Q3282">
        <v>4</v>
      </c>
      <c r="R3282" s="1" t="s">
        <v>1718</v>
      </c>
      <c r="S3282">
        <v>7014</v>
      </c>
      <c r="T3282">
        <v>28056</v>
      </c>
    </row>
    <row r="3283" spans="1:20" hidden="1" x14ac:dyDescent="0.4">
      <c r="A3283" s="1" t="s">
        <v>1273</v>
      </c>
      <c r="B3283" s="1" t="s">
        <v>1453</v>
      </c>
      <c r="C3283" s="1" t="s">
        <v>1844</v>
      </c>
      <c r="D3283" s="1" t="s">
        <v>1462</v>
      </c>
      <c r="E3283">
        <v>20251219</v>
      </c>
      <c r="F3283" s="1" t="s">
        <v>1470</v>
      </c>
      <c r="G3283">
        <v>4</v>
      </c>
      <c r="H3283" s="1" t="s">
        <v>1512</v>
      </c>
      <c r="I3283" t="s">
        <v>1892</v>
      </c>
      <c r="J3283" s="1" t="s">
        <v>1456</v>
      </c>
      <c r="K3283" s="1" t="s">
        <v>1558</v>
      </c>
      <c r="L3283" s="1" t="s">
        <v>1729</v>
      </c>
      <c r="M3283" s="1" t="s">
        <v>1737</v>
      </c>
      <c r="N3283" t="s">
        <v>2096</v>
      </c>
      <c r="O3283" t="s">
        <v>2799</v>
      </c>
      <c r="P3283" t="s">
        <v>3581</v>
      </c>
      <c r="Q3283">
        <v>2</v>
      </c>
      <c r="R3283" s="1" t="s">
        <v>1718</v>
      </c>
      <c r="S3283">
        <v>27657</v>
      </c>
      <c r="T3283">
        <v>55314</v>
      </c>
    </row>
    <row r="3284" spans="1:20" hidden="1" x14ac:dyDescent="0.4">
      <c r="A3284" s="1" t="s">
        <v>1273</v>
      </c>
      <c r="B3284" s="1" t="s">
        <v>1454</v>
      </c>
      <c r="C3284" s="1" t="s">
        <v>1844</v>
      </c>
      <c r="D3284" s="1" t="s">
        <v>1462</v>
      </c>
      <c r="E3284">
        <v>20251219</v>
      </c>
      <c r="F3284" s="1" t="s">
        <v>1470</v>
      </c>
      <c r="G3284">
        <v>4</v>
      </c>
      <c r="H3284" s="1" t="s">
        <v>1512</v>
      </c>
      <c r="I3284" t="s">
        <v>1892</v>
      </c>
      <c r="J3284" s="1" t="s">
        <v>1456</v>
      </c>
      <c r="K3284" s="1" t="s">
        <v>1558</v>
      </c>
      <c r="L3284" s="1" t="s">
        <v>1729</v>
      </c>
      <c r="M3284" s="1" t="s">
        <v>1737</v>
      </c>
      <c r="N3284" t="s">
        <v>2096</v>
      </c>
      <c r="O3284" t="s">
        <v>2799</v>
      </c>
      <c r="P3284" t="s">
        <v>3582</v>
      </c>
      <c r="Q3284">
        <v>2</v>
      </c>
      <c r="R3284" s="1" t="s">
        <v>1718</v>
      </c>
      <c r="S3284">
        <v>8323</v>
      </c>
      <c r="T3284">
        <v>16646</v>
      </c>
    </row>
    <row r="3285" spans="1:20" hidden="1" x14ac:dyDescent="0.4">
      <c r="A3285" s="1" t="s">
        <v>1274</v>
      </c>
      <c r="B3285" s="1" t="s">
        <v>1453</v>
      </c>
      <c r="C3285" s="1" t="s">
        <v>1844</v>
      </c>
      <c r="D3285" s="1" t="s">
        <v>1462</v>
      </c>
      <c r="E3285">
        <v>20251219</v>
      </c>
      <c r="F3285" s="1" t="s">
        <v>1470</v>
      </c>
      <c r="G3285">
        <v>4</v>
      </c>
      <c r="H3285" s="1" t="s">
        <v>1514</v>
      </c>
      <c r="I3285" t="s">
        <v>1894</v>
      </c>
      <c r="J3285" s="1" t="s">
        <v>1456</v>
      </c>
      <c r="K3285" s="1" t="s">
        <v>1576</v>
      </c>
      <c r="L3285" s="1" t="s">
        <v>1729</v>
      </c>
      <c r="M3285" s="1" t="s">
        <v>1747</v>
      </c>
      <c r="N3285" t="s">
        <v>2143</v>
      </c>
      <c r="O3285" t="s">
        <v>2800</v>
      </c>
      <c r="P3285" t="s">
        <v>3583</v>
      </c>
      <c r="Q3285">
        <v>20</v>
      </c>
      <c r="R3285" s="1" t="s">
        <v>1718</v>
      </c>
      <c r="S3285">
        <v>7537</v>
      </c>
      <c r="T3285">
        <v>150740</v>
      </c>
    </row>
    <row r="3286" spans="1:20" hidden="1" x14ac:dyDescent="0.4">
      <c r="A3286" s="1" t="s">
        <v>1274</v>
      </c>
      <c r="B3286" s="1" t="s">
        <v>1454</v>
      </c>
      <c r="C3286" s="1" t="s">
        <v>1844</v>
      </c>
      <c r="D3286" s="1" t="s">
        <v>1462</v>
      </c>
      <c r="E3286">
        <v>20251219</v>
      </c>
      <c r="F3286" s="1" t="s">
        <v>1470</v>
      </c>
      <c r="G3286">
        <v>4</v>
      </c>
      <c r="H3286" s="1" t="s">
        <v>1514</v>
      </c>
      <c r="I3286" t="s">
        <v>1894</v>
      </c>
      <c r="J3286" s="1" t="s">
        <v>1456</v>
      </c>
      <c r="K3286" s="1" t="s">
        <v>1576</v>
      </c>
      <c r="L3286" s="1" t="s">
        <v>1729</v>
      </c>
      <c r="M3286" s="1" t="s">
        <v>1747</v>
      </c>
      <c r="N3286" t="s">
        <v>2143</v>
      </c>
      <c r="O3286" t="s">
        <v>2801</v>
      </c>
      <c r="P3286" t="s">
        <v>3048</v>
      </c>
      <c r="Q3286">
        <v>20</v>
      </c>
      <c r="R3286" s="1" t="s">
        <v>1718</v>
      </c>
      <c r="S3286">
        <v>15016</v>
      </c>
      <c r="T3286">
        <v>300320</v>
      </c>
    </row>
    <row r="3287" spans="1:20" hidden="1" x14ac:dyDescent="0.4">
      <c r="A3287" s="1" t="s">
        <v>1275</v>
      </c>
      <c r="B3287" s="1" t="s">
        <v>1453</v>
      </c>
      <c r="C3287" s="1" t="s">
        <v>1844</v>
      </c>
      <c r="D3287" s="1" t="s">
        <v>1462</v>
      </c>
      <c r="E3287">
        <v>20251218</v>
      </c>
      <c r="F3287" s="1" t="s">
        <v>1473</v>
      </c>
      <c r="G3287">
        <v>4</v>
      </c>
      <c r="H3287" s="1" t="s">
        <v>1493</v>
      </c>
      <c r="I3287" t="s">
        <v>1873</v>
      </c>
      <c r="J3287" s="1" t="s">
        <v>1453</v>
      </c>
      <c r="K3287" s="1" t="s">
        <v>1585</v>
      </c>
      <c r="L3287" s="1" t="s">
        <v>1718</v>
      </c>
      <c r="M3287" s="1" t="s">
        <v>1754</v>
      </c>
      <c r="N3287" t="s">
        <v>1960</v>
      </c>
      <c r="O3287" t="s">
        <v>2164</v>
      </c>
      <c r="P3287" t="s">
        <v>3067</v>
      </c>
      <c r="Q3287">
        <v>123.76</v>
      </c>
      <c r="R3287" s="1" t="s">
        <v>1839</v>
      </c>
      <c r="S3287">
        <v>3105</v>
      </c>
      <c r="T3287">
        <v>384274</v>
      </c>
    </row>
    <row r="3288" spans="1:20" hidden="1" x14ac:dyDescent="0.4">
      <c r="A3288" s="1" t="s">
        <v>1275</v>
      </c>
      <c r="B3288" s="1" t="s">
        <v>1454</v>
      </c>
      <c r="C3288" s="1" t="s">
        <v>1844</v>
      </c>
      <c r="D3288" s="1" t="s">
        <v>1462</v>
      </c>
      <c r="E3288">
        <v>20251218</v>
      </c>
      <c r="F3288" s="1" t="s">
        <v>1473</v>
      </c>
      <c r="G3288">
        <v>4</v>
      </c>
      <c r="H3288" s="1" t="s">
        <v>1493</v>
      </c>
      <c r="I3288" t="s">
        <v>1873</v>
      </c>
      <c r="J3288" s="1" t="s">
        <v>1453</v>
      </c>
      <c r="K3288" s="1" t="s">
        <v>1585</v>
      </c>
      <c r="L3288" s="1" t="s">
        <v>1718</v>
      </c>
      <c r="M3288" s="1" t="s">
        <v>1754</v>
      </c>
      <c r="N3288" t="s">
        <v>1960</v>
      </c>
      <c r="O3288" t="s">
        <v>2164</v>
      </c>
      <c r="P3288" t="s">
        <v>3067</v>
      </c>
      <c r="Q3288">
        <v>123.76</v>
      </c>
      <c r="R3288" s="1" t="s">
        <v>1839</v>
      </c>
      <c r="S3288">
        <v>3105</v>
      </c>
      <c r="T3288">
        <v>384274</v>
      </c>
    </row>
    <row r="3289" spans="1:20" hidden="1" x14ac:dyDescent="0.4">
      <c r="A3289" s="1" t="s">
        <v>1275</v>
      </c>
      <c r="B3289" s="1" t="s">
        <v>1455</v>
      </c>
      <c r="C3289" s="1" t="s">
        <v>1844</v>
      </c>
      <c r="D3289" s="1" t="s">
        <v>1462</v>
      </c>
      <c r="E3289">
        <v>20251218</v>
      </c>
      <c r="F3289" s="1" t="s">
        <v>1473</v>
      </c>
      <c r="G3289">
        <v>4</v>
      </c>
      <c r="H3289" s="1" t="s">
        <v>1493</v>
      </c>
      <c r="I3289" t="s">
        <v>1873</v>
      </c>
      <c r="J3289" s="1" t="s">
        <v>1453</v>
      </c>
      <c r="K3289" s="1" t="s">
        <v>1585</v>
      </c>
      <c r="L3289" s="1" t="s">
        <v>1718</v>
      </c>
      <c r="M3289" s="1" t="s">
        <v>1754</v>
      </c>
      <c r="N3289" t="s">
        <v>1960</v>
      </c>
      <c r="O3289" t="s">
        <v>2164</v>
      </c>
      <c r="P3289" t="s">
        <v>3067</v>
      </c>
      <c r="Q3289">
        <v>123.76</v>
      </c>
      <c r="R3289" s="1" t="s">
        <v>1839</v>
      </c>
      <c r="S3289">
        <v>3105</v>
      </c>
      <c r="T3289">
        <v>384274</v>
      </c>
    </row>
    <row r="3290" spans="1:20" hidden="1" x14ac:dyDescent="0.4">
      <c r="A3290" s="1" t="s">
        <v>1275</v>
      </c>
      <c r="B3290" s="1" t="s">
        <v>1456</v>
      </c>
      <c r="C3290" s="1" t="s">
        <v>1844</v>
      </c>
      <c r="D3290" s="1" t="s">
        <v>1462</v>
      </c>
      <c r="E3290">
        <v>20251218</v>
      </c>
      <c r="F3290" s="1" t="s">
        <v>1473</v>
      </c>
      <c r="G3290">
        <v>4</v>
      </c>
      <c r="H3290" s="1" t="s">
        <v>1493</v>
      </c>
      <c r="I3290" t="s">
        <v>1873</v>
      </c>
      <c r="J3290" s="1" t="s">
        <v>1453</v>
      </c>
      <c r="K3290" s="1" t="s">
        <v>1585</v>
      </c>
      <c r="L3290" s="1" t="s">
        <v>1718</v>
      </c>
      <c r="M3290" s="1" t="s">
        <v>1754</v>
      </c>
      <c r="N3290" t="s">
        <v>1960</v>
      </c>
      <c r="O3290" t="s">
        <v>2164</v>
      </c>
      <c r="P3290" t="s">
        <v>3067</v>
      </c>
      <c r="Q3290">
        <v>115.75</v>
      </c>
      <c r="R3290" s="1" t="s">
        <v>1839</v>
      </c>
      <c r="S3290">
        <v>3105</v>
      </c>
      <c r="T3290">
        <v>359403</v>
      </c>
    </row>
    <row r="3291" spans="1:20" hidden="1" x14ac:dyDescent="0.4">
      <c r="A3291" s="1" t="s">
        <v>1276</v>
      </c>
      <c r="B3291" s="1" t="s">
        <v>1453</v>
      </c>
      <c r="C3291" s="1" t="s">
        <v>1844</v>
      </c>
      <c r="D3291" s="1" t="s">
        <v>1462</v>
      </c>
      <c r="E3291">
        <v>20251218</v>
      </c>
      <c r="F3291" s="1" t="s">
        <v>1473</v>
      </c>
      <c r="G3291">
        <v>4</v>
      </c>
      <c r="H3291" s="1" t="s">
        <v>1493</v>
      </c>
      <c r="I3291" t="s">
        <v>1873</v>
      </c>
      <c r="J3291" s="1" t="s">
        <v>1453</v>
      </c>
      <c r="K3291" s="1" t="s">
        <v>1598</v>
      </c>
      <c r="L3291" s="1" t="s">
        <v>1718</v>
      </c>
      <c r="M3291" s="1" t="s">
        <v>1765</v>
      </c>
      <c r="N3291" t="s">
        <v>1973</v>
      </c>
      <c r="O3291" t="s">
        <v>2164</v>
      </c>
      <c r="P3291" t="s">
        <v>3084</v>
      </c>
      <c r="Q3291">
        <v>46.59</v>
      </c>
      <c r="R3291" s="1" t="s">
        <v>1839</v>
      </c>
      <c r="S3291">
        <v>3340</v>
      </c>
      <c r="T3291">
        <v>155610</v>
      </c>
    </row>
    <row r="3292" spans="1:20" hidden="1" x14ac:dyDescent="0.4">
      <c r="A3292" s="1" t="s">
        <v>1276</v>
      </c>
      <c r="B3292" s="1" t="s">
        <v>1454</v>
      </c>
      <c r="C3292" s="1" t="s">
        <v>1844</v>
      </c>
      <c r="D3292" s="1" t="s">
        <v>1462</v>
      </c>
      <c r="E3292">
        <v>20251218</v>
      </c>
      <c r="F3292" s="1" t="s">
        <v>1473</v>
      </c>
      <c r="G3292">
        <v>4</v>
      </c>
      <c r="H3292" s="1" t="s">
        <v>1493</v>
      </c>
      <c r="I3292" t="s">
        <v>1873</v>
      </c>
      <c r="J3292" s="1" t="s">
        <v>1453</v>
      </c>
      <c r="K3292" s="1" t="s">
        <v>1598</v>
      </c>
      <c r="L3292" s="1" t="s">
        <v>1718</v>
      </c>
      <c r="M3292" s="1" t="s">
        <v>1765</v>
      </c>
      <c r="N3292" t="s">
        <v>1973</v>
      </c>
      <c r="O3292" t="s">
        <v>2164</v>
      </c>
      <c r="P3292" t="s">
        <v>3084</v>
      </c>
      <c r="Q3292">
        <v>91</v>
      </c>
      <c r="R3292" s="1" t="s">
        <v>1839</v>
      </c>
      <c r="S3292">
        <v>3340</v>
      </c>
      <c r="T3292">
        <v>303940</v>
      </c>
    </row>
    <row r="3293" spans="1:20" hidden="1" x14ac:dyDescent="0.4">
      <c r="A3293" s="1" t="s">
        <v>1276</v>
      </c>
      <c r="B3293" s="1" t="s">
        <v>1455</v>
      </c>
      <c r="C3293" s="1" t="s">
        <v>1844</v>
      </c>
      <c r="D3293" s="1" t="s">
        <v>1462</v>
      </c>
      <c r="E3293">
        <v>20251218</v>
      </c>
      <c r="F3293" s="1" t="s">
        <v>1473</v>
      </c>
      <c r="G3293">
        <v>4</v>
      </c>
      <c r="H3293" s="1" t="s">
        <v>1493</v>
      </c>
      <c r="I3293" t="s">
        <v>1873</v>
      </c>
      <c r="J3293" s="1" t="s">
        <v>1453</v>
      </c>
      <c r="K3293" s="1" t="s">
        <v>1598</v>
      </c>
      <c r="L3293" s="1" t="s">
        <v>1718</v>
      </c>
      <c r="M3293" s="1" t="s">
        <v>1765</v>
      </c>
      <c r="N3293" t="s">
        <v>1973</v>
      </c>
      <c r="O3293" t="s">
        <v>2164</v>
      </c>
      <c r="P3293" t="s">
        <v>3084</v>
      </c>
      <c r="Q3293">
        <v>74.62</v>
      </c>
      <c r="R3293" s="1" t="s">
        <v>1839</v>
      </c>
      <c r="S3293">
        <v>3340</v>
      </c>
      <c r="T3293">
        <v>249230</v>
      </c>
    </row>
    <row r="3294" spans="1:20" hidden="1" x14ac:dyDescent="0.4">
      <c r="A3294" s="1" t="s">
        <v>1276</v>
      </c>
      <c r="B3294" s="1" t="s">
        <v>1456</v>
      </c>
      <c r="C3294" s="1" t="s">
        <v>1844</v>
      </c>
      <c r="D3294" s="1" t="s">
        <v>1462</v>
      </c>
      <c r="E3294">
        <v>20251218</v>
      </c>
      <c r="F3294" s="1" t="s">
        <v>1473</v>
      </c>
      <c r="G3294">
        <v>4</v>
      </c>
      <c r="H3294" s="1" t="s">
        <v>1493</v>
      </c>
      <c r="I3294" t="s">
        <v>1873</v>
      </c>
      <c r="J3294" s="1" t="s">
        <v>1453</v>
      </c>
      <c r="K3294" s="1" t="s">
        <v>1598</v>
      </c>
      <c r="L3294" s="1" t="s">
        <v>1718</v>
      </c>
      <c r="M3294" s="1" t="s">
        <v>1765</v>
      </c>
      <c r="N3294" t="s">
        <v>1973</v>
      </c>
      <c r="O3294" t="s">
        <v>2164</v>
      </c>
      <c r="P3294" t="s">
        <v>3084</v>
      </c>
      <c r="Q3294">
        <v>76.44</v>
      </c>
      <c r="R3294" s="1" t="s">
        <v>1839</v>
      </c>
      <c r="S3294">
        <v>3340</v>
      </c>
      <c r="T3294">
        <v>255309</v>
      </c>
    </row>
    <row r="3295" spans="1:20" hidden="1" x14ac:dyDescent="0.4">
      <c r="A3295" s="1" t="s">
        <v>1276</v>
      </c>
      <c r="B3295" s="1" t="s">
        <v>1457</v>
      </c>
      <c r="C3295" s="1" t="s">
        <v>1844</v>
      </c>
      <c r="D3295" s="1" t="s">
        <v>1462</v>
      </c>
      <c r="E3295">
        <v>20251218</v>
      </c>
      <c r="F3295" s="1" t="s">
        <v>1473</v>
      </c>
      <c r="G3295">
        <v>4</v>
      </c>
      <c r="H3295" s="1" t="s">
        <v>1493</v>
      </c>
      <c r="I3295" t="s">
        <v>1873</v>
      </c>
      <c r="J3295" s="1" t="s">
        <v>1453</v>
      </c>
      <c r="K3295" s="1" t="s">
        <v>1598</v>
      </c>
      <c r="L3295" s="1" t="s">
        <v>1718</v>
      </c>
      <c r="M3295" s="1" t="s">
        <v>1765</v>
      </c>
      <c r="N3295" t="s">
        <v>1973</v>
      </c>
      <c r="O3295" t="s">
        <v>2164</v>
      </c>
      <c r="P3295" t="s">
        <v>3084</v>
      </c>
      <c r="Q3295">
        <v>89.18</v>
      </c>
      <c r="R3295" s="1" t="s">
        <v>1839</v>
      </c>
      <c r="S3295">
        <v>3340</v>
      </c>
      <c r="T3295">
        <v>297861</v>
      </c>
    </row>
    <row r="3296" spans="1:20" hidden="1" x14ac:dyDescent="0.4">
      <c r="A3296" s="1" t="s">
        <v>1276</v>
      </c>
      <c r="B3296" s="1" t="s">
        <v>1458</v>
      </c>
      <c r="C3296" s="1" t="s">
        <v>1844</v>
      </c>
      <c r="D3296" s="1" t="s">
        <v>1462</v>
      </c>
      <c r="E3296">
        <v>20251218</v>
      </c>
      <c r="F3296" s="1" t="s">
        <v>1473</v>
      </c>
      <c r="G3296">
        <v>4</v>
      </c>
      <c r="H3296" s="1" t="s">
        <v>1493</v>
      </c>
      <c r="I3296" t="s">
        <v>1873</v>
      </c>
      <c r="J3296" s="1" t="s">
        <v>1453</v>
      </c>
      <c r="K3296" s="1" t="s">
        <v>1598</v>
      </c>
      <c r="L3296" s="1" t="s">
        <v>1718</v>
      </c>
      <c r="M3296" s="1" t="s">
        <v>1765</v>
      </c>
      <c r="N3296" t="s">
        <v>1973</v>
      </c>
      <c r="O3296" t="s">
        <v>2164</v>
      </c>
      <c r="P3296" t="s">
        <v>3084</v>
      </c>
      <c r="Q3296">
        <v>61.88</v>
      </c>
      <c r="R3296" s="1" t="s">
        <v>1839</v>
      </c>
      <c r="S3296">
        <v>3340</v>
      </c>
      <c r="T3296">
        <v>206679</v>
      </c>
    </row>
    <row r="3297" spans="1:20" hidden="1" x14ac:dyDescent="0.4">
      <c r="A3297" s="1" t="s">
        <v>1276</v>
      </c>
      <c r="B3297" s="1" t="s">
        <v>1459</v>
      </c>
      <c r="C3297" s="1" t="s">
        <v>1844</v>
      </c>
      <c r="D3297" s="1" t="s">
        <v>1462</v>
      </c>
      <c r="E3297">
        <v>20251218</v>
      </c>
      <c r="F3297" s="1" t="s">
        <v>1473</v>
      </c>
      <c r="G3297">
        <v>4</v>
      </c>
      <c r="H3297" s="1" t="s">
        <v>1493</v>
      </c>
      <c r="I3297" t="s">
        <v>1873</v>
      </c>
      <c r="J3297" s="1" t="s">
        <v>1453</v>
      </c>
      <c r="K3297" s="1" t="s">
        <v>1598</v>
      </c>
      <c r="L3297" s="1" t="s">
        <v>1718</v>
      </c>
      <c r="M3297" s="1" t="s">
        <v>1765</v>
      </c>
      <c r="N3297" t="s">
        <v>1973</v>
      </c>
      <c r="O3297" t="s">
        <v>2164</v>
      </c>
      <c r="P3297" t="s">
        <v>3084</v>
      </c>
      <c r="Q3297">
        <v>22.2</v>
      </c>
      <c r="R3297" s="1" t="s">
        <v>1839</v>
      </c>
      <c r="S3297">
        <v>3340</v>
      </c>
      <c r="T3297">
        <v>74148</v>
      </c>
    </row>
    <row r="3298" spans="1:20" hidden="1" x14ac:dyDescent="0.4">
      <c r="A3298" s="1" t="s">
        <v>1276</v>
      </c>
      <c r="B3298" s="1" t="s">
        <v>1460</v>
      </c>
      <c r="C3298" s="1" t="s">
        <v>1844</v>
      </c>
      <c r="D3298" s="1" t="s">
        <v>1462</v>
      </c>
      <c r="E3298">
        <v>20251218</v>
      </c>
      <c r="F3298" s="1" t="s">
        <v>1473</v>
      </c>
      <c r="G3298">
        <v>4</v>
      </c>
      <c r="H3298" s="1" t="s">
        <v>1493</v>
      </c>
      <c r="I3298" t="s">
        <v>1873</v>
      </c>
      <c r="J3298" s="1" t="s">
        <v>1453</v>
      </c>
      <c r="K3298" s="1" t="s">
        <v>1598</v>
      </c>
      <c r="L3298" s="1" t="s">
        <v>1718</v>
      </c>
      <c r="M3298" s="1" t="s">
        <v>1765</v>
      </c>
      <c r="N3298" t="s">
        <v>1973</v>
      </c>
      <c r="O3298" t="s">
        <v>2164</v>
      </c>
      <c r="P3298" t="s">
        <v>3084</v>
      </c>
      <c r="Q3298">
        <v>105.56</v>
      </c>
      <c r="R3298" s="1" t="s">
        <v>1839</v>
      </c>
      <c r="S3298">
        <v>3340</v>
      </c>
      <c r="T3298">
        <v>352570</v>
      </c>
    </row>
    <row r="3299" spans="1:20" hidden="1" x14ac:dyDescent="0.4">
      <c r="A3299" s="1" t="s">
        <v>1276</v>
      </c>
      <c r="B3299" s="1" t="s">
        <v>1461</v>
      </c>
      <c r="C3299" s="1" t="s">
        <v>1844</v>
      </c>
      <c r="D3299" s="1" t="s">
        <v>1462</v>
      </c>
      <c r="E3299">
        <v>20251218</v>
      </c>
      <c r="F3299" s="1" t="s">
        <v>1473</v>
      </c>
      <c r="G3299">
        <v>4</v>
      </c>
      <c r="H3299" s="1" t="s">
        <v>1493</v>
      </c>
      <c r="I3299" t="s">
        <v>1873</v>
      </c>
      <c r="J3299" s="1" t="s">
        <v>1453</v>
      </c>
      <c r="K3299" s="1" t="s">
        <v>1598</v>
      </c>
      <c r="L3299" s="1" t="s">
        <v>1718</v>
      </c>
      <c r="M3299" s="1" t="s">
        <v>1765</v>
      </c>
      <c r="N3299" t="s">
        <v>1973</v>
      </c>
      <c r="O3299" t="s">
        <v>2164</v>
      </c>
      <c r="P3299" t="s">
        <v>3084</v>
      </c>
      <c r="Q3299">
        <v>37.119999999999997</v>
      </c>
      <c r="R3299" s="1" t="s">
        <v>1839</v>
      </c>
      <c r="S3299">
        <v>3340</v>
      </c>
      <c r="T3299">
        <v>123980</v>
      </c>
    </row>
    <row r="3300" spans="1:20" hidden="1" x14ac:dyDescent="0.4">
      <c r="A3300" s="1" t="s">
        <v>1277</v>
      </c>
      <c r="B3300" s="1" t="s">
        <v>1453</v>
      </c>
      <c r="C3300" s="1" t="s">
        <v>1844</v>
      </c>
      <c r="D3300" s="1" t="s">
        <v>1462</v>
      </c>
      <c r="E3300">
        <v>20251218</v>
      </c>
      <c r="F3300" s="1" t="s">
        <v>1473</v>
      </c>
      <c r="G3300">
        <v>4</v>
      </c>
      <c r="H3300" s="1" t="s">
        <v>1493</v>
      </c>
      <c r="I3300" t="s">
        <v>1873</v>
      </c>
      <c r="J3300" s="1" t="s">
        <v>1453</v>
      </c>
      <c r="K3300" s="1" t="s">
        <v>1601</v>
      </c>
      <c r="L3300" s="1" t="s">
        <v>1718</v>
      </c>
      <c r="M3300" s="1" t="s">
        <v>1767</v>
      </c>
      <c r="N3300" t="s">
        <v>1976</v>
      </c>
      <c r="O3300" t="s">
        <v>2164</v>
      </c>
      <c r="P3300" t="s">
        <v>3085</v>
      </c>
      <c r="Q3300">
        <v>131.04</v>
      </c>
      <c r="R3300" s="1" t="s">
        <v>1839</v>
      </c>
      <c r="S3300">
        <v>954</v>
      </c>
      <c r="T3300">
        <v>125012</v>
      </c>
    </row>
    <row r="3301" spans="1:20" hidden="1" x14ac:dyDescent="0.4">
      <c r="A3301" s="1" t="s">
        <v>1277</v>
      </c>
      <c r="B3301" s="1" t="s">
        <v>1454</v>
      </c>
      <c r="C3301" s="1" t="s">
        <v>1844</v>
      </c>
      <c r="D3301" s="1" t="s">
        <v>1462</v>
      </c>
      <c r="E3301">
        <v>20251218</v>
      </c>
      <c r="F3301" s="1" t="s">
        <v>1473</v>
      </c>
      <c r="G3301">
        <v>4</v>
      </c>
      <c r="H3301" s="1" t="s">
        <v>1493</v>
      </c>
      <c r="I3301" t="s">
        <v>1873</v>
      </c>
      <c r="J3301" s="1" t="s">
        <v>1453</v>
      </c>
      <c r="K3301" s="1" t="s">
        <v>1601</v>
      </c>
      <c r="L3301" s="1" t="s">
        <v>1718</v>
      </c>
      <c r="M3301" s="1" t="s">
        <v>1767</v>
      </c>
      <c r="N3301" t="s">
        <v>1976</v>
      </c>
      <c r="O3301" t="s">
        <v>2164</v>
      </c>
      <c r="P3301" t="s">
        <v>3085</v>
      </c>
      <c r="Q3301">
        <v>36.4</v>
      </c>
      <c r="R3301" s="1" t="s">
        <v>1839</v>
      </c>
      <c r="S3301">
        <v>954</v>
      </c>
      <c r="T3301">
        <v>34725</v>
      </c>
    </row>
    <row r="3302" spans="1:20" hidden="1" x14ac:dyDescent="0.4">
      <c r="A3302" s="1" t="s">
        <v>1277</v>
      </c>
      <c r="B3302" s="1" t="s">
        <v>1455</v>
      </c>
      <c r="C3302" s="1" t="s">
        <v>1844</v>
      </c>
      <c r="D3302" s="1" t="s">
        <v>1462</v>
      </c>
      <c r="E3302">
        <v>20251218</v>
      </c>
      <c r="F3302" s="1" t="s">
        <v>1473</v>
      </c>
      <c r="G3302">
        <v>4</v>
      </c>
      <c r="H3302" s="1" t="s">
        <v>1493</v>
      </c>
      <c r="I3302" t="s">
        <v>1873</v>
      </c>
      <c r="J3302" s="1" t="s">
        <v>1453</v>
      </c>
      <c r="K3302" s="1" t="s">
        <v>1601</v>
      </c>
      <c r="L3302" s="1" t="s">
        <v>1718</v>
      </c>
      <c r="M3302" s="1" t="s">
        <v>1767</v>
      </c>
      <c r="N3302" t="s">
        <v>1976</v>
      </c>
      <c r="O3302" t="s">
        <v>2164</v>
      </c>
      <c r="P3302" t="s">
        <v>3085</v>
      </c>
      <c r="Q3302">
        <v>131.04</v>
      </c>
      <c r="R3302" s="1" t="s">
        <v>1839</v>
      </c>
      <c r="S3302">
        <v>954</v>
      </c>
      <c r="T3302">
        <v>125012</v>
      </c>
    </row>
    <row r="3303" spans="1:20" hidden="1" x14ac:dyDescent="0.4">
      <c r="A3303" s="1" t="s">
        <v>1277</v>
      </c>
      <c r="B3303" s="1" t="s">
        <v>1456</v>
      </c>
      <c r="C3303" s="1" t="s">
        <v>1844</v>
      </c>
      <c r="D3303" s="1" t="s">
        <v>1462</v>
      </c>
      <c r="E3303">
        <v>20251218</v>
      </c>
      <c r="F3303" s="1" t="s">
        <v>1473</v>
      </c>
      <c r="G3303">
        <v>4</v>
      </c>
      <c r="H3303" s="1" t="s">
        <v>1493</v>
      </c>
      <c r="I3303" t="s">
        <v>1873</v>
      </c>
      <c r="J3303" s="1" t="s">
        <v>1453</v>
      </c>
      <c r="K3303" s="1" t="s">
        <v>1601</v>
      </c>
      <c r="L3303" s="1" t="s">
        <v>1718</v>
      </c>
      <c r="M3303" s="1" t="s">
        <v>1767</v>
      </c>
      <c r="N3303" t="s">
        <v>1976</v>
      </c>
      <c r="O3303" t="s">
        <v>2164</v>
      </c>
      <c r="P3303" t="s">
        <v>3085</v>
      </c>
      <c r="Q3303">
        <v>115.75</v>
      </c>
      <c r="R3303" s="1" t="s">
        <v>1839</v>
      </c>
      <c r="S3303">
        <v>954</v>
      </c>
      <c r="T3303">
        <v>110425</v>
      </c>
    </row>
    <row r="3304" spans="1:20" hidden="1" x14ac:dyDescent="0.4">
      <c r="A3304" s="1" t="s">
        <v>1277</v>
      </c>
      <c r="B3304" s="1" t="s">
        <v>1457</v>
      </c>
      <c r="C3304" s="1" t="s">
        <v>1844</v>
      </c>
      <c r="D3304" s="1" t="s">
        <v>1462</v>
      </c>
      <c r="E3304">
        <v>20251218</v>
      </c>
      <c r="F3304" s="1" t="s">
        <v>1473</v>
      </c>
      <c r="G3304">
        <v>4</v>
      </c>
      <c r="H3304" s="1" t="s">
        <v>1493</v>
      </c>
      <c r="I3304" t="s">
        <v>1873</v>
      </c>
      <c r="J3304" s="1" t="s">
        <v>1453</v>
      </c>
      <c r="K3304" s="1" t="s">
        <v>1601</v>
      </c>
      <c r="L3304" s="1" t="s">
        <v>1718</v>
      </c>
      <c r="M3304" s="1" t="s">
        <v>1767</v>
      </c>
      <c r="N3304" t="s">
        <v>1976</v>
      </c>
      <c r="O3304" t="s">
        <v>2164</v>
      </c>
      <c r="P3304" t="s">
        <v>3085</v>
      </c>
      <c r="Q3304">
        <v>141.96</v>
      </c>
      <c r="R3304" s="1" t="s">
        <v>1839</v>
      </c>
      <c r="S3304">
        <v>954</v>
      </c>
      <c r="T3304">
        <v>135429</v>
      </c>
    </row>
    <row r="3305" spans="1:20" hidden="1" x14ac:dyDescent="0.4">
      <c r="A3305" s="1" t="s">
        <v>1277</v>
      </c>
      <c r="B3305" s="1" t="s">
        <v>1458</v>
      </c>
      <c r="C3305" s="1" t="s">
        <v>1844</v>
      </c>
      <c r="D3305" s="1" t="s">
        <v>1462</v>
      </c>
      <c r="E3305">
        <v>20251218</v>
      </c>
      <c r="F3305" s="1" t="s">
        <v>1473</v>
      </c>
      <c r="G3305">
        <v>4</v>
      </c>
      <c r="H3305" s="1" t="s">
        <v>1493</v>
      </c>
      <c r="I3305" t="s">
        <v>1873</v>
      </c>
      <c r="J3305" s="1" t="s">
        <v>1453</v>
      </c>
      <c r="K3305" s="1" t="s">
        <v>1601</v>
      </c>
      <c r="L3305" s="1" t="s">
        <v>1718</v>
      </c>
      <c r="M3305" s="1" t="s">
        <v>1767</v>
      </c>
      <c r="N3305" t="s">
        <v>1976</v>
      </c>
      <c r="O3305" t="s">
        <v>2164</v>
      </c>
      <c r="P3305" t="s">
        <v>3085</v>
      </c>
      <c r="Q3305">
        <v>121.94</v>
      </c>
      <c r="R3305" s="1" t="s">
        <v>1839</v>
      </c>
      <c r="S3305">
        <v>954</v>
      </c>
      <c r="T3305">
        <v>116330</v>
      </c>
    </row>
    <row r="3306" spans="1:20" hidden="1" x14ac:dyDescent="0.4">
      <c r="A3306" s="1" t="s">
        <v>1277</v>
      </c>
      <c r="B3306" s="1" t="s">
        <v>1459</v>
      </c>
      <c r="C3306" s="1" t="s">
        <v>1844</v>
      </c>
      <c r="D3306" s="1" t="s">
        <v>1462</v>
      </c>
      <c r="E3306">
        <v>20251218</v>
      </c>
      <c r="F3306" s="1" t="s">
        <v>1473</v>
      </c>
      <c r="G3306">
        <v>4</v>
      </c>
      <c r="H3306" s="1" t="s">
        <v>1493</v>
      </c>
      <c r="I3306" t="s">
        <v>1873</v>
      </c>
      <c r="J3306" s="1" t="s">
        <v>1453</v>
      </c>
      <c r="K3306" s="1" t="s">
        <v>1601</v>
      </c>
      <c r="L3306" s="1" t="s">
        <v>1718</v>
      </c>
      <c r="M3306" s="1" t="s">
        <v>1767</v>
      </c>
      <c r="N3306" t="s">
        <v>1976</v>
      </c>
      <c r="O3306" t="s">
        <v>2164</v>
      </c>
      <c r="P3306" t="s">
        <v>3085</v>
      </c>
      <c r="Q3306">
        <v>134.68</v>
      </c>
      <c r="R3306" s="1" t="s">
        <v>1839</v>
      </c>
      <c r="S3306">
        <v>954</v>
      </c>
      <c r="T3306">
        <v>128484</v>
      </c>
    </row>
    <row r="3307" spans="1:20" hidden="1" x14ac:dyDescent="0.4">
      <c r="A3307" s="1" t="s">
        <v>1277</v>
      </c>
      <c r="B3307" s="1" t="s">
        <v>1460</v>
      </c>
      <c r="C3307" s="1" t="s">
        <v>1844</v>
      </c>
      <c r="D3307" s="1" t="s">
        <v>1462</v>
      </c>
      <c r="E3307">
        <v>20251218</v>
      </c>
      <c r="F3307" s="1" t="s">
        <v>1473</v>
      </c>
      <c r="G3307">
        <v>4</v>
      </c>
      <c r="H3307" s="1" t="s">
        <v>1493</v>
      </c>
      <c r="I3307" t="s">
        <v>1873</v>
      </c>
      <c r="J3307" s="1" t="s">
        <v>1453</v>
      </c>
      <c r="K3307" s="1" t="s">
        <v>1601</v>
      </c>
      <c r="L3307" s="1" t="s">
        <v>1718</v>
      </c>
      <c r="M3307" s="1" t="s">
        <v>1767</v>
      </c>
      <c r="N3307" t="s">
        <v>1976</v>
      </c>
      <c r="O3307" t="s">
        <v>2164</v>
      </c>
      <c r="P3307" t="s">
        <v>3085</v>
      </c>
      <c r="Q3307">
        <v>134.68</v>
      </c>
      <c r="R3307" s="1" t="s">
        <v>1839</v>
      </c>
      <c r="S3307">
        <v>954</v>
      </c>
      <c r="T3307">
        <v>128484</v>
      </c>
    </row>
    <row r="3308" spans="1:20" hidden="1" x14ac:dyDescent="0.4">
      <c r="A3308" s="1" t="s">
        <v>1277</v>
      </c>
      <c r="B3308" s="1" t="s">
        <v>1461</v>
      </c>
      <c r="C3308" s="1" t="s">
        <v>1844</v>
      </c>
      <c r="D3308" s="1" t="s">
        <v>1462</v>
      </c>
      <c r="E3308">
        <v>20251218</v>
      </c>
      <c r="F3308" s="1" t="s">
        <v>1473</v>
      </c>
      <c r="G3308">
        <v>4</v>
      </c>
      <c r="H3308" s="1" t="s">
        <v>1493</v>
      </c>
      <c r="I3308" t="s">
        <v>1873</v>
      </c>
      <c r="J3308" s="1" t="s">
        <v>1453</v>
      </c>
      <c r="K3308" s="1" t="s">
        <v>1601</v>
      </c>
      <c r="L3308" s="1" t="s">
        <v>1718</v>
      </c>
      <c r="M3308" s="1" t="s">
        <v>1767</v>
      </c>
      <c r="N3308" t="s">
        <v>1976</v>
      </c>
      <c r="O3308" t="s">
        <v>2164</v>
      </c>
      <c r="P3308" t="s">
        <v>3085</v>
      </c>
      <c r="Q3308">
        <v>147.05000000000001</v>
      </c>
      <c r="R3308" s="1" t="s">
        <v>1839</v>
      </c>
      <c r="S3308">
        <v>954</v>
      </c>
      <c r="T3308">
        <v>140285</v>
      </c>
    </row>
    <row r="3309" spans="1:20" hidden="1" x14ac:dyDescent="0.4">
      <c r="A3309" s="1" t="s">
        <v>1277</v>
      </c>
      <c r="B3309" s="1" t="s">
        <v>1462</v>
      </c>
      <c r="C3309" s="1" t="s">
        <v>1844</v>
      </c>
      <c r="D3309" s="1" t="s">
        <v>1462</v>
      </c>
      <c r="E3309">
        <v>20251218</v>
      </c>
      <c r="F3309" s="1" t="s">
        <v>1473</v>
      </c>
      <c r="G3309">
        <v>4</v>
      </c>
      <c r="H3309" s="1" t="s">
        <v>1493</v>
      </c>
      <c r="I3309" t="s">
        <v>1873</v>
      </c>
      <c r="J3309" s="1" t="s">
        <v>1453</v>
      </c>
      <c r="K3309" s="1" t="s">
        <v>1601</v>
      </c>
      <c r="L3309" s="1" t="s">
        <v>1718</v>
      </c>
      <c r="M3309" s="1" t="s">
        <v>1767</v>
      </c>
      <c r="N3309" t="s">
        <v>1976</v>
      </c>
      <c r="O3309" t="s">
        <v>2164</v>
      </c>
      <c r="P3309" t="s">
        <v>3085</v>
      </c>
      <c r="Q3309">
        <v>134.68</v>
      </c>
      <c r="R3309" s="1" t="s">
        <v>1839</v>
      </c>
      <c r="S3309">
        <v>954</v>
      </c>
      <c r="T3309">
        <v>128484</v>
      </c>
    </row>
    <row r="3310" spans="1:20" hidden="1" x14ac:dyDescent="0.4">
      <c r="A3310" s="1" t="s">
        <v>1277</v>
      </c>
      <c r="B3310" s="1" t="s">
        <v>1463</v>
      </c>
      <c r="C3310" s="1" t="s">
        <v>1844</v>
      </c>
      <c r="D3310" s="1" t="s">
        <v>1462</v>
      </c>
      <c r="E3310">
        <v>20251218</v>
      </c>
      <c r="F3310" s="1" t="s">
        <v>1473</v>
      </c>
      <c r="G3310">
        <v>4</v>
      </c>
      <c r="H3310" s="1" t="s">
        <v>1493</v>
      </c>
      <c r="I3310" t="s">
        <v>1873</v>
      </c>
      <c r="J3310" s="1" t="s">
        <v>1453</v>
      </c>
      <c r="K3310" s="1" t="s">
        <v>1601</v>
      </c>
      <c r="L3310" s="1" t="s">
        <v>1718</v>
      </c>
      <c r="M3310" s="1" t="s">
        <v>1767</v>
      </c>
      <c r="N3310" t="s">
        <v>1976</v>
      </c>
      <c r="O3310" t="s">
        <v>2164</v>
      </c>
      <c r="P3310" t="s">
        <v>3085</v>
      </c>
      <c r="Q3310">
        <v>153.97</v>
      </c>
      <c r="R3310" s="1" t="s">
        <v>1839</v>
      </c>
      <c r="S3310">
        <v>954</v>
      </c>
      <c r="T3310">
        <v>146887</v>
      </c>
    </row>
    <row r="3311" spans="1:20" hidden="1" x14ac:dyDescent="0.4">
      <c r="A3311" s="1" t="s">
        <v>1278</v>
      </c>
      <c r="B3311" s="1" t="s">
        <v>1453</v>
      </c>
      <c r="C3311" s="1" t="s">
        <v>1844</v>
      </c>
      <c r="D3311" s="1" t="s">
        <v>1462</v>
      </c>
      <c r="E3311">
        <v>20251218</v>
      </c>
      <c r="F3311" s="1" t="s">
        <v>1473</v>
      </c>
      <c r="G3311">
        <v>4</v>
      </c>
      <c r="H3311" s="1" t="s">
        <v>1493</v>
      </c>
      <c r="I3311" t="s">
        <v>1873</v>
      </c>
      <c r="J3311" s="1" t="s">
        <v>1453</v>
      </c>
      <c r="K3311" s="1" t="s">
        <v>1601</v>
      </c>
      <c r="L3311" s="1" t="s">
        <v>1718</v>
      </c>
      <c r="M3311" s="1" t="s">
        <v>1767</v>
      </c>
      <c r="N3311" t="s">
        <v>1976</v>
      </c>
      <c r="O3311" t="s">
        <v>2164</v>
      </c>
      <c r="P3311" t="s">
        <v>3085</v>
      </c>
      <c r="Q3311">
        <v>76.44</v>
      </c>
      <c r="R3311" s="1" t="s">
        <v>1839</v>
      </c>
      <c r="S3311">
        <v>954</v>
      </c>
      <c r="T3311">
        <v>72923</v>
      </c>
    </row>
    <row r="3312" spans="1:20" hidden="1" x14ac:dyDescent="0.4">
      <c r="A3312" s="1" t="s">
        <v>1278</v>
      </c>
      <c r="B3312" s="1" t="s">
        <v>1454</v>
      </c>
      <c r="C3312" s="1" t="s">
        <v>1844</v>
      </c>
      <c r="D3312" s="1" t="s">
        <v>1462</v>
      </c>
      <c r="E3312">
        <v>20251218</v>
      </c>
      <c r="F3312" s="1" t="s">
        <v>1473</v>
      </c>
      <c r="G3312">
        <v>4</v>
      </c>
      <c r="H3312" s="1" t="s">
        <v>1493</v>
      </c>
      <c r="I3312" t="s">
        <v>1873</v>
      </c>
      <c r="J3312" s="1" t="s">
        <v>1453</v>
      </c>
      <c r="K3312" s="1" t="s">
        <v>1601</v>
      </c>
      <c r="L3312" s="1" t="s">
        <v>1718</v>
      </c>
      <c r="M3312" s="1" t="s">
        <v>1767</v>
      </c>
      <c r="N3312" t="s">
        <v>1976</v>
      </c>
      <c r="O3312" t="s">
        <v>2164</v>
      </c>
      <c r="P3312" t="s">
        <v>3085</v>
      </c>
      <c r="Q3312">
        <v>127.4</v>
      </c>
      <c r="R3312" s="1" t="s">
        <v>1839</v>
      </c>
      <c r="S3312">
        <v>954</v>
      </c>
      <c r="T3312">
        <v>121539</v>
      </c>
    </row>
    <row r="3313" spans="1:20" hidden="1" x14ac:dyDescent="0.4">
      <c r="A3313" s="1" t="s">
        <v>1278</v>
      </c>
      <c r="B3313" s="1" t="s">
        <v>1455</v>
      </c>
      <c r="C3313" s="1" t="s">
        <v>1844</v>
      </c>
      <c r="D3313" s="1" t="s">
        <v>1462</v>
      </c>
      <c r="E3313">
        <v>20251218</v>
      </c>
      <c r="F3313" s="1" t="s">
        <v>1473</v>
      </c>
      <c r="G3313">
        <v>4</v>
      </c>
      <c r="H3313" s="1" t="s">
        <v>1493</v>
      </c>
      <c r="I3313" t="s">
        <v>1873</v>
      </c>
      <c r="J3313" s="1" t="s">
        <v>1453</v>
      </c>
      <c r="K3313" s="1" t="s">
        <v>1601</v>
      </c>
      <c r="L3313" s="1" t="s">
        <v>1718</v>
      </c>
      <c r="M3313" s="1" t="s">
        <v>1767</v>
      </c>
      <c r="N3313" t="s">
        <v>1976</v>
      </c>
      <c r="O3313" t="s">
        <v>2164</v>
      </c>
      <c r="P3313" t="s">
        <v>3085</v>
      </c>
      <c r="Q3313">
        <v>127.4</v>
      </c>
      <c r="R3313" s="1" t="s">
        <v>1839</v>
      </c>
      <c r="S3313">
        <v>954</v>
      </c>
      <c r="T3313">
        <v>121539</v>
      </c>
    </row>
    <row r="3314" spans="1:20" hidden="1" x14ac:dyDescent="0.4">
      <c r="A3314" s="1" t="s">
        <v>1278</v>
      </c>
      <c r="B3314" s="1" t="s">
        <v>1456</v>
      </c>
      <c r="C3314" s="1" t="s">
        <v>1844</v>
      </c>
      <c r="D3314" s="1" t="s">
        <v>1462</v>
      </c>
      <c r="E3314">
        <v>20251218</v>
      </c>
      <c r="F3314" s="1" t="s">
        <v>1473</v>
      </c>
      <c r="G3314">
        <v>4</v>
      </c>
      <c r="H3314" s="1" t="s">
        <v>1493</v>
      </c>
      <c r="I3314" t="s">
        <v>1873</v>
      </c>
      <c r="J3314" s="1" t="s">
        <v>1453</v>
      </c>
      <c r="K3314" s="1" t="s">
        <v>1601</v>
      </c>
      <c r="L3314" s="1" t="s">
        <v>1718</v>
      </c>
      <c r="M3314" s="1" t="s">
        <v>1767</v>
      </c>
      <c r="N3314" t="s">
        <v>1976</v>
      </c>
      <c r="O3314" t="s">
        <v>2164</v>
      </c>
      <c r="P3314" t="s">
        <v>3085</v>
      </c>
      <c r="Q3314">
        <v>127.4</v>
      </c>
      <c r="R3314" s="1" t="s">
        <v>1839</v>
      </c>
      <c r="S3314">
        <v>954</v>
      </c>
      <c r="T3314">
        <v>121539</v>
      </c>
    </row>
    <row r="3315" spans="1:20" hidden="1" x14ac:dyDescent="0.4">
      <c r="A3315" s="1" t="s">
        <v>1278</v>
      </c>
      <c r="B3315" s="1" t="s">
        <v>1457</v>
      </c>
      <c r="C3315" s="1" t="s">
        <v>1844</v>
      </c>
      <c r="D3315" s="1" t="s">
        <v>1462</v>
      </c>
      <c r="E3315">
        <v>20251218</v>
      </c>
      <c r="F3315" s="1" t="s">
        <v>1473</v>
      </c>
      <c r="G3315">
        <v>4</v>
      </c>
      <c r="H3315" s="1" t="s">
        <v>1493</v>
      </c>
      <c r="I3315" t="s">
        <v>1873</v>
      </c>
      <c r="J3315" s="1" t="s">
        <v>1453</v>
      </c>
      <c r="K3315" s="1" t="s">
        <v>1601</v>
      </c>
      <c r="L3315" s="1" t="s">
        <v>1718</v>
      </c>
      <c r="M3315" s="1" t="s">
        <v>1767</v>
      </c>
      <c r="N3315" t="s">
        <v>1976</v>
      </c>
      <c r="O3315" t="s">
        <v>2164</v>
      </c>
      <c r="P3315" t="s">
        <v>3085</v>
      </c>
      <c r="Q3315">
        <v>126.67</v>
      </c>
      <c r="R3315" s="1" t="s">
        <v>1839</v>
      </c>
      <c r="S3315">
        <v>954</v>
      </c>
      <c r="T3315">
        <v>120843</v>
      </c>
    </row>
    <row r="3316" spans="1:20" hidden="1" x14ac:dyDescent="0.4">
      <c r="A3316" s="1" t="s">
        <v>1279</v>
      </c>
      <c r="B3316" s="1" t="s">
        <v>1453</v>
      </c>
      <c r="C3316" s="1" t="s">
        <v>1844</v>
      </c>
      <c r="D3316" s="1" t="s">
        <v>1731</v>
      </c>
      <c r="E3316">
        <v>20251217</v>
      </c>
      <c r="F3316" s="1" t="s">
        <v>1470</v>
      </c>
      <c r="G3316">
        <v>1</v>
      </c>
      <c r="H3316" s="1" t="s">
        <v>1490</v>
      </c>
      <c r="I3316" t="s">
        <v>1870</v>
      </c>
      <c r="J3316" s="1" t="s">
        <v>1459</v>
      </c>
      <c r="K3316" s="1" t="s">
        <v>1579</v>
      </c>
      <c r="L3316" s="1" t="s">
        <v>1715</v>
      </c>
      <c r="M3316" s="1" t="s">
        <v>1795</v>
      </c>
      <c r="N3316" t="s">
        <v>1952</v>
      </c>
      <c r="O3316" t="s">
        <v>2161</v>
      </c>
      <c r="P3316" t="s">
        <v>3051</v>
      </c>
      <c r="Q3316">
        <v>1890</v>
      </c>
      <c r="R3316" s="1" t="s">
        <v>1463</v>
      </c>
      <c r="S3316">
        <v>833</v>
      </c>
      <c r="T3316">
        <v>1574370</v>
      </c>
    </row>
    <row r="3317" spans="1:20" hidden="1" x14ac:dyDescent="0.4">
      <c r="A3317" s="1" t="s">
        <v>1279</v>
      </c>
      <c r="B3317" s="1" t="s">
        <v>1454</v>
      </c>
      <c r="C3317" s="1" t="s">
        <v>1844</v>
      </c>
      <c r="D3317" s="1" t="s">
        <v>1731</v>
      </c>
      <c r="E3317">
        <v>20251217</v>
      </c>
      <c r="F3317" s="1" t="s">
        <v>1470</v>
      </c>
      <c r="G3317">
        <v>1</v>
      </c>
      <c r="H3317" s="1" t="s">
        <v>1490</v>
      </c>
      <c r="I3317" t="s">
        <v>1870</v>
      </c>
      <c r="J3317" s="1" t="s">
        <v>1459</v>
      </c>
      <c r="K3317" s="1" t="s">
        <v>1579</v>
      </c>
      <c r="L3317" s="1" t="s">
        <v>1715</v>
      </c>
      <c r="M3317" s="1" t="s">
        <v>1796</v>
      </c>
      <c r="N3317" t="s">
        <v>1952</v>
      </c>
      <c r="O3317" t="s">
        <v>2161</v>
      </c>
      <c r="P3317" t="s">
        <v>3052</v>
      </c>
      <c r="Q3317">
        <v>372</v>
      </c>
      <c r="R3317" s="1" t="s">
        <v>1463</v>
      </c>
      <c r="S3317">
        <v>833</v>
      </c>
      <c r="T3317">
        <v>309876</v>
      </c>
    </row>
    <row r="3318" spans="1:20" hidden="1" x14ac:dyDescent="0.4">
      <c r="A3318" s="1" t="s">
        <v>1279</v>
      </c>
      <c r="B3318" s="1" t="s">
        <v>1455</v>
      </c>
      <c r="C3318" s="1" t="s">
        <v>1844</v>
      </c>
      <c r="D3318" s="1" t="s">
        <v>1731</v>
      </c>
      <c r="E3318">
        <v>20251217</v>
      </c>
      <c r="F3318" s="1" t="s">
        <v>1470</v>
      </c>
      <c r="G3318">
        <v>1</v>
      </c>
      <c r="H3318" s="1" t="s">
        <v>1490</v>
      </c>
      <c r="I3318" t="s">
        <v>1870</v>
      </c>
      <c r="J3318" s="1" t="s">
        <v>1459</v>
      </c>
      <c r="K3318" s="1" t="s">
        <v>1579</v>
      </c>
      <c r="L3318" s="1" t="s">
        <v>1715</v>
      </c>
      <c r="M3318" s="1" t="s">
        <v>1797</v>
      </c>
      <c r="N3318" t="s">
        <v>1952</v>
      </c>
      <c r="O3318" t="s">
        <v>2161</v>
      </c>
      <c r="P3318" t="s">
        <v>3053</v>
      </c>
      <c r="Q3318">
        <v>2094</v>
      </c>
      <c r="R3318" s="1" t="s">
        <v>1463</v>
      </c>
      <c r="S3318">
        <v>833</v>
      </c>
      <c r="T3318">
        <v>1744302</v>
      </c>
    </row>
    <row r="3319" spans="1:20" hidden="1" x14ac:dyDescent="0.4">
      <c r="A3319" s="1" t="s">
        <v>1280</v>
      </c>
      <c r="B3319" s="1" t="s">
        <v>1453</v>
      </c>
      <c r="C3319" s="1" t="s">
        <v>1844</v>
      </c>
      <c r="D3319" s="1" t="s">
        <v>1462</v>
      </c>
      <c r="E3319">
        <v>20251219</v>
      </c>
      <c r="F3319" s="1" t="s">
        <v>1471</v>
      </c>
      <c r="G3319">
        <v>4</v>
      </c>
      <c r="H3319" s="1" t="s">
        <v>1516</v>
      </c>
      <c r="I3319" t="s">
        <v>1896</v>
      </c>
      <c r="J3319" s="1" t="s">
        <v>1460</v>
      </c>
      <c r="K3319" s="1" t="s">
        <v>1641</v>
      </c>
      <c r="L3319" s="1" t="s">
        <v>1730</v>
      </c>
      <c r="M3319" s="1" t="s">
        <v>1735</v>
      </c>
      <c r="N3319" t="s">
        <v>2102</v>
      </c>
      <c r="O3319" t="s">
        <v>2175</v>
      </c>
      <c r="P3319" t="s">
        <v>3151</v>
      </c>
      <c r="Q3319">
        <v>50</v>
      </c>
      <c r="R3319" s="1" t="s">
        <v>1718</v>
      </c>
      <c r="S3319">
        <v>2282</v>
      </c>
      <c r="T3319">
        <v>114100</v>
      </c>
    </row>
    <row r="3320" spans="1:20" hidden="1" x14ac:dyDescent="0.4">
      <c r="A3320" s="1" t="s">
        <v>1280</v>
      </c>
      <c r="B3320" s="1" t="s">
        <v>1454</v>
      </c>
      <c r="C3320" s="1" t="s">
        <v>1844</v>
      </c>
      <c r="D3320" s="1" t="s">
        <v>1462</v>
      </c>
      <c r="E3320">
        <v>20251219</v>
      </c>
      <c r="F3320" s="1" t="s">
        <v>1471</v>
      </c>
      <c r="G3320">
        <v>4</v>
      </c>
      <c r="H3320" s="1" t="s">
        <v>1516</v>
      </c>
      <c r="I3320" t="s">
        <v>1896</v>
      </c>
      <c r="J3320" s="1" t="s">
        <v>1460</v>
      </c>
      <c r="K3320" s="1" t="s">
        <v>1642</v>
      </c>
      <c r="L3320" s="1" t="s">
        <v>1725</v>
      </c>
      <c r="M3320" s="1" t="s">
        <v>1737</v>
      </c>
      <c r="N3320" t="s">
        <v>2023</v>
      </c>
      <c r="O3320" t="s">
        <v>2157</v>
      </c>
      <c r="P3320" t="s">
        <v>2157</v>
      </c>
      <c r="Q3320">
        <v>3</v>
      </c>
      <c r="R3320" s="1" t="s">
        <v>1841</v>
      </c>
      <c r="S3320">
        <v>1000</v>
      </c>
      <c r="T3320">
        <v>3000</v>
      </c>
    </row>
    <row r="3321" spans="1:20" hidden="1" x14ac:dyDescent="0.4">
      <c r="A3321" s="1" t="s">
        <v>1281</v>
      </c>
      <c r="B3321" s="1" t="s">
        <v>1453</v>
      </c>
      <c r="C3321" s="1" t="s">
        <v>1844</v>
      </c>
      <c r="D3321" s="1" t="s">
        <v>1462</v>
      </c>
      <c r="E3321">
        <v>20251219</v>
      </c>
      <c r="F3321" s="1" t="s">
        <v>1471</v>
      </c>
      <c r="G3321">
        <v>4</v>
      </c>
      <c r="H3321" s="1" t="s">
        <v>1529</v>
      </c>
      <c r="I3321" t="s">
        <v>1909</v>
      </c>
      <c r="J3321" s="1" t="s">
        <v>1460</v>
      </c>
      <c r="K3321" s="1" t="s">
        <v>1674</v>
      </c>
      <c r="L3321" s="1" t="s">
        <v>1734</v>
      </c>
      <c r="M3321" s="1" t="s">
        <v>1737</v>
      </c>
      <c r="N3321" t="s">
        <v>2065</v>
      </c>
      <c r="O3321" t="s">
        <v>2180</v>
      </c>
      <c r="P3321" t="s">
        <v>2157</v>
      </c>
      <c r="Q3321">
        <v>1007.5</v>
      </c>
      <c r="R3321" s="1" t="s">
        <v>1840</v>
      </c>
      <c r="S3321">
        <v>535</v>
      </c>
      <c r="T3321">
        <v>539012</v>
      </c>
    </row>
    <row r="3322" spans="1:20" hidden="1" x14ac:dyDescent="0.4">
      <c r="A3322" s="1" t="s">
        <v>1282</v>
      </c>
      <c r="B3322" s="1" t="s">
        <v>1453</v>
      </c>
      <c r="C3322" s="1" t="s">
        <v>1844</v>
      </c>
      <c r="D3322" s="1" t="s">
        <v>1850</v>
      </c>
      <c r="E3322">
        <v>20251219</v>
      </c>
      <c r="F3322" s="1" t="s">
        <v>1471</v>
      </c>
      <c r="G3322">
        <v>4</v>
      </c>
      <c r="H3322" s="1" t="s">
        <v>1529</v>
      </c>
      <c r="I3322" t="s">
        <v>1909</v>
      </c>
      <c r="J3322" s="1" t="s">
        <v>1460</v>
      </c>
      <c r="K3322" s="1" t="s">
        <v>1674</v>
      </c>
      <c r="L3322" s="1" t="s">
        <v>1734</v>
      </c>
      <c r="M3322" s="1" t="s">
        <v>1737</v>
      </c>
      <c r="N3322" t="s">
        <v>2065</v>
      </c>
      <c r="O3322" t="s">
        <v>2180</v>
      </c>
      <c r="P3322" t="s">
        <v>2157</v>
      </c>
      <c r="Q3322">
        <v>-1007.5</v>
      </c>
      <c r="R3322" s="1" t="s">
        <v>1840</v>
      </c>
      <c r="S3322">
        <v>535</v>
      </c>
      <c r="T3322">
        <v>-539012</v>
      </c>
    </row>
    <row r="3323" spans="1:20" hidden="1" x14ac:dyDescent="0.4">
      <c r="A3323" s="1" t="s">
        <v>1283</v>
      </c>
      <c r="B3323" s="1" t="s">
        <v>1453</v>
      </c>
      <c r="C3323" s="1" t="s">
        <v>1844</v>
      </c>
      <c r="D3323" s="1" t="s">
        <v>1462</v>
      </c>
      <c r="E3323">
        <v>20251222</v>
      </c>
      <c r="F3323" s="1" t="s">
        <v>1471</v>
      </c>
      <c r="G3323">
        <v>4</v>
      </c>
      <c r="H3323" s="1" t="s">
        <v>1529</v>
      </c>
      <c r="I3323" t="s">
        <v>1909</v>
      </c>
      <c r="J3323" s="1" t="s">
        <v>1460</v>
      </c>
      <c r="K3323" s="1" t="s">
        <v>1674</v>
      </c>
      <c r="L3323" s="1" t="s">
        <v>1734</v>
      </c>
      <c r="M3323" s="1" t="s">
        <v>1737</v>
      </c>
      <c r="N3323" t="s">
        <v>2065</v>
      </c>
      <c r="O3323" t="s">
        <v>2180</v>
      </c>
      <c r="P3323" t="s">
        <v>2157</v>
      </c>
      <c r="Q3323">
        <v>1007.5</v>
      </c>
      <c r="R3323" s="1" t="s">
        <v>1840</v>
      </c>
      <c r="S3323">
        <v>535</v>
      </c>
      <c r="T3323">
        <v>539012</v>
      </c>
    </row>
    <row r="3324" spans="1:20" hidden="1" x14ac:dyDescent="0.4">
      <c r="A3324" s="1" t="s">
        <v>1284</v>
      </c>
      <c r="B3324" s="1" t="s">
        <v>1453</v>
      </c>
      <c r="C3324" s="1" t="s">
        <v>1844</v>
      </c>
      <c r="D3324" s="1" t="s">
        <v>1462</v>
      </c>
      <c r="E3324">
        <v>20251218</v>
      </c>
      <c r="F3324" s="1" t="s">
        <v>1471</v>
      </c>
      <c r="G3324">
        <v>4</v>
      </c>
      <c r="H3324" s="1" t="s">
        <v>1525</v>
      </c>
      <c r="I3324" t="s">
        <v>1905</v>
      </c>
      <c r="J3324" s="1" t="s">
        <v>1460</v>
      </c>
      <c r="K3324" s="1" t="s">
        <v>1649</v>
      </c>
      <c r="L3324" s="1" t="s">
        <v>1731</v>
      </c>
      <c r="M3324" s="1" t="s">
        <v>1761</v>
      </c>
      <c r="N3324" t="s">
        <v>2031</v>
      </c>
      <c r="O3324" t="s">
        <v>2178</v>
      </c>
      <c r="P3324" t="s">
        <v>3156</v>
      </c>
      <c r="Q3324">
        <v>250</v>
      </c>
      <c r="R3324" s="1" t="s">
        <v>1463</v>
      </c>
      <c r="S3324">
        <v>1560</v>
      </c>
      <c r="T3324">
        <v>390000</v>
      </c>
    </row>
    <row r="3325" spans="1:20" hidden="1" x14ac:dyDescent="0.4">
      <c r="A3325" s="1" t="s">
        <v>1285</v>
      </c>
      <c r="B3325" s="1" t="s">
        <v>1453</v>
      </c>
      <c r="C3325" s="1" t="s">
        <v>1844</v>
      </c>
      <c r="D3325" s="1" t="s">
        <v>1462</v>
      </c>
      <c r="E3325">
        <v>20251218</v>
      </c>
      <c r="F3325" s="1" t="s">
        <v>1471</v>
      </c>
      <c r="G3325">
        <v>4</v>
      </c>
      <c r="H3325" s="1" t="s">
        <v>1527</v>
      </c>
      <c r="I3325" t="s">
        <v>1907</v>
      </c>
      <c r="J3325" s="1" t="s">
        <v>1460</v>
      </c>
      <c r="K3325" s="1" t="s">
        <v>1649</v>
      </c>
      <c r="L3325" s="1" t="s">
        <v>1731</v>
      </c>
      <c r="M3325" s="1" t="s">
        <v>1761</v>
      </c>
      <c r="N3325" t="s">
        <v>2031</v>
      </c>
      <c r="O3325" t="s">
        <v>2178</v>
      </c>
      <c r="P3325" t="s">
        <v>3156</v>
      </c>
      <c r="Q3325">
        <v>1250</v>
      </c>
      <c r="R3325" s="1" t="s">
        <v>1463</v>
      </c>
      <c r="S3325">
        <v>1560</v>
      </c>
      <c r="T3325">
        <v>1950000</v>
      </c>
    </row>
    <row r="3326" spans="1:20" hidden="1" x14ac:dyDescent="0.4">
      <c r="A3326" s="1" t="s">
        <v>1286</v>
      </c>
      <c r="B3326" s="1" t="s">
        <v>1453</v>
      </c>
      <c r="C3326" s="1" t="s">
        <v>1844</v>
      </c>
      <c r="D3326" s="1" t="s">
        <v>1467</v>
      </c>
      <c r="E3326">
        <v>20251222</v>
      </c>
      <c r="F3326" s="1" t="s">
        <v>1470</v>
      </c>
      <c r="G3326">
        <v>4</v>
      </c>
      <c r="H3326" s="1" t="s">
        <v>1503</v>
      </c>
      <c r="I3326" t="s">
        <v>1883</v>
      </c>
      <c r="J3326" s="1" t="s">
        <v>1456</v>
      </c>
      <c r="K3326" s="1" t="s">
        <v>1570</v>
      </c>
      <c r="L3326" s="1" t="s">
        <v>1729</v>
      </c>
      <c r="M3326" s="1" t="s">
        <v>1741</v>
      </c>
      <c r="N3326" t="s">
        <v>1943</v>
      </c>
      <c r="O3326" t="s">
        <v>2157</v>
      </c>
      <c r="P3326" t="s">
        <v>3243</v>
      </c>
      <c r="Q3326">
        <v>30</v>
      </c>
      <c r="R3326" s="1" t="s">
        <v>1718</v>
      </c>
      <c r="S3326">
        <v>17834</v>
      </c>
      <c r="T3326">
        <v>535020</v>
      </c>
    </row>
    <row r="3327" spans="1:20" hidden="1" x14ac:dyDescent="0.4">
      <c r="A3327" s="1" t="s">
        <v>1287</v>
      </c>
      <c r="B3327" s="1" t="s">
        <v>1453</v>
      </c>
      <c r="C3327" s="1" t="s">
        <v>1844</v>
      </c>
      <c r="D3327" s="1" t="s">
        <v>1467</v>
      </c>
      <c r="E3327">
        <v>20251222</v>
      </c>
      <c r="F3327" s="1" t="s">
        <v>1470</v>
      </c>
      <c r="G3327">
        <v>4</v>
      </c>
      <c r="H3327" s="1" t="s">
        <v>1503</v>
      </c>
      <c r="I3327" t="s">
        <v>1883</v>
      </c>
      <c r="J3327" s="1" t="s">
        <v>1456</v>
      </c>
      <c r="K3327" s="1" t="s">
        <v>1570</v>
      </c>
      <c r="L3327" s="1" t="s">
        <v>1729</v>
      </c>
      <c r="M3327" s="1" t="s">
        <v>1741</v>
      </c>
      <c r="N3327" t="s">
        <v>1943</v>
      </c>
      <c r="O3327" t="s">
        <v>2157</v>
      </c>
      <c r="P3327" t="s">
        <v>3243</v>
      </c>
      <c r="Q3327">
        <v>2</v>
      </c>
      <c r="R3327" s="1" t="s">
        <v>1718</v>
      </c>
      <c r="S3327">
        <v>12696</v>
      </c>
      <c r="T3327">
        <v>25392</v>
      </c>
    </row>
    <row r="3328" spans="1:20" hidden="1" x14ac:dyDescent="0.4">
      <c r="A3328" s="1" t="s">
        <v>1288</v>
      </c>
      <c r="B3328" s="1" t="s">
        <v>1453</v>
      </c>
      <c r="C3328" s="1" t="s">
        <v>1844</v>
      </c>
      <c r="D3328" s="1" t="s">
        <v>1462</v>
      </c>
      <c r="E3328">
        <v>20251222</v>
      </c>
      <c r="F3328" s="1" t="s">
        <v>1470</v>
      </c>
      <c r="G3328">
        <v>4</v>
      </c>
      <c r="H3328" s="1" t="s">
        <v>1511</v>
      </c>
      <c r="I3328" t="s">
        <v>1891</v>
      </c>
      <c r="J3328" s="1" t="s">
        <v>1456</v>
      </c>
      <c r="K3328" s="1" t="s">
        <v>1561</v>
      </c>
      <c r="L3328" s="1" t="s">
        <v>1729</v>
      </c>
      <c r="M3328" s="1" t="s">
        <v>1737</v>
      </c>
      <c r="N3328" t="s">
        <v>2106</v>
      </c>
      <c r="O3328" t="s">
        <v>2802</v>
      </c>
      <c r="P3328" t="s">
        <v>3172</v>
      </c>
      <c r="Q3328">
        <v>2</v>
      </c>
      <c r="R3328" s="1" t="s">
        <v>1718</v>
      </c>
      <c r="S3328">
        <v>10148</v>
      </c>
      <c r="T3328">
        <v>20296</v>
      </c>
    </row>
    <row r="3329" spans="1:20" hidden="1" x14ac:dyDescent="0.4">
      <c r="A3329" s="1" t="s">
        <v>1288</v>
      </c>
      <c r="B3329" s="1" t="s">
        <v>1454</v>
      </c>
      <c r="C3329" s="1" t="s">
        <v>1844</v>
      </c>
      <c r="D3329" s="1" t="s">
        <v>1462</v>
      </c>
      <c r="E3329">
        <v>20251222</v>
      </c>
      <c r="F3329" s="1" t="s">
        <v>1470</v>
      </c>
      <c r="G3329">
        <v>4</v>
      </c>
      <c r="H3329" s="1" t="s">
        <v>1511</v>
      </c>
      <c r="I3329" t="s">
        <v>1891</v>
      </c>
      <c r="J3329" s="1" t="s">
        <v>1456</v>
      </c>
      <c r="K3329" s="1" t="s">
        <v>1561</v>
      </c>
      <c r="L3329" s="1" t="s">
        <v>1729</v>
      </c>
      <c r="M3329" s="1" t="s">
        <v>1737</v>
      </c>
      <c r="N3329" t="s">
        <v>2106</v>
      </c>
      <c r="O3329" t="s">
        <v>2803</v>
      </c>
      <c r="P3329" t="s">
        <v>3303</v>
      </c>
      <c r="Q3329">
        <v>2</v>
      </c>
      <c r="R3329" s="1" t="s">
        <v>1718</v>
      </c>
      <c r="S3329">
        <v>10148</v>
      </c>
      <c r="T3329">
        <v>20296</v>
      </c>
    </row>
    <row r="3330" spans="1:20" hidden="1" x14ac:dyDescent="0.4">
      <c r="A3330" s="1" t="s">
        <v>1289</v>
      </c>
      <c r="B3330" s="1" t="s">
        <v>1453</v>
      </c>
      <c r="C3330" s="1" t="s">
        <v>1844</v>
      </c>
      <c r="D3330" s="1" t="s">
        <v>1462</v>
      </c>
      <c r="E3330">
        <v>20251222</v>
      </c>
      <c r="F3330" s="1" t="s">
        <v>1470</v>
      </c>
      <c r="G3330">
        <v>4</v>
      </c>
      <c r="H3330" s="1" t="s">
        <v>1511</v>
      </c>
      <c r="I3330" t="s">
        <v>1891</v>
      </c>
      <c r="J3330" s="1" t="s">
        <v>1456</v>
      </c>
      <c r="K3330" s="1" t="s">
        <v>1561</v>
      </c>
      <c r="L3330" s="1" t="s">
        <v>1729</v>
      </c>
      <c r="M3330" s="1" t="s">
        <v>1737</v>
      </c>
      <c r="N3330" t="s">
        <v>2106</v>
      </c>
      <c r="O3330" t="s">
        <v>2804</v>
      </c>
      <c r="P3330" t="s">
        <v>2157</v>
      </c>
      <c r="Q3330">
        <v>2</v>
      </c>
      <c r="R3330" s="1" t="s">
        <v>1718</v>
      </c>
      <c r="S3330">
        <v>25646</v>
      </c>
      <c r="T3330">
        <v>51292</v>
      </c>
    </row>
    <row r="3331" spans="1:20" hidden="1" x14ac:dyDescent="0.4">
      <c r="A3331" s="1" t="s">
        <v>1290</v>
      </c>
      <c r="B3331" s="1" t="s">
        <v>1453</v>
      </c>
      <c r="C3331" s="1" t="s">
        <v>1844</v>
      </c>
      <c r="D3331" s="1" t="s">
        <v>1462</v>
      </c>
      <c r="E3331">
        <v>20251222</v>
      </c>
      <c r="F3331" s="1" t="s">
        <v>1470</v>
      </c>
      <c r="G3331">
        <v>4</v>
      </c>
      <c r="H3331" s="1" t="s">
        <v>1503</v>
      </c>
      <c r="I3331" t="s">
        <v>1883</v>
      </c>
      <c r="J3331" s="1" t="s">
        <v>1456</v>
      </c>
      <c r="K3331" s="1" t="s">
        <v>1554</v>
      </c>
      <c r="L3331" s="1" t="s">
        <v>1729</v>
      </c>
      <c r="M3331" s="1" t="s">
        <v>1737</v>
      </c>
      <c r="N3331" t="s">
        <v>2091</v>
      </c>
      <c r="O3331" t="s">
        <v>2805</v>
      </c>
      <c r="P3331">
        <v>82296</v>
      </c>
      <c r="Q3331">
        <v>2</v>
      </c>
      <c r="R3331" s="1" t="s">
        <v>1718</v>
      </c>
      <c r="S3331">
        <v>8460</v>
      </c>
      <c r="T3331">
        <v>16920</v>
      </c>
    </row>
    <row r="3332" spans="1:20" hidden="1" x14ac:dyDescent="0.4">
      <c r="A3332" s="1" t="s">
        <v>1291</v>
      </c>
      <c r="B3332" s="1" t="s">
        <v>1453</v>
      </c>
      <c r="C3332" s="1" t="s">
        <v>1844</v>
      </c>
      <c r="D3332" s="1" t="s">
        <v>1462</v>
      </c>
      <c r="E3332">
        <v>20251222</v>
      </c>
      <c r="F3332" s="1" t="s">
        <v>1470</v>
      </c>
      <c r="G3332">
        <v>4</v>
      </c>
      <c r="H3332" s="1" t="s">
        <v>1503</v>
      </c>
      <c r="I3332" t="s">
        <v>1883</v>
      </c>
      <c r="J3332" s="1" t="s">
        <v>1456</v>
      </c>
      <c r="K3332" s="1" t="s">
        <v>1554</v>
      </c>
      <c r="L3332" s="1" t="s">
        <v>1729</v>
      </c>
      <c r="M3332" s="1" t="s">
        <v>1737</v>
      </c>
      <c r="N3332" t="s">
        <v>2110</v>
      </c>
      <c r="O3332" t="s">
        <v>2806</v>
      </c>
      <c r="P3332">
        <v>82300</v>
      </c>
      <c r="Q3332">
        <v>2</v>
      </c>
      <c r="R3332" s="1" t="s">
        <v>1718</v>
      </c>
      <c r="S3332">
        <v>29800</v>
      </c>
      <c r="T3332">
        <v>59600</v>
      </c>
    </row>
    <row r="3333" spans="1:20" hidden="1" x14ac:dyDescent="0.4">
      <c r="A3333" s="1" t="s">
        <v>1291</v>
      </c>
      <c r="B3333" s="1" t="s">
        <v>1454</v>
      </c>
      <c r="C3333" s="1" t="s">
        <v>1844</v>
      </c>
      <c r="D3333" s="1" t="s">
        <v>1462</v>
      </c>
      <c r="E3333">
        <v>20251222</v>
      </c>
      <c r="F3333" s="1" t="s">
        <v>1470</v>
      </c>
      <c r="G3333">
        <v>4</v>
      </c>
      <c r="H3333" s="1" t="s">
        <v>1503</v>
      </c>
      <c r="I3333" t="s">
        <v>1883</v>
      </c>
      <c r="J3333" s="1" t="s">
        <v>1456</v>
      </c>
      <c r="K3333" s="1" t="s">
        <v>1554</v>
      </c>
      <c r="L3333" s="1" t="s">
        <v>1729</v>
      </c>
      <c r="M3333" s="1" t="s">
        <v>1737</v>
      </c>
      <c r="N3333" t="s">
        <v>2092</v>
      </c>
      <c r="O3333" t="s">
        <v>2807</v>
      </c>
      <c r="P3333">
        <v>82302</v>
      </c>
      <c r="Q3333">
        <v>2</v>
      </c>
      <c r="R3333" s="1" t="s">
        <v>1718</v>
      </c>
      <c r="S3333">
        <v>14950</v>
      </c>
      <c r="T3333">
        <v>29900</v>
      </c>
    </row>
    <row r="3334" spans="1:20" hidden="1" x14ac:dyDescent="0.4">
      <c r="A3334" s="1" t="s">
        <v>1291</v>
      </c>
      <c r="B3334" s="1" t="s">
        <v>1455</v>
      </c>
      <c r="C3334" s="1" t="s">
        <v>1844</v>
      </c>
      <c r="D3334" s="1" t="s">
        <v>1462</v>
      </c>
      <c r="E3334">
        <v>20251222</v>
      </c>
      <c r="F3334" s="1" t="s">
        <v>1470</v>
      </c>
      <c r="G3334">
        <v>4</v>
      </c>
      <c r="H3334" s="1" t="s">
        <v>1503</v>
      </c>
      <c r="I3334" t="s">
        <v>1883</v>
      </c>
      <c r="J3334" s="1" t="s">
        <v>1456</v>
      </c>
      <c r="K3334" s="1" t="s">
        <v>1554</v>
      </c>
      <c r="L3334" s="1" t="s">
        <v>1729</v>
      </c>
      <c r="M3334" s="1" t="s">
        <v>1737</v>
      </c>
      <c r="N3334" t="s">
        <v>2092</v>
      </c>
      <c r="O3334" t="s">
        <v>2808</v>
      </c>
      <c r="P3334">
        <v>82322</v>
      </c>
      <c r="Q3334">
        <v>2</v>
      </c>
      <c r="R3334" s="1" t="s">
        <v>1718</v>
      </c>
      <c r="S3334">
        <v>14950</v>
      </c>
      <c r="T3334">
        <v>29900</v>
      </c>
    </row>
    <row r="3335" spans="1:20" hidden="1" x14ac:dyDescent="0.4">
      <c r="A3335" s="1" t="s">
        <v>1292</v>
      </c>
      <c r="B3335" s="1" t="s">
        <v>1453</v>
      </c>
      <c r="C3335" s="1" t="s">
        <v>1844</v>
      </c>
      <c r="D3335" s="1" t="s">
        <v>1462</v>
      </c>
      <c r="E3335">
        <v>20251222</v>
      </c>
      <c r="F3335" s="1" t="s">
        <v>1470</v>
      </c>
      <c r="G3335">
        <v>4</v>
      </c>
      <c r="H3335" s="1" t="s">
        <v>1503</v>
      </c>
      <c r="I3335" t="s">
        <v>1883</v>
      </c>
      <c r="J3335" s="1" t="s">
        <v>1456</v>
      </c>
      <c r="K3335" s="1" t="s">
        <v>1553</v>
      </c>
      <c r="L3335" s="1" t="s">
        <v>1729</v>
      </c>
      <c r="M3335" s="1" t="s">
        <v>1736</v>
      </c>
      <c r="N3335" t="s">
        <v>2108</v>
      </c>
      <c r="O3335" t="s">
        <v>2809</v>
      </c>
      <c r="P3335" t="s">
        <v>3584</v>
      </c>
      <c r="Q3335">
        <v>1</v>
      </c>
      <c r="R3335" s="1" t="s">
        <v>1718</v>
      </c>
      <c r="S3335">
        <v>3440</v>
      </c>
      <c r="T3335">
        <v>3440</v>
      </c>
    </row>
    <row r="3336" spans="1:20" hidden="1" x14ac:dyDescent="0.4">
      <c r="A3336" s="1" t="s">
        <v>1293</v>
      </c>
      <c r="B3336" s="1" t="s">
        <v>1453</v>
      </c>
      <c r="C3336" s="1" t="s">
        <v>1844</v>
      </c>
      <c r="D3336" s="1" t="s">
        <v>1462</v>
      </c>
      <c r="E3336">
        <v>20251222</v>
      </c>
      <c r="F3336" s="1" t="s">
        <v>1470</v>
      </c>
      <c r="G3336">
        <v>4</v>
      </c>
      <c r="H3336" s="1" t="s">
        <v>1503</v>
      </c>
      <c r="I3336" t="s">
        <v>1883</v>
      </c>
      <c r="J3336" s="1" t="s">
        <v>1456</v>
      </c>
      <c r="K3336" s="1" t="s">
        <v>1554</v>
      </c>
      <c r="L3336" s="1" t="s">
        <v>1729</v>
      </c>
      <c r="M3336" s="1" t="s">
        <v>1737</v>
      </c>
      <c r="N3336" t="s">
        <v>2091</v>
      </c>
      <c r="O3336" t="s">
        <v>2810</v>
      </c>
      <c r="P3336">
        <v>82312</v>
      </c>
      <c r="Q3336">
        <v>2</v>
      </c>
      <c r="R3336" s="1" t="s">
        <v>1718</v>
      </c>
      <c r="S3336">
        <v>11670</v>
      </c>
      <c r="T3336">
        <v>23340</v>
      </c>
    </row>
    <row r="3337" spans="1:20" hidden="1" x14ac:dyDescent="0.4">
      <c r="A3337" s="1" t="s">
        <v>1294</v>
      </c>
      <c r="B3337" s="1" t="s">
        <v>1453</v>
      </c>
      <c r="C3337" s="1" t="s">
        <v>1844</v>
      </c>
      <c r="D3337" s="1" t="s">
        <v>1462</v>
      </c>
      <c r="E3337">
        <v>20251222</v>
      </c>
      <c r="F3337" s="1" t="s">
        <v>1470</v>
      </c>
      <c r="G3337">
        <v>4</v>
      </c>
      <c r="H3337" s="1" t="s">
        <v>1503</v>
      </c>
      <c r="I3337" t="s">
        <v>1883</v>
      </c>
      <c r="J3337" s="1" t="s">
        <v>1456</v>
      </c>
      <c r="K3337" s="1" t="s">
        <v>1553</v>
      </c>
      <c r="L3337" s="1" t="s">
        <v>1729</v>
      </c>
      <c r="M3337" s="1" t="s">
        <v>1736</v>
      </c>
      <c r="N3337" t="s">
        <v>2093</v>
      </c>
      <c r="O3337" t="s">
        <v>2811</v>
      </c>
      <c r="P3337" t="s">
        <v>3585</v>
      </c>
      <c r="Q3337">
        <v>4</v>
      </c>
      <c r="R3337" s="1" t="s">
        <v>1718</v>
      </c>
      <c r="S3337">
        <v>14970</v>
      </c>
      <c r="T3337">
        <v>59880</v>
      </c>
    </row>
    <row r="3338" spans="1:20" hidden="1" x14ac:dyDescent="0.4">
      <c r="A3338" s="1" t="s">
        <v>1294</v>
      </c>
      <c r="B3338" s="1" t="s">
        <v>1454</v>
      </c>
      <c r="C3338" s="1" t="s">
        <v>1844</v>
      </c>
      <c r="D3338" s="1" t="s">
        <v>1462</v>
      </c>
      <c r="E3338">
        <v>20251222</v>
      </c>
      <c r="F3338" s="1" t="s">
        <v>1470</v>
      </c>
      <c r="G3338">
        <v>4</v>
      </c>
      <c r="H3338" s="1" t="s">
        <v>1503</v>
      </c>
      <c r="I3338" t="s">
        <v>1883</v>
      </c>
      <c r="J3338" s="1" t="s">
        <v>1456</v>
      </c>
      <c r="K3338" s="1" t="s">
        <v>1553</v>
      </c>
      <c r="L3338" s="1" t="s">
        <v>1729</v>
      </c>
      <c r="M3338" s="1" t="s">
        <v>1736</v>
      </c>
      <c r="N3338" t="s">
        <v>2093</v>
      </c>
      <c r="O3338" t="s">
        <v>2812</v>
      </c>
      <c r="P3338" t="s">
        <v>3586</v>
      </c>
      <c r="Q3338">
        <v>2</v>
      </c>
      <c r="R3338" s="1" t="s">
        <v>1718</v>
      </c>
      <c r="S3338">
        <v>34490</v>
      </c>
      <c r="T3338">
        <v>68980</v>
      </c>
    </row>
    <row r="3339" spans="1:20" hidden="1" x14ac:dyDescent="0.4">
      <c r="A3339" s="1" t="s">
        <v>1294</v>
      </c>
      <c r="B3339" s="1" t="s">
        <v>1455</v>
      </c>
      <c r="C3339" s="1" t="s">
        <v>1844</v>
      </c>
      <c r="D3339" s="1" t="s">
        <v>1462</v>
      </c>
      <c r="E3339">
        <v>20251222</v>
      </c>
      <c r="F3339" s="1" t="s">
        <v>1470</v>
      </c>
      <c r="G3339">
        <v>4</v>
      </c>
      <c r="H3339" s="1" t="s">
        <v>1503</v>
      </c>
      <c r="I3339" t="s">
        <v>1883</v>
      </c>
      <c r="J3339" s="1" t="s">
        <v>1456</v>
      </c>
      <c r="K3339" s="1" t="s">
        <v>1553</v>
      </c>
      <c r="L3339" s="1" t="s">
        <v>1729</v>
      </c>
      <c r="M3339" s="1" t="s">
        <v>1736</v>
      </c>
      <c r="N3339" t="s">
        <v>2108</v>
      </c>
      <c r="O3339" t="s">
        <v>2813</v>
      </c>
      <c r="P3339" t="s">
        <v>3587</v>
      </c>
      <c r="Q3339">
        <v>2</v>
      </c>
      <c r="R3339" s="1" t="s">
        <v>1718</v>
      </c>
      <c r="S3339">
        <v>34650</v>
      </c>
      <c r="T3339">
        <v>69300</v>
      </c>
    </row>
    <row r="3340" spans="1:20" hidden="1" x14ac:dyDescent="0.4">
      <c r="A3340" s="1" t="s">
        <v>1294</v>
      </c>
      <c r="B3340" s="1" t="s">
        <v>1456</v>
      </c>
      <c r="C3340" s="1" t="s">
        <v>1844</v>
      </c>
      <c r="D3340" s="1" t="s">
        <v>1462</v>
      </c>
      <c r="E3340">
        <v>20251222</v>
      </c>
      <c r="F3340" s="1" t="s">
        <v>1470</v>
      </c>
      <c r="G3340">
        <v>4</v>
      </c>
      <c r="H3340" s="1" t="s">
        <v>1503</v>
      </c>
      <c r="I3340" t="s">
        <v>1883</v>
      </c>
      <c r="J3340" s="1" t="s">
        <v>1456</v>
      </c>
      <c r="K3340" s="1" t="s">
        <v>1553</v>
      </c>
      <c r="L3340" s="1" t="s">
        <v>1729</v>
      </c>
      <c r="M3340" s="1" t="s">
        <v>1736</v>
      </c>
      <c r="N3340" t="s">
        <v>2093</v>
      </c>
      <c r="O3340" t="s">
        <v>2814</v>
      </c>
      <c r="P3340" t="s">
        <v>3588</v>
      </c>
      <c r="Q3340">
        <v>2</v>
      </c>
      <c r="R3340" s="1" t="s">
        <v>1718</v>
      </c>
      <c r="S3340">
        <v>12260</v>
      </c>
      <c r="T3340">
        <v>24520</v>
      </c>
    </row>
    <row r="3341" spans="1:20" hidden="1" x14ac:dyDescent="0.4">
      <c r="A3341" s="1" t="s">
        <v>1294</v>
      </c>
      <c r="B3341" s="1" t="s">
        <v>1457</v>
      </c>
      <c r="C3341" s="1" t="s">
        <v>1844</v>
      </c>
      <c r="D3341" s="1" t="s">
        <v>1462</v>
      </c>
      <c r="E3341">
        <v>20251222</v>
      </c>
      <c r="F3341" s="1" t="s">
        <v>1470</v>
      </c>
      <c r="G3341">
        <v>4</v>
      </c>
      <c r="H3341" s="1" t="s">
        <v>1503</v>
      </c>
      <c r="I3341" t="s">
        <v>1883</v>
      </c>
      <c r="J3341" s="1" t="s">
        <v>1456</v>
      </c>
      <c r="K3341" s="1" t="s">
        <v>1553</v>
      </c>
      <c r="L3341" s="1" t="s">
        <v>1729</v>
      </c>
      <c r="M3341" s="1" t="s">
        <v>1736</v>
      </c>
      <c r="N3341" t="s">
        <v>2108</v>
      </c>
      <c r="O3341" t="s">
        <v>2815</v>
      </c>
      <c r="P3341" t="s">
        <v>3589</v>
      </c>
      <c r="Q3341">
        <v>4</v>
      </c>
      <c r="R3341" s="1" t="s">
        <v>1718</v>
      </c>
      <c r="S3341">
        <v>55005</v>
      </c>
      <c r="T3341">
        <v>220020</v>
      </c>
    </row>
    <row r="3342" spans="1:20" hidden="1" x14ac:dyDescent="0.4">
      <c r="A3342" s="1" t="s">
        <v>1294</v>
      </c>
      <c r="B3342" s="1" t="s">
        <v>1458</v>
      </c>
      <c r="C3342" s="1" t="s">
        <v>1844</v>
      </c>
      <c r="D3342" s="1" t="s">
        <v>1462</v>
      </c>
      <c r="E3342">
        <v>20251222</v>
      </c>
      <c r="F3342" s="1" t="s">
        <v>1470</v>
      </c>
      <c r="G3342">
        <v>4</v>
      </c>
      <c r="H3342" s="1" t="s">
        <v>1503</v>
      </c>
      <c r="I3342" t="s">
        <v>1883</v>
      </c>
      <c r="J3342" s="1" t="s">
        <v>1456</v>
      </c>
      <c r="K3342" s="1" t="s">
        <v>1553</v>
      </c>
      <c r="L3342" s="1" t="s">
        <v>1729</v>
      </c>
      <c r="M3342" s="1" t="s">
        <v>1736</v>
      </c>
      <c r="N3342" t="s">
        <v>2108</v>
      </c>
      <c r="O3342" t="s">
        <v>2816</v>
      </c>
      <c r="P3342" t="s">
        <v>3590</v>
      </c>
      <c r="Q3342">
        <v>2</v>
      </c>
      <c r="R3342" s="1" t="s">
        <v>1718</v>
      </c>
      <c r="S3342">
        <v>55005</v>
      </c>
      <c r="T3342">
        <v>110010</v>
      </c>
    </row>
    <row r="3343" spans="1:20" hidden="1" x14ac:dyDescent="0.4">
      <c r="A3343" s="1" t="s">
        <v>1294</v>
      </c>
      <c r="B3343" s="1" t="s">
        <v>1459</v>
      </c>
      <c r="C3343" s="1" t="s">
        <v>1844</v>
      </c>
      <c r="D3343" s="1" t="s">
        <v>1462</v>
      </c>
      <c r="E3343">
        <v>20251222</v>
      </c>
      <c r="F3343" s="1" t="s">
        <v>1470</v>
      </c>
      <c r="G3343">
        <v>4</v>
      </c>
      <c r="H3343" s="1" t="s">
        <v>1503</v>
      </c>
      <c r="I3343" t="s">
        <v>1883</v>
      </c>
      <c r="J3343" s="1" t="s">
        <v>1456</v>
      </c>
      <c r="K3343" s="1" t="s">
        <v>1553</v>
      </c>
      <c r="L3343" s="1" t="s">
        <v>1729</v>
      </c>
      <c r="M3343" s="1" t="s">
        <v>1736</v>
      </c>
      <c r="N3343" t="s">
        <v>2108</v>
      </c>
      <c r="O3343" t="s">
        <v>2817</v>
      </c>
      <c r="P3343" t="s">
        <v>3591</v>
      </c>
      <c r="Q3343">
        <v>2</v>
      </c>
      <c r="R3343" s="1" t="s">
        <v>1718</v>
      </c>
      <c r="S3343">
        <v>25380</v>
      </c>
      <c r="T3343">
        <v>50760</v>
      </c>
    </row>
    <row r="3344" spans="1:20" hidden="1" x14ac:dyDescent="0.4">
      <c r="A3344" s="1" t="s">
        <v>1294</v>
      </c>
      <c r="B3344" s="1" t="s">
        <v>1460</v>
      </c>
      <c r="C3344" s="1" t="s">
        <v>1844</v>
      </c>
      <c r="D3344" s="1" t="s">
        <v>1462</v>
      </c>
      <c r="E3344">
        <v>20251222</v>
      </c>
      <c r="F3344" s="1" t="s">
        <v>1470</v>
      </c>
      <c r="G3344">
        <v>4</v>
      </c>
      <c r="H3344" s="1" t="s">
        <v>1503</v>
      </c>
      <c r="I3344" t="s">
        <v>1883</v>
      </c>
      <c r="J3344" s="1" t="s">
        <v>1456</v>
      </c>
      <c r="K3344" s="1" t="s">
        <v>1553</v>
      </c>
      <c r="L3344" s="1" t="s">
        <v>1729</v>
      </c>
      <c r="M3344" s="1" t="s">
        <v>1736</v>
      </c>
      <c r="N3344" t="s">
        <v>2108</v>
      </c>
      <c r="O3344" t="s">
        <v>2818</v>
      </c>
      <c r="P3344" t="s">
        <v>3592</v>
      </c>
      <c r="Q3344">
        <v>2</v>
      </c>
      <c r="R3344" s="1" t="s">
        <v>1718</v>
      </c>
      <c r="S3344">
        <v>48355</v>
      </c>
      <c r="T3344">
        <v>96710</v>
      </c>
    </row>
    <row r="3345" spans="1:20" hidden="1" x14ac:dyDescent="0.4">
      <c r="A3345" s="1" t="s">
        <v>1294</v>
      </c>
      <c r="B3345" s="1" t="s">
        <v>1461</v>
      </c>
      <c r="C3345" s="1" t="s">
        <v>1844</v>
      </c>
      <c r="D3345" s="1" t="s">
        <v>1462</v>
      </c>
      <c r="E3345">
        <v>20251222</v>
      </c>
      <c r="F3345" s="1" t="s">
        <v>1470</v>
      </c>
      <c r="G3345">
        <v>4</v>
      </c>
      <c r="H3345" s="1" t="s">
        <v>1503</v>
      </c>
      <c r="I3345" t="s">
        <v>1883</v>
      </c>
      <c r="J3345" s="1" t="s">
        <v>1456</v>
      </c>
      <c r="K3345" s="1" t="s">
        <v>1554</v>
      </c>
      <c r="L3345" s="1" t="s">
        <v>1729</v>
      </c>
      <c r="M3345" s="1" t="s">
        <v>1737</v>
      </c>
      <c r="N3345" t="s">
        <v>2118</v>
      </c>
      <c r="O3345" t="s">
        <v>2819</v>
      </c>
      <c r="P3345">
        <v>82323</v>
      </c>
      <c r="Q3345">
        <v>1</v>
      </c>
      <c r="R3345" s="1" t="s">
        <v>1718</v>
      </c>
      <c r="S3345">
        <v>9350</v>
      </c>
      <c r="T3345">
        <v>9350</v>
      </c>
    </row>
    <row r="3346" spans="1:20" hidden="1" x14ac:dyDescent="0.4">
      <c r="A3346" s="1" t="s">
        <v>1295</v>
      </c>
      <c r="B3346" s="1" t="s">
        <v>1453</v>
      </c>
      <c r="C3346" s="1" t="s">
        <v>1844</v>
      </c>
      <c r="D3346" s="1" t="s">
        <v>1462</v>
      </c>
      <c r="E3346">
        <v>20251222</v>
      </c>
      <c r="F3346" s="1" t="s">
        <v>1470</v>
      </c>
      <c r="G3346">
        <v>4</v>
      </c>
      <c r="H3346" s="1" t="s">
        <v>1503</v>
      </c>
      <c r="I3346" t="s">
        <v>1883</v>
      </c>
      <c r="J3346" s="1" t="s">
        <v>1456</v>
      </c>
      <c r="K3346" s="1" t="s">
        <v>1554</v>
      </c>
      <c r="L3346" s="1" t="s">
        <v>1729</v>
      </c>
      <c r="M3346" s="1" t="s">
        <v>1737</v>
      </c>
      <c r="N3346" t="s">
        <v>2141</v>
      </c>
      <c r="O3346" t="s">
        <v>2820</v>
      </c>
      <c r="P3346">
        <v>82308</v>
      </c>
      <c r="Q3346">
        <v>2</v>
      </c>
      <c r="R3346" s="1" t="s">
        <v>1718</v>
      </c>
      <c r="S3346">
        <v>49470</v>
      </c>
      <c r="T3346">
        <v>98940</v>
      </c>
    </row>
    <row r="3347" spans="1:20" hidden="1" x14ac:dyDescent="0.4">
      <c r="A3347" s="1" t="s">
        <v>1295</v>
      </c>
      <c r="B3347" s="1" t="s">
        <v>1454</v>
      </c>
      <c r="C3347" s="1" t="s">
        <v>1844</v>
      </c>
      <c r="D3347" s="1" t="s">
        <v>1462</v>
      </c>
      <c r="E3347">
        <v>20251222</v>
      </c>
      <c r="F3347" s="1" t="s">
        <v>1470</v>
      </c>
      <c r="G3347">
        <v>4</v>
      </c>
      <c r="H3347" s="1" t="s">
        <v>1503</v>
      </c>
      <c r="I3347" t="s">
        <v>1883</v>
      </c>
      <c r="J3347" s="1" t="s">
        <v>1456</v>
      </c>
      <c r="K3347" s="1" t="s">
        <v>1554</v>
      </c>
      <c r="L3347" s="1" t="s">
        <v>1729</v>
      </c>
      <c r="M3347" s="1" t="s">
        <v>1737</v>
      </c>
      <c r="N3347" t="s">
        <v>2110</v>
      </c>
      <c r="O3347" t="s">
        <v>2821</v>
      </c>
      <c r="P3347">
        <v>82309</v>
      </c>
      <c r="Q3347">
        <v>2</v>
      </c>
      <c r="R3347" s="1" t="s">
        <v>1718</v>
      </c>
      <c r="S3347">
        <v>29800</v>
      </c>
      <c r="T3347">
        <v>59600</v>
      </c>
    </row>
    <row r="3348" spans="1:20" hidden="1" x14ac:dyDescent="0.4">
      <c r="A3348" s="1" t="s">
        <v>1295</v>
      </c>
      <c r="B3348" s="1" t="s">
        <v>1455</v>
      </c>
      <c r="C3348" s="1" t="s">
        <v>1844</v>
      </c>
      <c r="D3348" s="1" t="s">
        <v>1462</v>
      </c>
      <c r="E3348">
        <v>20251222</v>
      </c>
      <c r="F3348" s="1" t="s">
        <v>1470</v>
      </c>
      <c r="G3348">
        <v>4</v>
      </c>
      <c r="H3348" s="1" t="s">
        <v>1503</v>
      </c>
      <c r="I3348" t="s">
        <v>1883</v>
      </c>
      <c r="J3348" s="1" t="s">
        <v>1456</v>
      </c>
      <c r="K3348" s="1" t="s">
        <v>1554</v>
      </c>
      <c r="L3348" s="1" t="s">
        <v>1729</v>
      </c>
      <c r="M3348" s="1" t="s">
        <v>1737</v>
      </c>
      <c r="N3348" t="s">
        <v>2109</v>
      </c>
      <c r="O3348" t="s">
        <v>2822</v>
      </c>
      <c r="P3348">
        <v>82310</v>
      </c>
      <c r="Q3348">
        <v>4</v>
      </c>
      <c r="R3348" s="1" t="s">
        <v>1718</v>
      </c>
      <c r="S3348">
        <v>29620</v>
      </c>
      <c r="T3348">
        <v>118480</v>
      </c>
    </row>
    <row r="3349" spans="1:20" hidden="1" x14ac:dyDescent="0.4">
      <c r="A3349" s="1" t="s">
        <v>1295</v>
      </c>
      <c r="B3349" s="1" t="s">
        <v>1456</v>
      </c>
      <c r="C3349" s="1" t="s">
        <v>1844</v>
      </c>
      <c r="D3349" s="1" t="s">
        <v>1462</v>
      </c>
      <c r="E3349">
        <v>20251222</v>
      </c>
      <c r="F3349" s="1" t="s">
        <v>1470</v>
      </c>
      <c r="G3349">
        <v>4</v>
      </c>
      <c r="H3349" s="1" t="s">
        <v>1503</v>
      </c>
      <c r="I3349" t="s">
        <v>1883</v>
      </c>
      <c r="J3349" s="1" t="s">
        <v>1456</v>
      </c>
      <c r="K3349" s="1" t="s">
        <v>1553</v>
      </c>
      <c r="L3349" s="1" t="s">
        <v>1729</v>
      </c>
      <c r="M3349" s="1" t="s">
        <v>1736</v>
      </c>
      <c r="N3349" t="s">
        <v>2093</v>
      </c>
      <c r="O3349" t="s">
        <v>2823</v>
      </c>
      <c r="P3349" t="s">
        <v>3593</v>
      </c>
      <c r="Q3349">
        <v>2</v>
      </c>
      <c r="R3349" s="1" t="s">
        <v>1718</v>
      </c>
      <c r="S3349">
        <v>12430</v>
      </c>
      <c r="T3349">
        <v>24860</v>
      </c>
    </row>
    <row r="3350" spans="1:20" hidden="1" x14ac:dyDescent="0.4">
      <c r="A3350" s="1" t="s">
        <v>1296</v>
      </c>
      <c r="B3350" s="1" t="s">
        <v>1453</v>
      </c>
      <c r="C3350" s="1" t="s">
        <v>1844</v>
      </c>
      <c r="D3350" s="1" t="s">
        <v>1462</v>
      </c>
      <c r="E3350">
        <v>20251222</v>
      </c>
      <c r="F3350" s="1" t="s">
        <v>1470</v>
      </c>
      <c r="G3350">
        <v>4</v>
      </c>
      <c r="H3350" s="1" t="s">
        <v>1503</v>
      </c>
      <c r="I3350" t="s">
        <v>1883</v>
      </c>
      <c r="J3350" s="1" t="s">
        <v>1456</v>
      </c>
      <c r="K3350" s="1" t="s">
        <v>1554</v>
      </c>
      <c r="L3350" s="1" t="s">
        <v>1729</v>
      </c>
      <c r="M3350" s="1" t="s">
        <v>1737</v>
      </c>
      <c r="N3350" t="s">
        <v>2117</v>
      </c>
      <c r="O3350" t="s">
        <v>2824</v>
      </c>
      <c r="P3350">
        <v>82330</v>
      </c>
      <c r="Q3350">
        <v>2</v>
      </c>
      <c r="R3350" s="1" t="s">
        <v>1718</v>
      </c>
      <c r="S3350">
        <v>52930</v>
      </c>
      <c r="T3350">
        <v>105860</v>
      </c>
    </row>
    <row r="3351" spans="1:20" hidden="1" x14ac:dyDescent="0.4">
      <c r="A3351" s="1" t="s">
        <v>1297</v>
      </c>
      <c r="B3351" s="1" t="s">
        <v>1453</v>
      </c>
      <c r="C3351" s="1" t="s">
        <v>1844</v>
      </c>
      <c r="D3351" s="1" t="s">
        <v>1462</v>
      </c>
      <c r="E3351">
        <v>20251222</v>
      </c>
      <c r="F3351" s="1" t="s">
        <v>1470</v>
      </c>
      <c r="G3351">
        <v>4</v>
      </c>
      <c r="H3351" s="1" t="s">
        <v>1503</v>
      </c>
      <c r="I3351" t="s">
        <v>1883</v>
      </c>
      <c r="J3351" s="1" t="s">
        <v>1456</v>
      </c>
      <c r="K3351" s="1" t="s">
        <v>1554</v>
      </c>
      <c r="L3351" s="1" t="s">
        <v>1729</v>
      </c>
      <c r="M3351" s="1" t="s">
        <v>1737</v>
      </c>
      <c r="N3351" t="s">
        <v>2090</v>
      </c>
      <c r="O3351" t="s">
        <v>2825</v>
      </c>
      <c r="P3351">
        <v>82320</v>
      </c>
      <c r="Q3351">
        <v>2</v>
      </c>
      <c r="R3351" s="1" t="s">
        <v>1718</v>
      </c>
      <c r="S3351">
        <v>18740</v>
      </c>
      <c r="T3351">
        <v>37480</v>
      </c>
    </row>
    <row r="3352" spans="1:20" hidden="1" x14ac:dyDescent="0.4">
      <c r="A3352" s="1" t="s">
        <v>1298</v>
      </c>
      <c r="B3352" s="1" t="s">
        <v>1453</v>
      </c>
      <c r="C3352" s="1" t="s">
        <v>1844</v>
      </c>
      <c r="D3352" s="1" t="s">
        <v>1730</v>
      </c>
      <c r="E3352">
        <v>20251222</v>
      </c>
      <c r="F3352" s="1" t="s">
        <v>1470</v>
      </c>
      <c r="G3352">
        <v>4</v>
      </c>
      <c r="H3352" s="1" t="s">
        <v>1503</v>
      </c>
      <c r="I3352" t="s">
        <v>1883</v>
      </c>
      <c r="J3352" s="1" t="s">
        <v>1456</v>
      </c>
      <c r="K3352" s="1" t="s">
        <v>1570</v>
      </c>
      <c r="L3352" s="1" t="s">
        <v>1729</v>
      </c>
      <c r="M3352" s="1" t="s">
        <v>1741</v>
      </c>
      <c r="N3352" t="s">
        <v>1943</v>
      </c>
      <c r="O3352" t="s">
        <v>2826</v>
      </c>
      <c r="P3352" t="s">
        <v>3243</v>
      </c>
      <c r="Q3352">
        <v>2</v>
      </c>
      <c r="R3352" s="1" t="s">
        <v>1718</v>
      </c>
      <c r="S3352">
        <v>0</v>
      </c>
      <c r="T3352">
        <v>0</v>
      </c>
    </row>
    <row r="3353" spans="1:20" hidden="1" x14ac:dyDescent="0.4">
      <c r="A3353" s="1" t="s">
        <v>1298</v>
      </c>
      <c r="B3353" s="1" t="s">
        <v>1454</v>
      </c>
      <c r="C3353" s="1" t="s">
        <v>1844</v>
      </c>
      <c r="D3353" s="1" t="s">
        <v>1730</v>
      </c>
      <c r="E3353">
        <v>20251222</v>
      </c>
      <c r="F3353" s="1" t="s">
        <v>1470</v>
      </c>
      <c r="G3353">
        <v>4</v>
      </c>
      <c r="H3353" s="1" t="s">
        <v>1503</v>
      </c>
      <c r="I3353" t="s">
        <v>1883</v>
      </c>
      <c r="J3353" s="1" t="s">
        <v>1456</v>
      </c>
      <c r="K3353" s="1" t="s">
        <v>1570</v>
      </c>
      <c r="L3353" s="1" t="s">
        <v>1729</v>
      </c>
      <c r="M3353" s="1" t="s">
        <v>1742</v>
      </c>
      <c r="N3353" t="s">
        <v>1943</v>
      </c>
      <c r="O3353" t="s">
        <v>2826</v>
      </c>
      <c r="P3353" t="s">
        <v>3245</v>
      </c>
      <c r="Q3353">
        <v>2</v>
      </c>
      <c r="R3353" s="1" t="s">
        <v>1718</v>
      </c>
      <c r="S3353">
        <v>0</v>
      </c>
      <c r="T3353">
        <v>0</v>
      </c>
    </row>
    <row r="3354" spans="1:20" hidden="1" x14ac:dyDescent="0.4">
      <c r="A3354" s="1" t="s">
        <v>1298</v>
      </c>
      <c r="B3354" s="1" t="s">
        <v>1455</v>
      </c>
      <c r="C3354" s="1" t="s">
        <v>1844</v>
      </c>
      <c r="D3354" s="1" t="s">
        <v>1730</v>
      </c>
      <c r="E3354">
        <v>20251222</v>
      </c>
      <c r="F3354" s="1" t="s">
        <v>1470</v>
      </c>
      <c r="G3354">
        <v>4</v>
      </c>
      <c r="H3354" s="1" t="s">
        <v>1503</v>
      </c>
      <c r="I3354" t="s">
        <v>1883</v>
      </c>
      <c r="J3354" s="1" t="s">
        <v>1456</v>
      </c>
      <c r="K3354" s="1" t="s">
        <v>1570</v>
      </c>
      <c r="L3354" s="1" t="s">
        <v>1729</v>
      </c>
      <c r="M3354" s="1" t="s">
        <v>1742</v>
      </c>
      <c r="N3354" t="s">
        <v>1943</v>
      </c>
      <c r="O3354" t="s">
        <v>2826</v>
      </c>
      <c r="P3354" t="s">
        <v>3245</v>
      </c>
      <c r="Q3354">
        <v>2</v>
      </c>
      <c r="R3354" s="1" t="s">
        <v>1718</v>
      </c>
      <c r="S3354">
        <v>0</v>
      </c>
      <c r="T3354">
        <v>0</v>
      </c>
    </row>
    <row r="3355" spans="1:20" hidden="1" x14ac:dyDescent="0.4">
      <c r="A3355" s="1" t="s">
        <v>1298</v>
      </c>
      <c r="B3355" s="1" t="s">
        <v>1456</v>
      </c>
      <c r="C3355" s="1" t="s">
        <v>1844</v>
      </c>
      <c r="D3355" s="1" t="s">
        <v>1730</v>
      </c>
      <c r="E3355">
        <v>20251222</v>
      </c>
      <c r="F3355" s="1" t="s">
        <v>1470</v>
      </c>
      <c r="G3355">
        <v>4</v>
      </c>
      <c r="H3355" s="1" t="s">
        <v>1503</v>
      </c>
      <c r="I3355" t="s">
        <v>1883</v>
      </c>
      <c r="J3355" s="1" t="s">
        <v>1456</v>
      </c>
      <c r="K3355" s="1" t="s">
        <v>1570</v>
      </c>
      <c r="L3355" s="1" t="s">
        <v>1729</v>
      </c>
      <c r="M3355" s="1" t="s">
        <v>1741</v>
      </c>
      <c r="N3355" t="s">
        <v>1943</v>
      </c>
      <c r="O3355" t="s">
        <v>2826</v>
      </c>
      <c r="P3355" t="s">
        <v>3243</v>
      </c>
      <c r="Q3355">
        <v>2</v>
      </c>
      <c r="R3355" s="1" t="s">
        <v>1718</v>
      </c>
      <c r="S3355">
        <v>0</v>
      </c>
      <c r="T3355">
        <v>0</v>
      </c>
    </row>
    <row r="3356" spans="1:20" hidden="1" x14ac:dyDescent="0.4">
      <c r="A3356" s="1" t="s">
        <v>1298</v>
      </c>
      <c r="B3356" s="1" t="s">
        <v>1457</v>
      </c>
      <c r="C3356" s="1" t="s">
        <v>1844</v>
      </c>
      <c r="D3356" s="1" t="s">
        <v>1730</v>
      </c>
      <c r="E3356">
        <v>20251222</v>
      </c>
      <c r="F3356" s="1" t="s">
        <v>1470</v>
      </c>
      <c r="G3356">
        <v>4</v>
      </c>
      <c r="H3356" s="1" t="s">
        <v>1503</v>
      </c>
      <c r="I3356" t="s">
        <v>1883</v>
      </c>
      <c r="J3356" s="1" t="s">
        <v>1456</v>
      </c>
      <c r="K3356" s="1" t="s">
        <v>1570</v>
      </c>
      <c r="L3356" s="1" t="s">
        <v>1729</v>
      </c>
      <c r="M3356" s="1" t="s">
        <v>1742</v>
      </c>
      <c r="N3356" t="s">
        <v>1943</v>
      </c>
      <c r="O3356" t="s">
        <v>2826</v>
      </c>
      <c r="P3356" t="s">
        <v>3245</v>
      </c>
      <c r="Q3356">
        <v>10</v>
      </c>
      <c r="R3356" s="1" t="s">
        <v>1718</v>
      </c>
      <c r="S3356">
        <v>0</v>
      </c>
      <c r="T3356">
        <v>0</v>
      </c>
    </row>
    <row r="3357" spans="1:20" hidden="1" x14ac:dyDescent="0.4">
      <c r="A3357" s="1" t="s">
        <v>1298</v>
      </c>
      <c r="B3357" s="1" t="s">
        <v>1458</v>
      </c>
      <c r="C3357" s="1" t="s">
        <v>1844</v>
      </c>
      <c r="D3357" s="1" t="s">
        <v>1730</v>
      </c>
      <c r="E3357">
        <v>20251222</v>
      </c>
      <c r="F3357" s="1" t="s">
        <v>1470</v>
      </c>
      <c r="G3357">
        <v>4</v>
      </c>
      <c r="H3357" s="1" t="s">
        <v>1503</v>
      </c>
      <c r="I3357" t="s">
        <v>1883</v>
      </c>
      <c r="J3357" s="1" t="s">
        <v>1456</v>
      </c>
      <c r="K3357" s="1" t="s">
        <v>1570</v>
      </c>
      <c r="L3357" s="1" t="s">
        <v>1729</v>
      </c>
      <c r="M3357" s="1" t="s">
        <v>1741</v>
      </c>
      <c r="N3357" t="s">
        <v>1943</v>
      </c>
      <c r="O3357" t="s">
        <v>2826</v>
      </c>
      <c r="P3357" t="s">
        <v>3243</v>
      </c>
      <c r="Q3357">
        <v>20</v>
      </c>
      <c r="R3357" s="1" t="s">
        <v>1718</v>
      </c>
      <c r="S3357">
        <v>0</v>
      </c>
      <c r="T3357">
        <v>0</v>
      </c>
    </row>
    <row r="3358" spans="1:20" hidden="1" x14ac:dyDescent="0.4">
      <c r="A3358" s="1" t="s">
        <v>1299</v>
      </c>
      <c r="B3358" s="1" t="s">
        <v>1453</v>
      </c>
      <c r="C3358" s="1" t="s">
        <v>1844</v>
      </c>
      <c r="D3358" s="1" t="s">
        <v>1462</v>
      </c>
      <c r="E3358">
        <v>20251222</v>
      </c>
      <c r="F3358" s="1" t="s">
        <v>1470</v>
      </c>
      <c r="G3358">
        <v>4</v>
      </c>
      <c r="H3358" s="1" t="s">
        <v>1512</v>
      </c>
      <c r="I3358" t="s">
        <v>1892</v>
      </c>
      <c r="J3358" s="1" t="s">
        <v>1456</v>
      </c>
      <c r="K3358" s="1" t="s">
        <v>1558</v>
      </c>
      <c r="L3358" s="1" t="s">
        <v>1729</v>
      </c>
      <c r="M3358" s="1" t="s">
        <v>1737</v>
      </c>
      <c r="N3358" t="s">
        <v>2096</v>
      </c>
      <c r="O3358" t="s">
        <v>2827</v>
      </c>
      <c r="P3358" t="s">
        <v>3594</v>
      </c>
      <c r="Q3358">
        <v>2</v>
      </c>
      <c r="R3358" s="1" t="s">
        <v>1718</v>
      </c>
      <c r="S3358">
        <v>27657</v>
      </c>
      <c r="T3358">
        <v>55314</v>
      </c>
    </row>
    <row r="3359" spans="1:20" hidden="1" x14ac:dyDescent="0.4">
      <c r="A3359" s="1" t="s">
        <v>1300</v>
      </c>
      <c r="B3359" s="1" t="s">
        <v>1453</v>
      </c>
      <c r="C3359" s="1" t="s">
        <v>1844</v>
      </c>
      <c r="D3359" s="1" t="s">
        <v>1462</v>
      </c>
      <c r="E3359">
        <v>20251222</v>
      </c>
      <c r="F3359" s="1" t="s">
        <v>1470</v>
      </c>
      <c r="G3359">
        <v>4</v>
      </c>
      <c r="H3359" s="1" t="s">
        <v>1512</v>
      </c>
      <c r="I3359" t="s">
        <v>1892</v>
      </c>
      <c r="J3359" s="1" t="s">
        <v>1456</v>
      </c>
      <c r="K3359" s="1" t="s">
        <v>1558</v>
      </c>
      <c r="L3359" s="1" t="s">
        <v>1729</v>
      </c>
      <c r="M3359" s="1" t="s">
        <v>1737</v>
      </c>
      <c r="N3359" t="s">
        <v>2096</v>
      </c>
      <c r="O3359" t="s">
        <v>2510</v>
      </c>
      <c r="P3359" t="s">
        <v>3595</v>
      </c>
      <c r="Q3359">
        <v>6</v>
      </c>
      <c r="R3359" s="1" t="s">
        <v>1718</v>
      </c>
      <c r="S3359">
        <v>33546</v>
      </c>
      <c r="T3359">
        <v>201276</v>
      </c>
    </row>
    <row r="3360" spans="1:20" hidden="1" x14ac:dyDescent="0.4">
      <c r="A3360" s="1" t="s">
        <v>1301</v>
      </c>
      <c r="B3360" s="1" t="s">
        <v>1453</v>
      </c>
      <c r="C3360" s="1" t="s">
        <v>1844</v>
      </c>
      <c r="D3360" s="1" t="s">
        <v>1462</v>
      </c>
      <c r="E3360">
        <v>20251222</v>
      </c>
      <c r="F3360" s="1" t="s">
        <v>1470</v>
      </c>
      <c r="G3360">
        <v>4</v>
      </c>
      <c r="H3360" s="1" t="s">
        <v>1512</v>
      </c>
      <c r="I3360" t="s">
        <v>1892</v>
      </c>
      <c r="J3360" s="1" t="s">
        <v>1456</v>
      </c>
      <c r="K3360" s="1" t="s">
        <v>1558</v>
      </c>
      <c r="L3360" s="1" t="s">
        <v>1729</v>
      </c>
      <c r="M3360" s="1" t="s">
        <v>1737</v>
      </c>
      <c r="N3360" t="s">
        <v>2096</v>
      </c>
      <c r="O3360" t="s">
        <v>2828</v>
      </c>
      <c r="P3360" t="s">
        <v>3596</v>
      </c>
      <c r="Q3360">
        <v>2</v>
      </c>
      <c r="R3360" s="1" t="s">
        <v>1718</v>
      </c>
      <c r="S3360">
        <v>24791</v>
      </c>
      <c r="T3360">
        <v>49582</v>
      </c>
    </row>
    <row r="3361" spans="1:20" hidden="1" x14ac:dyDescent="0.4">
      <c r="A3361" s="1" t="s">
        <v>1302</v>
      </c>
      <c r="B3361" s="1" t="s">
        <v>1453</v>
      </c>
      <c r="C3361" s="1" t="s">
        <v>1844</v>
      </c>
      <c r="D3361" s="1" t="s">
        <v>1462</v>
      </c>
      <c r="E3361">
        <v>20251222</v>
      </c>
      <c r="F3361" s="1" t="s">
        <v>1470</v>
      </c>
      <c r="G3361">
        <v>4</v>
      </c>
      <c r="H3361" s="1" t="s">
        <v>1512</v>
      </c>
      <c r="I3361" t="s">
        <v>1892</v>
      </c>
      <c r="J3361" s="1" t="s">
        <v>1456</v>
      </c>
      <c r="K3361" s="1" t="s">
        <v>1558</v>
      </c>
      <c r="L3361" s="1" t="s">
        <v>1729</v>
      </c>
      <c r="M3361" s="1" t="s">
        <v>1737</v>
      </c>
      <c r="N3361" t="s">
        <v>2096</v>
      </c>
      <c r="O3361" t="s">
        <v>2829</v>
      </c>
      <c r="P3361" t="s">
        <v>3597</v>
      </c>
      <c r="Q3361">
        <v>2</v>
      </c>
      <c r="R3361" s="1" t="s">
        <v>1718</v>
      </c>
      <c r="S3361">
        <v>10371</v>
      </c>
      <c r="T3361">
        <v>20742</v>
      </c>
    </row>
    <row r="3362" spans="1:20" hidden="1" x14ac:dyDescent="0.4">
      <c r="A3362" s="1" t="s">
        <v>1302</v>
      </c>
      <c r="B3362" s="1" t="s">
        <v>1454</v>
      </c>
      <c r="C3362" s="1" t="s">
        <v>1844</v>
      </c>
      <c r="D3362" s="1" t="s">
        <v>1462</v>
      </c>
      <c r="E3362">
        <v>20251222</v>
      </c>
      <c r="F3362" s="1" t="s">
        <v>1470</v>
      </c>
      <c r="G3362">
        <v>4</v>
      </c>
      <c r="H3362" s="1" t="s">
        <v>1512</v>
      </c>
      <c r="I3362" t="s">
        <v>1892</v>
      </c>
      <c r="J3362" s="1" t="s">
        <v>1456</v>
      </c>
      <c r="K3362" s="1" t="s">
        <v>1558</v>
      </c>
      <c r="L3362" s="1" t="s">
        <v>1729</v>
      </c>
      <c r="M3362" s="1" t="s">
        <v>1737</v>
      </c>
      <c r="N3362" t="s">
        <v>2096</v>
      </c>
      <c r="O3362" t="s">
        <v>2829</v>
      </c>
      <c r="P3362" t="s">
        <v>3598</v>
      </c>
      <c r="Q3362">
        <v>2</v>
      </c>
      <c r="R3362" s="1" t="s">
        <v>1718</v>
      </c>
      <c r="S3362">
        <v>17285</v>
      </c>
      <c r="T3362">
        <v>34570</v>
      </c>
    </row>
    <row r="3363" spans="1:20" hidden="1" x14ac:dyDescent="0.4">
      <c r="A3363" s="1" t="s">
        <v>1303</v>
      </c>
      <c r="B3363" s="1" t="s">
        <v>1453</v>
      </c>
      <c r="C3363" s="1" t="s">
        <v>1844</v>
      </c>
      <c r="D3363" s="1" t="s">
        <v>1462</v>
      </c>
      <c r="E3363">
        <v>20251222</v>
      </c>
      <c r="F3363" s="1" t="s">
        <v>1470</v>
      </c>
      <c r="G3363">
        <v>4</v>
      </c>
      <c r="H3363" s="1" t="s">
        <v>1512</v>
      </c>
      <c r="I3363" t="s">
        <v>1892</v>
      </c>
      <c r="J3363" s="1" t="s">
        <v>1456</v>
      </c>
      <c r="K3363" s="1" t="s">
        <v>1558</v>
      </c>
      <c r="L3363" s="1" t="s">
        <v>1729</v>
      </c>
      <c r="M3363" s="1" t="s">
        <v>1737</v>
      </c>
      <c r="N3363" t="s">
        <v>2096</v>
      </c>
      <c r="O3363" t="s">
        <v>2454</v>
      </c>
      <c r="P3363" t="s">
        <v>3599</v>
      </c>
      <c r="Q3363">
        <v>1</v>
      </c>
      <c r="R3363" s="1" t="s">
        <v>1718</v>
      </c>
      <c r="S3363">
        <v>8579</v>
      </c>
      <c r="T3363">
        <v>8579</v>
      </c>
    </row>
    <row r="3364" spans="1:20" hidden="1" x14ac:dyDescent="0.4">
      <c r="A3364" s="1" t="s">
        <v>1304</v>
      </c>
      <c r="B3364" s="1" t="s">
        <v>1453</v>
      </c>
      <c r="C3364" s="1" t="s">
        <v>1844</v>
      </c>
      <c r="D3364" s="1" t="s">
        <v>1462</v>
      </c>
      <c r="E3364">
        <v>20251222</v>
      </c>
      <c r="F3364" s="1" t="s">
        <v>1470</v>
      </c>
      <c r="G3364">
        <v>4</v>
      </c>
      <c r="H3364" s="1" t="s">
        <v>1512</v>
      </c>
      <c r="I3364" t="s">
        <v>1892</v>
      </c>
      <c r="J3364" s="1" t="s">
        <v>1456</v>
      </c>
      <c r="K3364" s="1" t="s">
        <v>1558</v>
      </c>
      <c r="L3364" s="1" t="s">
        <v>1729</v>
      </c>
      <c r="M3364" s="1" t="s">
        <v>1737</v>
      </c>
      <c r="N3364" t="s">
        <v>2096</v>
      </c>
      <c r="O3364" t="s">
        <v>2830</v>
      </c>
      <c r="P3364" t="s">
        <v>3600</v>
      </c>
      <c r="Q3364">
        <v>1</v>
      </c>
      <c r="R3364" s="1" t="s">
        <v>1718</v>
      </c>
      <c r="S3364">
        <v>26888</v>
      </c>
      <c r="T3364">
        <v>26888</v>
      </c>
    </row>
    <row r="3365" spans="1:20" hidden="1" x14ac:dyDescent="0.4">
      <c r="A3365" s="1" t="s">
        <v>1305</v>
      </c>
      <c r="B3365" s="1" t="s">
        <v>1453</v>
      </c>
      <c r="C3365" s="1" t="s">
        <v>1844</v>
      </c>
      <c r="D3365" s="1" t="s">
        <v>1462</v>
      </c>
      <c r="E3365">
        <v>20251220</v>
      </c>
      <c r="F3365" s="1" t="s">
        <v>1473</v>
      </c>
      <c r="G3365">
        <v>4</v>
      </c>
      <c r="H3365" s="1" t="s">
        <v>1517</v>
      </c>
      <c r="I3365" t="s">
        <v>1897</v>
      </c>
      <c r="J3365" s="1" t="s">
        <v>1454</v>
      </c>
      <c r="K3365" s="1" t="s">
        <v>1602</v>
      </c>
      <c r="L3365" s="1" t="s">
        <v>1723</v>
      </c>
      <c r="M3365" s="1" t="s">
        <v>1737</v>
      </c>
      <c r="N3365" t="s">
        <v>2144</v>
      </c>
      <c r="O3365" t="s">
        <v>2169</v>
      </c>
      <c r="P3365" t="s">
        <v>3086</v>
      </c>
      <c r="Q3365">
        <v>50.7</v>
      </c>
      <c r="R3365" s="1" t="s">
        <v>1840</v>
      </c>
      <c r="S3365">
        <v>1240</v>
      </c>
      <c r="T3365">
        <v>62868</v>
      </c>
    </row>
    <row r="3366" spans="1:20" hidden="1" x14ac:dyDescent="0.4">
      <c r="A3366" s="1" t="s">
        <v>1305</v>
      </c>
      <c r="B3366" s="1" t="s">
        <v>1454</v>
      </c>
      <c r="C3366" s="1" t="s">
        <v>1844</v>
      </c>
      <c r="D3366" s="1" t="s">
        <v>1462</v>
      </c>
      <c r="E3366">
        <v>20251220</v>
      </c>
      <c r="F3366" s="1" t="s">
        <v>1473</v>
      </c>
      <c r="G3366">
        <v>4</v>
      </c>
      <c r="H3366" s="1" t="s">
        <v>1517</v>
      </c>
      <c r="I3366" t="s">
        <v>1897</v>
      </c>
      <c r="J3366" s="1" t="s">
        <v>1454</v>
      </c>
      <c r="K3366" s="1" t="s">
        <v>1602</v>
      </c>
      <c r="L3366" s="1" t="s">
        <v>1723</v>
      </c>
      <c r="M3366" s="1" t="s">
        <v>1737</v>
      </c>
      <c r="N3366" t="s">
        <v>2144</v>
      </c>
      <c r="O3366" t="s">
        <v>2169</v>
      </c>
      <c r="P3366" t="s">
        <v>3087</v>
      </c>
      <c r="Q3366">
        <v>52.9</v>
      </c>
      <c r="R3366" s="1" t="s">
        <v>1840</v>
      </c>
      <c r="S3366">
        <v>1240</v>
      </c>
      <c r="T3366">
        <v>65596</v>
      </c>
    </row>
    <row r="3367" spans="1:20" hidden="1" x14ac:dyDescent="0.4">
      <c r="A3367" s="1" t="s">
        <v>1305</v>
      </c>
      <c r="B3367" s="1" t="s">
        <v>1455</v>
      </c>
      <c r="C3367" s="1" t="s">
        <v>1844</v>
      </c>
      <c r="D3367" s="1" t="s">
        <v>1462</v>
      </c>
      <c r="E3367">
        <v>20251220</v>
      </c>
      <c r="F3367" s="1" t="s">
        <v>1473</v>
      </c>
      <c r="G3367">
        <v>4</v>
      </c>
      <c r="H3367" s="1" t="s">
        <v>1517</v>
      </c>
      <c r="I3367" t="s">
        <v>1897</v>
      </c>
      <c r="J3367" s="1" t="s">
        <v>1454</v>
      </c>
      <c r="K3367" s="1" t="s">
        <v>1602</v>
      </c>
      <c r="L3367" s="1" t="s">
        <v>1723</v>
      </c>
      <c r="M3367" s="1" t="s">
        <v>1737</v>
      </c>
      <c r="N3367" t="s">
        <v>2144</v>
      </c>
      <c r="O3367" t="s">
        <v>2169</v>
      </c>
      <c r="P3367" t="s">
        <v>3088</v>
      </c>
      <c r="Q3367">
        <v>50.2</v>
      </c>
      <c r="R3367" s="1" t="s">
        <v>1840</v>
      </c>
      <c r="S3367">
        <v>1240</v>
      </c>
      <c r="T3367">
        <v>62248</v>
      </c>
    </row>
    <row r="3368" spans="1:20" hidden="1" x14ac:dyDescent="0.4">
      <c r="A3368" s="1" t="s">
        <v>1305</v>
      </c>
      <c r="B3368" s="1" t="s">
        <v>1456</v>
      </c>
      <c r="C3368" s="1" t="s">
        <v>1844</v>
      </c>
      <c r="D3368" s="1" t="s">
        <v>1462</v>
      </c>
      <c r="E3368">
        <v>20251220</v>
      </c>
      <c r="F3368" s="1" t="s">
        <v>1473</v>
      </c>
      <c r="G3368">
        <v>4</v>
      </c>
      <c r="H3368" s="1" t="s">
        <v>1517</v>
      </c>
      <c r="I3368" t="s">
        <v>1897</v>
      </c>
      <c r="J3368" s="1" t="s">
        <v>1454</v>
      </c>
      <c r="K3368" s="1" t="s">
        <v>1602</v>
      </c>
      <c r="L3368" s="1" t="s">
        <v>1723</v>
      </c>
      <c r="M3368" s="1" t="s">
        <v>1737</v>
      </c>
      <c r="N3368" t="s">
        <v>2144</v>
      </c>
      <c r="O3368" t="s">
        <v>2169</v>
      </c>
      <c r="P3368" t="s">
        <v>3089</v>
      </c>
      <c r="Q3368">
        <v>52.8</v>
      </c>
      <c r="R3368" s="1" t="s">
        <v>1840</v>
      </c>
      <c r="S3368">
        <v>1240</v>
      </c>
      <c r="T3368">
        <v>65472</v>
      </c>
    </row>
    <row r="3369" spans="1:20" hidden="1" x14ac:dyDescent="0.4">
      <c r="A3369" s="1" t="s">
        <v>1306</v>
      </c>
      <c r="B3369" s="1" t="s">
        <v>1453</v>
      </c>
      <c r="C3369" s="1" t="s">
        <v>1844</v>
      </c>
      <c r="D3369" s="1" t="s">
        <v>1852</v>
      </c>
      <c r="E3369">
        <v>20251219</v>
      </c>
      <c r="F3369" s="1" t="s">
        <v>1473</v>
      </c>
      <c r="G3369">
        <v>4</v>
      </c>
      <c r="H3369" s="1" t="s">
        <v>1493</v>
      </c>
      <c r="I3369" t="s">
        <v>1873</v>
      </c>
      <c r="J3369" s="1" t="s">
        <v>1453</v>
      </c>
      <c r="K3369" s="1" t="s">
        <v>1585</v>
      </c>
      <c r="L3369" s="1" t="s">
        <v>1718</v>
      </c>
      <c r="M3369" s="1" t="s">
        <v>1754</v>
      </c>
      <c r="N3369" t="s">
        <v>1960</v>
      </c>
      <c r="O3369" t="s">
        <v>2164</v>
      </c>
      <c r="P3369" t="s">
        <v>3067</v>
      </c>
      <c r="Q3369">
        <v>-120.12</v>
      </c>
      <c r="R3369" s="1" t="s">
        <v>1839</v>
      </c>
      <c r="S3369">
        <v>3105</v>
      </c>
      <c r="T3369">
        <v>-372972</v>
      </c>
    </row>
    <row r="3370" spans="1:20" hidden="1" x14ac:dyDescent="0.4">
      <c r="A3370" s="1" t="s">
        <v>1307</v>
      </c>
      <c r="B3370" s="1" t="s">
        <v>1453</v>
      </c>
      <c r="C3370" s="1" t="s">
        <v>1844</v>
      </c>
      <c r="D3370" s="1" t="s">
        <v>1462</v>
      </c>
      <c r="E3370">
        <v>20251219</v>
      </c>
      <c r="F3370" s="1" t="s">
        <v>1470</v>
      </c>
      <c r="G3370">
        <v>4</v>
      </c>
      <c r="H3370" s="1" t="s">
        <v>1503</v>
      </c>
      <c r="I3370" t="s">
        <v>1883</v>
      </c>
      <c r="J3370" s="1" t="s">
        <v>1456</v>
      </c>
      <c r="K3370" s="1" t="s">
        <v>1606</v>
      </c>
      <c r="L3370" s="1" t="s">
        <v>1729</v>
      </c>
      <c r="M3370" s="1" t="s">
        <v>1735</v>
      </c>
      <c r="N3370" t="s">
        <v>1981</v>
      </c>
      <c r="O3370" t="s">
        <v>2831</v>
      </c>
      <c r="P3370" t="s">
        <v>3037</v>
      </c>
      <c r="Q3370">
        <v>45.5</v>
      </c>
      <c r="R3370" s="1" t="s">
        <v>1839</v>
      </c>
      <c r="S3370">
        <v>2850</v>
      </c>
      <c r="T3370">
        <v>129675</v>
      </c>
    </row>
    <row r="3371" spans="1:20" hidden="1" x14ac:dyDescent="0.4">
      <c r="A3371" s="1" t="s">
        <v>1307</v>
      </c>
      <c r="B3371" s="1" t="s">
        <v>1454</v>
      </c>
      <c r="C3371" s="1" t="s">
        <v>1844</v>
      </c>
      <c r="D3371" s="1" t="s">
        <v>1462</v>
      </c>
      <c r="E3371">
        <v>20251219</v>
      </c>
      <c r="F3371" s="1" t="s">
        <v>1470</v>
      </c>
      <c r="G3371">
        <v>4</v>
      </c>
      <c r="H3371" s="1" t="s">
        <v>1503</v>
      </c>
      <c r="I3371" t="s">
        <v>1883</v>
      </c>
      <c r="J3371" s="1" t="s">
        <v>1456</v>
      </c>
      <c r="K3371" s="1" t="s">
        <v>1606</v>
      </c>
      <c r="L3371" s="1" t="s">
        <v>1729</v>
      </c>
      <c r="M3371" s="1" t="s">
        <v>1735</v>
      </c>
      <c r="N3371" t="s">
        <v>1981</v>
      </c>
      <c r="O3371" t="s">
        <v>2832</v>
      </c>
      <c r="P3371" t="s">
        <v>3037</v>
      </c>
      <c r="Q3371">
        <v>45.5</v>
      </c>
      <c r="R3371" s="1" t="s">
        <v>1839</v>
      </c>
      <c r="S3371">
        <v>2850</v>
      </c>
      <c r="T3371">
        <v>129675</v>
      </c>
    </row>
    <row r="3372" spans="1:20" hidden="1" x14ac:dyDescent="0.4">
      <c r="A3372" s="1" t="s">
        <v>1307</v>
      </c>
      <c r="B3372" s="1" t="s">
        <v>1455</v>
      </c>
      <c r="C3372" s="1" t="s">
        <v>1844</v>
      </c>
      <c r="D3372" s="1" t="s">
        <v>1462</v>
      </c>
      <c r="E3372">
        <v>20251219</v>
      </c>
      <c r="F3372" s="1" t="s">
        <v>1470</v>
      </c>
      <c r="G3372">
        <v>4</v>
      </c>
      <c r="H3372" s="1" t="s">
        <v>1503</v>
      </c>
      <c r="I3372" t="s">
        <v>1883</v>
      </c>
      <c r="J3372" s="1" t="s">
        <v>1456</v>
      </c>
      <c r="K3372" s="1" t="s">
        <v>1606</v>
      </c>
      <c r="L3372" s="1" t="s">
        <v>1729</v>
      </c>
      <c r="M3372" s="1" t="s">
        <v>1735</v>
      </c>
      <c r="N3372" t="s">
        <v>1981</v>
      </c>
      <c r="O3372" t="s">
        <v>2833</v>
      </c>
      <c r="P3372" t="s">
        <v>3037</v>
      </c>
      <c r="Q3372">
        <v>45.5</v>
      </c>
      <c r="R3372" s="1" t="s">
        <v>1839</v>
      </c>
      <c r="S3372">
        <v>2850</v>
      </c>
      <c r="T3372">
        <v>129675</v>
      </c>
    </row>
    <row r="3373" spans="1:20" hidden="1" x14ac:dyDescent="0.4">
      <c r="A3373" s="1" t="s">
        <v>1307</v>
      </c>
      <c r="B3373" s="1" t="s">
        <v>1456</v>
      </c>
      <c r="C3373" s="1" t="s">
        <v>1844</v>
      </c>
      <c r="D3373" s="1" t="s">
        <v>1462</v>
      </c>
      <c r="E3373">
        <v>20251219</v>
      </c>
      <c r="F3373" s="1" t="s">
        <v>1470</v>
      </c>
      <c r="G3373">
        <v>4</v>
      </c>
      <c r="H3373" s="1" t="s">
        <v>1503</v>
      </c>
      <c r="I3373" t="s">
        <v>1883</v>
      </c>
      <c r="J3373" s="1" t="s">
        <v>1456</v>
      </c>
      <c r="K3373" s="1" t="s">
        <v>1606</v>
      </c>
      <c r="L3373" s="1" t="s">
        <v>1729</v>
      </c>
      <c r="M3373" s="1" t="s">
        <v>1735</v>
      </c>
      <c r="N3373" t="s">
        <v>1981</v>
      </c>
      <c r="O3373" t="s">
        <v>2834</v>
      </c>
      <c r="P3373" t="s">
        <v>3037</v>
      </c>
      <c r="Q3373">
        <v>45.5</v>
      </c>
      <c r="R3373" s="1" t="s">
        <v>1839</v>
      </c>
      <c r="S3373">
        <v>2850</v>
      </c>
      <c r="T3373">
        <v>129675</v>
      </c>
    </row>
    <row r="3374" spans="1:20" hidden="1" x14ac:dyDescent="0.4">
      <c r="A3374" s="1" t="s">
        <v>1307</v>
      </c>
      <c r="B3374" s="1" t="s">
        <v>1457</v>
      </c>
      <c r="C3374" s="1" t="s">
        <v>1844</v>
      </c>
      <c r="D3374" s="1" t="s">
        <v>1462</v>
      </c>
      <c r="E3374">
        <v>20251219</v>
      </c>
      <c r="F3374" s="1" t="s">
        <v>1470</v>
      </c>
      <c r="G3374">
        <v>4</v>
      </c>
      <c r="H3374" s="1" t="s">
        <v>1503</v>
      </c>
      <c r="I3374" t="s">
        <v>1883</v>
      </c>
      <c r="J3374" s="1" t="s">
        <v>1456</v>
      </c>
      <c r="K3374" s="1" t="s">
        <v>1606</v>
      </c>
      <c r="L3374" s="1" t="s">
        <v>1729</v>
      </c>
      <c r="M3374" s="1" t="s">
        <v>1735</v>
      </c>
      <c r="N3374" t="s">
        <v>1981</v>
      </c>
      <c r="O3374" t="s">
        <v>2835</v>
      </c>
      <c r="P3374" t="s">
        <v>3037</v>
      </c>
      <c r="Q3374">
        <v>45.5</v>
      </c>
      <c r="R3374" s="1" t="s">
        <v>1839</v>
      </c>
      <c r="S3374">
        <v>2850</v>
      </c>
      <c r="T3374">
        <v>129675</v>
      </c>
    </row>
    <row r="3375" spans="1:20" hidden="1" x14ac:dyDescent="0.4">
      <c r="A3375" s="1" t="s">
        <v>1307</v>
      </c>
      <c r="B3375" s="1" t="s">
        <v>1458</v>
      </c>
      <c r="C3375" s="1" t="s">
        <v>1844</v>
      </c>
      <c r="D3375" s="1" t="s">
        <v>1462</v>
      </c>
      <c r="E3375">
        <v>20251219</v>
      </c>
      <c r="F3375" s="1" t="s">
        <v>1470</v>
      </c>
      <c r="G3375">
        <v>4</v>
      </c>
      <c r="H3375" s="1" t="s">
        <v>1503</v>
      </c>
      <c r="I3375" t="s">
        <v>1883</v>
      </c>
      <c r="J3375" s="1" t="s">
        <v>1456</v>
      </c>
      <c r="K3375" s="1" t="s">
        <v>1606</v>
      </c>
      <c r="L3375" s="1" t="s">
        <v>1729</v>
      </c>
      <c r="M3375" s="1" t="s">
        <v>1735</v>
      </c>
      <c r="N3375" t="s">
        <v>1981</v>
      </c>
      <c r="O3375" t="s">
        <v>2836</v>
      </c>
      <c r="P3375" t="s">
        <v>3037</v>
      </c>
      <c r="Q3375">
        <v>45.5</v>
      </c>
      <c r="R3375" s="1" t="s">
        <v>1839</v>
      </c>
      <c r="S3375">
        <v>2850</v>
      </c>
      <c r="T3375">
        <v>129675</v>
      </c>
    </row>
    <row r="3376" spans="1:20" hidden="1" x14ac:dyDescent="0.4">
      <c r="A3376" s="1" t="s">
        <v>1307</v>
      </c>
      <c r="B3376" s="1" t="s">
        <v>1459</v>
      </c>
      <c r="C3376" s="1" t="s">
        <v>1844</v>
      </c>
      <c r="D3376" s="1" t="s">
        <v>1462</v>
      </c>
      <c r="E3376">
        <v>20251219</v>
      </c>
      <c r="F3376" s="1" t="s">
        <v>1470</v>
      </c>
      <c r="G3376">
        <v>4</v>
      </c>
      <c r="H3376" s="1" t="s">
        <v>1503</v>
      </c>
      <c r="I3376" t="s">
        <v>1883</v>
      </c>
      <c r="J3376" s="1" t="s">
        <v>1456</v>
      </c>
      <c r="K3376" s="1" t="s">
        <v>1606</v>
      </c>
      <c r="L3376" s="1" t="s">
        <v>1729</v>
      </c>
      <c r="M3376" s="1" t="s">
        <v>1735</v>
      </c>
      <c r="N3376" t="s">
        <v>1981</v>
      </c>
      <c r="O3376" t="s">
        <v>2837</v>
      </c>
      <c r="P3376" t="s">
        <v>3037</v>
      </c>
      <c r="Q3376">
        <v>48</v>
      </c>
      <c r="R3376" s="1" t="s">
        <v>1839</v>
      </c>
      <c r="S3376">
        <v>2850</v>
      </c>
      <c r="T3376">
        <v>136800</v>
      </c>
    </row>
    <row r="3377" spans="1:20" hidden="1" x14ac:dyDescent="0.4">
      <c r="A3377" s="1" t="s">
        <v>1307</v>
      </c>
      <c r="B3377" s="1" t="s">
        <v>1460</v>
      </c>
      <c r="C3377" s="1" t="s">
        <v>1844</v>
      </c>
      <c r="D3377" s="1" t="s">
        <v>1462</v>
      </c>
      <c r="E3377">
        <v>20251219</v>
      </c>
      <c r="F3377" s="1" t="s">
        <v>1470</v>
      </c>
      <c r="G3377">
        <v>4</v>
      </c>
      <c r="H3377" s="1" t="s">
        <v>1503</v>
      </c>
      <c r="I3377" t="s">
        <v>1883</v>
      </c>
      <c r="J3377" s="1" t="s">
        <v>1456</v>
      </c>
      <c r="K3377" s="1" t="s">
        <v>1606</v>
      </c>
      <c r="L3377" s="1" t="s">
        <v>1729</v>
      </c>
      <c r="M3377" s="1" t="s">
        <v>1735</v>
      </c>
      <c r="N3377" t="s">
        <v>1981</v>
      </c>
      <c r="O3377" t="s">
        <v>2838</v>
      </c>
      <c r="P3377" t="s">
        <v>3037</v>
      </c>
      <c r="Q3377">
        <v>43.9</v>
      </c>
      <c r="R3377" s="1" t="s">
        <v>1839</v>
      </c>
      <c r="S3377">
        <v>2850</v>
      </c>
      <c r="T3377">
        <v>125115</v>
      </c>
    </row>
    <row r="3378" spans="1:20" hidden="1" x14ac:dyDescent="0.4">
      <c r="A3378" s="1" t="s">
        <v>1307</v>
      </c>
      <c r="B3378" s="1" t="s">
        <v>1461</v>
      </c>
      <c r="C3378" s="1" t="s">
        <v>1844</v>
      </c>
      <c r="D3378" s="1" t="s">
        <v>1462</v>
      </c>
      <c r="E3378">
        <v>20251219</v>
      </c>
      <c r="F3378" s="1" t="s">
        <v>1470</v>
      </c>
      <c r="G3378">
        <v>4</v>
      </c>
      <c r="H3378" s="1" t="s">
        <v>1503</v>
      </c>
      <c r="I3378" t="s">
        <v>1883</v>
      </c>
      <c r="J3378" s="1" t="s">
        <v>1456</v>
      </c>
      <c r="K3378" s="1" t="s">
        <v>1606</v>
      </c>
      <c r="L3378" s="1" t="s">
        <v>1729</v>
      </c>
      <c r="M3378" s="1" t="s">
        <v>1735</v>
      </c>
      <c r="N3378" t="s">
        <v>1981</v>
      </c>
      <c r="O3378" t="s">
        <v>2839</v>
      </c>
      <c r="P3378" t="s">
        <v>3037</v>
      </c>
      <c r="Q3378">
        <v>45.5</v>
      </c>
      <c r="R3378" s="1" t="s">
        <v>1839</v>
      </c>
      <c r="S3378">
        <v>2850</v>
      </c>
      <c r="T3378">
        <v>129675</v>
      </c>
    </row>
    <row r="3379" spans="1:20" hidden="1" x14ac:dyDescent="0.4">
      <c r="A3379" s="1" t="s">
        <v>1307</v>
      </c>
      <c r="B3379" s="1" t="s">
        <v>1462</v>
      </c>
      <c r="C3379" s="1" t="s">
        <v>1844</v>
      </c>
      <c r="D3379" s="1" t="s">
        <v>1462</v>
      </c>
      <c r="E3379">
        <v>20251219</v>
      </c>
      <c r="F3379" s="1" t="s">
        <v>1470</v>
      </c>
      <c r="G3379">
        <v>4</v>
      </c>
      <c r="H3379" s="1" t="s">
        <v>1503</v>
      </c>
      <c r="I3379" t="s">
        <v>1883</v>
      </c>
      <c r="J3379" s="1" t="s">
        <v>1456</v>
      </c>
      <c r="K3379" s="1" t="s">
        <v>1606</v>
      </c>
      <c r="L3379" s="1" t="s">
        <v>1729</v>
      </c>
      <c r="M3379" s="1" t="s">
        <v>1735</v>
      </c>
      <c r="N3379" t="s">
        <v>1981</v>
      </c>
      <c r="O3379" t="s">
        <v>2840</v>
      </c>
      <c r="P3379" t="s">
        <v>3037</v>
      </c>
      <c r="Q3379">
        <v>45.5</v>
      </c>
      <c r="R3379" s="1" t="s">
        <v>1839</v>
      </c>
      <c r="S3379">
        <v>2850</v>
      </c>
      <c r="T3379">
        <v>129675</v>
      </c>
    </row>
    <row r="3380" spans="1:20" hidden="1" x14ac:dyDescent="0.4">
      <c r="A3380" s="1" t="s">
        <v>1307</v>
      </c>
      <c r="B3380" s="1" t="s">
        <v>1463</v>
      </c>
      <c r="C3380" s="1" t="s">
        <v>1844</v>
      </c>
      <c r="D3380" s="1" t="s">
        <v>1462</v>
      </c>
      <c r="E3380">
        <v>20251219</v>
      </c>
      <c r="F3380" s="1" t="s">
        <v>1470</v>
      </c>
      <c r="G3380">
        <v>4</v>
      </c>
      <c r="H3380" s="1" t="s">
        <v>1503</v>
      </c>
      <c r="I3380" t="s">
        <v>1883</v>
      </c>
      <c r="J3380" s="1" t="s">
        <v>1456</v>
      </c>
      <c r="K3380" s="1" t="s">
        <v>1606</v>
      </c>
      <c r="L3380" s="1" t="s">
        <v>1729</v>
      </c>
      <c r="M3380" s="1" t="s">
        <v>1735</v>
      </c>
      <c r="N3380" t="s">
        <v>1981</v>
      </c>
      <c r="O3380" t="s">
        <v>2841</v>
      </c>
      <c r="P3380" t="s">
        <v>3037</v>
      </c>
      <c r="Q3380">
        <v>45.5</v>
      </c>
      <c r="R3380" s="1" t="s">
        <v>1839</v>
      </c>
      <c r="S3380">
        <v>2850</v>
      </c>
      <c r="T3380">
        <v>129675</v>
      </c>
    </row>
    <row r="3381" spans="1:20" hidden="1" x14ac:dyDescent="0.4">
      <c r="A3381" s="1" t="s">
        <v>1308</v>
      </c>
      <c r="B3381" s="1" t="s">
        <v>1453</v>
      </c>
      <c r="C3381" s="1" t="s">
        <v>1844</v>
      </c>
      <c r="D3381" s="1" t="s">
        <v>1462</v>
      </c>
      <c r="E3381">
        <v>20251219</v>
      </c>
      <c r="F3381" s="1" t="s">
        <v>1470</v>
      </c>
      <c r="G3381">
        <v>4</v>
      </c>
      <c r="H3381" s="1" t="s">
        <v>1503</v>
      </c>
      <c r="I3381" t="s">
        <v>1883</v>
      </c>
      <c r="J3381" s="1" t="s">
        <v>1456</v>
      </c>
      <c r="K3381" s="1" t="s">
        <v>1606</v>
      </c>
      <c r="L3381" s="1" t="s">
        <v>1729</v>
      </c>
      <c r="M3381" s="1" t="s">
        <v>1735</v>
      </c>
      <c r="N3381" t="s">
        <v>1981</v>
      </c>
      <c r="O3381" t="s">
        <v>2842</v>
      </c>
      <c r="P3381" t="s">
        <v>3037</v>
      </c>
      <c r="Q3381">
        <v>47.7</v>
      </c>
      <c r="R3381" s="1" t="s">
        <v>1839</v>
      </c>
      <c r="S3381">
        <v>2850</v>
      </c>
      <c r="T3381">
        <v>135945</v>
      </c>
    </row>
    <row r="3382" spans="1:20" hidden="1" x14ac:dyDescent="0.4">
      <c r="A3382" s="1" t="s">
        <v>1308</v>
      </c>
      <c r="B3382" s="1" t="s">
        <v>1454</v>
      </c>
      <c r="C3382" s="1" t="s">
        <v>1844</v>
      </c>
      <c r="D3382" s="1" t="s">
        <v>1462</v>
      </c>
      <c r="E3382">
        <v>20251219</v>
      </c>
      <c r="F3382" s="1" t="s">
        <v>1470</v>
      </c>
      <c r="G3382">
        <v>4</v>
      </c>
      <c r="H3382" s="1" t="s">
        <v>1503</v>
      </c>
      <c r="I3382" t="s">
        <v>1883</v>
      </c>
      <c r="J3382" s="1" t="s">
        <v>1456</v>
      </c>
      <c r="K3382" s="1" t="s">
        <v>1606</v>
      </c>
      <c r="L3382" s="1" t="s">
        <v>1729</v>
      </c>
      <c r="M3382" s="1" t="s">
        <v>1735</v>
      </c>
      <c r="N3382" t="s">
        <v>1981</v>
      </c>
      <c r="O3382" t="s">
        <v>2843</v>
      </c>
      <c r="P3382" t="s">
        <v>3037</v>
      </c>
      <c r="Q3382">
        <v>35.299999999999997</v>
      </c>
      <c r="R3382" s="1" t="s">
        <v>1839</v>
      </c>
      <c r="S3382">
        <v>2850</v>
      </c>
      <c r="T3382">
        <v>100605</v>
      </c>
    </row>
    <row r="3383" spans="1:20" hidden="1" x14ac:dyDescent="0.4">
      <c r="A3383" s="1" t="s">
        <v>1308</v>
      </c>
      <c r="B3383" s="1" t="s">
        <v>1455</v>
      </c>
      <c r="C3383" s="1" t="s">
        <v>1844</v>
      </c>
      <c r="D3383" s="1" t="s">
        <v>1462</v>
      </c>
      <c r="E3383">
        <v>20251219</v>
      </c>
      <c r="F3383" s="1" t="s">
        <v>1470</v>
      </c>
      <c r="G3383">
        <v>4</v>
      </c>
      <c r="H3383" s="1" t="s">
        <v>1503</v>
      </c>
      <c r="I3383" t="s">
        <v>1883</v>
      </c>
      <c r="J3383" s="1" t="s">
        <v>1456</v>
      </c>
      <c r="K3383" s="1" t="s">
        <v>1606</v>
      </c>
      <c r="L3383" s="1" t="s">
        <v>1729</v>
      </c>
      <c r="M3383" s="1" t="s">
        <v>1735</v>
      </c>
      <c r="N3383" t="s">
        <v>1981</v>
      </c>
      <c r="O3383" t="s">
        <v>2844</v>
      </c>
      <c r="P3383" t="s">
        <v>3037</v>
      </c>
      <c r="Q3383">
        <v>41.9</v>
      </c>
      <c r="R3383" s="1" t="s">
        <v>1839</v>
      </c>
      <c r="S3383">
        <v>2850</v>
      </c>
      <c r="T3383">
        <v>119415</v>
      </c>
    </row>
    <row r="3384" spans="1:20" hidden="1" x14ac:dyDescent="0.4">
      <c r="A3384" s="1" t="s">
        <v>1308</v>
      </c>
      <c r="B3384" s="1" t="s">
        <v>1456</v>
      </c>
      <c r="C3384" s="1" t="s">
        <v>1844</v>
      </c>
      <c r="D3384" s="1" t="s">
        <v>1462</v>
      </c>
      <c r="E3384">
        <v>20251219</v>
      </c>
      <c r="F3384" s="1" t="s">
        <v>1470</v>
      </c>
      <c r="G3384">
        <v>4</v>
      </c>
      <c r="H3384" s="1" t="s">
        <v>1503</v>
      </c>
      <c r="I3384" t="s">
        <v>1883</v>
      </c>
      <c r="J3384" s="1" t="s">
        <v>1456</v>
      </c>
      <c r="K3384" s="1" t="s">
        <v>1606</v>
      </c>
      <c r="L3384" s="1" t="s">
        <v>1729</v>
      </c>
      <c r="M3384" s="1" t="s">
        <v>1735</v>
      </c>
      <c r="N3384" t="s">
        <v>1981</v>
      </c>
      <c r="O3384" t="s">
        <v>2845</v>
      </c>
      <c r="P3384" t="s">
        <v>3037</v>
      </c>
      <c r="Q3384">
        <v>45.5</v>
      </c>
      <c r="R3384" s="1" t="s">
        <v>1839</v>
      </c>
      <c r="S3384">
        <v>2850</v>
      </c>
      <c r="T3384">
        <v>129675</v>
      </c>
    </row>
    <row r="3385" spans="1:20" hidden="1" x14ac:dyDescent="0.4">
      <c r="A3385" s="1" t="s">
        <v>1308</v>
      </c>
      <c r="B3385" s="1" t="s">
        <v>1457</v>
      </c>
      <c r="C3385" s="1" t="s">
        <v>1844</v>
      </c>
      <c r="D3385" s="1" t="s">
        <v>1462</v>
      </c>
      <c r="E3385">
        <v>20251219</v>
      </c>
      <c r="F3385" s="1" t="s">
        <v>1470</v>
      </c>
      <c r="G3385">
        <v>4</v>
      </c>
      <c r="H3385" s="1" t="s">
        <v>1503</v>
      </c>
      <c r="I3385" t="s">
        <v>1883</v>
      </c>
      <c r="J3385" s="1" t="s">
        <v>1456</v>
      </c>
      <c r="K3385" s="1" t="s">
        <v>1606</v>
      </c>
      <c r="L3385" s="1" t="s">
        <v>1729</v>
      </c>
      <c r="M3385" s="1" t="s">
        <v>1735</v>
      </c>
      <c r="N3385" t="s">
        <v>1981</v>
      </c>
      <c r="O3385" t="s">
        <v>2846</v>
      </c>
      <c r="P3385" t="s">
        <v>3037</v>
      </c>
      <c r="Q3385">
        <v>45.5</v>
      </c>
      <c r="R3385" s="1" t="s">
        <v>1839</v>
      </c>
      <c r="S3385">
        <v>2850</v>
      </c>
      <c r="T3385">
        <v>129675</v>
      </c>
    </row>
    <row r="3386" spans="1:20" hidden="1" x14ac:dyDescent="0.4">
      <c r="A3386" s="1" t="s">
        <v>1308</v>
      </c>
      <c r="B3386" s="1" t="s">
        <v>1458</v>
      </c>
      <c r="C3386" s="1" t="s">
        <v>1844</v>
      </c>
      <c r="D3386" s="1" t="s">
        <v>1462</v>
      </c>
      <c r="E3386">
        <v>20251219</v>
      </c>
      <c r="F3386" s="1" t="s">
        <v>1470</v>
      </c>
      <c r="G3386">
        <v>4</v>
      </c>
      <c r="H3386" s="1" t="s">
        <v>1503</v>
      </c>
      <c r="I3386" t="s">
        <v>1883</v>
      </c>
      <c r="J3386" s="1" t="s">
        <v>1456</v>
      </c>
      <c r="K3386" s="1" t="s">
        <v>1606</v>
      </c>
      <c r="L3386" s="1" t="s">
        <v>1729</v>
      </c>
      <c r="M3386" s="1" t="s">
        <v>1735</v>
      </c>
      <c r="N3386" t="s">
        <v>1981</v>
      </c>
      <c r="O3386" t="s">
        <v>2847</v>
      </c>
      <c r="P3386" t="s">
        <v>3037</v>
      </c>
      <c r="Q3386">
        <v>45.5</v>
      </c>
      <c r="R3386" s="1" t="s">
        <v>1839</v>
      </c>
      <c r="S3386">
        <v>2850</v>
      </c>
      <c r="T3386">
        <v>129675</v>
      </c>
    </row>
    <row r="3387" spans="1:20" hidden="1" x14ac:dyDescent="0.4">
      <c r="A3387" s="1" t="s">
        <v>1308</v>
      </c>
      <c r="B3387" s="1" t="s">
        <v>1459</v>
      </c>
      <c r="C3387" s="1" t="s">
        <v>1844</v>
      </c>
      <c r="D3387" s="1" t="s">
        <v>1462</v>
      </c>
      <c r="E3387">
        <v>20251219</v>
      </c>
      <c r="F3387" s="1" t="s">
        <v>1470</v>
      </c>
      <c r="G3387">
        <v>4</v>
      </c>
      <c r="H3387" s="1" t="s">
        <v>1503</v>
      </c>
      <c r="I3387" t="s">
        <v>1883</v>
      </c>
      <c r="J3387" s="1" t="s">
        <v>1456</v>
      </c>
      <c r="K3387" s="1" t="s">
        <v>1606</v>
      </c>
      <c r="L3387" s="1" t="s">
        <v>1729</v>
      </c>
      <c r="M3387" s="1" t="s">
        <v>1735</v>
      </c>
      <c r="N3387" t="s">
        <v>1981</v>
      </c>
      <c r="O3387" t="s">
        <v>2848</v>
      </c>
      <c r="P3387" t="s">
        <v>3037</v>
      </c>
      <c r="Q3387">
        <v>45.5</v>
      </c>
      <c r="R3387" s="1" t="s">
        <v>1839</v>
      </c>
      <c r="S3387">
        <v>2850</v>
      </c>
      <c r="T3387">
        <v>129675</v>
      </c>
    </row>
    <row r="3388" spans="1:20" hidden="1" x14ac:dyDescent="0.4">
      <c r="A3388" s="1" t="s">
        <v>1308</v>
      </c>
      <c r="B3388" s="1" t="s">
        <v>1460</v>
      </c>
      <c r="C3388" s="1" t="s">
        <v>1844</v>
      </c>
      <c r="D3388" s="1" t="s">
        <v>1462</v>
      </c>
      <c r="E3388">
        <v>20251219</v>
      </c>
      <c r="F3388" s="1" t="s">
        <v>1470</v>
      </c>
      <c r="G3388">
        <v>4</v>
      </c>
      <c r="H3388" s="1" t="s">
        <v>1503</v>
      </c>
      <c r="I3388" t="s">
        <v>1883</v>
      </c>
      <c r="J3388" s="1" t="s">
        <v>1456</v>
      </c>
      <c r="K3388" s="1" t="s">
        <v>1606</v>
      </c>
      <c r="L3388" s="1" t="s">
        <v>1729</v>
      </c>
      <c r="M3388" s="1" t="s">
        <v>1735</v>
      </c>
      <c r="N3388" t="s">
        <v>1981</v>
      </c>
      <c r="O3388" t="s">
        <v>2849</v>
      </c>
      <c r="P3388" t="s">
        <v>3037</v>
      </c>
      <c r="Q3388">
        <v>45.1</v>
      </c>
      <c r="R3388" s="1" t="s">
        <v>1839</v>
      </c>
      <c r="S3388">
        <v>2850</v>
      </c>
      <c r="T3388">
        <v>128535</v>
      </c>
    </row>
    <row r="3389" spans="1:20" hidden="1" x14ac:dyDescent="0.4">
      <c r="A3389" s="1" t="s">
        <v>1308</v>
      </c>
      <c r="B3389" s="1" t="s">
        <v>1461</v>
      </c>
      <c r="C3389" s="1" t="s">
        <v>1844</v>
      </c>
      <c r="D3389" s="1" t="s">
        <v>1462</v>
      </c>
      <c r="E3389">
        <v>20251219</v>
      </c>
      <c r="F3389" s="1" t="s">
        <v>1470</v>
      </c>
      <c r="G3389">
        <v>4</v>
      </c>
      <c r="H3389" s="1" t="s">
        <v>1503</v>
      </c>
      <c r="I3389" t="s">
        <v>1883</v>
      </c>
      <c r="J3389" s="1" t="s">
        <v>1456</v>
      </c>
      <c r="K3389" s="1" t="s">
        <v>1606</v>
      </c>
      <c r="L3389" s="1" t="s">
        <v>1729</v>
      </c>
      <c r="M3389" s="1" t="s">
        <v>1735</v>
      </c>
      <c r="N3389" t="s">
        <v>1981</v>
      </c>
      <c r="O3389" t="s">
        <v>2850</v>
      </c>
      <c r="P3389" t="s">
        <v>3037</v>
      </c>
      <c r="Q3389">
        <v>38.200000000000003</v>
      </c>
      <c r="R3389" s="1" t="s">
        <v>1839</v>
      </c>
      <c r="S3389">
        <v>2850</v>
      </c>
      <c r="T3389">
        <v>108870</v>
      </c>
    </row>
    <row r="3390" spans="1:20" hidden="1" x14ac:dyDescent="0.4">
      <c r="A3390" s="1" t="s">
        <v>1308</v>
      </c>
      <c r="B3390" s="1" t="s">
        <v>1462</v>
      </c>
      <c r="C3390" s="1" t="s">
        <v>1844</v>
      </c>
      <c r="D3390" s="1" t="s">
        <v>1462</v>
      </c>
      <c r="E3390">
        <v>20251219</v>
      </c>
      <c r="F3390" s="1" t="s">
        <v>1470</v>
      </c>
      <c r="G3390">
        <v>4</v>
      </c>
      <c r="H3390" s="1" t="s">
        <v>1503</v>
      </c>
      <c r="I3390" t="s">
        <v>1883</v>
      </c>
      <c r="J3390" s="1" t="s">
        <v>1456</v>
      </c>
      <c r="K3390" s="1" t="s">
        <v>1606</v>
      </c>
      <c r="L3390" s="1" t="s">
        <v>1729</v>
      </c>
      <c r="M3390" s="1" t="s">
        <v>1735</v>
      </c>
      <c r="N3390" t="s">
        <v>1981</v>
      </c>
      <c r="O3390" t="s">
        <v>2851</v>
      </c>
      <c r="P3390" t="s">
        <v>3037</v>
      </c>
      <c r="Q3390">
        <v>38.200000000000003</v>
      </c>
      <c r="R3390" s="1" t="s">
        <v>1839</v>
      </c>
      <c r="S3390">
        <v>2850</v>
      </c>
      <c r="T3390">
        <v>108870</v>
      </c>
    </row>
    <row r="3391" spans="1:20" hidden="1" x14ac:dyDescent="0.4">
      <c r="A3391" s="1" t="s">
        <v>1308</v>
      </c>
      <c r="B3391" s="1" t="s">
        <v>1463</v>
      </c>
      <c r="C3391" s="1" t="s">
        <v>1844</v>
      </c>
      <c r="D3391" s="1" t="s">
        <v>1462</v>
      </c>
      <c r="E3391">
        <v>20251219</v>
      </c>
      <c r="F3391" s="1" t="s">
        <v>1470</v>
      </c>
      <c r="G3391">
        <v>4</v>
      </c>
      <c r="H3391" s="1" t="s">
        <v>1503</v>
      </c>
      <c r="I3391" t="s">
        <v>1883</v>
      </c>
      <c r="J3391" s="1" t="s">
        <v>1456</v>
      </c>
      <c r="K3391" s="1" t="s">
        <v>1606</v>
      </c>
      <c r="L3391" s="1" t="s">
        <v>1729</v>
      </c>
      <c r="M3391" s="1" t="s">
        <v>1735</v>
      </c>
      <c r="N3391" t="s">
        <v>1981</v>
      </c>
      <c r="O3391" t="s">
        <v>2852</v>
      </c>
      <c r="P3391" t="s">
        <v>3037</v>
      </c>
      <c r="Q3391">
        <v>39.299999999999997</v>
      </c>
      <c r="R3391" s="1" t="s">
        <v>1839</v>
      </c>
      <c r="S3391">
        <v>2850</v>
      </c>
      <c r="T3391">
        <v>112005</v>
      </c>
    </row>
    <row r="3392" spans="1:20" hidden="1" x14ac:dyDescent="0.4">
      <c r="A3392" s="1" t="s">
        <v>1309</v>
      </c>
      <c r="B3392" s="1" t="s">
        <v>1453</v>
      </c>
      <c r="C3392" s="1" t="s">
        <v>1844</v>
      </c>
      <c r="D3392" s="1" t="s">
        <v>1462</v>
      </c>
      <c r="E3392">
        <v>20251219</v>
      </c>
      <c r="F3392" s="1" t="s">
        <v>1470</v>
      </c>
      <c r="G3392">
        <v>4</v>
      </c>
      <c r="H3392" s="1" t="s">
        <v>1503</v>
      </c>
      <c r="I3392" t="s">
        <v>1883</v>
      </c>
      <c r="J3392" s="1" t="s">
        <v>1456</v>
      </c>
      <c r="K3392" s="1" t="s">
        <v>1606</v>
      </c>
      <c r="L3392" s="1" t="s">
        <v>1729</v>
      </c>
      <c r="M3392" s="1" t="s">
        <v>1735</v>
      </c>
      <c r="N3392" t="s">
        <v>1981</v>
      </c>
      <c r="O3392" t="s">
        <v>2853</v>
      </c>
      <c r="P3392" t="s">
        <v>3037</v>
      </c>
      <c r="Q3392">
        <v>41.9</v>
      </c>
      <c r="R3392" s="1" t="s">
        <v>1839</v>
      </c>
      <c r="S3392">
        <v>2850</v>
      </c>
      <c r="T3392">
        <v>119415</v>
      </c>
    </row>
    <row r="3393" spans="1:20" hidden="1" x14ac:dyDescent="0.4">
      <c r="A3393" s="1" t="s">
        <v>1309</v>
      </c>
      <c r="B3393" s="1" t="s">
        <v>1454</v>
      </c>
      <c r="C3393" s="1" t="s">
        <v>1844</v>
      </c>
      <c r="D3393" s="1" t="s">
        <v>1462</v>
      </c>
      <c r="E3393">
        <v>20251219</v>
      </c>
      <c r="F3393" s="1" t="s">
        <v>1470</v>
      </c>
      <c r="G3393">
        <v>4</v>
      </c>
      <c r="H3393" s="1" t="s">
        <v>1503</v>
      </c>
      <c r="I3393" t="s">
        <v>1883</v>
      </c>
      <c r="J3393" s="1" t="s">
        <v>1456</v>
      </c>
      <c r="K3393" s="1" t="s">
        <v>1606</v>
      </c>
      <c r="L3393" s="1" t="s">
        <v>1729</v>
      </c>
      <c r="M3393" s="1" t="s">
        <v>1735</v>
      </c>
      <c r="N3393" t="s">
        <v>1981</v>
      </c>
      <c r="O3393" t="s">
        <v>2854</v>
      </c>
      <c r="P3393" t="s">
        <v>3037</v>
      </c>
      <c r="Q3393">
        <v>41.9</v>
      </c>
      <c r="R3393" s="1" t="s">
        <v>1839</v>
      </c>
      <c r="S3393">
        <v>2850</v>
      </c>
      <c r="T3393">
        <v>119415</v>
      </c>
    </row>
    <row r="3394" spans="1:20" hidden="1" x14ac:dyDescent="0.4">
      <c r="A3394" s="1" t="s">
        <v>1309</v>
      </c>
      <c r="B3394" s="1" t="s">
        <v>1455</v>
      </c>
      <c r="C3394" s="1" t="s">
        <v>1844</v>
      </c>
      <c r="D3394" s="1" t="s">
        <v>1462</v>
      </c>
      <c r="E3394">
        <v>20251219</v>
      </c>
      <c r="F3394" s="1" t="s">
        <v>1470</v>
      </c>
      <c r="G3394">
        <v>4</v>
      </c>
      <c r="H3394" s="1" t="s">
        <v>1503</v>
      </c>
      <c r="I3394" t="s">
        <v>1883</v>
      </c>
      <c r="J3394" s="1" t="s">
        <v>1456</v>
      </c>
      <c r="K3394" s="1" t="s">
        <v>1606</v>
      </c>
      <c r="L3394" s="1" t="s">
        <v>1729</v>
      </c>
      <c r="M3394" s="1" t="s">
        <v>1735</v>
      </c>
      <c r="N3394" t="s">
        <v>1981</v>
      </c>
      <c r="O3394" t="s">
        <v>2855</v>
      </c>
      <c r="P3394" t="s">
        <v>3037</v>
      </c>
      <c r="Q3394">
        <v>41.9</v>
      </c>
      <c r="R3394" s="1" t="s">
        <v>1839</v>
      </c>
      <c r="S3394">
        <v>2850</v>
      </c>
      <c r="T3394">
        <v>119415</v>
      </c>
    </row>
    <row r="3395" spans="1:20" hidden="1" x14ac:dyDescent="0.4">
      <c r="A3395" s="1" t="s">
        <v>1309</v>
      </c>
      <c r="B3395" s="1" t="s">
        <v>1456</v>
      </c>
      <c r="C3395" s="1" t="s">
        <v>1844</v>
      </c>
      <c r="D3395" s="1" t="s">
        <v>1462</v>
      </c>
      <c r="E3395">
        <v>20251219</v>
      </c>
      <c r="F3395" s="1" t="s">
        <v>1470</v>
      </c>
      <c r="G3395">
        <v>4</v>
      </c>
      <c r="H3395" s="1" t="s">
        <v>1503</v>
      </c>
      <c r="I3395" t="s">
        <v>1883</v>
      </c>
      <c r="J3395" s="1" t="s">
        <v>1456</v>
      </c>
      <c r="K3395" s="1" t="s">
        <v>1606</v>
      </c>
      <c r="L3395" s="1" t="s">
        <v>1729</v>
      </c>
      <c r="M3395" s="1" t="s">
        <v>1735</v>
      </c>
      <c r="N3395" t="s">
        <v>1981</v>
      </c>
      <c r="O3395" t="s">
        <v>2856</v>
      </c>
      <c r="P3395" t="s">
        <v>3037</v>
      </c>
      <c r="Q3395">
        <v>45.3</v>
      </c>
      <c r="R3395" s="1" t="s">
        <v>1839</v>
      </c>
      <c r="S3395">
        <v>2850</v>
      </c>
      <c r="T3395">
        <v>129105</v>
      </c>
    </row>
    <row r="3396" spans="1:20" hidden="1" x14ac:dyDescent="0.4">
      <c r="A3396" s="1" t="s">
        <v>1310</v>
      </c>
      <c r="B3396" s="1" t="s">
        <v>1453</v>
      </c>
      <c r="C3396" s="1" t="s">
        <v>1844</v>
      </c>
      <c r="D3396" s="1" t="s">
        <v>1462</v>
      </c>
      <c r="E3396">
        <v>20251219</v>
      </c>
      <c r="F3396" s="1" t="s">
        <v>1470</v>
      </c>
      <c r="G3396">
        <v>4</v>
      </c>
      <c r="H3396" s="1" t="s">
        <v>1503</v>
      </c>
      <c r="I3396" t="s">
        <v>1883</v>
      </c>
      <c r="J3396" s="1" t="s">
        <v>1456</v>
      </c>
      <c r="K3396" s="1" t="s">
        <v>1606</v>
      </c>
      <c r="L3396" s="1" t="s">
        <v>1729</v>
      </c>
      <c r="M3396" s="1" t="s">
        <v>1735</v>
      </c>
      <c r="N3396" t="s">
        <v>1981</v>
      </c>
      <c r="O3396" t="s">
        <v>2831</v>
      </c>
      <c r="P3396" t="s">
        <v>3037</v>
      </c>
      <c r="Q3396">
        <v>37.5</v>
      </c>
      <c r="R3396" s="1" t="s">
        <v>1839</v>
      </c>
      <c r="S3396">
        <v>2850</v>
      </c>
      <c r="T3396">
        <v>106875</v>
      </c>
    </row>
    <row r="3397" spans="1:20" hidden="1" x14ac:dyDescent="0.4">
      <c r="A3397" s="1" t="s">
        <v>1310</v>
      </c>
      <c r="B3397" s="1" t="s">
        <v>1454</v>
      </c>
      <c r="C3397" s="1" t="s">
        <v>1844</v>
      </c>
      <c r="D3397" s="1" t="s">
        <v>1462</v>
      </c>
      <c r="E3397">
        <v>20251219</v>
      </c>
      <c r="F3397" s="1" t="s">
        <v>1470</v>
      </c>
      <c r="G3397">
        <v>4</v>
      </c>
      <c r="H3397" s="1" t="s">
        <v>1503</v>
      </c>
      <c r="I3397" t="s">
        <v>1883</v>
      </c>
      <c r="J3397" s="1" t="s">
        <v>1456</v>
      </c>
      <c r="K3397" s="1" t="s">
        <v>1606</v>
      </c>
      <c r="L3397" s="1" t="s">
        <v>1729</v>
      </c>
      <c r="M3397" s="1" t="s">
        <v>1735</v>
      </c>
      <c r="N3397" t="s">
        <v>1981</v>
      </c>
      <c r="O3397" t="s">
        <v>2832</v>
      </c>
      <c r="P3397" t="s">
        <v>3037</v>
      </c>
      <c r="Q3397">
        <v>37.5</v>
      </c>
      <c r="R3397" s="1" t="s">
        <v>1839</v>
      </c>
      <c r="S3397">
        <v>2850</v>
      </c>
      <c r="T3397">
        <v>106875</v>
      </c>
    </row>
    <row r="3398" spans="1:20" hidden="1" x14ac:dyDescent="0.4">
      <c r="A3398" s="1" t="s">
        <v>1310</v>
      </c>
      <c r="B3398" s="1" t="s">
        <v>1455</v>
      </c>
      <c r="C3398" s="1" t="s">
        <v>1844</v>
      </c>
      <c r="D3398" s="1" t="s">
        <v>1462</v>
      </c>
      <c r="E3398">
        <v>20251219</v>
      </c>
      <c r="F3398" s="1" t="s">
        <v>1470</v>
      </c>
      <c r="G3398">
        <v>4</v>
      </c>
      <c r="H3398" s="1" t="s">
        <v>1503</v>
      </c>
      <c r="I3398" t="s">
        <v>1883</v>
      </c>
      <c r="J3398" s="1" t="s">
        <v>1456</v>
      </c>
      <c r="K3398" s="1" t="s">
        <v>1606</v>
      </c>
      <c r="L3398" s="1" t="s">
        <v>1729</v>
      </c>
      <c r="M3398" s="1" t="s">
        <v>1735</v>
      </c>
      <c r="N3398" t="s">
        <v>1981</v>
      </c>
      <c r="O3398" t="s">
        <v>2833</v>
      </c>
      <c r="P3398" t="s">
        <v>3037</v>
      </c>
      <c r="Q3398">
        <v>37.5</v>
      </c>
      <c r="R3398" s="1" t="s">
        <v>1839</v>
      </c>
      <c r="S3398">
        <v>2850</v>
      </c>
      <c r="T3398">
        <v>106875</v>
      </c>
    </row>
    <row r="3399" spans="1:20" hidden="1" x14ac:dyDescent="0.4">
      <c r="A3399" s="1" t="s">
        <v>1310</v>
      </c>
      <c r="B3399" s="1" t="s">
        <v>1456</v>
      </c>
      <c r="C3399" s="1" t="s">
        <v>1844</v>
      </c>
      <c r="D3399" s="1" t="s">
        <v>1462</v>
      </c>
      <c r="E3399">
        <v>20251219</v>
      </c>
      <c r="F3399" s="1" t="s">
        <v>1470</v>
      </c>
      <c r="G3399">
        <v>4</v>
      </c>
      <c r="H3399" s="1" t="s">
        <v>1503</v>
      </c>
      <c r="I3399" t="s">
        <v>1883</v>
      </c>
      <c r="J3399" s="1" t="s">
        <v>1456</v>
      </c>
      <c r="K3399" s="1" t="s">
        <v>1606</v>
      </c>
      <c r="L3399" s="1" t="s">
        <v>1729</v>
      </c>
      <c r="M3399" s="1" t="s">
        <v>1735</v>
      </c>
      <c r="N3399" t="s">
        <v>1981</v>
      </c>
      <c r="O3399" t="s">
        <v>2834</v>
      </c>
      <c r="P3399" t="s">
        <v>3037</v>
      </c>
      <c r="Q3399">
        <v>37.5</v>
      </c>
      <c r="R3399" s="1" t="s">
        <v>1839</v>
      </c>
      <c r="S3399">
        <v>2850</v>
      </c>
      <c r="T3399">
        <v>106875</v>
      </c>
    </row>
    <row r="3400" spans="1:20" hidden="1" x14ac:dyDescent="0.4">
      <c r="A3400" s="1" t="s">
        <v>1310</v>
      </c>
      <c r="B3400" s="1" t="s">
        <v>1457</v>
      </c>
      <c r="C3400" s="1" t="s">
        <v>1844</v>
      </c>
      <c r="D3400" s="1" t="s">
        <v>1462</v>
      </c>
      <c r="E3400">
        <v>20251219</v>
      </c>
      <c r="F3400" s="1" t="s">
        <v>1470</v>
      </c>
      <c r="G3400">
        <v>4</v>
      </c>
      <c r="H3400" s="1" t="s">
        <v>1503</v>
      </c>
      <c r="I3400" t="s">
        <v>1883</v>
      </c>
      <c r="J3400" s="1" t="s">
        <v>1456</v>
      </c>
      <c r="K3400" s="1" t="s">
        <v>1606</v>
      </c>
      <c r="L3400" s="1" t="s">
        <v>1729</v>
      </c>
      <c r="M3400" s="1" t="s">
        <v>1735</v>
      </c>
      <c r="N3400" t="s">
        <v>1981</v>
      </c>
      <c r="O3400" t="s">
        <v>2835</v>
      </c>
      <c r="P3400" t="s">
        <v>3037</v>
      </c>
      <c r="Q3400">
        <v>37.5</v>
      </c>
      <c r="R3400" s="1" t="s">
        <v>1839</v>
      </c>
      <c r="S3400">
        <v>2850</v>
      </c>
      <c r="T3400">
        <v>106875</v>
      </c>
    </row>
    <row r="3401" spans="1:20" hidden="1" x14ac:dyDescent="0.4">
      <c r="A3401" s="1" t="s">
        <v>1310</v>
      </c>
      <c r="B3401" s="1" t="s">
        <v>1458</v>
      </c>
      <c r="C3401" s="1" t="s">
        <v>1844</v>
      </c>
      <c r="D3401" s="1" t="s">
        <v>1462</v>
      </c>
      <c r="E3401">
        <v>20251219</v>
      </c>
      <c r="F3401" s="1" t="s">
        <v>1470</v>
      </c>
      <c r="G3401">
        <v>4</v>
      </c>
      <c r="H3401" s="1" t="s">
        <v>1503</v>
      </c>
      <c r="I3401" t="s">
        <v>1883</v>
      </c>
      <c r="J3401" s="1" t="s">
        <v>1456</v>
      </c>
      <c r="K3401" s="1" t="s">
        <v>1606</v>
      </c>
      <c r="L3401" s="1" t="s">
        <v>1729</v>
      </c>
      <c r="M3401" s="1" t="s">
        <v>1735</v>
      </c>
      <c r="N3401" t="s">
        <v>1981</v>
      </c>
      <c r="O3401" t="s">
        <v>2836</v>
      </c>
      <c r="P3401" t="s">
        <v>3037</v>
      </c>
      <c r="Q3401">
        <v>37.5</v>
      </c>
      <c r="R3401" s="1" t="s">
        <v>1839</v>
      </c>
      <c r="S3401">
        <v>2850</v>
      </c>
      <c r="T3401">
        <v>106875</v>
      </c>
    </row>
    <row r="3402" spans="1:20" hidden="1" x14ac:dyDescent="0.4">
      <c r="A3402" s="1" t="s">
        <v>1310</v>
      </c>
      <c r="B3402" s="1" t="s">
        <v>1459</v>
      </c>
      <c r="C3402" s="1" t="s">
        <v>1844</v>
      </c>
      <c r="D3402" s="1" t="s">
        <v>1462</v>
      </c>
      <c r="E3402">
        <v>20251219</v>
      </c>
      <c r="F3402" s="1" t="s">
        <v>1470</v>
      </c>
      <c r="G3402">
        <v>4</v>
      </c>
      <c r="H3402" s="1" t="s">
        <v>1503</v>
      </c>
      <c r="I3402" t="s">
        <v>1883</v>
      </c>
      <c r="J3402" s="1" t="s">
        <v>1456</v>
      </c>
      <c r="K3402" s="1" t="s">
        <v>1606</v>
      </c>
      <c r="L3402" s="1" t="s">
        <v>1729</v>
      </c>
      <c r="M3402" s="1" t="s">
        <v>1735</v>
      </c>
      <c r="N3402" t="s">
        <v>1981</v>
      </c>
      <c r="O3402" t="s">
        <v>2837</v>
      </c>
      <c r="P3402" t="s">
        <v>3037</v>
      </c>
      <c r="Q3402">
        <v>39.6</v>
      </c>
      <c r="R3402" s="1" t="s">
        <v>1839</v>
      </c>
      <c r="S3402">
        <v>2850</v>
      </c>
      <c r="T3402">
        <v>112860</v>
      </c>
    </row>
    <row r="3403" spans="1:20" hidden="1" x14ac:dyDescent="0.4">
      <c r="A3403" s="1" t="s">
        <v>1310</v>
      </c>
      <c r="B3403" s="1" t="s">
        <v>1460</v>
      </c>
      <c r="C3403" s="1" t="s">
        <v>1844</v>
      </c>
      <c r="D3403" s="1" t="s">
        <v>1462</v>
      </c>
      <c r="E3403">
        <v>20251219</v>
      </c>
      <c r="F3403" s="1" t="s">
        <v>1470</v>
      </c>
      <c r="G3403">
        <v>4</v>
      </c>
      <c r="H3403" s="1" t="s">
        <v>1503</v>
      </c>
      <c r="I3403" t="s">
        <v>1883</v>
      </c>
      <c r="J3403" s="1" t="s">
        <v>1456</v>
      </c>
      <c r="K3403" s="1" t="s">
        <v>1606</v>
      </c>
      <c r="L3403" s="1" t="s">
        <v>1729</v>
      </c>
      <c r="M3403" s="1" t="s">
        <v>1735</v>
      </c>
      <c r="N3403" t="s">
        <v>1981</v>
      </c>
      <c r="O3403" t="s">
        <v>2838</v>
      </c>
      <c r="P3403" t="s">
        <v>3037</v>
      </c>
      <c r="Q3403">
        <v>37.5</v>
      </c>
      <c r="R3403" s="1" t="s">
        <v>1839</v>
      </c>
      <c r="S3403">
        <v>2850</v>
      </c>
      <c r="T3403">
        <v>106875</v>
      </c>
    </row>
    <row r="3404" spans="1:20" hidden="1" x14ac:dyDescent="0.4">
      <c r="A3404" s="1" t="s">
        <v>1310</v>
      </c>
      <c r="B3404" s="1" t="s">
        <v>1461</v>
      </c>
      <c r="C3404" s="1" t="s">
        <v>1844</v>
      </c>
      <c r="D3404" s="1" t="s">
        <v>1462</v>
      </c>
      <c r="E3404">
        <v>20251219</v>
      </c>
      <c r="F3404" s="1" t="s">
        <v>1470</v>
      </c>
      <c r="G3404">
        <v>4</v>
      </c>
      <c r="H3404" s="1" t="s">
        <v>1503</v>
      </c>
      <c r="I3404" t="s">
        <v>1883</v>
      </c>
      <c r="J3404" s="1" t="s">
        <v>1456</v>
      </c>
      <c r="K3404" s="1" t="s">
        <v>1606</v>
      </c>
      <c r="L3404" s="1" t="s">
        <v>1729</v>
      </c>
      <c r="M3404" s="1" t="s">
        <v>1735</v>
      </c>
      <c r="N3404" t="s">
        <v>1981</v>
      </c>
      <c r="O3404" t="s">
        <v>2839</v>
      </c>
      <c r="P3404" t="s">
        <v>3037</v>
      </c>
      <c r="Q3404">
        <v>37.5</v>
      </c>
      <c r="R3404" s="1" t="s">
        <v>1839</v>
      </c>
      <c r="S3404">
        <v>2850</v>
      </c>
      <c r="T3404">
        <v>106875</v>
      </c>
    </row>
    <row r="3405" spans="1:20" hidden="1" x14ac:dyDescent="0.4">
      <c r="A3405" s="1" t="s">
        <v>1310</v>
      </c>
      <c r="B3405" s="1" t="s">
        <v>1462</v>
      </c>
      <c r="C3405" s="1" t="s">
        <v>1844</v>
      </c>
      <c r="D3405" s="1" t="s">
        <v>1462</v>
      </c>
      <c r="E3405">
        <v>20251219</v>
      </c>
      <c r="F3405" s="1" t="s">
        <v>1470</v>
      </c>
      <c r="G3405">
        <v>4</v>
      </c>
      <c r="H3405" s="1" t="s">
        <v>1503</v>
      </c>
      <c r="I3405" t="s">
        <v>1883</v>
      </c>
      <c r="J3405" s="1" t="s">
        <v>1456</v>
      </c>
      <c r="K3405" s="1" t="s">
        <v>1606</v>
      </c>
      <c r="L3405" s="1" t="s">
        <v>1729</v>
      </c>
      <c r="M3405" s="1" t="s">
        <v>1735</v>
      </c>
      <c r="N3405" t="s">
        <v>1981</v>
      </c>
      <c r="O3405" t="s">
        <v>2840</v>
      </c>
      <c r="P3405" t="s">
        <v>3037</v>
      </c>
      <c r="Q3405">
        <v>37.5</v>
      </c>
      <c r="R3405" s="1" t="s">
        <v>1839</v>
      </c>
      <c r="S3405">
        <v>2850</v>
      </c>
      <c r="T3405">
        <v>106875</v>
      </c>
    </row>
    <row r="3406" spans="1:20" hidden="1" x14ac:dyDescent="0.4">
      <c r="A3406" s="1" t="s">
        <v>1310</v>
      </c>
      <c r="B3406" s="1" t="s">
        <v>1463</v>
      </c>
      <c r="C3406" s="1" t="s">
        <v>1844</v>
      </c>
      <c r="D3406" s="1" t="s">
        <v>1462</v>
      </c>
      <c r="E3406">
        <v>20251219</v>
      </c>
      <c r="F3406" s="1" t="s">
        <v>1470</v>
      </c>
      <c r="G3406">
        <v>4</v>
      </c>
      <c r="H3406" s="1" t="s">
        <v>1503</v>
      </c>
      <c r="I3406" t="s">
        <v>1883</v>
      </c>
      <c r="J3406" s="1" t="s">
        <v>1456</v>
      </c>
      <c r="K3406" s="1" t="s">
        <v>1606</v>
      </c>
      <c r="L3406" s="1" t="s">
        <v>1729</v>
      </c>
      <c r="M3406" s="1" t="s">
        <v>1735</v>
      </c>
      <c r="N3406" t="s">
        <v>1981</v>
      </c>
      <c r="O3406" t="s">
        <v>2841</v>
      </c>
      <c r="P3406" t="s">
        <v>3037</v>
      </c>
      <c r="Q3406">
        <v>37.5</v>
      </c>
      <c r="R3406" s="1" t="s">
        <v>1839</v>
      </c>
      <c r="S3406">
        <v>2850</v>
      </c>
      <c r="T3406">
        <v>106875</v>
      </c>
    </row>
    <row r="3407" spans="1:20" hidden="1" x14ac:dyDescent="0.4">
      <c r="A3407" s="1" t="s">
        <v>1311</v>
      </c>
      <c r="B3407" s="1" t="s">
        <v>1453</v>
      </c>
      <c r="C3407" s="1" t="s">
        <v>1844</v>
      </c>
      <c r="D3407" s="1" t="s">
        <v>1462</v>
      </c>
      <c r="E3407">
        <v>20251219</v>
      </c>
      <c r="F3407" s="1" t="s">
        <v>1470</v>
      </c>
      <c r="G3407">
        <v>4</v>
      </c>
      <c r="H3407" s="1" t="s">
        <v>1503</v>
      </c>
      <c r="I3407" t="s">
        <v>1883</v>
      </c>
      <c r="J3407" s="1" t="s">
        <v>1456</v>
      </c>
      <c r="K3407" s="1" t="s">
        <v>1606</v>
      </c>
      <c r="L3407" s="1" t="s">
        <v>1729</v>
      </c>
      <c r="M3407" s="1" t="s">
        <v>1735</v>
      </c>
      <c r="N3407" t="s">
        <v>1981</v>
      </c>
      <c r="O3407" t="s">
        <v>2842</v>
      </c>
      <c r="P3407" t="s">
        <v>3037</v>
      </c>
      <c r="Q3407">
        <v>39.299999999999997</v>
      </c>
      <c r="R3407" s="1" t="s">
        <v>1839</v>
      </c>
      <c r="S3407">
        <v>2850</v>
      </c>
      <c r="T3407">
        <v>112005</v>
      </c>
    </row>
    <row r="3408" spans="1:20" hidden="1" x14ac:dyDescent="0.4">
      <c r="A3408" s="1" t="s">
        <v>1311</v>
      </c>
      <c r="B3408" s="1" t="s">
        <v>1454</v>
      </c>
      <c r="C3408" s="1" t="s">
        <v>1844</v>
      </c>
      <c r="D3408" s="1" t="s">
        <v>1462</v>
      </c>
      <c r="E3408">
        <v>20251219</v>
      </c>
      <c r="F3408" s="1" t="s">
        <v>1470</v>
      </c>
      <c r="G3408">
        <v>4</v>
      </c>
      <c r="H3408" s="1" t="s">
        <v>1503</v>
      </c>
      <c r="I3408" t="s">
        <v>1883</v>
      </c>
      <c r="J3408" s="1" t="s">
        <v>1456</v>
      </c>
      <c r="K3408" s="1" t="s">
        <v>1606</v>
      </c>
      <c r="L3408" s="1" t="s">
        <v>1729</v>
      </c>
      <c r="M3408" s="1" t="s">
        <v>1735</v>
      </c>
      <c r="N3408" t="s">
        <v>1981</v>
      </c>
      <c r="O3408" t="s">
        <v>2843</v>
      </c>
      <c r="P3408" t="s">
        <v>3037</v>
      </c>
      <c r="Q3408">
        <v>38</v>
      </c>
      <c r="R3408" s="1" t="s">
        <v>1839</v>
      </c>
      <c r="S3408">
        <v>2850</v>
      </c>
      <c r="T3408">
        <v>108300</v>
      </c>
    </row>
    <row r="3409" spans="1:20" hidden="1" x14ac:dyDescent="0.4">
      <c r="A3409" s="1" t="s">
        <v>1311</v>
      </c>
      <c r="B3409" s="1" t="s">
        <v>1455</v>
      </c>
      <c r="C3409" s="1" t="s">
        <v>1844</v>
      </c>
      <c r="D3409" s="1" t="s">
        <v>1462</v>
      </c>
      <c r="E3409">
        <v>20251219</v>
      </c>
      <c r="F3409" s="1" t="s">
        <v>1470</v>
      </c>
      <c r="G3409">
        <v>4</v>
      </c>
      <c r="H3409" s="1" t="s">
        <v>1503</v>
      </c>
      <c r="I3409" t="s">
        <v>1883</v>
      </c>
      <c r="J3409" s="1" t="s">
        <v>1456</v>
      </c>
      <c r="K3409" s="1" t="s">
        <v>1606</v>
      </c>
      <c r="L3409" s="1" t="s">
        <v>1729</v>
      </c>
      <c r="M3409" s="1" t="s">
        <v>1735</v>
      </c>
      <c r="N3409" t="s">
        <v>1981</v>
      </c>
      <c r="O3409" t="s">
        <v>2844</v>
      </c>
      <c r="P3409" t="s">
        <v>3037</v>
      </c>
      <c r="Q3409">
        <v>37.5</v>
      </c>
      <c r="R3409" s="1" t="s">
        <v>1839</v>
      </c>
      <c r="S3409">
        <v>2850</v>
      </c>
      <c r="T3409">
        <v>106875</v>
      </c>
    </row>
    <row r="3410" spans="1:20" hidden="1" x14ac:dyDescent="0.4">
      <c r="A3410" s="1" t="s">
        <v>1311</v>
      </c>
      <c r="B3410" s="1" t="s">
        <v>1456</v>
      </c>
      <c r="C3410" s="1" t="s">
        <v>1844</v>
      </c>
      <c r="D3410" s="1" t="s">
        <v>1462</v>
      </c>
      <c r="E3410">
        <v>20251219</v>
      </c>
      <c r="F3410" s="1" t="s">
        <v>1470</v>
      </c>
      <c r="G3410">
        <v>4</v>
      </c>
      <c r="H3410" s="1" t="s">
        <v>1503</v>
      </c>
      <c r="I3410" t="s">
        <v>1883</v>
      </c>
      <c r="J3410" s="1" t="s">
        <v>1456</v>
      </c>
      <c r="K3410" s="1" t="s">
        <v>1606</v>
      </c>
      <c r="L3410" s="1" t="s">
        <v>1729</v>
      </c>
      <c r="M3410" s="1" t="s">
        <v>1735</v>
      </c>
      <c r="N3410" t="s">
        <v>1981</v>
      </c>
      <c r="O3410" t="s">
        <v>2845</v>
      </c>
      <c r="P3410" t="s">
        <v>3037</v>
      </c>
      <c r="Q3410">
        <v>37.5</v>
      </c>
      <c r="R3410" s="1" t="s">
        <v>1839</v>
      </c>
      <c r="S3410">
        <v>2850</v>
      </c>
      <c r="T3410">
        <v>106875</v>
      </c>
    </row>
    <row r="3411" spans="1:20" hidden="1" x14ac:dyDescent="0.4">
      <c r="A3411" s="1" t="s">
        <v>1311</v>
      </c>
      <c r="B3411" s="1" t="s">
        <v>1457</v>
      </c>
      <c r="C3411" s="1" t="s">
        <v>1844</v>
      </c>
      <c r="D3411" s="1" t="s">
        <v>1462</v>
      </c>
      <c r="E3411">
        <v>20251219</v>
      </c>
      <c r="F3411" s="1" t="s">
        <v>1470</v>
      </c>
      <c r="G3411">
        <v>4</v>
      </c>
      <c r="H3411" s="1" t="s">
        <v>1503</v>
      </c>
      <c r="I3411" t="s">
        <v>1883</v>
      </c>
      <c r="J3411" s="1" t="s">
        <v>1456</v>
      </c>
      <c r="K3411" s="1" t="s">
        <v>1606</v>
      </c>
      <c r="L3411" s="1" t="s">
        <v>1729</v>
      </c>
      <c r="M3411" s="1" t="s">
        <v>1735</v>
      </c>
      <c r="N3411" t="s">
        <v>1981</v>
      </c>
      <c r="O3411" t="s">
        <v>2846</v>
      </c>
      <c r="P3411" t="s">
        <v>3037</v>
      </c>
      <c r="Q3411">
        <v>37.5</v>
      </c>
      <c r="R3411" s="1" t="s">
        <v>1839</v>
      </c>
      <c r="S3411">
        <v>2850</v>
      </c>
      <c r="T3411">
        <v>106875</v>
      </c>
    </row>
    <row r="3412" spans="1:20" hidden="1" x14ac:dyDescent="0.4">
      <c r="A3412" s="1" t="s">
        <v>1311</v>
      </c>
      <c r="B3412" s="1" t="s">
        <v>1458</v>
      </c>
      <c r="C3412" s="1" t="s">
        <v>1844</v>
      </c>
      <c r="D3412" s="1" t="s">
        <v>1462</v>
      </c>
      <c r="E3412">
        <v>20251219</v>
      </c>
      <c r="F3412" s="1" t="s">
        <v>1470</v>
      </c>
      <c r="G3412">
        <v>4</v>
      </c>
      <c r="H3412" s="1" t="s">
        <v>1503</v>
      </c>
      <c r="I3412" t="s">
        <v>1883</v>
      </c>
      <c r="J3412" s="1" t="s">
        <v>1456</v>
      </c>
      <c r="K3412" s="1" t="s">
        <v>1606</v>
      </c>
      <c r="L3412" s="1" t="s">
        <v>1729</v>
      </c>
      <c r="M3412" s="1" t="s">
        <v>1735</v>
      </c>
      <c r="N3412" t="s">
        <v>1981</v>
      </c>
      <c r="O3412" t="s">
        <v>2847</v>
      </c>
      <c r="P3412" t="s">
        <v>3037</v>
      </c>
      <c r="Q3412">
        <v>37.5</v>
      </c>
      <c r="R3412" s="1" t="s">
        <v>1839</v>
      </c>
      <c r="S3412">
        <v>2850</v>
      </c>
      <c r="T3412">
        <v>106875</v>
      </c>
    </row>
    <row r="3413" spans="1:20" hidden="1" x14ac:dyDescent="0.4">
      <c r="A3413" s="1" t="s">
        <v>1311</v>
      </c>
      <c r="B3413" s="1" t="s">
        <v>1459</v>
      </c>
      <c r="C3413" s="1" t="s">
        <v>1844</v>
      </c>
      <c r="D3413" s="1" t="s">
        <v>1462</v>
      </c>
      <c r="E3413">
        <v>20251219</v>
      </c>
      <c r="F3413" s="1" t="s">
        <v>1470</v>
      </c>
      <c r="G3413">
        <v>4</v>
      </c>
      <c r="H3413" s="1" t="s">
        <v>1503</v>
      </c>
      <c r="I3413" t="s">
        <v>1883</v>
      </c>
      <c r="J3413" s="1" t="s">
        <v>1456</v>
      </c>
      <c r="K3413" s="1" t="s">
        <v>1606</v>
      </c>
      <c r="L3413" s="1" t="s">
        <v>1729</v>
      </c>
      <c r="M3413" s="1" t="s">
        <v>1735</v>
      </c>
      <c r="N3413" t="s">
        <v>1981</v>
      </c>
      <c r="O3413" t="s">
        <v>2848</v>
      </c>
      <c r="P3413" t="s">
        <v>3037</v>
      </c>
      <c r="Q3413">
        <v>37.5</v>
      </c>
      <c r="R3413" s="1" t="s">
        <v>1839</v>
      </c>
      <c r="S3413">
        <v>2850</v>
      </c>
      <c r="T3413">
        <v>106875</v>
      </c>
    </row>
    <row r="3414" spans="1:20" hidden="1" x14ac:dyDescent="0.4">
      <c r="A3414" s="1" t="s">
        <v>1311</v>
      </c>
      <c r="B3414" s="1" t="s">
        <v>1460</v>
      </c>
      <c r="C3414" s="1" t="s">
        <v>1844</v>
      </c>
      <c r="D3414" s="1" t="s">
        <v>1462</v>
      </c>
      <c r="E3414">
        <v>20251219</v>
      </c>
      <c r="F3414" s="1" t="s">
        <v>1470</v>
      </c>
      <c r="G3414">
        <v>4</v>
      </c>
      <c r="H3414" s="1" t="s">
        <v>1503</v>
      </c>
      <c r="I3414" t="s">
        <v>1883</v>
      </c>
      <c r="J3414" s="1" t="s">
        <v>1456</v>
      </c>
      <c r="K3414" s="1" t="s">
        <v>1606</v>
      </c>
      <c r="L3414" s="1" t="s">
        <v>1729</v>
      </c>
      <c r="M3414" s="1" t="s">
        <v>1735</v>
      </c>
      <c r="N3414" t="s">
        <v>1981</v>
      </c>
      <c r="O3414" t="s">
        <v>2849</v>
      </c>
      <c r="P3414" t="s">
        <v>3037</v>
      </c>
      <c r="Q3414">
        <v>37.200000000000003</v>
      </c>
      <c r="R3414" s="1" t="s">
        <v>1839</v>
      </c>
      <c r="S3414">
        <v>2850</v>
      </c>
      <c r="T3414">
        <v>106020</v>
      </c>
    </row>
    <row r="3415" spans="1:20" hidden="1" x14ac:dyDescent="0.4">
      <c r="A3415" s="1" t="s">
        <v>1311</v>
      </c>
      <c r="B3415" s="1" t="s">
        <v>1461</v>
      </c>
      <c r="C3415" s="1" t="s">
        <v>1844</v>
      </c>
      <c r="D3415" s="1" t="s">
        <v>1462</v>
      </c>
      <c r="E3415">
        <v>20251219</v>
      </c>
      <c r="F3415" s="1" t="s">
        <v>1470</v>
      </c>
      <c r="G3415">
        <v>4</v>
      </c>
      <c r="H3415" s="1" t="s">
        <v>1503</v>
      </c>
      <c r="I3415" t="s">
        <v>1883</v>
      </c>
      <c r="J3415" s="1" t="s">
        <v>1456</v>
      </c>
      <c r="K3415" s="1" t="s">
        <v>1606</v>
      </c>
      <c r="L3415" s="1" t="s">
        <v>1729</v>
      </c>
      <c r="M3415" s="1" t="s">
        <v>1735</v>
      </c>
      <c r="N3415" t="s">
        <v>1981</v>
      </c>
      <c r="O3415" t="s">
        <v>2850</v>
      </c>
      <c r="P3415" t="s">
        <v>3037</v>
      </c>
      <c r="Q3415">
        <v>31.5</v>
      </c>
      <c r="R3415" s="1" t="s">
        <v>1839</v>
      </c>
      <c r="S3415">
        <v>2850</v>
      </c>
      <c r="T3415">
        <v>89775</v>
      </c>
    </row>
    <row r="3416" spans="1:20" hidden="1" x14ac:dyDescent="0.4">
      <c r="A3416" s="1" t="s">
        <v>1311</v>
      </c>
      <c r="B3416" s="1" t="s">
        <v>1462</v>
      </c>
      <c r="C3416" s="1" t="s">
        <v>1844</v>
      </c>
      <c r="D3416" s="1" t="s">
        <v>1462</v>
      </c>
      <c r="E3416">
        <v>20251219</v>
      </c>
      <c r="F3416" s="1" t="s">
        <v>1470</v>
      </c>
      <c r="G3416">
        <v>4</v>
      </c>
      <c r="H3416" s="1" t="s">
        <v>1503</v>
      </c>
      <c r="I3416" t="s">
        <v>1883</v>
      </c>
      <c r="J3416" s="1" t="s">
        <v>1456</v>
      </c>
      <c r="K3416" s="1" t="s">
        <v>1606</v>
      </c>
      <c r="L3416" s="1" t="s">
        <v>1729</v>
      </c>
      <c r="M3416" s="1" t="s">
        <v>1735</v>
      </c>
      <c r="N3416" t="s">
        <v>1981</v>
      </c>
      <c r="O3416" t="s">
        <v>2851</v>
      </c>
      <c r="P3416" t="s">
        <v>3037</v>
      </c>
      <c r="Q3416">
        <v>31.5</v>
      </c>
      <c r="R3416" s="1" t="s">
        <v>1839</v>
      </c>
      <c r="S3416">
        <v>2850</v>
      </c>
      <c r="T3416">
        <v>89775</v>
      </c>
    </row>
    <row r="3417" spans="1:20" hidden="1" x14ac:dyDescent="0.4">
      <c r="A3417" s="1" t="s">
        <v>1311</v>
      </c>
      <c r="B3417" s="1" t="s">
        <v>1463</v>
      </c>
      <c r="C3417" s="1" t="s">
        <v>1844</v>
      </c>
      <c r="D3417" s="1" t="s">
        <v>1462</v>
      </c>
      <c r="E3417">
        <v>20251219</v>
      </c>
      <c r="F3417" s="1" t="s">
        <v>1470</v>
      </c>
      <c r="G3417">
        <v>4</v>
      </c>
      <c r="H3417" s="1" t="s">
        <v>1503</v>
      </c>
      <c r="I3417" t="s">
        <v>1883</v>
      </c>
      <c r="J3417" s="1" t="s">
        <v>1456</v>
      </c>
      <c r="K3417" s="1" t="s">
        <v>1606</v>
      </c>
      <c r="L3417" s="1" t="s">
        <v>1729</v>
      </c>
      <c r="M3417" s="1" t="s">
        <v>1735</v>
      </c>
      <c r="N3417" t="s">
        <v>1981</v>
      </c>
      <c r="O3417" t="s">
        <v>2852</v>
      </c>
      <c r="P3417" t="s">
        <v>3037</v>
      </c>
      <c r="Q3417">
        <v>32.4</v>
      </c>
      <c r="R3417" s="1" t="s">
        <v>1839</v>
      </c>
      <c r="S3417">
        <v>2850</v>
      </c>
      <c r="T3417">
        <v>92340</v>
      </c>
    </row>
    <row r="3418" spans="1:20" hidden="1" x14ac:dyDescent="0.4">
      <c r="A3418" s="1" t="s">
        <v>1312</v>
      </c>
      <c r="B3418" s="1" t="s">
        <v>1453</v>
      </c>
      <c r="C3418" s="1" t="s">
        <v>1844</v>
      </c>
      <c r="D3418" s="1" t="s">
        <v>1462</v>
      </c>
      <c r="E3418">
        <v>20251219</v>
      </c>
      <c r="F3418" s="1" t="s">
        <v>1470</v>
      </c>
      <c r="G3418">
        <v>4</v>
      </c>
      <c r="H3418" s="1" t="s">
        <v>1503</v>
      </c>
      <c r="I3418" t="s">
        <v>1883</v>
      </c>
      <c r="J3418" s="1" t="s">
        <v>1456</v>
      </c>
      <c r="K3418" s="1" t="s">
        <v>1606</v>
      </c>
      <c r="L3418" s="1" t="s">
        <v>1729</v>
      </c>
      <c r="M3418" s="1" t="s">
        <v>1735</v>
      </c>
      <c r="N3418" t="s">
        <v>1981</v>
      </c>
      <c r="O3418" t="s">
        <v>2853</v>
      </c>
      <c r="P3418" t="s">
        <v>3037</v>
      </c>
      <c r="Q3418">
        <v>34.5</v>
      </c>
      <c r="R3418" s="1" t="s">
        <v>1839</v>
      </c>
      <c r="S3418">
        <v>2850</v>
      </c>
      <c r="T3418">
        <v>98325</v>
      </c>
    </row>
    <row r="3419" spans="1:20" hidden="1" x14ac:dyDescent="0.4">
      <c r="A3419" s="1" t="s">
        <v>1312</v>
      </c>
      <c r="B3419" s="1" t="s">
        <v>1454</v>
      </c>
      <c r="C3419" s="1" t="s">
        <v>1844</v>
      </c>
      <c r="D3419" s="1" t="s">
        <v>1462</v>
      </c>
      <c r="E3419">
        <v>20251219</v>
      </c>
      <c r="F3419" s="1" t="s">
        <v>1470</v>
      </c>
      <c r="G3419">
        <v>4</v>
      </c>
      <c r="H3419" s="1" t="s">
        <v>1503</v>
      </c>
      <c r="I3419" t="s">
        <v>1883</v>
      </c>
      <c r="J3419" s="1" t="s">
        <v>1456</v>
      </c>
      <c r="K3419" s="1" t="s">
        <v>1606</v>
      </c>
      <c r="L3419" s="1" t="s">
        <v>1729</v>
      </c>
      <c r="M3419" s="1" t="s">
        <v>1735</v>
      </c>
      <c r="N3419" t="s">
        <v>1981</v>
      </c>
      <c r="O3419" t="s">
        <v>2854</v>
      </c>
      <c r="P3419" t="s">
        <v>3037</v>
      </c>
      <c r="Q3419">
        <v>34.5</v>
      </c>
      <c r="R3419" s="1" t="s">
        <v>1839</v>
      </c>
      <c r="S3419">
        <v>2850</v>
      </c>
      <c r="T3419">
        <v>98325</v>
      </c>
    </row>
    <row r="3420" spans="1:20" hidden="1" x14ac:dyDescent="0.4">
      <c r="A3420" s="1" t="s">
        <v>1312</v>
      </c>
      <c r="B3420" s="1" t="s">
        <v>1455</v>
      </c>
      <c r="C3420" s="1" t="s">
        <v>1844</v>
      </c>
      <c r="D3420" s="1" t="s">
        <v>1462</v>
      </c>
      <c r="E3420">
        <v>20251219</v>
      </c>
      <c r="F3420" s="1" t="s">
        <v>1470</v>
      </c>
      <c r="G3420">
        <v>4</v>
      </c>
      <c r="H3420" s="1" t="s">
        <v>1503</v>
      </c>
      <c r="I3420" t="s">
        <v>1883</v>
      </c>
      <c r="J3420" s="1" t="s">
        <v>1456</v>
      </c>
      <c r="K3420" s="1" t="s">
        <v>1606</v>
      </c>
      <c r="L3420" s="1" t="s">
        <v>1729</v>
      </c>
      <c r="M3420" s="1" t="s">
        <v>1735</v>
      </c>
      <c r="N3420" t="s">
        <v>1981</v>
      </c>
      <c r="O3420" t="s">
        <v>2855</v>
      </c>
      <c r="P3420" t="s">
        <v>3037</v>
      </c>
      <c r="Q3420">
        <v>34.5</v>
      </c>
      <c r="R3420" s="1" t="s">
        <v>1839</v>
      </c>
      <c r="S3420">
        <v>2850</v>
      </c>
      <c r="T3420">
        <v>98325</v>
      </c>
    </row>
    <row r="3421" spans="1:20" hidden="1" x14ac:dyDescent="0.4">
      <c r="A3421" s="1" t="s">
        <v>1312</v>
      </c>
      <c r="B3421" s="1" t="s">
        <v>1456</v>
      </c>
      <c r="C3421" s="1" t="s">
        <v>1844</v>
      </c>
      <c r="D3421" s="1" t="s">
        <v>1462</v>
      </c>
      <c r="E3421">
        <v>20251219</v>
      </c>
      <c r="F3421" s="1" t="s">
        <v>1470</v>
      </c>
      <c r="G3421">
        <v>4</v>
      </c>
      <c r="H3421" s="1" t="s">
        <v>1503</v>
      </c>
      <c r="I3421" t="s">
        <v>1883</v>
      </c>
      <c r="J3421" s="1" t="s">
        <v>1456</v>
      </c>
      <c r="K3421" s="1" t="s">
        <v>1606</v>
      </c>
      <c r="L3421" s="1" t="s">
        <v>1729</v>
      </c>
      <c r="M3421" s="1" t="s">
        <v>1735</v>
      </c>
      <c r="N3421" t="s">
        <v>1981</v>
      </c>
      <c r="O3421" t="s">
        <v>2856</v>
      </c>
      <c r="P3421" t="s">
        <v>3037</v>
      </c>
      <c r="Q3421">
        <v>37.4</v>
      </c>
      <c r="R3421" s="1" t="s">
        <v>1839</v>
      </c>
      <c r="S3421">
        <v>2850</v>
      </c>
      <c r="T3421">
        <v>106590</v>
      </c>
    </row>
    <row r="3422" spans="1:20" hidden="1" x14ac:dyDescent="0.4">
      <c r="A3422" s="1" t="s">
        <v>1313</v>
      </c>
      <c r="B3422" s="1" t="s">
        <v>1453</v>
      </c>
      <c r="C3422" s="1" t="s">
        <v>1844</v>
      </c>
      <c r="D3422" s="1" t="s">
        <v>1852</v>
      </c>
      <c r="E3422">
        <v>20251220</v>
      </c>
      <c r="F3422" s="1" t="s">
        <v>1473</v>
      </c>
      <c r="G3422">
        <v>4</v>
      </c>
      <c r="H3422" s="1" t="s">
        <v>1521</v>
      </c>
      <c r="I3422" t="s">
        <v>1901</v>
      </c>
      <c r="J3422" s="1" t="s">
        <v>1453</v>
      </c>
      <c r="K3422" s="1" t="s">
        <v>1607</v>
      </c>
      <c r="L3422" s="1" t="s">
        <v>1718</v>
      </c>
      <c r="M3422" s="1" t="s">
        <v>1768</v>
      </c>
      <c r="N3422" t="s">
        <v>1970</v>
      </c>
      <c r="O3422" t="s">
        <v>2164</v>
      </c>
      <c r="P3422" t="s">
        <v>3092</v>
      </c>
      <c r="Q3422">
        <v>-18</v>
      </c>
      <c r="R3422" s="1" t="s">
        <v>1839</v>
      </c>
      <c r="S3422">
        <v>2188</v>
      </c>
      <c r="T3422">
        <v>-39384</v>
      </c>
    </row>
    <row r="3423" spans="1:20" hidden="1" x14ac:dyDescent="0.4">
      <c r="A3423" s="1" t="s">
        <v>1314</v>
      </c>
      <c r="B3423" s="1" t="s">
        <v>1453</v>
      </c>
      <c r="C3423" s="1" t="s">
        <v>1844</v>
      </c>
      <c r="D3423" s="1" t="s">
        <v>1467</v>
      </c>
      <c r="E3423">
        <v>20251219</v>
      </c>
      <c r="F3423" s="1" t="s">
        <v>1473</v>
      </c>
      <c r="G3423">
        <v>4</v>
      </c>
      <c r="H3423" s="1" t="s">
        <v>1521</v>
      </c>
      <c r="I3423" t="s">
        <v>1901</v>
      </c>
      <c r="J3423" s="1" t="s">
        <v>1453</v>
      </c>
      <c r="K3423" s="1" t="s">
        <v>1596</v>
      </c>
      <c r="L3423" s="1" t="s">
        <v>1718</v>
      </c>
      <c r="M3423" s="1" t="s">
        <v>1763</v>
      </c>
      <c r="N3423" t="s">
        <v>1971</v>
      </c>
      <c r="O3423" t="s">
        <v>2164</v>
      </c>
      <c r="P3423" t="s">
        <v>3081</v>
      </c>
      <c r="Q3423">
        <v>144.5</v>
      </c>
      <c r="R3423" s="1" t="s">
        <v>1839</v>
      </c>
      <c r="S3423">
        <v>1419</v>
      </c>
      <c r="T3423">
        <v>205046</v>
      </c>
    </row>
    <row r="3424" spans="1:20" hidden="1" x14ac:dyDescent="0.4">
      <c r="A3424" s="1" t="s">
        <v>1314</v>
      </c>
      <c r="B3424" s="1" t="s">
        <v>1454</v>
      </c>
      <c r="C3424" s="1" t="s">
        <v>1844</v>
      </c>
      <c r="D3424" s="1" t="s">
        <v>1467</v>
      </c>
      <c r="E3424">
        <v>20251219</v>
      </c>
      <c r="F3424" s="1" t="s">
        <v>1473</v>
      </c>
      <c r="G3424">
        <v>4</v>
      </c>
      <c r="H3424" s="1" t="s">
        <v>1521</v>
      </c>
      <c r="I3424" t="s">
        <v>1901</v>
      </c>
      <c r="J3424" s="1" t="s">
        <v>1453</v>
      </c>
      <c r="K3424" s="1" t="s">
        <v>1596</v>
      </c>
      <c r="L3424" s="1" t="s">
        <v>1718</v>
      </c>
      <c r="M3424" s="1" t="s">
        <v>1763</v>
      </c>
      <c r="N3424" t="s">
        <v>1971</v>
      </c>
      <c r="O3424" t="s">
        <v>2164</v>
      </c>
      <c r="P3424" t="s">
        <v>3081</v>
      </c>
      <c r="Q3424">
        <v>138.32</v>
      </c>
      <c r="R3424" s="1" t="s">
        <v>1839</v>
      </c>
      <c r="S3424">
        <v>1419</v>
      </c>
      <c r="T3424">
        <v>196276</v>
      </c>
    </row>
    <row r="3425" spans="1:20" hidden="1" x14ac:dyDescent="0.4">
      <c r="A3425" s="1" t="s">
        <v>1314</v>
      </c>
      <c r="B3425" s="1" t="s">
        <v>1455</v>
      </c>
      <c r="C3425" s="1" t="s">
        <v>1844</v>
      </c>
      <c r="D3425" s="1" t="s">
        <v>1467</v>
      </c>
      <c r="E3425">
        <v>20251219</v>
      </c>
      <c r="F3425" s="1" t="s">
        <v>1473</v>
      </c>
      <c r="G3425">
        <v>4</v>
      </c>
      <c r="H3425" s="1" t="s">
        <v>1521</v>
      </c>
      <c r="I3425" t="s">
        <v>1901</v>
      </c>
      <c r="J3425" s="1" t="s">
        <v>1453</v>
      </c>
      <c r="K3425" s="1" t="s">
        <v>1596</v>
      </c>
      <c r="L3425" s="1" t="s">
        <v>1718</v>
      </c>
      <c r="M3425" s="1" t="s">
        <v>1763</v>
      </c>
      <c r="N3425" t="s">
        <v>1971</v>
      </c>
      <c r="O3425" t="s">
        <v>2164</v>
      </c>
      <c r="P3425" t="s">
        <v>3081</v>
      </c>
      <c r="Q3425">
        <v>138.32</v>
      </c>
      <c r="R3425" s="1" t="s">
        <v>1839</v>
      </c>
      <c r="S3425">
        <v>1419</v>
      </c>
      <c r="T3425">
        <v>196276</v>
      </c>
    </row>
    <row r="3426" spans="1:20" hidden="1" x14ac:dyDescent="0.4">
      <c r="A3426" s="1" t="s">
        <v>1314</v>
      </c>
      <c r="B3426" s="1" t="s">
        <v>1456</v>
      </c>
      <c r="C3426" s="1" t="s">
        <v>1844</v>
      </c>
      <c r="D3426" s="1" t="s">
        <v>1467</v>
      </c>
      <c r="E3426">
        <v>20251219</v>
      </c>
      <c r="F3426" s="1" t="s">
        <v>1473</v>
      </c>
      <c r="G3426">
        <v>4</v>
      </c>
      <c r="H3426" s="1" t="s">
        <v>1521</v>
      </c>
      <c r="I3426" t="s">
        <v>1901</v>
      </c>
      <c r="J3426" s="1" t="s">
        <v>1453</v>
      </c>
      <c r="K3426" s="1" t="s">
        <v>1596</v>
      </c>
      <c r="L3426" s="1" t="s">
        <v>1718</v>
      </c>
      <c r="M3426" s="1" t="s">
        <v>1763</v>
      </c>
      <c r="N3426" t="s">
        <v>1971</v>
      </c>
      <c r="O3426" t="s">
        <v>2164</v>
      </c>
      <c r="P3426" t="s">
        <v>3081</v>
      </c>
      <c r="Q3426">
        <v>138.32</v>
      </c>
      <c r="R3426" s="1" t="s">
        <v>1839</v>
      </c>
      <c r="S3426">
        <v>1419</v>
      </c>
      <c r="T3426">
        <v>196276</v>
      </c>
    </row>
    <row r="3427" spans="1:20" hidden="1" x14ac:dyDescent="0.4">
      <c r="A3427" s="1" t="s">
        <v>1314</v>
      </c>
      <c r="B3427" s="1" t="s">
        <v>1457</v>
      </c>
      <c r="C3427" s="1" t="s">
        <v>1844</v>
      </c>
      <c r="D3427" s="1" t="s">
        <v>1467</v>
      </c>
      <c r="E3427">
        <v>20251219</v>
      </c>
      <c r="F3427" s="1" t="s">
        <v>1473</v>
      </c>
      <c r="G3427">
        <v>4</v>
      </c>
      <c r="H3427" s="1" t="s">
        <v>1521</v>
      </c>
      <c r="I3427" t="s">
        <v>1901</v>
      </c>
      <c r="J3427" s="1" t="s">
        <v>1453</v>
      </c>
      <c r="K3427" s="1" t="s">
        <v>1596</v>
      </c>
      <c r="L3427" s="1" t="s">
        <v>1718</v>
      </c>
      <c r="M3427" s="1" t="s">
        <v>1763</v>
      </c>
      <c r="N3427" t="s">
        <v>1971</v>
      </c>
      <c r="O3427" t="s">
        <v>2164</v>
      </c>
      <c r="P3427" t="s">
        <v>3081</v>
      </c>
      <c r="Q3427">
        <v>138.32</v>
      </c>
      <c r="R3427" s="1" t="s">
        <v>1839</v>
      </c>
      <c r="S3427">
        <v>1419</v>
      </c>
      <c r="T3427">
        <v>196276</v>
      </c>
    </row>
    <row r="3428" spans="1:20" hidden="1" x14ac:dyDescent="0.4">
      <c r="A3428" s="1" t="s">
        <v>1314</v>
      </c>
      <c r="B3428" s="1" t="s">
        <v>1458</v>
      </c>
      <c r="C3428" s="1" t="s">
        <v>1844</v>
      </c>
      <c r="D3428" s="1" t="s">
        <v>1467</v>
      </c>
      <c r="E3428">
        <v>20251219</v>
      </c>
      <c r="F3428" s="1" t="s">
        <v>1473</v>
      </c>
      <c r="G3428">
        <v>4</v>
      </c>
      <c r="H3428" s="1" t="s">
        <v>1521</v>
      </c>
      <c r="I3428" t="s">
        <v>1901</v>
      </c>
      <c r="J3428" s="1" t="s">
        <v>1453</v>
      </c>
      <c r="K3428" s="1" t="s">
        <v>1596</v>
      </c>
      <c r="L3428" s="1" t="s">
        <v>1718</v>
      </c>
      <c r="M3428" s="1" t="s">
        <v>1763</v>
      </c>
      <c r="N3428" t="s">
        <v>1971</v>
      </c>
      <c r="O3428" t="s">
        <v>2164</v>
      </c>
      <c r="P3428" t="s">
        <v>3081</v>
      </c>
      <c r="Q3428">
        <v>138.32</v>
      </c>
      <c r="R3428" s="1" t="s">
        <v>1839</v>
      </c>
      <c r="S3428">
        <v>1419</v>
      </c>
      <c r="T3428">
        <v>196276</v>
      </c>
    </row>
    <row r="3429" spans="1:20" hidden="1" x14ac:dyDescent="0.4">
      <c r="A3429" s="1" t="s">
        <v>1314</v>
      </c>
      <c r="B3429" s="1" t="s">
        <v>1459</v>
      </c>
      <c r="C3429" s="1" t="s">
        <v>1844</v>
      </c>
      <c r="D3429" s="1" t="s">
        <v>1467</v>
      </c>
      <c r="E3429">
        <v>20251219</v>
      </c>
      <c r="F3429" s="1" t="s">
        <v>1473</v>
      </c>
      <c r="G3429">
        <v>4</v>
      </c>
      <c r="H3429" s="1" t="s">
        <v>1521</v>
      </c>
      <c r="I3429" t="s">
        <v>1901</v>
      </c>
      <c r="J3429" s="1" t="s">
        <v>1453</v>
      </c>
      <c r="K3429" s="1" t="s">
        <v>1596</v>
      </c>
      <c r="L3429" s="1" t="s">
        <v>1718</v>
      </c>
      <c r="M3429" s="1" t="s">
        <v>1763</v>
      </c>
      <c r="N3429" t="s">
        <v>1971</v>
      </c>
      <c r="O3429" t="s">
        <v>2164</v>
      </c>
      <c r="P3429" t="s">
        <v>3081</v>
      </c>
      <c r="Q3429">
        <v>140.13999999999999</v>
      </c>
      <c r="R3429" s="1" t="s">
        <v>1839</v>
      </c>
      <c r="S3429">
        <v>1419</v>
      </c>
      <c r="T3429">
        <v>198859</v>
      </c>
    </row>
    <row r="3430" spans="1:20" hidden="1" x14ac:dyDescent="0.4">
      <c r="A3430" s="1" t="s">
        <v>1314</v>
      </c>
      <c r="B3430" s="1" t="s">
        <v>1460</v>
      </c>
      <c r="C3430" s="1" t="s">
        <v>1844</v>
      </c>
      <c r="D3430" s="1" t="s">
        <v>1467</v>
      </c>
      <c r="E3430">
        <v>20251219</v>
      </c>
      <c r="F3430" s="1" t="s">
        <v>1473</v>
      </c>
      <c r="G3430">
        <v>4</v>
      </c>
      <c r="H3430" s="1" t="s">
        <v>1521</v>
      </c>
      <c r="I3430" t="s">
        <v>1901</v>
      </c>
      <c r="J3430" s="1" t="s">
        <v>1453</v>
      </c>
      <c r="K3430" s="1" t="s">
        <v>1596</v>
      </c>
      <c r="L3430" s="1" t="s">
        <v>1718</v>
      </c>
      <c r="M3430" s="1" t="s">
        <v>1763</v>
      </c>
      <c r="N3430" t="s">
        <v>1971</v>
      </c>
      <c r="O3430" t="s">
        <v>2164</v>
      </c>
      <c r="P3430" t="s">
        <v>3081</v>
      </c>
      <c r="Q3430">
        <v>138.32</v>
      </c>
      <c r="R3430" s="1" t="s">
        <v>1839</v>
      </c>
      <c r="S3430">
        <v>1419</v>
      </c>
      <c r="T3430">
        <v>196276</v>
      </c>
    </row>
    <row r="3431" spans="1:20" hidden="1" x14ac:dyDescent="0.4">
      <c r="A3431" s="1" t="s">
        <v>1314</v>
      </c>
      <c r="B3431" s="1" t="s">
        <v>1461</v>
      </c>
      <c r="C3431" s="1" t="s">
        <v>1844</v>
      </c>
      <c r="D3431" s="1" t="s">
        <v>1467</v>
      </c>
      <c r="E3431">
        <v>20251219</v>
      </c>
      <c r="F3431" s="1" t="s">
        <v>1473</v>
      </c>
      <c r="G3431">
        <v>4</v>
      </c>
      <c r="H3431" s="1" t="s">
        <v>1521</v>
      </c>
      <c r="I3431" t="s">
        <v>1901</v>
      </c>
      <c r="J3431" s="1" t="s">
        <v>1453</v>
      </c>
      <c r="K3431" s="1" t="s">
        <v>1596</v>
      </c>
      <c r="L3431" s="1" t="s">
        <v>1718</v>
      </c>
      <c r="M3431" s="1" t="s">
        <v>1763</v>
      </c>
      <c r="N3431" t="s">
        <v>1971</v>
      </c>
      <c r="O3431" t="s">
        <v>2164</v>
      </c>
      <c r="P3431" t="s">
        <v>3081</v>
      </c>
      <c r="Q3431">
        <v>116.11</v>
      </c>
      <c r="R3431" s="1" t="s">
        <v>1839</v>
      </c>
      <c r="S3431">
        <v>1419</v>
      </c>
      <c r="T3431">
        <v>164760</v>
      </c>
    </row>
    <row r="3432" spans="1:20" hidden="1" x14ac:dyDescent="0.4">
      <c r="A3432" s="1" t="s">
        <v>1314</v>
      </c>
      <c r="B3432" s="1" t="s">
        <v>1462</v>
      </c>
      <c r="C3432" s="1" t="s">
        <v>1844</v>
      </c>
      <c r="D3432" s="1" t="s">
        <v>1467</v>
      </c>
      <c r="E3432">
        <v>20251219</v>
      </c>
      <c r="F3432" s="1" t="s">
        <v>1473</v>
      </c>
      <c r="G3432">
        <v>4</v>
      </c>
      <c r="H3432" s="1" t="s">
        <v>1521</v>
      </c>
      <c r="I3432" t="s">
        <v>1901</v>
      </c>
      <c r="J3432" s="1" t="s">
        <v>1453</v>
      </c>
      <c r="K3432" s="1" t="s">
        <v>1596</v>
      </c>
      <c r="L3432" s="1" t="s">
        <v>1718</v>
      </c>
      <c r="M3432" s="1" t="s">
        <v>1763</v>
      </c>
      <c r="N3432" t="s">
        <v>1971</v>
      </c>
      <c r="O3432" t="s">
        <v>2164</v>
      </c>
      <c r="P3432" t="s">
        <v>3081</v>
      </c>
      <c r="Q3432">
        <v>145.6</v>
      </c>
      <c r="R3432" s="1" t="s">
        <v>1839</v>
      </c>
      <c r="S3432">
        <v>1419</v>
      </c>
      <c r="T3432">
        <v>206606</v>
      </c>
    </row>
    <row r="3433" spans="1:20" hidden="1" x14ac:dyDescent="0.4">
      <c r="A3433" s="1" t="s">
        <v>1314</v>
      </c>
      <c r="B3433" s="1" t="s">
        <v>1463</v>
      </c>
      <c r="C3433" s="1" t="s">
        <v>1844</v>
      </c>
      <c r="D3433" s="1" t="s">
        <v>1467</v>
      </c>
      <c r="E3433">
        <v>20251219</v>
      </c>
      <c r="F3433" s="1" t="s">
        <v>1473</v>
      </c>
      <c r="G3433">
        <v>4</v>
      </c>
      <c r="H3433" s="1" t="s">
        <v>1521</v>
      </c>
      <c r="I3433" t="s">
        <v>1901</v>
      </c>
      <c r="J3433" s="1" t="s">
        <v>1453</v>
      </c>
      <c r="K3433" s="1" t="s">
        <v>1596</v>
      </c>
      <c r="L3433" s="1" t="s">
        <v>1718</v>
      </c>
      <c r="M3433" s="1" t="s">
        <v>1763</v>
      </c>
      <c r="N3433" t="s">
        <v>1971</v>
      </c>
      <c r="O3433" t="s">
        <v>2164</v>
      </c>
      <c r="P3433" t="s">
        <v>3081</v>
      </c>
      <c r="Q3433">
        <v>141.96</v>
      </c>
      <c r="R3433" s="1" t="s">
        <v>1839</v>
      </c>
      <c r="S3433">
        <v>1419</v>
      </c>
      <c r="T3433">
        <v>201441</v>
      </c>
    </row>
    <row r="3434" spans="1:20" hidden="1" x14ac:dyDescent="0.4">
      <c r="A3434" s="1" t="s">
        <v>1315</v>
      </c>
      <c r="B3434" s="1" t="s">
        <v>1453</v>
      </c>
      <c r="C3434" s="1" t="s">
        <v>1844</v>
      </c>
      <c r="D3434" s="1" t="s">
        <v>1462</v>
      </c>
      <c r="E3434">
        <v>20251219</v>
      </c>
      <c r="F3434" s="1" t="s">
        <v>1473</v>
      </c>
      <c r="G3434">
        <v>4</v>
      </c>
      <c r="H3434" s="1" t="s">
        <v>1493</v>
      </c>
      <c r="I3434" t="s">
        <v>1873</v>
      </c>
      <c r="J3434" s="1" t="s">
        <v>1453</v>
      </c>
      <c r="K3434" s="1" t="s">
        <v>1598</v>
      </c>
      <c r="L3434" s="1" t="s">
        <v>1718</v>
      </c>
      <c r="M3434" s="1" t="s">
        <v>1765</v>
      </c>
      <c r="N3434" t="s">
        <v>1973</v>
      </c>
      <c r="O3434" t="s">
        <v>2164</v>
      </c>
      <c r="P3434" t="s">
        <v>3084</v>
      </c>
      <c r="Q3434">
        <v>42.22</v>
      </c>
      <c r="R3434" s="1" t="s">
        <v>1839</v>
      </c>
      <c r="S3434">
        <v>3340</v>
      </c>
      <c r="T3434">
        <v>141014</v>
      </c>
    </row>
    <row r="3435" spans="1:20" hidden="1" x14ac:dyDescent="0.4">
      <c r="A3435" s="1" t="s">
        <v>1315</v>
      </c>
      <c r="B3435" s="1" t="s">
        <v>1454</v>
      </c>
      <c r="C3435" s="1" t="s">
        <v>1844</v>
      </c>
      <c r="D3435" s="1" t="s">
        <v>1462</v>
      </c>
      <c r="E3435">
        <v>20251219</v>
      </c>
      <c r="F3435" s="1" t="s">
        <v>1473</v>
      </c>
      <c r="G3435">
        <v>4</v>
      </c>
      <c r="H3435" s="1" t="s">
        <v>1493</v>
      </c>
      <c r="I3435" t="s">
        <v>1873</v>
      </c>
      <c r="J3435" s="1" t="s">
        <v>1453</v>
      </c>
      <c r="K3435" s="1" t="s">
        <v>1598</v>
      </c>
      <c r="L3435" s="1" t="s">
        <v>1718</v>
      </c>
      <c r="M3435" s="1" t="s">
        <v>1765</v>
      </c>
      <c r="N3435" t="s">
        <v>1973</v>
      </c>
      <c r="O3435" t="s">
        <v>2164</v>
      </c>
      <c r="P3435" t="s">
        <v>3084</v>
      </c>
      <c r="Q3435">
        <v>35.299999999999997</v>
      </c>
      <c r="R3435" s="1" t="s">
        <v>1839</v>
      </c>
      <c r="S3435">
        <v>3340</v>
      </c>
      <c r="T3435">
        <v>117902</v>
      </c>
    </row>
    <row r="3436" spans="1:20" hidden="1" x14ac:dyDescent="0.4">
      <c r="A3436" s="1" t="s">
        <v>1316</v>
      </c>
      <c r="B3436" s="1" t="s">
        <v>1453</v>
      </c>
      <c r="C3436" s="1" t="s">
        <v>1844</v>
      </c>
      <c r="D3436" s="1" t="s">
        <v>1462</v>
      </c>
      <c r="E3436">
        <v>20251219</v>
      </c>
      <c r="F3436" s="1" t="s">
        <v>1473</v>
      </c>
      <c r="G3436">
        <v>4</v>
      </c>
      <c r="H3436" s="1" t="s">
        <v>1493</v>
      </c>
      <c r="I3436" t="s">
        <v>1873</v>
      </c>
      <c r="J3436" s="1" t="s">
        <v>1453</v>
      </c>
      <c r="K3436" s="1" t="s">
        <v>1605</v>
      </c>
      <c r="L3436" s="1" t="s">
        <v>1718</v>
      </c>
      <c r="M3436" s="1" t="s">
        <v>1761</v>
      </c>
      <c r="N3436" t="s">
        <v>2026</v>
      </c>
      <c r="O3436" t="s">
        <v>2164</v>
      </c>
      <c r="P3436" t="s">
        <v>3091</v>
      </c>
      <c r="Q3436">
        <v>108.83</v>
      </c>
      <c r="R3436" s="1" t="s">
        <v>1839</v>
      </c>
      <c r="S3436">
        <v>3079</v>
      </c>
      <c r="T3436">
        <v>335087</v>
      </c>
    </row>
    <row r="3437" spans="1:20" hidden="1" x14ac:dyDescent="0.4">
      <c r="A3437" s="1" t="s">
        <v>1316</v>
      </c>
      <c r="B3437" s="1" t="s">
        <v>1454</v>
      </c>
      <c r="C3437" s="1" t="s">
        <v>1844</v>
      </c>
      <c r="D3437" s="1" t="s">
        <v>1462</v>
      </c>
      <c r="E3437">
        <v>20251219</v>
      </c>
      <c r="F3437" s="1" t="s">
        <v>1473</v>
      </c>
      <c r="G3437">
        <v>4</v>
      </c>
      <c r="H3437" s="1" t="s">
        <v>1493</v>
      </c>
      <c r="I3437" t="s">
        <v>1873</v>
      </c>
      <c r="J3437" s="1" t="s">
        <v>1453</v>
      </c>
      <c r="K3437" s="1" t="s">
        <v>1605</v>
      </c>
      <c r="L3437" s="1" t="s">
        <v>1718</v>
      </c>
      <c r="M3437" s="1" t="s">
        <v>1761</v>
      </c>
      <c r="N3437" t="s">
        <v>2026</v>
      </c>
      <c r="O3437" t="s">
        <v>2164</v>
      </c>
      <c r="P3437" t="s">
        <v>3091</v>
      </c>
      <c r="Q3437">
        <v>120.12</v>
      </c>
      <c r="R3437" s="1" t="s">
        <v>1839</v>
      </c>
      <c r="S3437">
        <v>3079</v>
      </c>
      <c r="T3437">
        <v>369849</v>
      </c>
    </row>
    <row r="3438" spans="1:20" hidden="1" x14ac:dyDescent="0.4">
      <c r="A3438" s="1" t="s">
        <v>1316</v>
      </c>
      <c r="B3438" s="1" t="s">
        <v>1455</v>
      </c>
      <c r="C3438" s="1" t="s">
        <v>1844</v>
      </c>
      <c r="D3438" s="1" t="s">
        <v>1462</v>
      </c>
      <c r="E3438">
        <v>20251219</v>
      </c>
      <c r="F3438" s="1" t="s">
        <v>1473</v>
      </c>
      <c r="G3438">
        <v>4</v>
      </c>
      <c r="H3438" s="1" t="s">
        <v>1493</v>
      </c>
      <c r="I3438" t="s">
        <v>1873</v>
      </c>
      <c r="J3438" s="1" t="s">
        <v>1453</v>
      </c>
      <c r="K3438" s="1" t="s">
        <v>1605</v>
      </c>
      <c r="L3438" s="1" t="s">
        <v>1718</v>
      </c>
      <c r="M3438" s="1" t="s">
        <v>1761</v>
      </c>
      <c r="N3438" t="s">
        <v>2026</v>
      </c>
      <c r="O3438" t="s">
        <v>2164</v>
      </c>
      <c r="P3438" t="s">
        <v>3091</v>
      </c>
      <c r="Q3438">
        <v>120.12</v>
      </c>
      <c r="R3438" s="1" t="s">
        <v>1839</v>
      </c>
      <c r="S3438">
        <v>3079</v>
      </c>
      <c r="T3438">
        <v>369849</v>
      </c>
    </row>
    <row r="3439" spans="1:20" hidden="1" x14ac:dyDescent="0.4">
      <c r="A3439" s="1" t="s">
        <v>1316</v>
      </c>
      <c r="B3439" s="1" t="s">
        <v>1456</v>
      </c>
      <c r="C3439" s="1" t="s">
        <v>1844</v>
      </c>
      <c r="D3439" s="1" t="s">
        <v>1462</v>
      </c>
      <c r="E3439">
        <v>20251219</v>
      </c>
      <c r="F3439" s="1" t="s">
        <v>1473</v>
      </c>
      <c r="G3439">
        <v>4</v>
      </c>
      <c r="H3439" s="1" t="s">
        <v>1493</v>
      </c>
      <c r="I3439" t="s">
        <v>1873</v>
      </c>
      <c r="J3439" s="1" t="s">
        <v>1453</v>
      </c>
      <c r="K3439" s="1" t="s">
        <v>1605</v>
      </c>
      <c r="L3439" s="1" t="s">
        <v>1718</v>
      </c>
      <c r="M3439" s="1" t="s">
        <v>1761</v>
      </c>
      <c r="N3439" t="s">
        <v>2026</v>
      </c>
      <c r="O3439" t="s">
        <v>2164</v>
      </c>
      <c r="P3439" t="s">
        <v>3091</v>
      </c>
      <c r="Q3439">
        <v>115.38</v>
      </c>
      <c r="R3439" s="1" t="s">
        <v>1839</v>
      </c>
      <c r="S3439">
        <v>3079</v>
      </c>
      <c r="T3439">
        <v>355255</v>
      </c>
    </row>
    <row r="3440" spans="1:20" hidden="1" x14ac:dyDescent="0.4">
      <c r="A3440" s="1" t="s">
        <v>1316</v>
      </c>
      <c r="B3440" s="1" t="s">
        <v>1457</v>
      </c>
      <c r="C3440" s="1" t="s">
        <v>1844</v>
      </c>
      <c r="D3440" s="1" t="s">
        <v>1462</v>
      </c>
      <c r="E3440">
        <v>20251219</v>
      </c>
      <c r="F3440" s="1" t="s">
        <v>1473</v>
      </c>
      <c r="G3440">
        <v>4</v>
      </c>
      <c r="H3440" s="1" t="s">
        <v>1493</v>
      </c>
      <c r="I3440" t="s">
        <v>1873</v>
      </c>
      <c r="J3440" s="1" t="s">
        <v>1453</v>
      </c>
      <c r="K3440" s="1" t="s">
        <v>1605</v>
      </c>
      <c r="L3440" s="1" t="s">
        <v>1718</v>
      </c>
      <c r="M3440" s="1" t="s">
        <v>1761</v>
      </c>
      <c r="N3440" t="s">
        <v>2026</v>
      </c>
      <c r="O3440" t="s">
        <v>2164</v>
      </c>
      <c r="P3440" t="s">
        <v>3091</v>
      </c>
      <c r="Q3440">
        <v>76.8</v>
      </c>
      <c r="R3440" s="1" t="s">
        <v>1839</v>
      </c>
      <c r="S3440">
        <v>3079</v>
      </c>
      <c r="T3440">
        <v>236467</v>
      </c>
    </row>
    <row r="3441" spans="1:20" hidden="1" x14ac:dyDescent="0.4">
      <c r="A3441" s="1" t="s">
        <v>1316</v>
      </c>
      <c r="B3441" s="1" t="s">
        <v>1458</v>
      </c>
      <c r="C3441" s="1" t="s">
        <v>1844</v>
      </c>
      <c r="D3441" s="1" t="s">
        <v>1462</v>
      </c>
      <c r="E3441">
        <v>20251219</v>
      </c>
      <c r="F3441" s="1" t="s">
        <v>1473</v>
      </c>
      <c r="G3441">
        <v>4</v>
      </c>
      <c r="H3441" s="1" t="s">
        <v>1493</v>
      </c>
      <c r="I3441" t="s">
        <v>1873</v>
      </c>
      <c r="J3441" s="1" t="s">
        <v>1453</v>
      </c>
      <c r="K3441" s="1" t="s">
        <v>1605</v>
      </c>
      <c r="L3441" s="1" t="s">
        <v>1718</v>
      </c>
      <c r="M3441" s="1" t="s">
        <v>1761</v>
      </c>
      <c r="N3441" t="s">
        <v>2026</v>
      </c>
      <c r="O3441" t="s">
        <v>2164</v>
      </c>
      <c r="P3441" t="s">
        <v>3091</v>
      </c>
      <c r="Q3441">
        <v>57.51</v>
      </c>
      <c r="R3441" s="1" t="s">
        <v>1839</v>
      </c>
      <c r="S3441">
        <v>3079</v>
      </c>
      <c r="T3441">
        <v>177073</v>
      </c>
    </row>
    <row r="3442" spans="1:20" hidden="1" x14ac:dyDescent="0.4">
      <c r="A3442" s="1" t="s">
        <v>1316</v>
      </c>
      <c r="B3442" s="1" t="s">
        <v>1459</v>
      </c>
      <c r="C3442" s="1" t="s">
        <v>1844</v>
      </c>
      <c r="D3442" s="1" t="s">
        <v>1462</v>
      </c>
      <c r="E3442">
        <v>20251219</v>
      </c>
      <c r="F3442" s="1" t="s">
        <v>1473</v>
      </c>
      <c r="G3442">
        <v>4</v>
      </c>
      <c r="H3442" s="1" t="s">
        <v>1493</v>
      </c>
      <c r="I3442" t="s">
        <v>1873</v>
      </c>
      <c r="J3442" s="1" t="s">
        <v>1453</v>
      </c>
      <c r="K3442" s="1" t="s">
        <v>1605</v>
      </c>
      <c r="L3442" s="1" t="s">
        <v>1718</v>
      </c>
      <c r="M3442" s="1" t="s">
        <v>1761</v>
      </c>
      <c r="N3442" t="s">
        <v>2026</v>
      </c>
      <c r="O3442" t="s">
        <v>2164</v>
      </c>
      <c r="P3442" t="s">
        <v>3091</v>
      </c>
      <c r="Q3442">
        <v>101.92</v>
      </c>
      <c r="R3442" s="1" t="s">
        <v>1839</v>
      </c>
      <c r="S3442">
        <v>3079</v>
      </c>
      <c r="T3442">
        <v>313811</v>
      </c>
    </row>
    <row r="3443" spans="1:20" hidden="1" x14ac:dyDescent="0.4">
      <c r="A3443" s="1" t="s">
        <v>1316</v>
      </c>
      <c r="B3443" s="1" t="s">
        <v>1460</v>
      </c>
      <c r="C3443" s="1" t="s">
        <v>1844</v>
      </c>
      <c r="D3443" s="1" t="s">
        <v>1462</v>
      </c>
      <c r="E3443">
        <v>20251219</v>
      </c>
      <c r="F3443" s="1" t="s">
        <v>1473</v>
      </c>
      <c r="G3443">
        <v>4</v>
      </c>
      <c r="H3443" s="1" t="s">
        <v>1493</v>
      </c>
      <c r="I3443" t="s">
        <v>1873</v>
      </c>
      <c r="J3443" s="1" t="s">
        <v>1453</v>
      </c>
      <c r="K3443" s="1" t="s">
        <v>1605</v>
      </c>
      <c r="L3443" s="1" t="s">
        <v>1718</v>
      </c>
      <c r="M3443" s="1" t="s">
        <v>1761</v>
      </c>
      <c r="N3443" t="s">
        <v>2026</v>
      </c>
      <c r="O3443" t="s">
        <v>2164</v>
      </c>
      <c r="P3443" t="s">
        <v>3091</v>
      </c>
      <c r="Q3443">
        <v>101.92</v>
      </c>
      <c r="R3443" s="1" t="s">
        <v>1839</v>
      </c>
      <c r="S3443">
        <v>3079</v>
      </c>
      <c r="T3443">
        <v>313811</v>
      </c>
    </row>
    <row r="3444" spans="1:20" hidden="1" x14ac:dyDescent="0.4">
      <c r="A3444" s="1" t="s">
        <v>1316</v>
      </c>
      <c r="B3444" s="1" t="s">
        <v>1461</v>
      </c>
      <c r="C3444" s="1" t="s">
        <v>1844</v>
      </c>
      <c r="D3444" s="1" t="s">
        <v>1462</v>
      </c>
      <c r="E3444">
        <v>20251219</v>
      </c>
      <c r="F3444" s="1" t="s">
        <v>1473</v>
      </c>
      <c r="G3444">
        <v>4</v>
      </c>
      <c r="H3444" s="1" t="s">
        <v>1493</v>
      </c>
      <c r="I3444" t="s">
        <v>1873</v>
      </c>
      <c r="J3444" s="1" t="s">
        <v>1453</v>
      </c>
      <c r="K3444" s="1" t="s">
        <v>1605</v>
      </c>
      <c r="L3444" s="1" t="s">
        <v>1718</v>
      </c>
      <c r="M3444" s="1" t="s">
        <v>1761</v>
      </c>
      <c r="N3444" t="s">
        <v>2026</v>
      </c>
      <c r="O3444" t="s">
        <v>2164</v>
      </c>
      <c r="P3444" t="s">
        <v>3091</v>
      </c>
      <c r="Q3444">
        <v>101.92</v>
      </c>
      <c r="R3444" s="1" t="s">
        <v>1839</v>
      </c>
      <c r="S3444">
        <v>3079</v>
      </c>
      <c r="T3444">
        <v>313811</v>
      </c>
    </row>
    <row r="3445" spans="1:20" hidden="1" x14ac:dyDescent="0.4">
      <c r="A3445" s="1" t="s">
        <v>1316</v>
      </c>
      <c r="B3445" s="1" t="s">
        <v>1462</v>
      </c>
      <c r="C3445" s="1" t="s">
        <v>1844</v>
      </c>
      <c r="D3445" s="1" t="s">
        <v>1462</v>
      </c>
      <c r="E3445">
        <v>20251219</v>
      </c>
      <c r="F3445" s="1" t="s">
        <v>1473</v>
      </c>
      <c r="G3445">
        <v>4</v>
      </c>
      <c r="H3445" s="1" t="s">
        <v>1493</v>
      </c>
      <c r="I3445" t="s">
        <v>1873</v>
      </c>
      <c r="J3445" s="1" t="s">
        <v>1453</v>
      </c>
      <c r="K3445" s="1" t="s">
        <v>1605</v>
      </c>
      <c r="L3445" s="1" t="s">
        <v>1718</v>
      </c>
      <c r="M3445" s="1" t="s">
        <v>1761</v>
      </c>
      <c r="N3445" t="s">
        <v>2026</v>
      </c>
      <c r="O3445" t="s">
        <v>2164</v>
      </c>
      <c r="P3445" t="s">
        <v>3091</v>
      </c>
      <c r="Q3445">
        <v>97.55</v>
      </c>
      <c r="R3445" s="1" t="s">
        <v>1839</v>
      </c>
      <c r="S3445">
        <v>3079</v>
      </c>
      <c r="T3445">
        <v>300356</v>
      </c>
    </row>
    <row r="3446" spans="1:20" hidden="1" x14ac:dyDescent="0.4">
      <c r="A3446" s="1" t="s">
        <v>1317</v>
      </c>
      <c r="B3446" s="1" t="s">
        <v>1453</v>
      </c>
      <c r="C3446" s="1" t="s">
        <v>1844</v>
      </c>
      <c r="D3446" s="1" t="s">
        <v>1462</v>
      </c>
      <c r="E3446">
        <v>20251219</v>
      </c>
      <c r="F3446" s="1" t="s">
        <v>1473</v>
      </c>
      <c r="G3446">
        <v>4</v>
      </c>
      <c r="H3446" s="1" t="s">
        <v>1493</v>
      </c>
      <c r="I3446" t="s">
        <v>1873</v>
      </c>
      <c r="J3446" s="1" t="s">
        <v>1453</v>
      </c>
      <c r="K3446" s="1" t="s">
        <v>1608</v>
      </c>
      <c r="L3446" s="1" t="s">
        <v>1718</v>
      </c>
      <c r="M3446" s="1" t="s">
        <v>1769</v>
      </c>
      <c r="N3446" t="s">
        <v>1982</v>
      </c>
      <c r="O3446" t="s">
        <v>2164</v>
      </c>
      <c r="P3446" t="s">
        <v>3093</v>
      </c>
      <c r="Q3446">
        <v>91</v>
      </c>
      <c r="R3446" s="1" t="s">
        <v>1839</v>
      </c>
      <c r="S3446">
        <v>2419</v>
      </c>
      <c r="T3446">
        <v>220129</v>
      </c>
    </row>
    <row r="3447" spans="1:20" hidden="1" x14ac:dyDescent="0.4">
      <c r="A3447" s="1" t="s">
        <v>1317</v>
      </c>
      <c r="B3447" s="1" t="s">
        <v>1454</v>
      </c>
      <c r="C3447" s="1" t="s">
        <v>1844</v>
      </c>
      <c r="D3447" s="1" t="s">
        <v>1462</v>
      </c>
      <c r="E3447">
        <v>20251219</v>
      </c>
      <c r="F3447" s="1" t="s">
        <v>1473</v>
      </c>
      <c r="G3447">
        <v>4</v>
      </c>
      <c r="H3447" s="1" t="s">
        <v>1493</v>
      </c>
      <c r="I3447" t="s">
        <v>1873</v>
      </c>
      <c r="J3447" s="1" t="s">
        <v>1453</v>
      </c>
      <c r="K3447" s="1" t="s">
        <v>1608</v>
      </c>
      <c r="L3447" s="1" t="s">
        <v>1718</v>
      </c>
      <c r="M3447" s="1" t="s">
        <v>1769</v>
      </c>
      <c r="N3447" t="s">
        <v>1982</v>
      </c>
      <c r="O3447" t="s">
        <v>2164</v>
      </c>
      <c r="P3447" t="s">
        <v>3093</v>
      </c>
      <c r="Q3447">
        <v>91</v>
      </c>
      <c r="R3447" s="1" t="s">
        <v>1839</v>
      </c>
      <c r="S3447">
        <v>2419</v>
      </c>
      <c r="T3447">
        <v>220129</v>
      </c>
    </row>
    <row r="3448" spans="1:20" hidden="1" x14ac:dyDescent="0.4">
      <c r="A3448" s="1" t="s">
        <v>1317</v>
      </c>
      <c r="B3448" s="1" t="s">
        <v>1455</v>
      </c>
      <c r="C3448" s="1" t="s">
        <v>1844</v>
      </c>
      <c r="D3448" s="1" t="s">
        <v>1462</v>
      </c>
      <c r="E3448">
        <v>20251219</v>
      </c>
      <c r="F3448" s="1" t="s">
        <v>1473</v>
      </c>
      <c r="G3448">
        <v>4</v>
      </c>
      <c r="H3448" s="1" t="s">
        <v>1493</v>
      </c>
      <c r="I3448" t="s">
        <v>1873</v>
      </c>
      <c r="J3448" s="1" t="s">
        <v>1453</v>
      </c>
      <c r="K3448" s="1" t="s">
        <v>1608</v>
      </c>
      <c r="L3448" s="1" t="s">
        <v>1718</v>
      </c>
      <c r="M3448" s="1" t="s">
        <v>1769</v>
      </c>
      <c r="N3448" t="s">
        <v>1982</v>
      </c>
      <c r="O3448" t="s">
        <v>2164</v>
      </c>
      <c r="P3448" t="s">
        <v>3093</v>
      </c>
      <c r="Q3448">
        <v>91</v>
      </c>
      <c r="R3448" s="1" t="s">
        <v>1839</v>
      </c>
      <c r="S3448">
        <v>2419</v>
      </c>
      <c r="T3448">
        <v>220129</v>
      </c>
    </row>
    <row r="3449" spans="1:20" hidden="1" x14ac:dyDescent="0.4">
      <c r="A3449" s="1" t="s">
        <v>1317</v>
      </c>
      <c r="B3449" s="1" t="s">
        <v>1456</v>
      </c>
      <c r="C3449" s="1" t="s">
        <v>1844</v>
      </c>
      <c r="D3449" s="1" t="s">
        <v>1462</v>
      </c>
      <c r="E3449">
        <v>20251219</v>
      </c>
      <c r="F3449" s="1" t="s">
        <v>1473</v>
      </c>
      <c r="G3449">
        <v>4</v>
      </c>
      <c r="H3449" s="1" t="s">
        <v>1493</v>
      </c>
      <c r="I3449" t="s">
        <v>1873</v>
      </c>
      <c r="J3449" s="1" t="s">
        <v>1453</v>
      </c>
      <c r="K3449" s="1" t="s">
        <v>1608</v>
      </c>
      <c r="L3449" s="1" t="s">
        <v>1718</v>
      </c>
      <c r="M3449" s="1" t="s">
        <v>1769</v>
      </c>
      <c r="N3449" t="s">
        <v>1982</v>
      </c>
      <c r="O3449" t="s">
        <v>2164</v>
      </c>
      <c r="P3449" t="s">
        <v>3093</v>
      </c>
      <c r="Q3449">
        <v>94.64</v>
      </c>
      <c r="R3449" s="1" t="s">
        <v>1839</v>
      </c>
      <c r="S3449">
        <v>2419</v>
      </c>
      <c r="T3449">
        <v>228934</v>
      </c>
    </row>
    <row r="3450" spans="1:20" hidden="1" x14ac:dyDescent="0.4">
      <c r="A3450" s="1" t="s">
        <v>1317</v>
      </c>
      <c r="B3450" s="1" t="s">
        <v>1457</v>
      </c>
      <c r="C3450" s="1" t="s">
        <v>1844</v>
      </c>
      <c r="D3450" s="1" t="s">
        <v>1462</v>
      </c>
      <c r="E3450">
        <v>20251219</v>
      </c>
      <c r="F3450" s="1" t="s">
        <v>1473</v>
      </c>
      <c r="G3450">
        <v>4</v>
      </c>
      <c r="H3450" s="1" t="s">
        <v>1493</v>
      </c>
      <c r="I3450" t="s">
        <v>1873</v>
      </c>
      <c r="J3450" s="1" t="s">
        <v>1453</v>
      </c>
      <c r="K3450" s="1" t="s">
        <v>1608</v>
      </c>
      <c r="L3450" s="1" t="s">
        <v>1718</v>
      </c>
      <c r="M3450" s="1" t="s">
        <v>1769</v>
      </c>
      <c r="N3450" t="s">
        <v>1982</v>
      </c>
      <c r="O3450" t="s">
        <v>2164</v>
      </c>
      <c r="P3450" t="s">
        <v>3093</v>
      </c>
      <c r="Q3450">
        <v>80.08</v>
      </c>
      <c r="R3450" s="1" t="s">
        <v>1839</v>
      </c>
      <c r="S3450">
        <v>2419</v>
      </c>
      <c r="T3450">
        <v>193713</v>
      </c>
    </row>
    <row r="3451" spans="1:20" hidden="1" x14ac:dyDescent="0.4">
      <c r="A3451" s="1" t="s">
        <v>1317</v>
      </c>
      <c r="B3451" s="1" t="s">
        <v>1458</v>
      </c>
      <c r="C3451" s="1" t="s">
        <v>1844</v>
      </c>
      <c r="D3451" s="1" t="s">
        <v>1462</v>
      </c>
      <c r="E3451">
        <v>20251219</v>
      </c>
      <c r="F3451" s="1" t="s">
        <v>1473</v>
      </c>
      <c r="G3451">
        <v>4</v>
      </c>
      <c r="H3451" s="1" t="s">
        <v>1493</v>
      </c>
      <c r="I3451" t="s">
        <v>1873</v>
      </c>
      <c r="J3451" s="1" t="s">
        <v>1453</v>
      </c>
      <c r="K3451" s="1" t="s">
        <v>1608</v>
      </c>
      <c r="L3451" s="1" t="s">
        <v>1718</v>
      </c>
      <c r="M3451" s="1" t="s">
        <v>1769</v>
      </c>
      <c r="N3451" t="s">
        <v>1982</v>
      </c>
      <c r="O3451" t="s">
        <v>2164</v>
      </c>
      <c r="P3451" t="s">
        <v>3093</v>
      </c>
      <c r="Q3451">
        <v>80.08</v>
      </c>
      <c r="R3451" s="1" t="s">
        <v>1839</v>
      </c>
      <c r="S3451">
        <v>2419</v>
      </c>
      <c r="T3451">
        <v>193713</v>
      </c>
    </row>
    <row r="3452" spans="1:20" hidden="1" x14ac:dyDescent="0.4">
      <c r="A3452" s="1" t="s">
        <v>1317</v>
      </c>
      <c r="B3452" s="1" t="s">
        <v>1459</v>
      </c>
      <c r="C3452" s="1" t="s">
        <v>1844</v>
      </c>
      <c r="D3452" s="1" t="s">
        <v>1462</v>
      </c>
      <c r="E3452">
        <v>20251219</v>
      </c>
      <c r="F3452" s="1" t="s">
        <v>1473</v>
      </c>
      <c r="G3452">
        <v>4</v>
      </c>
      <c r="H3452" s="1" t="s">
        <v>1493</v>
      </c>
      <c r="I3452" t="s">
        <v>1873</v>
      </c>
      <c r="J3452" s="1" t="s">
        <v>1453</v>
      </c>
      <c r="K3452" s="1" t="s">
        <v>1608</v>
      </c>
      <c r="L3452" s="1" t="s">
        <v>1718</v>
      </c>
      <c r="M3452" s="1" t="s">
        <v>1769</v>
      </c>
      <c r="N3452" t="s">
        <v>1982</v>
      </c>
      <c r="O3452" t="s">
        <v>2164</v>
      </c>
      <c r="P3452" t="s">
        <v>3093</v>
      </c>
      <c r="Q3452">
        <v>80.08</v>
      </c>
      <c r="R3452" s="1" t="s">
        <v>1839</v>
      </c>
      <c r="S3452">
        <v>2419</v>
      </c>
      <c r="T3452">
        <v>193713</v>
      </c>
    </row>
    <row r="3453" spans="1:20" hidden="1" x14ac:dyDescent="0.4">
      <c r="A3453" s="1" t="s">
        <v>1317</v>
      </c>
      <c r="B3453" s="1" t="s">
        <v>1460</v>
      </c>
      <c r="C3453" s="1" t="s">
        <v>1844</v>
      </c>
      <c r="D3453" s="1" t="s">
        <v>1462</v>
      </c>
      <c r="E3453">
        <v>20251219</v>
      </c>
      <c r="F3453" s="1" t="s">
        <v>1473</v>
      </c>
      <c r="G3453">
        <v>4</v>
      </c>
      <c r="H3453" s="1" t="s">
        <v>1493</v>
      </c>
      <c r="I3453" t="s">
        <v>1873</v>
      </c>
      <c r="J3453" s="1" t="s">
        <v>1453</v>
      </c>
      <c r="K3453" s="1" t="s">
        <v>1608</v>
      </c>
      <c r="L3453" s="1" t="s">
        <v>1718</v>
      </c>
      <c r="M3453" s="1" t="s">
        <v>1769</v>
      </c>
      <c r="N3453" t="s">
        <v>1982</v>
      </c>
      <c r="O3453" t="s">
        <v>2164</v>
      </c>
      <c r="P3453" t="s">
        <v>3093</v>
      </c>
      <c r="Q3453">
        <v>84.81</v>
      </c>
      <c r="R3453" s="1" t="s">
        <v>1839</v>
      </c>
      <c r="S3453">
        <v>2419</v>
      </c>
      <c r="T3453">
        <v>205155</v>
      </c>
    </row>
    <row r="3454" spans="1:20" hidden="1" x14ac:dyDescent="0.4">
      <c r="A3454" s="1" t="s">
        <v>1318</v>
      </c>
      <c r="B3454" s="1" t="s">
        <v>1453</v>
      </c>
      <c r="C3454" s="1" t="s">
        <v>1844</v>
      </c>
      <c r="D3454" s="1" t="s">
        <v>1462</v>
      </c>
      <c r="E3454">
        <v>20251219</v>
      </c>
      <c r="F3454" s="1" t="s">
        <v>1473</v>
      </c>
      <c r="G3454">
        <v>4</v>
      </c>
      <c r="H3454" s="1" t="s">
        <v>1493</v>
      </c>
      <c r="I3454" t="s">
        <v>1873</v>
      </c>
      <c r="J3454" s="1" t="s">
        <v>1453</v>
      </c>
      <c r="K3454" s="1" t="s">
        <v>1601</v>
      </c>
      <c r="L3454" s="1" t="s">
        <v>1718</v>
      </c>
      <c r="M3454" s="1" t="s">
        <v>1767</v>
      </c>
      <c r="N3454" t="s">
        <v>1976</v>
      </c>
      <c r="O3454" t="s">
        <v>2164</v>
      </c>
      <c r="P3454" t="s">
        <v>3085</v>
      </c>
      <c r="Q3454">
        <v>36.4</v>
      </c>
      <c r="R3454" s="1" t="s">
        <v>1839</v>
      </c>
      <c r="S3454">
        <v>954</v>
      </c>
      <c r="T3454">
        <v>34725</v>
      </c>
    </row>
    <row r="3455" spans="1:20" hidden="1" x14ac:dyDescent="0.4">
      <c r="A3455" s="1" t="s">
        <v>1318</v>
      </c>
      <c r="B3455" s="1" t="s">
        <v>1454</v>
      </c>
      <c r="C3455" s="1" t="s">
        <v>1844</v>
      </c>
      <c r="D3455" s="1" t="s">
        <v>1462</v>
      </c>
      <c r="E3455">
        <v>20251219</v>
      </c>
      <c r="F3455" s="1" t="s">
        <v>1473</v>
      </c>
      <c r="G3455">
        <v>4</v>
      </c>
      <c r="H3455" s="1" t="s">
        <v>1493</v>
      </c>
      <c r="I3455" t="s">
        <v>1873</v>
      </c>
      <c r="J3455" s="1" t="s">
        <v>1453</v>
      </c>
      <c r="K3455" s="1" t="s">
        <v>1601</v>
      </c>
      <c r="L3455" s="1" t="s">
        <v>1718</v>
      </c>
      <c r="M3455" s="1" t="s">
        <v>1767</v>
      </c>
      <c r="N3455" t="s">
        <v>1976</v>
      </c>
      <c r="O3455" t="s">
        <v>2164</v>
      </c>
      <c r="P3455" t="s">
        <v>3085</v>
      </c>
      <c r="Q3455">
        <v>21.84</v>
      </c>
      <c r="R3455" s="1" t="s">
        <v>1839</v>
      </c>
      <c r="S3455">
        <v>954</v>
      </c>
      <c r="T3455">
        <v>20835</v>
      </c>
    </row>
    <row r="3456" spans="1:20" hidden="1" x14ac:dyDescent="0.4">
      <c r="A3456" s="1" t="s">
        <v>1318</v>
      </c>
      <c r="B3456" s="1" t="s">
        <v>1455</v>
      </c>
      <c r="C3456" s="1" t="s">
        <v>1844</v>
      </c>
      <c r="D3456" s="1" t="s">
        <v>1462</v>
      </c>
      <c r="E3456">
        <v>20251219</v>
      </c>
      <c r="F3456" s="1" t="s">
        <v>1473</v>
      </c>
      <c r="G3456">
        <v>4</v>
      </c>
      <c r="H3456" s="1" t="s">
        <v>1493</v>
      </c>
      <c r="I3456" t="s">
        <v>1873</v>
      </c>
      <c r="J3456" s="1" t="s">
        <v>1453</v>
      </c>
      <c r="K3456" s="1" t="s">
        <v>1601</v>
      </c>
      <c r="L3456" s="1" t="s">
        <v>1718</v>
      </c>
      <c r="M3456" s="1" t="s">
        <v>1767</v>
      </c>
      <c r="N3456" t="s">
        <v>1976</v>
      </c>
      <c r="O3456" t="s">
        <v>2164</v>
      </c>
      <c r="P3456" t="s">
        <v>3085</v>
      </c>
      <c r="Q3456">
        <v>21.84</v>
      </c>
      <c r="R3456" s="1" t="s">
        <v>1839</v>
      </c>
      <c r="S3456">
        <v>954</v>
      </c>
      <c r="T3456">
        <v>20835</v>
      </c>
    </row>
    <row r="3457" spans="1:20" hidden="1" x14ac:dyDescent="0.4">
      <c r="A3457" s="1" t="s">
        <v>1318</v>
      </c>
      <c r="B3457" s="1" t="s">
        <v>1456</v>
      </c>
      <c r="C3457" s="1" t="s">
        <v>1844</v>
      </c>
      <c r="D3457" s="1" t="s">
        <v>1462</v>
      </c>
      <c r="E3457">
        <v>20251219</v>
      </c>
      <c r="F3457" s="1" t="s">
        <v>1473</v>
      </c>
      <c r="G3457">
        <v>4</v>
      </c>
      <c r="H3457" s="1" t="s">
        <v>1493</v>
      </c>
      <c r="I3457" t="s">
        <v>1873</v>
      </c>
      <c r="J3457" s="1" t="s">
        <v>1453</v>
      </c>
      <c r="K3457" s="1" t="s">
        <v>1601</v>
      </c>
      <c r="L3457" s="1" t="s">
        <v>1718</v>
      </c>
      <c r="M3457" s="1" t="s">
        <v>1767</v>
      </c>
      <c r="N3457" t="s">
        <v>1976</v>
      </c>
      <c r="O3457" t="s">
        <v>2164</v>
      </c>
      <c r="P3457" t="s">
        <v>3085</v>
      </c>
      <c r="Q3457">
        <v>134.68</v>
      </c>
      <c r="R3457" s="1" t="s">
        <v>1839</v>
      </c>
      <c r="S3457">
        <v>954</v>
      </c>
      <c r="T3457">
        <v>128484</v>
      </c>
    </row>
    <row r="3458" spans="1:20" hidden="1" x14ac:dyDescent="0.4">
      <c r="A3458" s="1" t="s">
        <v>1318</v>
      </c>
      <c r="B3458" s="1" t="s">
        <v>1457</v>
      </c>
      <c r="C3458" s="1" t="s">
        <v>1844</v>
      </c>
      <c r="D3458" s="1" t="s">
        <v>1462</v>
      </c>
      <c r="E3458">
        <v>20251219</v>
      </c>
      <c r="F3458" s="1" t="s">
        <v>1473</v>
      </c>
      <c r="G3458">
        <v>4</v>
      </c>
      <c r="H3458" s="1" t="s">
        <v>1493</v>
      </c>
      <c r="I3458" t="s">
        <v>1873</v>
      </c>
      <c r="J3458" s="1" t="s">
        <v>1453</v>
      </c>
      <c r="K3458" s="1" t="s">
        <v>1601</v>
      </c>
      <c r="L3458" s="1" t="s">
        <v>1718</v>
      </c>
      <c r="M3458" s="1" t="s">
        <v>1767</v>
      </c>
      <c r="N3458" t="s">
        <v>1976</v>
      </c>
      <c r="O3458" t="s">
        <v>2164</v>
      </c>
      <c r="P3458" t="s">
        <v>3085</v>
      </c>
      <c r="Q3458">
        <v>91</v>
      </c>
      <c r="R3458" s="1" t="s">
        <v>1839</v>
      </c>
      <c r="S3458">
        <v>954</v>
      </c>
      <c r="T3458">
        <v>86814</v>
      </c>
    </row>
    <row r="3459" spans="1:20" hidden="1" x14ac:dyDescent="0.4">
      <c r="A3459" s="1" t="s">
        <v>1318</v>
      </c>
      <c r="B3459" s="1" t="s">
        <v>1458</v>
      </c>
      <c r="C3459" s="1" t="s">
        <v>1844</v>
      </c>
      <c r="D3459" s="1" t="s">
        <v>1462</v>
      </c>
      <c r="E3459">
        <v>20251219</v>
      </c>
      <c r="F3459" s="1" t="s">
        <v>1473</v>
      </c>
      <c r="G3459">
        <v>4</v>
      </c>
      <c r="H3459" s="1" t="s">
        <v>1493</v>
      </c>
      <c r="I3459" t="s">
        <v>1873</v>
      </c>
      <c r="J3459" s="1" t="s">
        <v>1453</v>
      </c>
      <c r="K3459" s="1" t="s">
        <v>1601</v>
      </c>
      <c r="L3459" s="1" t="s">
        <v>1718</v>
      </c>
      <c r="M3459" s="1" t="s">
        <v>1767</v>
      </c>
      <c r="N3459" t="s">
        <v>1976</v>
      </c>
      <c r="O3459" t="s">
        <v>2164</v>
      </c>
      <c r="P3459" t="s">
        <v>3085</v>
      </c>
      <c r="Q3459">
        <v>53.14</v>
      </c>
      <c r="R3459" s="1" t="s">
        <v>1839</v>
      </c>
      <c r="S3459">
        <v>954</v>
      </c>
      <c r="T3459">
        <v>50695</v>
      </c>
    </row>
    <row r="3460" spans="1:20" hidden="1" x14ac:dyDescent="0.4">
      <c r="A3460" s="1" t="s">
        <v>1318</v>
      </c>
      <c r="B3460" s="1" t="s">
        <v>1459</v>
      </c>
      <c r="C3460" s="1" t="s">
        <v>1844</v>
      </c>
      <c r="D3460" s="1" t="s">
        <v>1462</v>
      </c>
      <c r="E3460">
        <v>20251219</v>
      </c>
      <c r="F3460" s="1" t="s">
        <v>1473</v>
      </c>
      <c r="G3460">
        <v>4</v>
      </c>
      <c r="H3460" s="1" t="s">
        <v>1493</v>
      </c>
      <c r="I3460" t="s">
        <v>1873</v>
      </c>
      <c r="J3460" s="1" t="s">
        <v>1453</v>
      </c>
      <c r="K3460" s="1" t="s">
        <v>1601</v>
      </c>
      <c r="L3460" s="1" t="s">
        <v>1718</v>
      </c>
      <c r="M3460" s="1" t="s">
        <v>1767</v>
      </c>
      <c r="N3460" t="s">
        <v>1976</v>
      </c>
      <c r="O3460" t="s">
        <v>2164</v>
      </c>
      <c r="P3460" t="s">
        <v>3085</v>
      </c>
      <c r="Q3460">
        <v>141.96</v>
      </c>
      <c r="R3460" s="1" t="s">
        <v>1839</v>
      </c>
      <c r="S3460">
        <v>954</v>
      </c>
      <c r="T3460">
        <v>135429</v>
      </c>
    </row>
    <row r="3461" spans="1:20" hidden="1" x14ac:dyDescent="0.4">
      <c r="A3461" s="1" t="s">
        <v>1318</v>
      </c>
      <c r="B3461" s="1" t="s">
        <v>1460</v>
      </c>
      <c r="C3461" s="1" t="s">
        <v>1844</v>
      </c>
      <c r="D3461" s="1" t="s">
        <v>1462</v>
      </c>
      <c r="E3461">
        <v>20251219</v>
      </c>
      <c r="F3461" s="1" t="s">
        <v>1473</v>
      </c>
      <c r="G3461">
        <v>4</v>
      </c>
      <c r="H3461" s="1" t="s">
        <v>1493</v>
      </c>
      <c r="I3461" t="s">
        <v>1873</v>
      </c>
      <c r="J3461" s="1" t="s">
        <v>1453</v>
      </c>
      <c r="K3461" s="1" t="s">
        <v>1601</v>
      </c>
      <c r="L3461" s="1" t="s">
        <v>1718</v>
      </c>
      <c r="M3461" s="1" t="s">
        <v>1767</v>
      </c>
      <c r="N3461" t="s">
        <v>1976</v>
      </c>
      <c r="O3461" t="s">
        <v>2164</v>
      </c>
      <c r="P3461" t="s">
        <v>3085</v>
      </c>
      <c r="Q3461">
        <v>141.96</v>
      </c>
      <c r="R3461" s="1" t="s">
        <v>1839</v>
      </c>
      <c r="S3461">
        <v>954</v>
      </c>
      <c r="T3461">
        <v>135429</v>
      </c>
    </row>
    <row r="3462" spans="1:20" hidden="1" x14ac:dyDescent="0.4">
      <c r="A3462" s="1" t="s">
        <v>1318</v>
      </c>
      <c r="B3462" s="1" t="s">
        <v>1461</v>
      </c>
      <c r="C3462" s="1" t="s">
        <v>1844</v>
      </c>
      <c r="D3462" s="1" t="s">
        <v>1462</v>
      </c>
      <c r="E3462">
        <v>20251219</v>
      </c>
      <c r="F3462" s="1" t="s">
        <v>1473</v>
      </c>
      <c r="G3462">
        <v>4</v>
      </c>
      <c r="H3462" s="1" t="s">
        <v>1493</v>
      </c>
      <c r="I3462" t="s">
        <v>1873</v>
      </c>
      <c r="J3462" s="1" t="s">
        <v>1453</v>
      </c>
      <c r="K3462" s="1" t="s">
        <v>1601</v>
      </c>
      <c r="L3462" s="1" t="s">
        <v>1718</v>
      </c>
      <c r="M3462" s="1" t="s">
        <v>1767</v>
      </c>
      <c r="N3462" t="s">
        <v>1976</v>
      </c>
      <c r="O3462" t="s">
        <v>2164</v>
      </c>
      <c r="P3462" t="s">
        <v>3085</v>
      </c>
      <c r="Q3462">
        <v>141.96</v>
      </c>
      <c r="R3462" s="1" t="s">
        <v>1839</v>
      </c>
      <c r="S3462">
        <v>954</v>
      </c>
      <c r="T3462">
        <v>135429</v>
      </c>
    </row>
    <row r="3463" spans="1:20" hidden="1" x14ac:dyDescent="0.4">
      <c r="A3463" s="1" t="s">
        <v>1318</v>
      </c>
      <c r="B3463" s="1" t="s">
        <v>1462</v>
      </c>
      <c r="C3463" s="1" t="s">
        <v>1844</v>
      </c>
      <c r="D3463" s="1" t="s">
        <v>1462</v>
      </c>
      <c r="E3463">
        <v>20251219</v>
      </c>
      <c r="F3463" s="1" t="s">
        <v>1473</v>
      </c>
      <c r="G3463">
        <v>4</v>
      </c>
      <c r="H3463" s="1" t="s">
        <v>1493</v>
      </c>
      <c r="I3463" t="s">
        <v>1873</v>
      </c>
      <c r="J3463" s="1" t="s">
        <v>1453</v>
      </c>
      <c r="K3463" s="1" t="s">
        <v>1601</v>
      </c>
      <c r="L3463" s="1" t="s">
        <v>1718</v>
      </c>
      <c r="M3463" s="1" t="s">
        <v>1767</v>
      </c>
      <c r="N3463" t="s">
        <v>1976</v>
      </c>
      <c r="O3463" t="s">
        <v>2164</v>
      </c>
      <c r="P3463" t="s">
        <v>3085</v>
      </c>
      <c r="Q3463">
        <v>143.05000000000001</v>
      </c>
      <c r="R3463" s="1" t="s">
        <v>1839</v>
      </c>
      <c r="S3463">
        <v>954</v>
      </c>
      <c r="T3463">
        <v>136469</v>
      </c>
    </row>
    <row r="3464" spans="1:20" hidden="1" x14ac:dyDescent="0.4">
      <c r="A3464" s="1" t="s">
        <v>1319</v>
      </c>
      <c r="B3464" s="1" t="s">
        <v>1453</v>
      </c>
      <c r="C3464" s="1" t="s">
        <v>1844</v>
      </c>
      <c r="D3464" s="1" t="s">
        <v>1850</v>
      </c>
      <c r="E3464">
        <v>20251201</v>
      </c>
      <c r="F3464" s="1" t="s">
        <v>1474</v>
      </c>
      <c r="G3464">
        <v>4</v>
      </c>
      <c r="H3464" s="1" t="s">
        <v>1534</v>
      </c>
      <c r="I3464" t="s">
        <v>1914</v>
      </c>
      <c r="J3464" s="1" t="s">
        <v>1455</v>
      </c>
      <c r="K3464" s="1" t="s">
        <v>1678</v>
      </c>
      <c r="L3464" s="1" t="s">
        <v>1720</v>
      </c>
      <c r="M3464" s="1" t="s">
        <v>1735</v>
      </c>
      <c r="N3464" t="s">
        <v>2069</v>
      </c>
      <c r="O3464" t="s">
        <v>2166</v>
      </c>
      <c r="P3464" t="s">
        <v>3197</v>
      </c>
      <c r="Q3464">
        <v>-1523.8</v>
      </c>
      <c r="R3464" s="1" t="s">
        <v>1839</v>
      </c>
      <c r="S3464">
        <v>1283.0999999999999</v>
      </c>
      <c r="T3464">
        <v>-1955188</v>
      </c>
    </row>
    <row r="3465" spans="1:20" hidden="1" x14ac:dyDescent="0.4">
      <c r="A3465" s="1" t="s">
        <v>1319</v>
      </c>
      <c r="B3465" s="1" t="s">
        <v>1454</v>
      </c>
      <c r="C3465" s="1" t="s">
        <v>1844</v>
      </c>
      <c r="D3465" s="1" t="s">
        <v>1850</v>
      </c>
      <c r="E3465">
        <v>20251201</v>
      </c>
      <c r="F3465" s="1" t="s">
        <v>1474</v>
      </c>
      <c r="G3465">
        <v>4</v>
      </c>
      <c r="H3465" s="1" t="s">
        <v>1534</v>
      </c>
      <c r="I3465" t="s">
        <v>1914</v>
      </c>
      <c r="J3465" s="1" t="s">
        <v>1455</v>
      </c>
      <c r="K3465" s="1" t="s">
        <v>1678</v>
      </c>
      <c r="L3465" s="1" t="s">
        <v>1720</v>
      </c>
      <c r="M3465" s="1" t="s">
        <v>1735</v>
      </c>
      <c r="N3465" t="s">
        <v>2069</v>
      </c>
      <c r="O3465" t="s">
        <v>2166</v>
      </c>
      <c r="P3465" t="s">
        <v>3197</v>
      </c>
      <c r="Q3465">
        <v>-1679.25</v>
      </c>
      <c r="R3465" s="1" t="s">
        <v>1839</v>
      </c>
      <c r="S3465">
        <v>1283.25</v>
      </c>
      <c r="T3465">
        <v>-2154898</v>
      </c>
    </row>
    <row r="3466" spans="1:20" hidden="1" x14ac:dyDescent="0.4">
      <c r="A3466" s="1" t="s">
        <v>1319</v>
      </c>
      <c r="B3466" s="1" t="s">
        <v>1455</v>
      </c>
      <c r="C3466" s="1" t="s">
        <v>1844</v>
      </c>
      <c r="D3466" s="1" t="s">
        <v>1850</v>
      </c>
      <c r="E3466">
        <v>20251201</v>
      </c>
      <c r="F3466" s="1" t="s">
        <v>1474</v>
      </c>
      <c r="G3466">
        <v>4</v>
      </c>
      <c r="H3466" s="1" t="s">
        <v>1534</v>
      </c>
      <c r="I3466" t="s">
        <v>1914</v>
      </c>
      <c r="J3466" s="1" t="s">
        <v>1455</v>
      </c>
      <c r="K3466" s="1" t="s">
        <v>1679</v>
      </c>
      <c r="L3466" s="1" t="s">
        <v>1720</v>
      </c>
      <c r="M3466" s="1" t="s">
        <v>1762</v>
      </c>
      <c r="N3466" t="s">
        <v>2070</v>
      </c>
      <c r="O3466" t="s">
        <v>2166</v>
      </c>
      <c r="P3466" t="s">
        <v>3172</v>
      </c>
      <c r="Q3466">
        <v>-1254.5999999999999</v>
      </c>
      <c r="R3466" s="1" t="s">
        <v>1839</v>
      </c>
      <c r="S3466">
        <v>1146.7</v>
      </c>
      <c r="T3466">
        <v>-1438650</v>
      </c>
    </row>
    <row r="3467" spans="1:20" hidden="1" x14ac:dyDescent="0.4">
      <c r="A3467" s="1" t="s">
        <v>1320</v>
      </c>
      <c r="B3467" s="1" t="s">
        <v>1453</v>
      </c>
      <c r="C3467" s="1" t="s">
        <v>1844</v>
      </c>
      <c r="D3467" s="1" t="s">
        <v>1462</v>
      </c>
      <c r="E3467">
        <v>20251201</v>
      </c>
      <c r="F3467" s="1" t="s">
        <v>1474</v>
      </c>
      <c r="G3467">
        <v>4</v>
      </c>
      <c r="H3467" s="1" t="s">
        <v>1534</v>
      </c>
      <c r="I3467" t="s">
        <v>1914</v>
      </c>
      <c r="J3467" s="1" t="s">
        <v>1455</v>
      </c>
      <c r="K3467" s="1" t="s">
        <v>1678</v>
      </c>
      <c r="L3467" s="1" t="s">
        <v>1720</v>
      </c>
      <c r="M3467" s="1" t="s">
        <v>1735</v>
      </c>
      <c r="N3467" t="s">
        <v>2069</v>
      </c>
      <c r="O3467" t="s">
        <v>2166</v>
      </c>
      <c r="P3467" t="s">
        <v>3197</v>
      </c>
      <c r="Q3467">
        <v>1523.8</v>
      </c>
      <c r="R3467" s="1" t="s">
        <v>1839</v>
      </c>
      <c r="S3467">
        <v>1290.22</v>
      </c>
      <c r="T3467">
        <v>1966037</v>
      </c>
    </row>
    <row r="3468" spans="1:20" hidden="1" x14ac:dyDescent="0.4">
      <c r="A3468" s="1" t="s">
        <v>1320</v>
      </c>
      <c r="B3468" s="1" t="s">
        <v>1454</v>
      </c>
      <c r="C3468" s="1" t="s">
        <v>1844</v>
      </c>
      <c r="D3468" s="1" t="s">
        <v>1462</v>
      </c>
      <c r="E3468">
        <v>20251201</v>
      </c>
      <c r="F3468" s="1" t="s">
        <v>1474</v>
      </c>
      <c r="G3468">
        <v>4</v>
      </c>
      <c r="H3468" s="1" t="s">
        <v>1534</v>
      </c>
      <c r="I3468" t="s">
        <v>1914</v>
      </c>
      <c r="J3468" s="1" t="s">
        <v>1455</v>
      </c>
      <c r="K3468" s="1" t="s">
        <v>1678</v>
      </c>
      <c r="L3468" s="1" t="s">
        <v>1720</v>
      </c>
      <c r="M3468" s="1" t="s">
        <v>1735</v>
      </c>
      <c r="N3468" t="s">
        <v>2069</v>
      </c>
      <c r="O3468" t="s">
        <v>2166</v>
      </c>
      <c r="P3468" t="s">
        <v>3197</v>
      </c>
      <c r="Q3468">
        <v>1679.25</v>
      </c>
      <c r="R3468" s="1" t="s">
        <v>1839</v>
      </c>
      <c r="S3468">
        <v>1290.3699999999999</v>
      </c>
      <c r="T3468">
        <v>2166854</v>
      </c>
    </row>
    <row r="3469" spans="1:20" hidden="1" x14ac:dyDescent="0.4">
      <c r="A3469" s="1" t="s">
        <v>1320</v>
      </c>
      <c r="B3469" s="1" t="s">
        <v>1455</v>
      </c>
      <c r="C3469" s="1" t="s">
        <v>1844</v>
      </c>
      <c r="D3469" s="1" t="s">
        <v>1462</v>
      </c>
      <c r="E3469">
        <v>20251201</v>
      </c>
      <c r="F3469" s="1" t="s">
        <v>1474</v>
      </c>
      <c r="G3469">
        <v>4</v>
      </c>
      <c r="H3469" s="1" t="s">
        <v>1534</v>
      </c>
      <c r="I3469" t="s">
        <v>1914</v>
      </c>
      <c r="J3469" s="1" t="s">
        <v>1455</v>
      </c>
      <c r="K3469" s="1" t="s">
        <v>1679</v>
      </c>
      <c r="L3469" s="1" t="s">
        <v>1720</v>
      </c>
      <c r="M3469" s="1" t="s">
        <v>1762</v>
      </c>
      <c r="N3469" t="s">
        <v>2070</v>
      </c>
      <c r="O3469" t="s">
        <v>2166</v>
      </c>
      <c r="P3469" t="s">
        <v>3172</v>
      </c>
      <c r="Q3469">
        <v>1254.5999999999999</v>
      </c>
      <c r="R3469" s="1" t="s">
        <v>1839</v>
      </c>
      <c r="S3469">
        <v>1153.07</v>
      </c>
      <c r="T3469">
        <v>1446642</v>
      </c>
    </row>
    <row r="3470" spans="1:20" hidden="1" x14ac:dyDescent="0.4">
      <c r="A3470" s="1" t="s">
        <v>1321</v>
      </c>
      <c r="B3470" s="1" t="s">
        <v>1453</v>
      </c>
      <c r="C3470" s="1" t="s">
        <v>1844</v>
      </c>
      <c r="D3470" s="1" t="s">
        <v>1850</v>
      </c>
      <c r="E3470">
        <v>20251201</v>
      </c>
      <c r="F3470" s="1" t="s">
        <v>1474</v>
      </c>
      <c r="G3470">
        <v>4</v>
      </c>
      <c r="H3470" s="1" t="s">
        <v>1534</v>
      </c>
      <c r="I3470" t="s">
        <v>1914</v>
      </c>
      <c r="J3470" s="1" t="s">
        <v>1455</v>
      </c>
      <c r="K3470" s="1" t="s">
        <v>1680</v>
      </c>
      <c r="L3470" s="1" t="s">
        <v>1720</v>
      </c>
      <c r="M3470" s="1" t="s">
        <v>1815</v>
      </c>
      <c r="N3470" t="s">
        <v>2071</v>
      </c>
      <c r="O3470" t="s">
        <v>2166</v>
      </c>
      <c r="P3470" t="s">
        <v>3077</v>
      </c>
      <c r="Q3470">
        <v>-908.06</v>
      </c>
      <c r="R3470" s="1" t="s">
        <v>1839</v>
      </c>
      <c r="S3470">
        <v>1330.36</v>
      </c>
      <c r="T3470">
        <v>-1208047</v>
      </c>
    </row>
    <row r="3471" spans="1:20" hidden="1" x14ac:dyDescent="0.4">
      <c r="A3471" s="1" t="s">
        <v>1321</v>
      </c>
      <c r="B3471" s="1" t="s">
        <v>1454</v>
      </c>
      <c r="C3471" s="1" t="s">
        <v>1844</v>
      </c>
      <c r="D3471" s="1" t="s">
        <v>1850</v>
      </c>
      <c r="E3471">
        <v>20251201</v>
      </c>
      <c r="F3471" s="1" t="s">
        <v>1474</v>
      </c>
      <c r="G3471">
        <v>4</v>
      </c>
      <c r="H3471" s="1" t="s">
        <v>1534</v>
      </c>
      <c r="I3471" t="s">
        <v>1914</v>
      </c>
      <c r="J3471" s="1" t="s">
        <v>1455</v>
      </c>
      <c r="K3471" s="1" t="s">
        <v>1680</v>
      </c>
      <c r="L3471" s="1" t="s">
        <v>1720</v>
      </c>
      <c r="M3471" s="1" t="s">
        <v>1762</v>
      </c>
      <c r="N3471" t="s">
        <v>2071</v>
      </c>
      <c r="O3471" t="s">
        <v>2166</v>
      </c>
      <c r="P3471" t="s">
        <v>3172</v>
      </c>
      <c r="Q3471">
        <v>-653.62</v>
      </c>
      <c r="R3471" s="1" t="s">
        <v>1839</v>
      </c>
      <c r="S3471">
        <v>1330.36</v>
      </c>
      <c r="T3471">
        <v>-869550</v>
      </c>
    </row>
    <row r="3472" spans="1:20" hidden="1" x14ac:dyDescent="0.4">
      <c r="A3472" s="1" t="s">
        <v>1321</v>
      </c>
      <c r="B3472" s="1" t="s">
        <v>1455</v>
      </c>
      <c r="C3472" s="1" t="s">
        <v>1844</v>
      </c>
      <c r="D3472" s="1" t="s">
        <v>1850</v>
      </c>
      <c r="E3472">
        <v>20251201</v>
      </c>
      <c r="F3472" s="1" t="s">
        <v>1474</v>
      </c>
      <c r="G3472">
        <v>4</v>
      </c>
      <c r="H3472" s="1" t="s">
        <v>1534</v>
      </c>
      <c r="I3472" t="s">
        <v>1914</v>
      </c>
      <c r="J3472" s="1" t="s">
        <v>1455</v>
      </c>
      <c r="K3472" s="1" t="s">
        <v>1669</v>
      </c>
      <c r="L3472" s="1" t="s">
        <v>1720</v>
      </c>
      <c r="M3472" s="1" t="s">
        <v>1762</v>
      </c>
      <c r="N3472" t="s">
        <v>2057</v>
      </c>
      <c r="O3472" t="s">
        <v>2166</v>
      </c>
      <c r="P3472" t="s">
        <v>3172</v>
      </c>
      <c r="Q3472">
        <v>-1373.07</v>
      </c>
      <c r="R3472" s="1" t="s">
        <v>1841</v>
      </c>
      <c r="S3472">
        <v>1493.11</v>
      </c>
      <c r="T3472">
        <v>-2050145</v>
      </c>
    </row>
    <row r="3473" spans="1:20" hidden="1" x14ac:dyDescent="0.4">
      <c r="A3473" s="1" t="s">
        <v>1321</v>
      </c>
      <c r="B3473" s="1" t="s">
        <v>1456</v>
      </c>
      <c r="C3473" s="1" t="s">
        <v>1844</v>
      </c>
      <c r="D3473" s="1" t="s">
        <v>1850</v>
      </c>
      <c r="E3473">
        <v>20251201</v>
      </c>
      <c r="F3473" s="1" t="s">
        <v>1474</v>
      </c>
      <c r="G3473">
        <v>4</v>
      </c>
      <c r="H3473" s="1" t="s">
        <v>1534</v>
      </c>
      <c r="I3473" t="s">
        <v>1914</v>
      </c>
      <c r="J3473" s="1" t="s">
        <v>1455</v>
      </c>
      <c r="K3473" s="1" t="s">
        <v>1665</v>
      </c>
      <c r="L3473" s="1" t="s">
        <v>1720</v>
      </c>
      <c r="M3473" s="1" t="s">
        <v>1762</v>
      </c>
      <c r="N3473" t="s">
        <v>2053</v>
      </c>
      <c r="O3473" t="s">
        <v>2166</v>
      </c>
      <c r="P3473" t="s">
        <v>3172</v>
      </c>
      <c r="Q3473">
        <v>-819.47</v>
      </c>
      <c r="R3473" s="1" t="s">
        <v>1839</v>
      </c>
      <c r="S3473">
        <v>1499.47</v>
      </c>
      <c r="T3473">
        <v>-1228771</v>
      </c>
    </row>
    <row r="3474" spans="1:20" hidden="1" x14ac:dyDescent="0.4">
      <c r="A3474" s="1" t="s">
        <v>1321</v>
      </c>
      <c r="B3474" s="1" t="s">
        <v>1457</v>
      </c>
      <c r="C3474" s="1" t="s">
        <v>1844</v>
      </c>
      <c r="D3474" s="1" t="s">
        <v>1850</v>
      </c>
      <c r="E3474">
        <v>20251201</v>
      </c>
      <c r="F3474" s="1" t="s">
        <v>1474</v>
      </c>
      <c r="G3474">
        <v>4</v>
      </c>
      <c r="H3474" s="1" t="s">
        <v>1534</v>
      </c>
      <c r="I3474" t="s">
        <v>1914</v>
      </c>
      <c r="J3474" s="1" t="s">
        <v>1455</v>
      </c>
      <c r="K3474" s="1" t="s">
        <v>1668</v>
      </c>
      <c r="L3474" s="1" t="s">
        <v>1720</v>
      </c>
      <c r="M3474" s="1" t="s">
        <v>1762</v>
      </c>
      <c r="N3474" t="s">
        <v>2056</v>
      </c>
      <c r="O3474" t="s">
        <v>2166</v>
      </c>
      <c r="P3474" t="s">
        <v>3172</v>
      </c>
      <c r="Q3474">
        <v>-536.82000000000005</v>
      </c>
      <c r="R3474" s="1" t="s">
        <v>1841</v>
      </c>
      <c r="S3474">
        <v>634.55999999999995</v>
      </c>
      <c r="T3474">
        <v>-340644</v>
      </c>
    </row>
    <row r="3475" spans="1:20" hidden="1" x14ac:dyDescent="0.4">
      <c r="A3475" s="1" t="s">
        <v>1321</v>
      </c>
      <c r="B3475" s="1" t="s">
        <v>1458</v>
      </c>
      <c r="C3475" s="1" t="s">
        <v>1844</v>
      </c>
      <c r="D3475" s="1" t="s">
        <v>1850</v>
      </c>
      <c r="E3475">
        <v>20251201</v>
      </c>
      <c r="F3475" s="1" t="s">
        <v>1474</v>
      </c>
      <c r="G3475">
        <v>4</v>
      </c>
      <c r="H3475" s="1" t="s">
        <v>1534</v>
      </c>
      <c r="I3475" t="s">
        <v>1914</v>
      </c>
      <c r="J3475" s="1" t="s">
        <v>1455</v>
      </c>
      <c r="K3475" s="1" t="s">
        <v>1663</v>
      </c>
      <c r="L3475" s="1" t="s">
        <v>1720</v>
      </c>
      <c r="M3475" s="1" t="s">
        <v>1762</v>
      </c>
      <c r="N3475" t="s">
        <v>2051</v>
      </c>
      <c r="O3475" t="s">
        <v>2166</v>
      </c>
      <c r="P3475" t="s">
        <v>3183</v>
      </c>
      <c r="Q3475">
        <v>-15.2</v>
      </c>
      <c r="R3475" s="1" t="s">
        <v>1839</v>
      </c>
      <c r="S3475">
        <v>1595.57</v>
      </c>
      <c r="T3475">
        <v>-24253</v>
      </c>
    </row>
    <row r="3476" spans="1:20" hidden="1" x14ac:dyDescent="0.4">
      <c r="A3476" s="1" t="s">
        <v>1321</v>
      </c>
      <c r="B3476" s="1" t="s">
        <v>1459</v>
      </c>
      <c r="C3476" s="1" t="s">
        <v>1844</v>
      </c>
      <c r="D3476" s="1" t="s">
        <v>1850</v>
      </c>
      <c r="E3476">
        <v>20251201</v>
      </c>
      <c r="F3476" s="1" t="s">
        <v>1474</v>
      </c>
      <c r="G3476">
        <v>4</v>
      </c>
      <c r="H3476" s="1" t="s">
        <v>1534</v>
      </c>
      <c r="I3476" t="s">
        <v>1914</v>
      </c>
      <c r="J3476" s="1" t="s">
        <v>1455</v>
      </c>
      <c r="K3476" s="1" t="s">
        <v>1661</v>
      </c>
      <c r="L3476" s="1" t="s">
        <v>1720</v>
      </c>
      <c r="M3476" s="1" t="s">
        <v>1762</v>
      </c>
      <c r="N3476" t="s">
        <v>2049</v>
      </c>
      <c r="O3476" t="s">
        <v>2166</v>
      </c>
      <c r="P3476" t="s">
        <v>3183</v>
      </c>
      <c r="Q3476">
        <v>-15.2</v>
      </c>
      <c r="R3476" s="1" t="s">
        <v>1841</v>
      </c>
      <c r="S3476">
        <v>1519.62</v>
      </c>
      <c r="T3476">
        <v>-23098</v>
      </c>
    </row>
    <row r="3477" spans="1:20" hidden="1" x14ac:dyDescent="0.4">
      <c r="A3477" s="1" t="s">
        <v>1322</v>
      </c>
      <c r="B3477" s="1" t="s">
        <v>1453</v>
      </c>
      <c r="C3477" s="1" t="s">
        <v>1844</v>
      </c>
      <c r="D3477" s="1" t="s">
        <v>1462</v>
      </c>
      <c r="E3477">
        <v>20251201</v>
      </c>
      <c r="F3477" s="1" t="s">
        <v>1474</v>
      </c>
      <c r="G3477">
        <v>4</v>
      </c>
      <c r="H3477" s="1" t="s">
        <v>1534</v>
      </c>
      <c r="I3477" t="s">
        <v>1914</v>
      </c>
      <c r="J3477" s="1" t="s">
        <v>1455</v>
      </c>
      <c r="K3477" s="1" t="s">
        <v>1680</v>
      </c>
      <c r="L3477" s="1" t="s">
        <v>1720</v>
      </c>
      <c r="M3477" s="1" t="s">
        <v>1815</v>
      </c>
      <c r="N3477" t="s">
        <v>2071</v>
      </c>
      <c r="O3477" t="s">
        <v>2166</v>
      </c>
      <c r="P3477" t="s">
        <v>3077</v>
      </c>
      <c r="Q3477">
        <v>908.06</v>
      </c>
      <c r="R3477" s="1" t="s">
        <v>1839</v>
      </c>
      <c r="S3477">
        <v>1337.74</v>
      </c>
      <c r="T3477">
        <v>1214748</v>
      </c>
    </row>
    <row r="3478" spans="1:20" hidden="1" x14ac:dyDescent="0.4">
      <c r="A3478" s="1" t="s">
        <v>1322</v>
      </c>
      <c r="B3478" s="1" t="s">
        <v>1454</v>
      </c>
      <c r="C3478" s="1" t="s">
        <v>1844</v>
      </c>
      <c r="D3478" s="1" t="s">
        <v>1462</v>
      </c>
      <c r="E3478">
        <v>20251201</v>
      </c>
      <c r="F3478" s="1" t="s">
        <v>1474</v>
      </c>
      <c r="G3478">
        <v>4</v>
      </c>
      <c r="H3478" s="1" t="s">
        <v>1534</v>
      </c>
      <c r="I3478" t="s">
        <v>1914</v>
      </c>
      <c r="J3478" s="1" t="s">
        <v>1455</v>
      </c>
      <c r="K3478" s="1" t="s">
        <v>1680</v>
      </c>
      <c r="L3478" s="1" t="s">
        <v>1720</v>
      </c>
      <c r="M3478" s="1" t="s">
        <v>1762</v>
      </c>
      <c r="N3478" t="s">
        <v>2071</v>
      </c>
      <c r="O3478" t="s">
        <v>2166</v>
      </c>
      <c r="P3478" t="s">
        <v>3172</v>
      </c>
      <c r="Q3478">
        <v>653.62</v>
      </c>
      <c r="R3478" s="1" t="s">
        <v>1839</v>
      </c>
      <c r="S3478">
        <v>1337.75</v>
      </c>
      <c r="T3478">
        <v>874380</v>
      </c>
    </row>
    <row r="3479" spans="1:20" hidden="1" x14ac:dyDescent="0.4">
      <c r="A3479" s="1" t="s">
        <v>1322</v>
      </c>
      <c r="B3479" s="1" t="s">
        <v>1455</v>
      </c>
      <c r="C3479" s="1" t="s">
        <v>1844</v>
      </c>
      <c r="D3479" s="1" t="s">
        <v>1462</v>
      </c>
      <c r="E3479">
        <v>20251201</v>
      </c>
      <c r="F3479" s="1" t="s">
        <v>1474</v>
      </c>
      <c r="G3479">
        <v>4</v>
      </c>
      <c r="H3479" s="1" t="s">
        <v>1534</v>
      </c>
      <c r="I3479" t="s">
        <v>1914</v>
      </c>
      <c r="J3479" s="1" t="s">
        <v>1455</v>
      </c>
      <c r="K3479" s="1" t="s">
        <v>1669</v>
      </c>
      <c r="L3479" s="1" t="s">
        <v>1720</v>
      </c>
      <c r="M3479" s="1" t="s">
        <v>1762</v>
      </c>
      <c r="N3479" t="s">
        <v>2057</v>
      </c>
      <c r="O3479" t="s">
        <v>2166</v>
      </c>
      <c r="P3479" t="s">
        <v>3172</v>
      </c>
      <c r="Q3479">
        <v>1373.07</v>
      </c>
      <c r="R3479" s="1" t="s">
        <v>1841</v>
      </c>
      <c r="S3479">
        <v>1501.39</v>
      </c>
      <c r="T3479">
        <v>2061514</v>
      </c>
    </row>
    <row r="3480" spans="1:20" hidden="1" x14ac:dyDescent="0.4">
      <c r="A3480" s="1" t="s">
        <v>1322</v>
      </c>
      <c r="B3480" s="1" t="s">
        <v>1456</v>
      </c>
      <c r="C3480" s="1" t="s">
        <v>1844</v>
      </c>
      <c r="D3480" s="1" t="s">
        <v>1462</v>
      </c>
      <c r="E3480">
        <v>20251201</v>
      </c>
      <c r="F3480" s="1" t="s">
        <v>1474</v>
      </c>
      <c r="G3480">
        <v>4</v>
      </c>
      <c r="H3480" s="1" t="s">
        <v>1534</v>
      </c>
      <c r="I3480" t="s">
        <v>1914</v>
      </c>
      <c r="J3480" s="1" t="s">
        <v>1455</v>
      </c>
      <c r="K3480" s="1" t="s">
        <v>1665</v>
      </c>
      <c r="L3480" s="1" t="s">
        <v>1720</v>
      </c>
      <c r="M3480" s="1" t="s">
        <v>1762</v>
      </c>
      <c r="N3480" t="s">
        <v>2053</v>
      </c>
      <c r="O3480" t="s">
        <v>2166</v>
      </c>
      <c r="P3480" t="s">
        <v>3172</v>
      </c>
      <c r="Q3480">
        <v>819.47</v>
      </c>
      <c r="R3480" s="1" t="s">
        <v>1839</v>
      </c>
      <c r="S3480">
        <v>1507.78</v>
      </c>
      <c r="T3480">
        <v>1235580</v>
      </c>
    </row>
    <row r="3481" spans="1:20" hidden="1" x14ac:dyDescent="0.4">
      <c r="A3481" s="1" t="s">
        <v>1322</v>
      </c>
      <c r="B3481" s="1" t="s">
        <v>1457</v>
      </c>
      <c r="C3481" s="1" t="s">
        <v>1844</v>
      </c>
      <c r="D3481" s="1" t="s">
        <v>1462</v>
      </c>
      <c r="E3481">
        <v>20251201</v>
      </c>
      <c r="F3481" s="1" t="s">
        <v>1474</v>
      </c>
      <c r="G3481">
        <v>4</v>
      </c>
      <c r="H3481" s="1" t="s">
        <v>1534</v>
      </c>
      <c r="I3481" t="s">
        <v>1914</v>
      </c>
      <c r="J3481" s="1" t="s">
        <v>1455</v>
      </c>
      <c r="K3481" s="1" t="s">
        <v>1668</v>
      </c>
      <c r="L3481" s="1" t="s">
        <v>1720</v>
      </c>
      <c r="M3481" s="1" t="s">
        <v>1762</v>
      </c>
      <c r="N3481" t="s">
        <v>2056</v>
      </c>
      <c r="O3481" t="s">
        <v>2166</v>
      </c>
      <c r="P3481" t="s">
        <v>3172</v>
      </c>
      <c r="Q3481">
        <v>536.82000000000005</v>
      </c>
      <c r="R3481" s="1" t="s">
        <v>1841</v>
      </c>
      <c r="S3481">
        <v>638.09</v>
      </c>
      <c r="T3481">
        <v>342539</v>
      </c>
    </row>
    <row r="3482" spans="1:20" hidden="1" x14ac:dyDescent="0.4">
      <c r="A3482" s="1" t="s">
        <v>1322</v>
      </c>
      <c r="B3482" s="1" t="s">
        <v>1458</v>
      </c>
      <c r="C3482" s="1" t="s">
        <v>1844</v>
      </c>
      <c r="D3482" s="1" t="s">
        <v>1462</v>
      </c>
      <c r="E3482">
        <v>20251201</v>
      </c>
      <c r="F3482" s="1" t="s">
        <v>1474</v>
      </c>
      <c r="G3482">
        <v>4</v>
      </c>
      <c r="H3482" s="1" t="s">
        <v>1534</v>
      </c>
      <c r="I3482" t="s">
        <v>1914</v>
      </c>
      <c r="J3482" s="1" t="s">
        <v>1455</v>
      </c>
      <c r="K3482" s="1" t="s">
        <v>1663</v>
      </c>
      <c r="L3482" s="1" t="s">
        <v>1720</v>
      </c>
      <c r="M3482" s="1" t="s">
        <v>1762</v>
      </c>
      <c r="N3482" t="s">
        <v>2051</v>
      </c>
      <c r="O3482" t="s">
        <v>2166</v>
      </c>
      <c r="P3482" t="s">
        <v>3183</v>
      </c>
      <c r="Q3482">
        <v>15.2</v>
      </c>
      <c r="R3482" s="1" t="s">
        <v>1839</v>
      </c>
      <c r="S3482">
        <v>1604.42</v>
      </c>
      <c r="T3482">
        <v>24387</v>
      </c>
    </row>
    <row r="3483" spans="1:20" hidden="1" x14ac:dyDescent="0.4">
      <c r="A3483" s="1" t="s">
        <v>1322</v>
      </c>
      <c r="B3483" s="1" t="s">
        <v>1459</v>
      </c>
      <c r="C3483" s="1" t="s">
        <v>1844</v>
      </c>
      <c r="D3483" s="1" t="s">
        <v>1462</v>
      </c>
      <c r="E3483">
        <v>20251201</v>
      </c>
      <c r="F3483" s="1" t="s">
        <v>1474</v>
      </c>
      <c r="G3483">
        <v>4</v>
      </c>
      <c r="H3483" s="1" t="s">
        <v>1534</v>
      </c>
      <c r="I3483" t="s">
        <v>1914</v>
      </c>
      <c r="J3483" s="1" t="s">
        <v>1455</v>
      </c>
      <c r="K3483" s="1" t="s">
        <v>1661</v>
      </c>
      <c r="L3483" s="1" t="s">
        <v>1720</v>
      </c>
      <c r="M3483" s="1" t="s">
        <v>1762</v>
      </c>
      <c r="N3483" t="s">
        <v>2049</v>
      </c>
      <c r="O3483" t="s">
        <v>2166</v>
      </c>
      <c r="P3483" t="s">
        <v>3183</v>
      </c>
      <c r="Q3483">
        <v>15.2</v>
      </c>
      <c r="R3483" s="1" t="s">
        <v>1841</v>
      </c>
      <c r="S3483">
        <v>1528.05</v>
      </c>
      <c r="T3483">
        <v>23226</v>
      </c>
    </row>
    <row r="3484" spans="1:20" hidden="1" x14ac:dyDescent="0.4">
      <c r="A3484" s="1" t="s">
        <v>1323</v>
      </c>
      <c r="B3484" s="1" t="s">
        <v>1453</v>
      </c>
      <c r="C3484" s="1" t="s">
        <v>1844</v>
      </c>
      <c r="D3484" s="1" t="s">
        <v>1462</v>
      </c>
      <c r="E3484">
        <v>20251202</v>
      </c>
      <c r="F3484" s="1" t="s">
        <v>1474</v>
      </c>
      <c r="G3484">
        <v>4</v>
      </c>
      <c r="H3484" s="1" t="s">
        <v>1534</v>
      </c>
      <c r="I3484" t="s">
        <v>1914</v>
      </c>
      <c r="J3484" s="1" t="s">
        <v>1455</v>
      </c>
      <c r="K3484" s="1" t="s">
        <v>1665</v>
      </c>
      <c r="L3484" s="1" t="s">
        <v>1720</v>
      </c>
      <c r="M3484" s="1" t="s">
        <v>1762</v>
      </c>
      <c r="N3484" t="s">
        <v>2053</v>
      </c>
      <c r="O3484" t="s">
        <v>2166</v>
      </c>
      <c r="P3484" t="s">
        <v>3172</v>
      </c>
      <c r="Q3484">
        <v>882.25</v>
      </c>
      <c r="R3484" s="1" t="s">
        <v>1839</v>
      </c>
      <c r="S3484">
        <v>1508.11</v>
      </c>
      <c r="T3484">
        <v>1330530</v>
      </c>
    </row>
    <row r="3485" spans="1:20" hidden="1" x14ac:dyDescent="0.4">
      <c r="A3485" s="1" t="s">
        <v>1323</v>
      </c>
      <c r="B3485" s="1" t="s">
        <v>1454</v>
      </c>
      <c r="C3485" s="1" t="s">
        <v>1844</v>
      </c>
      <c r="D3485" s="1" t="s">
        <v>1462</v>
      </c>
      <c r="E3485">
        <v>20251202</v>
      </c>
      <c r="F3485" s="1" t="s">
        <v>1474</v>
      </c>
      <c r="G3485">
        <v>4</v>
      </c>
      <c r="H3485" s="1" t="s">
        <v>1534</v>
      </c>
      <c r="I3485" t="s">
        <v>1914</v>
      </c>
      <c r="J3485" s="1" t="s">
        <v>1455</v>
      </c>
      <c r="K3485" s="1" t="s">
        <v>1665</v>
      </c>
      <c r="L3485" s="1" t="s">
        <v>1720</v>
      </c>
      <c r="M3485" s="1" t="s">
        <v>1762</v>
      </c>
      <c r="N3485" t="s">
        <v>2053</v>
      </c>
      <c r="O3485" t="s">
        <v>2166</v>
      </c>
      <c r="P3485" t="s">
        <v>3172</v>
      </c>
      <c r="Q3485">
        <v>626.59</v>
      </c>
      <c r="R3485" s="1" t="s">
        <v>1841</v>
      </c>
      <c r="S3485">
        <v>1508.11</v>
      </c>
      <c r="T3485">
        <v>944967</v>
      </c>
    </row>
    <row r="3486" spans="1:20" hidden="1" x14ac:dyDescent="0.4">
      <c r="A3486" s="1" t="s">
        <v>1323</v>
      </c>
      <c r="B3486" s="1" t="s">
        <v>1455</v>
      </c>
      <c r="C3486" s="1" t="s">
        <v>1844</v>
      </c>
      <c r="D3486" s="1" t="s">
        <v>1462</v>
      </c>
      <c r="E3486">
        <v>20251202</v>
      </c>
      <c r="F3486" s="1" t="s">
        <v>1474</v>
      </c>
      <c r="G3486">
        <v>4</v>
      </c>
      <c r="H3486" s="1" t="s">
        <v>1534</v>
      </c>
      <c r="I3486" t="s">
        <v>1914</v>
      </c>
      <c r="J3486" s="1" t="s">
        <v>1455</v>
      </c>
      <c r="K3486" s="1" t="s">
        <v>1665</v>
      </c>
      <c r="L3486" s="1" t="s">
        <v>1720</v>
      </c>
      <c r="M3486" s="1" t="s">
        <v>1762</v>
      </c>
      <c r="N3486" t="s">
        <v>2053</v>
      </c>
      <c r="O3486" t="s">
        <v>2166</v>
      </c>
      <c r="P3486" t="s">
        <v>3172</v>
      </c>
      <c r="Q3486">
        <v>1374.03</v>
      </c>
      <c r="R3486" s="1" t="s">
        <v>1839</v>
      </c>
      <c r="S3486">
        <v>1508.11</v>
      </c>
      <c r="T3486">
        <v>2072188</v>
      </c>
    </row>
    <row r="3487" spans="1:20" hidden="1" x14ac:dyDescent="0.4">
      <c r="A3487" s="1" t="s">
        <v>1323</v>
      </c>
      <c r="B3487" s="1" t="s">
        <v>1456</v>
      </c>
      <c r="C3487" s="1" t="s">
        <v>1844</v>
      </c>
      <c r="D3487" s="1" t="s">
        <v>1462</v>
      </c>
      <c r="E3487">
        <v>20251202</v>
      </c>
      <c r="F3487" s="1" t="s">
        <v>1474</v>
      </c>
      <c r="G3487">
        <v>4</v>
      </c>
      <c r="H3487" s="1" t="s">
        <v>1534</v>
      </c>
      <c r="I3487" t="s">
        <v>1914</v>
      </c>
      <c r="J3487" s="1" t="s">
        <v>1455</v>
      </c>
      <c r="K3487" s="1" t="s">
        <v>1668</v>
      </c>
      <c r="L3487" s="1" t="s">
        <v>1720</v>
      </c>
      <c r="M3487" s="1" t="s">
        <v>1762</v>
      </c>
      <c r="N3487" t="s">
        <v>2056</v>
      </c>
      <c r="O3487" t="s">
        <v>2166</v>
      </c>
      <c r="P3487" t="s">
        <v>3172</v>
      </c>
      <c r="Q3487">
        <v>539.05999999999995</v>
      </c>
      <c r="R3487" s="1" t="s">
        <v>1839</v>
      </c>
      <c r="S3487">
        <v>638.54999999999995</v>
      </c>
      <c r="T3487">
        <v>344217</v>
      </c>
    </row>
    <row r="3488" spans="1:20" hidden="1" x14ac:dyDescent="0.4">
      <c r="A3488" s="1" t="s">
        <v>1323</v>
      </c>
      <c r="B3488" s="1" t="s">
        <v>1457</v>
      </c>
      <c r="C3488" s="1" t="s">
        <v>1844</v>
      </c>
      <c r="D3488" s="1" t="s">
        <v>1462</v>
      </c>
      <c r="E3488">
        <v>20251202</v>
      </c>
      <c r="F3488" s="1" t="s">
        <v>1474</v>
      </c>
      <c r="G3488">
        <v>4</v>
      </c>
      <c r="H3488" s="1" t="s">
        <v>1534</v>
      </c>
      <c r="I3488" t="s">
        <v>1914</v>
      </c>
      <c r="J3488" s="1" t="s">
        <v>1455</v>
      </c>
      <c r="K3488" s="1" t="s">
        <v>1662</v>
      </c>
      <c r="L3488" s="1" t="s">
        <v>1720</v>
      </c>
      <c r="M3488" s="1" t="s">
        <v>1762</v>
      </c>
      <c r="N3488" t="s">
        <v>2050</v>
      </c>
      <c r="O3488" t="s">
        <v>2166</v>
      </c>
      <c r="P3488" t="s">
        <v>3172</v>
      </c>
      <c r="Q3488">
        <v>680.47</v>
      </c>
      <c r="R3488" s="1" t="s">
        <v>1841</v>
      </c>
      <c r="S3488">
        <v>1202.77</v>
      </c>
      <c r="T3488">
        <v>818449</v>
      </c>
    </row>
    <row r="3489" spans="1:20" hidden="1" x14ac:dyDescent="0.4">
      <c r="A3489" s="1" t="s">
        <v>1323</v>
      </c>
      <c r="B3489" s="1" t="s">
        <v>1458</v>
      </c>
      <c r="C3489" s="1" t="s">
        <v>1844</v>
      </c>
      <c r="D3489" s="1" t="s">
        <v>1462</v>
      </c>
      <c r="E3489">
        <v>20251202</v>
      </c>
      <c r="F3489" s="1" t="s">
        <v>1474</v>
      </c>
      <c r="G3489">
        <v>4</v>
      </c>
      <c r="H3489" s="1" t="s">
        <v>1534</v>
      </c>
      <c r="I3489" t="s">
        <v>1914</v>
      </c>
      <c r="J3489" s="1" t="s">
        <v>1455</v>
      </c>
      <c r="K3489" s="1" t="s">
        <v>1665</v>
      </c>
      <c r="L3489" s="1" t="s">
        <v>1720</v>
      </c>
      <c r="M3489" s="1" t="s">
        <v>1762</v>
      </c>
      <c r="N3489" t="s">
        <v>2053</v>
      </c>
      <c r="O3489" t="s">
        <v>2166</v>
      </c>
      <c r="P3489" t="s">
        <v>3172</v>
      </c>
      <c r="Q3489">
        <v>1830.83</v>
      </c>
      <c r="R3489" s="1" t="s">
        <v>1841</v>
      </c>
      <c r="S3489">
        <v>1508.1</v>
      </c>
      <c r="T3489">
        <v>2761075</v>
      </c>
    </row>
    <row r="3490" spans="1:20" hidden="1" x14ac:dyDescent="0.4">
      <c r="A3490" s="1" t="s">
        <v>1323</v>
      </c>
      <c r="B3490" s="1" t="s">
        <v>1459</v>
      </c>
      <c r="C3490" s="1" t="s">
        <v>1844</v>
      </c>
      <c r="D3490" s="1" t="s">
        <v>1462</v>
      </c>
      <c r="E3490">
        <v>20251202</v>
      </c>
      <c r="F3490" s="1" t="s">
        <v>1474</v>
      </c>
      <c r="G3490">
        <v>4</v>
      </c>
      <c r="H3490" s="1" t="s">
        <v>1534</v>
      </c>
      <c r="I3490" t="s">
        <v>1914</v>
      </c>
      <c r="J3490" s="1" t="s">
        <v>1455</v>
      </c>
      <c r="K3490" s="1" t="s">
        <v>1662</v>
      </c>
      <c r="L3490" s="1" t="s">
        <v>1720</v>
      </c>
      <c r="M3490" s="1" t="s">
        <v>1762</v>
      </c>
      <c r="N3490" t="s">
        <v>2050</v>
      </c>
      <c r="O3490" t="s">
        <v>2166</v>
      </c>
      <c r="P3490" t="s">
        <v>3172</v>
      </c>
      <c r="Q3490">
        <v>1175.18</v>
      </c>
      <c r="R3490" s="1" t="s">
        <v>1841</v>
      </c>
      <c r="S3490">
        <v>1202.77</v>
      </c>
      <c r="T3490">
        <v>1413471</v>
      </c>
    </row>
    <row r="3491" spans="1:20" hidden="1" x14ac:dyDescent="0.4">
      <c r="A3491" s="1" t="s">
        <v>1323</v>
      </c>
      <c r="B3491" s="1" t="s">
        <v>1460</v>
      </c>
      <c r="C3491" s="1" t="s">
        <v>1844</v>
      </c>
      <c r="D3491" s="1" t="s">
        <v>1462</v>
      </c>
      <c r="E3491">
        <v>20251202</v>
      </c>
      <c r="F3491" s="1" t="s">
        <v>1474</v>
      </c>
      <c r="G3491">
        <v>4</v>
      </c>
      <c r="H3491" s="1" t="s">
        <v>1534</v>
      </c>
      <c r="I3491" t="s">
        <v>1914</v>
      </c>
      <c r="J3491" s="1" t="s">
        <v>1455</v>
      </c>
      <c r="K3491" s="1" t="s">
        <v>1662</v>
      </c>
      <c r="L3491" s="1" t="s">
        <v>1720</v>
      </c>
      <c r="M3491" s="1" t="s">
        <v>1762</v>
      </c>
      <c r="N3491" t="s">
        <v>2050</v>
      </c>
      <c r="O3491" t="s">
        <v>2166</v>
      </c>
      <c r="P3491" t="s">
        <v>3172</v>
      </c>
      <c r="Q3491">
        <v>583.84</v>
      </c>
      <c r="R3491" s="1" t="s">
        <v>1841</v>
      </c>
      <c r="S3491">
        <v>1202.77</v>
      </c>
      <c r="T3491">
        <v>702225</v>
      </c>
    </row>
    <row r="3492" spans="1:20" hidden="1" x14ac:dyDescent="0.4">
      <c r="A3492" s="1" t="s">
        <v>1323</v>
      </c>
      <c r="B3492" s="1" t="s">
        <v>1461</v>
      </c>
      <c r="C3492" s="1" t="s">
        <v>1844</v>
      </c>
      <c r="D3492" s="1" t="s">
        <v>1462</v>
      </c>
      <c r="E3492">
        <v>20251202</v>
      </c>
      <c r="F3492" s="1" t="s">
        <v>1474</v>
      </c>
      <c r="G3492">
        <v>4</v>
      </c>
      <c r="H3492" s="1" t="s">
        <v>1534</v>
      </c>
      <c r="I3492" t="s">
        <v>1914</v>
      </c>
      <c r="J3492" s="1" t="s">
        <v>1455</v>
      </c>
      <c r="K3492" s="1" t="s">
        <v>1666</v>
      </c>
      <c r="L3492" s="1" t="s">
        <v>1720</v>
      </c>
      <c r="M3492" s="1" t="s">
        <v>1762</v>
      </c>
      <c r="N3492" t="s">
        <v>2054</v>
      </c>
      <c r="O3492" t="s">
        <v>2166</v>
      </c>
      <c r="P3492" t="s">
        <v>3172</v>
      </c>
      <c r="Q3492">
        <v>306.07</v>
      </c>
      <c r="R3492" s="1" t="s">
        <v>1841</v>
      </c>
      <c r="S3492">
        <v>1157.57</v>
      </c>
      <c r="T3492">
        <v>354297</v>
      </c>
    </row>
    <row r="3493" spans="1:20" hidden="1" x14ac:dyDescent="0.4">
      <c r="A3493" s="1" t="s">
        <v>1323</v>
      </c>
      <c r="B3493" s="1" t="s">
        <v>1462</v>
      </c>
      <c r="C3493" s="1" t="s">
        <v>1844</v>
      </c>
      <c r="D3493" s="1" t="s">
        <v>1462</v>
      </c>
      <c r="E3493">
        <v>20251202</v>
      </c>
      <c r="F3493" s="1" t="s">
        <v>1474</v>
      </c>
      <c r="G3493">
        <v>4</v>
      </c>
      <c r="H3493" s="1" t="s">
        <v>1534</v>
      </c>
      <c r="I3493" t="s">
        <v>1914</v>
      </c>
      <c r="J3493" s="1" t="s">
        <v>1455</v>
      </c>
      <c r="K3493" s="1" t="s">
        <v>1664</v>
      </c>
      <c r="L3493" s="1" t="s">
        <v>1720</v>
      </c>
      <c r="M3493" s="1" t="s">
        <v>1762</v>
      </c>
      <c r="N3493" t="s">
        <v>2052</v>
      </c>
      <c r="O3493" t="s">
        <v>2166</v>
      </c>
      <c r="P3493" t="s">
        <v>3172</v>
      </c>
      <c r="Q3493">
        <v>2331.56</v>
      </c>
      <c r="R3493" s="1" t="s">
        <v>1841</v>
      </c>
      <c r="S3493">
        <v>830.26</v>
      </c>
      <c r="T3493">
        <v>1935801</v>
      </c>
    </row>
    <row r="3494" spans="1:20" hidden="1" x14ac:dyDescent="0.4">
      <c r="A3494" s="1" t="s">
        <v>1323</v>
      </c>
      <c r="B3494" s="1" t="s">
        <v>1463</v>
      </c>
      <c r="C3494" s="1" t="s">
        <v>1844</v>
      </c>
      <c r="D3494" s="1" t="s">
        <v>1462</v>
      </c>
      <c r="E3494">
        <v>20251202</v>
      </c>
      <c r="F3494" s="1" t="s">
        <v>1474</v>
      </c>
      <c r="G3494">
        <v>4</v>
      </c>
      <c r="H3494" s="1" t="s">
        <v>1534</v>
      </c>
      <c r="I3494" t="s">
        <v>1914</v>
      </c>
      <c r="J3494" s="1" t="s">
        <v>1455</v>
      </c>
      <c r="K3494" s="1" t="s">
        <v>1667</v>
      </c>
      <c r="L3494" s="1" t="s">
        <v>1720</v>
      </c>
      <c r="M3494" s="1" t="s">
        <v>1762</v>
      </c>
      <c r="N3494" t="s">
        <v>2055</v>
      </c>
      <c r="O3494" t="s">
        <v>2166</v>
      </c>
      <c r="P3494" t="s">
        <v>3172</v>
      </c>
      <c r="Q3494">
        <v>1610.55</v>
      </c>
      <c r="R3494" s="1" t="s">
        <v>1839</v>
      </c>
      <c r="S3494">
        <v>1015.58</v>
      </c>
      <c r="T3494">
        <v>1635642</v>
      </c>
    </row>
    <row r="3495" spans="1:20" hidden="1" x14ac:dyDescent="0.4">
      <c r="A3495" s="1" t="s">
        <v>1324</v>
      </c>
      <c r="B3495" s="1" t="s">
        <v>1453</v>
      </c>
      <c r="C3495" s="1" t="s">
        <v>1844</v>
      </c>
      <c r="D3495" s="1" t="s">
        <v>1462</v>
      </c>
      <c r="E3495">
        <v>20251202</v>
      </c>
      <c r="F3495" s="1" t="s">
        <v>1474</v>
      </c>
      <c r="G3495">
        <v>4</v>
      </c>
      <c r="H3495" s="1" t="s">
        <v>1534</v>
      </c>
      <c r="I3495" t="s">
        <v>1914</v>
      </c>
      <c r="J3495" s="1" t="s">
        <v>1455</v>
      </c>
      <c r="K3495" s="1" t="s">
        <v>1667</v>
      </c>
      <c r="L3495" s="1" t="s">
        <v>1720</v>
      </c>
      <c r="M3495" s="1" t="s">
        <v>1762</v>
      </c>
      <c r="N3495" t="s">
        <v>2055</v>
      </c>
      <c r="O3495" t="s">
        <v>2166</v>
      </c>
      <c r="P3495" t="s">
        <v>3172</v>
      </c>
      <c r="Q3495">
        <v>2668.97</v>
      </c>
      <c r="R3495" s="1" t="s">
        <v>1839</v>
      </c>
      <c r="S3495">
        <v>1015.58</v>
      </c>
      <c r="T3495">
        <v>2710553</v>
      </c>
    </row>
    <row r="3496" spans="1:20" hidden="1" x14ac:dyDescent="0.4">
      <c r="A3496" s="1" t="s">
        <v>1325</v>
      </c>
      <c r="B3496" s="1" t="s">
        <v>1453</v>
      </c>
      <c r="C3496" s="1" t="s">
        <v>1844</v>
      </c>
      <c r="D3496" s="1" t="s">
        <v>1731</v>
      </c>
      <c r="E3496">
        <v>20251219</v>
      </c>
      <c r="F3496" s="1" t="s">
        <v>1470</v>
      </c>
      <c r="G3496">
        <v>1</v>
      </c>
      <c r="H3496" s="1" t="s">
        <v>1494</v>
      </c>
      <c r="I3496" t="s">
        <v>1874</v>
      </c>
      <c r="J3496" s="1" t="s">
        <v>1456</v>
      </c>
      <c r="K3496" s="1" t="s">
        <v>1606</v>
      </c>
      <c r="L3496" s="1" t="s">
        <v>1716</v>
      </c>
      <c r="M3496" s="1" t="s">
        <v>1735</v>
      </c>
      <c r="N3496" t="s">
        <v>1981</v>
      </c>
      <c r="O3496" t="s">
        <v>2162</v>
      </c>
      <c r="P3496" t="s">
        <v>3141</v>
      </c>
      <c r="Q3496">
        <v>1721.76</v>
      </c>
      <c r="R3496" s="1" t="s">
        <v>1463</v>
      </c>
      <c r="S3496">
        <v>2032</v>
      </c>
      <c r="T3496">
        <v>3498616</v>
      </c>
    </row>
    <row r="3497" spans="1:20" hidden="1" x14ac:dyDescent="0.4">
      <c r="A3497" s="1" t="s">
        <v>1325</v>
      </c>
      <c r="B3497" s="1" t="s">
        <v>1454</v>
      </c>
      <c r="C3497" s="1" t="s">
        <v>1844</v>
      </c>
      <c r="D3497" s="1" t="s">
        <v>1731</v>
      </c>
      <c r="E3497">
        <v>20251219</v>
      </c>
      <c r="F3497" s="1" t="s">
        <v>1470</v>
      </c>
      <c r="G3497">
        <v>1</v>
      </c>
      <c r="H3497" s="1" t="s">
        <v>1494</v>
      </c>
      <c r="I3497" t="s">
        <v>1874</v>
      </c>
      <c r="J3497" s="1" t="s">
        <v>1456</v>
      </c>
      <c r="K3497" s="1" t="s">
        <v>1606</v>
      </c>
      <c r="L3497" s="1" t="s">
        <v>1716</v>
      </c>
      <c r="M3497" s="1" t="s">
        <v>1735</v>
      </c>
      <c r="N3497" t="s">
        <v>1981</v>
      </c>
      <c r="O3497" t="s">
        <v>2162</v>
      </c>
      <c r="P3497" t="s">
        <v>3142</v>
      </c>
      <c r="Q3497">
        <v>1724.86</v>
      </c>
      <c r="R3497" s="1" t="s">
        <v>1463</v>
      </c>
      <c r="S3497">
        <v>2032</v>
      </c>
      <c r="T3497">
        <v>3504915</v>
      </c>
    </row>
    <row r="3498" spans="1:20" hidden="1" x14ac:dyDescent="0.4">
      <c r="A3498" s="1" t="s">
        <v>1326</v>
      </c>
      <c r="B3498" s="1" t="s">
        <v>1453</v>
      </c>
      <c r="C3498" s="1" t="s">
        <v>1844</v>
      </c>
      <c r="D3498" s="1" t="s">
        <v>1467</v>
      </c>
      <c r="E3498">
        <v>20251222</v>
      </c>
      <c r="F3498" s="1" t="s">
        <v>1470</v>
      </c>
      <c r="G3498">
        <v>4</v>
      </c>
      <c r="H3498" s="1" t="s">
        <v>1503</v>
      </c>
      <c r="I3498" t="s">
        <v>1883</v>
      </c>
      <c r="J3498" s="1" t="s">
        <v>1456</v>
      </c>
      <c r="K3498" s="1" t="s">
        <v>1570</v>
      </c>
      <c r="L3498" s="1" t="s">
        <v>1729</v>
      </c>
      <c r="M3498" s="1" t="s">
        <v>1741</v>
      </c>
      <c r="N3498" t="s">
        <v>1943</v>
      </c>
      <c r="O3498" t="s">
        <v>2157</v>
      </c>
      <c r="P3498" t="s">
        <v>3243</v>
      </c>
      <c r="Q3498">
        <v>26</v>
      </c>
      <c r="R3498" s="1" t="s">
        <v>1718</v>
      </c>
      <c r="S3498">
        <v>12032</v>
      </c>
      <c r="T3498">
        <v>312832</v>
      </c>
    </row>
    <row r="3499" spans="1:20" hidden="1" x14ac:dyDescent="0.4">
      <c r="A3499" s="1" t="s">
        <v>1327</v>
      </c>
      <c r="B3499" s="1" t="s">
        <v>1453</v>
      </c>
      <c r="C3499" s="1" t="s">
        <v>1844</v>
      </c>
      <c r="D3499" s="1" t="s">
        <v>1731</v>
      </c>
      <c r="E3499">
        <v>20251220</v>
      </c>
      <c r="F3499" s="1" t="s">
        <v>1470</v>
      </c>
      <c r="G3499">
        <v>1</v>
      </c>
      <c r="H3499" s="1" t="s">
        <v>1494</v>
      </c>
      <c r="I3499" t="s">
        <v>1874</v>
      </c>
      <c r="J3499" s="1" t="s">
        <v>1459</v>
      </c>
      <c r="K3499" s="1" t="s">
        <v>1708</v>
      </c>
      <c r="L3499" s="1" t="s">
        <v>1715</v>
      </c>
      <c r="M3499" s="1" t="s">
        <v>1737</v>
      </c>
      <c r="N3499" t="s">
        <v>2018</v>
      </c>
      <c r="O3499" t="s">
        <v>2161</v>
      </c>
      <c r="P3499" t="s">
        <v>3144</v>
      </c>
      <c r="Q3499">
        <v>2000</v>
      </c>
      <c r="R3499" s="1" t="s">
        <v>1840</v>
      </c>
      <c r="S3499">
        <v>57</v>
      </c>
      <c r="T3499">
        <v>114000</v>
      </c>
    </row>
    <row r="3500" spans="1:20" hidden="1" x14ac:dyDescent="0.4">
      <c r="A3500" s="1" t="s">
        <v>1328</v>
      </c>
      <c r="B3500" s="1" t="s">
        <v>1453</v>
      </c>
      <c r="C3500" s="1" t="s">
        <v>1844</v>
      </c>
      <c r="D3500" s="1" t="s">
        <v>1462</v>
      </c>
      <c r="E3500">
        <v>20251222</v>
      </c>
      <c r="F3500" s="1" t="s">
        <v>1471</v>
      </c>
      <c r="G3500">
        <v>4</v>
      </c>
      <c r="H3500" s="1" t="s">
        <v>1539</v>
      </c>
      <c r="I3500" t="s">
        <v>1919</v>
      </c>
      <c r="J3500" s="1" t="s">
        <v>1460</v>
      </c>
      <c r="K3500" s="1" t="s">
        <v>1681</v>
      </c>
      <c r="L3500" s="1" t="s">
        <v>1730</v>
      </c>
      <c r="M3500" s="1" t="s">
        <v>1768</v>
      </c>
      <c r="N3500" t="s">
        <v>2102</v>
      </c>
      <c r="O3500" t="s">
        <v>2175</v>
      </c>
      <c r="P3500" t="s">
        <v>3167</v>
      </c>
      <c r="Q3500">
        <v>200</v>
      </c>
      <c r="R3500" s="1" t="s">
        <v>1718</v>
      </c>
      <c r="S3500">
        <v>1572</v>
      </c>
      <c r="T3500">
        <v>314400</v>
      </c>
    </row>
    <row r="3501" spans="1:20" hidden="1" x14ac:dyDescent="0.4">
      <c r="A3501" s="1" t="s">
        <v>1328</v>
      </c>
      <c r="B3501" s="1" t="s">
        <v>1454</v>
      </c>
      <c r="C3501" s="1" t="s">
        <v>1844</v>
      </c>
      <c r="D3501" s="1" t="s">
        <v>1462</v>
      </c>
      <c r="E3501">
        <v>20251222</v>
      </c>
      <c r="F3501" s="1" t="s">
        <v>1471</v>
      </c>
      <c r="G3501">
        <v>4</v>
      </c>
      <c r="H3501" s="1" t="s">
        <v>1539</v>
      </c>
      <c r="I3501" t="s">
        <v>1919</v>
      </c>
      <c r="J3501" s="1" t="s">
        <v>1460</v>
      </c>
      <c r="K3501" s="1" t="s">
        <v>1642</v>
      </c>
      <c r="L3501" s="1" t="s">
        <v>1725</v>
      </c>
      <c r="M3501" s="1" t="s">
        <v>1737</v>
      </c>
      <c r="N3501" t="s">
        <v>2023</v>
      </c>
      <c r="O3501" t="s">
        <v>2157</v>
      </c>
      <c r="P3501" t="s">
        <v>2157</v>
      </c>
      <c r="Q3501">
        <v>7</v>
      </c>
      <c r="R3501" s="1" t="s">
        <v>1841</v>
      </c>
      <c r="S3501">
        <v>1000</v>
      </c>
      <c r="T3501">
        <v>7000</v>
      </c>
    </row>
    <row r="3502" spans="1:20" hidden="1" x14ac:dyDescent="0.4">
      <c r="A3502" s="1" t="s">
        <v>1329</v>
      </c>
      <c r="B3502" s="1" t="s">
        <v>1453</v>
      </c>
      <c r="C3502" s="1" t="s">
        <v>1844</v>
      </c>
      <c r="D3502" s="1" t="s">
        <v>1467</v>
      </c>
      <c r="E3502">
        <v>20251222</v>
      </c>
      <c r="F3502" s="1" t="s">
        <v>1470</v>
      </c>
      <c r="G3502">
        <v>4</v>
      </c>
      <c r="H3502" s="1" t="s">
        <v>1503</v>
      </c>
      <c r="I3502" t="s">
        <v>1883</v>
      </c>
      <c r="J3502" s="1" t="s">
        <v>1456</v>
      </c>
      <c r="K3502" s="1" t="s">
        <v>1570</v>
      </c>
      <c r="L3502" s="1" t="s">
        <v>1729</v>
      </c>
      <c r="M3502" s="1" t="s">
        <v>1741</v>
      </c>
      <c r="N3502" t="s">
        <v>1943</v>
      </c>
      <c r="O3502" t="s">
        <v>2157</v>
      </c>
      <c r="P3502" t="s">
        <v>3243</v>
      </c>
      <c r="Q3502">
        <v>5</v>
      </c>
      <c r="R3502" s="1" t="s">
        <v>1718</v>
      </c>
      <c r="S3502">
        <v>4782</v>
      </c>
      <c r="T3502">
        <v>23910</v>
      </c>
    </row>
    <row r="3503" spans="1:20" hidden="1" x14ac:dyDescent="0.4">
      <c r="A3503" s="1" t="s">
        <v>1330</v>
      </c>
      <c r="B3503" s="1" t="s">
        <v>1453</v>
      </c>
      <c r="C3503" s="1" t="s">
        <v>1844</v>
      </c>
      <c r="D3503" s="1" t="s">
        <v>1730</v>
      </c>
      <c r="E3503">
        <v>20251222</v>
      </c>
      <c r="F3503" s="1" t="s">
        <v>1470</v>
      </c>
      <c r="G3503">
        <v>4</v>
      </c>
      <c r="H3503" s="1" t="s">
        <v>1503</v>
      </c>
      <c r="I3503" t="s">
        <v>1883</v>
      </c>
      <c r="J3503" s="1" t="s">
        <v>1456</v>
      </c>
      <c r="K3503" s="1" t="s">
        <v>1570</v>
      </c>
      <c r="L3503" s="1" t="s">
        <v>1729</v>
      </c>
      <c r="M3503" s="1" t="s">
        <v>1744</v>
      </c>
      <c r="N3503" t="s">
        <v>1943</v>
      </c>
      <c r="O3503" t="s">
        <v>2857</v>
      </c>
      <c r="P3503" t="s">
        <v>3244</v>
      </c>
      <c r="Q3503">
        <v>5</v>
      </c>
      <c r="R3503" s="1" t="s">
        <v>1718</v>
      </c>
      <c r="S3503">
        <v>0</v>
      </c>
      <c r="T3503">
        <v>0</v>
      </c>
    </row>
    <row r="3504" spans="1:20" hidden="1" x14ac:dyDescent="0.4">
      <c r="A3504" s="1" t="s">
        <v>1331</v>
      </c>
      <c r="B3504" s="1" t="s">
        <v>1453</v>
      </c>
      <c r="C3504" s="1" t="s">
        <v>1844</v>
      </c>
      <c r="D3504" s="1" t="s">
        <v>1730</v>
      </c>
      <c r="E3504">
        <v>20251222</v>
      </c>
      <c r="F3504" s="1" t="s">
        <v>1470</v>
      </c>
      <c r="G3504">
        <v>4</v>
      </c>
      <c r="H3504" s="1" t="s">
        <v>1503</v>
      </c>
      <c r="I3504" t="s">
        <v>1883</v>
      </c>
      <c r="J3504" s="1" t="s">
        <v>1456</v>
      </c>
      <c r="K3504" s="1" t="s">
        <v>1570</v>
      </c>
      <c r="L3504" s="1" t="s">
        <v>1729</v>
      </c>
      <c r="M3504" s="1" t="s">
        <v>1741</v>
      </c>
      <c r="N3504" t="s">
        <v>1943</v>
      </c>
      <c r="O3504" t="s">
        <v>2858</v>
      </c>
      <c r="P3504" t="s">
        <v>3243</v>
      </c>
      <c r="Q3504">
        <v>5</v>
      </c>
      <c r="R3504" s="1" t="s">
        <v>1718</v>
      </c>
      <c r="S3504">
        <v>0</v>
      </c>
      <c r="T3504">
        <v>0</v>
      </c>
    </row>
    <row r="3505" spans="1:20" hidden="1" x14ac:dyDescent="0.4">
      <c r="A3505" s="1" t="s">
        <v>1332</v>
      </c>
      <c r="B3505" s="1" t="s">
        <v>1453</v>
      </c>
      <c r="C3505" s="1" t="s">
        <v>1844</v>
      </c>
      <c r="D3505" s="1" t="s">
        <v>1462</v>
      </c>
      <c r="E3505">
        <v>20251204</v>
      </c>
      <c r="F3505" s="1" t="s">
        <v>1474</v>
      </c>
      <c r="G3505">
        <v>4</v>
      </c>
      <c r="H3505" s="1" t="s">
        <v>1534</v>
      </c>
      <c r="I3505" t="s">
        <v>1914</v>
      </c>
      <c r="J3505" s="1" t="s">
        <v>1455</v>
      </c>
      <c r="K3505" s="1" t="s">
        <v>1661</v>
      </c>
      <c r="L3505" s="1" t="s">
        <v>1720</v>
      </c>
      <c r="M3505" s="1" t="s">
        <v>1762</v>
      </c>
      <c r="N3505" t="s">
        <v>2049</v>
      </c>
      <c r="O3505" t="s">
        <v>2166</v>
      </c>
      <c r="P3505" t="s">
        <v>3180</v>
      </c>
      <c r="Q3505">
        <v>472.15</v>
      </c>
      <c r="R3505" s="1" t="s">
        <v>1841</v>
      </c>
      <c r="S3505">
        <v>1524.69</v>
      </c>
      <c r="T3505">
        <v>719882</v>
      </c>
    </row>
    <row r="3506" spans="1:20" hidden="1" x14ac:dyDescent="0.4">
      <c r="A3506" s="1" t="s">
        <v>1332</v>
      </c>
      <c r="B3506" s="1" t="s">
        <v>1454</v>
      </c>
      <c r="C3506" s="1" t="s">
        <v>1844</v>
      </c>
      <c r="D3506" s="1" t="s">
        <v>1462</v>
      </c>
      <c r="E3506">
        <v>20251204</v>
      </c>
      <c r="F3506" s="1" t="s">
        <v>1474</v>
      </c>
      <c r="G3506">
        <v>4</v>
      </c>
      <c r="H3506" s="1" t="s">
        <v>1534</v>
      </c>
      <c r="I3506" t="s">
        <v>1914</v>
      </c>
      <c r="J3506" s="1" t="s">
        <v>1455</v>
      </c>
      <c r="K3506" s="1" t="s">
        <v>1661</v>
      </c>
      <c r="L3506" s="1" t="s">
        <v>1720</v>
      </c>
      <c r="M3506" s="1" t="s">
        <v>1762</v>
      </c>
      <c r="N3506" t="s">
        <v>2049</v>
      </c>
      <c r="O3506" t="s">
        <v>2166</v>
      </c>
      <c r="P3506" t="s">
        <v>3181</v>
      </c>
      <c r="Q3506">
        <v>217.83</v>
      </c>
      <c r="R3506" s="1" t="s">
        <v>1841</v>
      </c>
      <c r="S3506">
        <v>1524.69</v>
      </c>
      <c r="T3506">
        <v>332123</v>
      </c>
    </row>
    <row r="3507" spans="1:20" hidden="1" x14ac:dyDescent="0.4">
      <c r="A3507" s="1" t="s">
        <v>1332</v>
      </c>
      <c r="B3507" s="1" t="s">
        <v>1455</v>
      </c>
      <c r="C3507" s="1" t="s">
        <v>1844</v>
      </c>
      <c r="D3507" s="1" t="s">
        <v>1462</v>
      </c>
      <c r="E3507">
        <v>20251204</v>
      </c>
      <c r="F3507" s="1" t="s">
        <v>1474</v>
      </c>
      <c r="G3507">
        <v>4</v>
      </c>
      <c r="H3507" s="1" t="s">
        <v>1534</v>
      </c>
      <c r="I3507" t="s">
        <v>1914</v>
      </c>
      <c r="J3507" s="1" t="s">
        <v>1455</v>
      </c>
      <c r="K3507" s="1" t="s">
        <v>1661</v>
      </c>
      <c r="L3507" s="1" t="s">
        <v>1720</v>
      </c>
      <c r="M3507" s="1" t="s">
        <v>1762</v>
      </c>
      <c r="N3507" t="s">
        <v>2049</v>
      </c>
      <c r="O3507" t="s">
        <v>2166</v>
      </c>
      <c r="P3507" t="s">
        <v>3182</v>
      </c>
      <c r="Q3507">
        <v>724.02</v>
      </c>
      <c r="R3507" s="1" t="s">
        <v>1841</v>
      </c>
      <c r="S3507">
        <v>1524.69</v>
      </c>
      <c r="T3507">
        <v>1103906</v>
      </c>
    </row>
    <row r="3508" spans="1:20" hidden="1" x14ac:dyDescent="0.4">
      <c r="A3508" s="1" t="s">
        <v>1332</v>
      </c>
      <c r="B3508" s="1" t="s">
        <v>1456</v>
      </c>
      <c r="C3508" s="1" t="s">
        <v>1844</v>
      </c>
      <c r="D3508" s="1" t="s">
        <v>1462</v>
      </c>
      <c r="E3508">
        <v>20251204</v>
      </c>
      <c r="F3508" s="1" t="s">
        <v>1474</v>
      </c>
      <c r="G3508">
        <v>4</v>
      </c>
      <c r="H3508" s="1" t="s">
        <v>1534</v>
      </c>
      <c r="I3508" t="s">
        <v>1914</v>
      </c>
      <c r="J3508" s="1" t="s">
        <v>1455</v>
      </c>
      <c r="K3508" s="1" t="s">
        <v>1661</v>
      </c>
      <c r="L3508" s="1" t="s">
        <v>1720</v>
      </c>
      <c r="M3508" s="1" t="s">
        <v>1762</v>
      </c>
      <c r="N3508" t="s">
        <v>2049</v>
      </c>
      <c r="O3508" t="s">
        <v>2166</v>
      </c>
      <c r="P3508" t="s">
        <v>3183</v>
      </c>
      <c r="Q3508">
        <v>800.98</v>
      </c>
      <c r="R3508" s="1" t="s">
        <v>1841</v>
      </c>
      <c r="S3508">
        <v>1524.69</v>
      </c>
      <c r="T3508">
        <v>1221246</v>
      </c>
    </row>
    <row r="3509" spans="1:20" hidden="1" x14ac:dyDescent="0.4">
      <c r="A3509" s="1" t="s">
        <v>1332</v>
      </c>
      <c r="B3509" s="1" t="s">
        <v>1457</v>
      </c>
      <c r="C3509" s="1" t="s">
        <v>1844</v>
      </c>
      <c r="D3509" s="1" t="s">
        <v>1462</v>
      </c>
      <c r="E3509">
        <v>20251204</v>
      </c>
      <c r="F3509" s="1" t="s">
        <v>1474</v>
      </c>
      <c r="G3509">
        <v>4</v>
      </c>
      <c r="H3509" s="1" t="s">
        <v>1534</v>
      </c>
      <c r="I3509" t="s">
        <v>1914</v>
      </c>
      <c r="J3509" s="1" t="s">
        <v>1455</v>
      </c>
      <c r="K3509" s="1" t="s">
        <v>1663</v>
      </c>
      <c r="L3509" s="1" t="s">
        <v>1720</v>
      </c>
      <c r="M3509" s="1" t="s">
        <v>1762</v>
      </c>
      <c r="N3509" t="s">
        <v>2051</v>
      </c>
      <c r="O3509" t="s">
        <v>2166</v>
      </c>
      <c r="P3509" t="s">
        <v>3180</v>
      </c>
      <c r="Q3509">
        <v>477.18</v>
      </c>
      <c r="R3509" s="1" t="s">
        <v>1839</v>
      </c>
      <c r="S3509">
        <v>1600.73</v>
      </c>
      <c r="T3509">
        <v>763836</v>
      </c>
    </row>
    <row r="3510" spans="1:20" hidden="1" x14ac:dyDescent="0.4">
      <c r="A3510" s="1" t="s">
        <v>1332</v>
      </c>
      <c r="B3510" s="1" t="s">
        <v>1458</v>
      </c>
      <c r="C3510" s="1" t="s">
        <v>1844</v>
      </c>
      <c r="D3510" s="1" t="s">
        <v>1462</v>
      </c>
      <c r="E3510">
        <v>20251204</v>
      </c>
      <c r="F3510" s="1" t="s">
        <v>1474</v>
      </c>
      <c r="G3510">
        <v>4</v>
      </c>
      <c r="H3510" s="1" t="s">
        <v>1534</v>
      </c>
      <c r="I3510" t="s">
        <v>1914</v>
      </c>
      <c r="J3510" s="1" t="s">
        <v>1455</v>
      </c>
      <c r="K3510" s="1" t="s">
        <v>1663</v>
      </c>
      <c r="L3510" s="1" t="s">
        <v>1720</v>
      </c>
      <c r="M3510" s="1" t="s">
        <v>1762</v>
      </c>
      <c r="N3510" t="s">
        <v>2051</v>
      </c>
      <c r="O3510" t="s">
        <v>2166</v>
      </c>
      <c r="P3510" t="s">
        <v>3181</v>
      </c>
      <c r="Q3510">
        <v>207.16</v>
      </c>
      <c r="R3510" s="1" t="s">
        <v>1839</v>
      </c>
      <c r="S3510">
        <v>1600.89</v>
      </c>
      <c r="T3510">
        <v>331640</v>
      </c>
    </row>
    <row r="3511" spans="1:20" hidden="1" x14ac:dyDescent="0.4">
      <c r="A3511" s="1" t="s">
        <v>1332</v>
      </c>
      <c r="B3511" s="1" t="s">
        <v>1459</v>
      </c>
      <c r="C3511" s="1" t="s">
        <v>1844</v>
      </c>
      <c r="D3511" s="1" t="s">
        <v>1462</v>
      </c>
      <c r="E3511">
        <v>20251204</v>
      </c>
      <c r="F3511" s="1" t="s">
        <v>1474</v>
      </c>
      <c r="G3511">
        <v>4</v>
      </c>
      <c r="H3511" s="1" t="s">
        <v>1534</v>
      </c>
      <c r="I3511" t="s">
        <v>1914</v>
      </c>
      <c r="J3511" s="1" t="s">
        <v>1455</v>
      </c>
      <c r="K3511" s="1" t="s">
        <v>1663</v>
      </c>
      <c r="L3511" s="1" t="s">
        <v>1720</v>
      </c>
      <c r="M3511" s="1" t="s">
        <v>1762</v>
      </c>
      <c r="N3511" t="s">
        <v>2051</v>
      </c>
      <c r="O3511" t="s">
        <v>2166</v>
      </c>
      <c r="P3511" t="s">
        <v>3182</v>
      </c>
      <c r="Q3511">
        <v>665.57</v>
      </c>
      <c r="R3511" s="1" t="s">
        <v>1839</v>
      </c>
      <c r="S3511">
        <v>1600.73</v>
      </c>
      <c r="T3511">
        <v>1065398</v>
      </c>
    </row>
    <row r="3512" spans="1:20" hidden="1" x14ac:dyDescent="0.4">
      <c r="A3512" s="1" t="s">
        <v>1332</v>
      </c>
      <c r="B3512" s="1" t="s">
        <v>1460</v>
      </c>
      <c r="C3512" s="1" t="s">
        <v>1844</v>
      </c>
      <c r="D3512" s="1" t="s">
        <v>1462</v>
      </c>
      <c r="E3512">
        <v>20251204</v>
      </c>
      <c r="F3512" s="1" t="s">
        <v>1474</v>
      </c>
      <c r="G3512">
        <v>4</v>
      </c>
      <c r="H3512" s="1" t="s">
        <v>1534</v>
      </c>
      <c r="I3512" t="s">
        <v>1914</v>
      </c>
      <c r="J3512" s="1" t="s">
        <v>1455</v>
      </c>
      <c r="K3512" s="1" t="s">
        <v>1663</v>
      </c>
      <c r="L3512" s="1" t="s">
        <v>1720</v>
      </c>
      <c r="M3512" s="1" t="s">
        <v>1762</v>
      </c>
      <c r="N3512" t="s">
        <v>2051</v>
      </c>
      <c r="O3512" t="s">
        <v>2166</v>
      </c>
      <c r="P3512" t="s">
        <v>3183</v>
      </c>
      <c r="Q3512">
        <v>835.32</v>
      </c>
      <c r="R3512" s="1" t="s">
        <v>1839</v>
      </c>
      <c r="S3512">
        <v>1600.73</v>
      </c>
      <c r="T3512">
        <v>1337122</v>
      </c>
    </row>
    <row r="3513" spans="1:20" hidden="1" x14ac:dyDescent="0.4">
      <c r="A3513" s="1" t="s">
        <v>1332</v>
      </c>
      <c r="B3513" s="1" t="s">
        <v>1461</v>
      </c>
      <c r="C3513" s="1" t="s">
        <v>1844</v>
      </c>
      <c r="D3513" s="1" t="s">
        <v>1462</v>
      </c>
      <c r="E3513">
        <v>20251204</v>
      </c>
      <c r="F3513" s="1" t="s">
        <v>1474</v>
      </c>
      <c r="G3513">
        <v>4</v>
      </c>
      <c r="H3513" s="1" t="s">
        <v>1534</v>
      </c>
      <c r="I3513" t="s">
        <v>1914</v>
      </c>
      <c r="J3513" s="1" t="s">
        <v>1455</v>
      </c>
      <c r="K3513" s="1" t="s">
        <v>1668</v>
      </c>
      <c r="L3513" s="1" t="s">
        <v>1720</v>
      </c>
      <c r="M3513" s="1" t="s">
        <v>1762</v>
      </c>
      <c r="N3513" t="s">
        <v>2056</v>
      </c>
      <c r="O3513" t="s">
        <v>2166</v>
      </c>
      <c r="P3513" t="s">
        <v>3172</v>
      </c>
      <c r="Q3513">
        <v>563.02</v>
      </c>
      <c r="R3513" s="1" t="s">
        <v>1839</v>
      </c>
      <c r="S3513">
        <v>636.94000000000005</v>
      </c>
      <c r="T3513">
        <v>358610</v>
      </c>
    </row>
    <row r="3514" spans="1:20" hidden="1" x14ac:dyDescent="0.4">
      <c r="A3514" s="1" t="s">
        <v>1333</v>
      </c>
      <c r="B3514" s="1" t="s">
        <v>1453</v>
      </c>
      <c r="C3514" s="1" t="s">
        <v>1844</v>
      </c>
      <c r="D3514" s="1" t="s">
        <v>1462</v>
      </c>
      <c r="E3514">
        <v>20251211</v>
      </c>
      <c r="F3514" s="1" t="s">
        <v>1474</v>
      </c>
      <c r="G3514">
        <v>4</v>
      </c>
      <c r="H3514" s="1" t="s">
        <v>1534</v>
      </c>
      <c r="I3514" t="s">
        <v>1914</v>
      </c>
      <c r="J3514" s="1" t="s">
        <v>1455</v>
      </c>
      <c r="K3514" s="1" t="s">
        <v>1666</v>
      </c>
      <c r="L3514" s="1" t="s">
        <v>1720</v>
      </c>
      <c r="M3514" s="1" t="s">
        <v>1762</v>
      </c>
      <c r="N3514" t="s">
        <v>2054</v>
      </c>
      <c r="O3514" t="s">
        <v>2166</v>
      </c>
      <c r="P3514" t="s">
        <v>3172</v>
      </c>
      <c r="Q3514">
        <v>3508.64</v>
      </c>
      <c r="R3514" s="1" t="s">
        <v>1841</v>
      </c>
      <c r="S3514">
        <v>1155.23</v>
      </c>
      <c r="T3514">
        <v>4053286</v>
      </c>
    </row>
    <row r="3515" spans="1:20" hidden="1" x14ac:dyDescent="0.4">
      <c r="A3515" s="1" t="s">
        <v>1333</v>
      </c>
      <c r="B3515" s="1" t="s">
        <v>1454</v>
      </c>
      <c r="C3515" s="1" t="s">
        <v>1844</v>
      </c>
      <c r="D3515" s="1" t="s">
        <v>1462</v>
      </c>
      <c r="E3515">
        <v>20251211</v>
      </c>
      <c r="F3515" s="1" t="s">
        <v>1474</v>
      </c>
      <c r="G3515">
        <v>4</v>
      </c>
      <c r="H3515" s="1" t="s">
        <v>1534</v>
      </c>
      <c r="I3515" t="s">
        <v>1914</v>
      </c>
      <c r="J3515" s="1" t="s">
        <v>1455</v>
      </c>
      <c r="K3515" s="1" t="s">
        <v>1666</v>
      </c>
      <c r="L3515" s="1" t="s">
        <v>1720</v>
      </c>
      <c r="M3515" s="1" t="s">
        <v>1762</v>
      </c>
      <c r="N3515" t="s">
        <v>2054</v>
      </c>
      <c r="O3515" t="s">
        <v>2166</v>
      </c>
      <c r="P3515" t="s">
        <v>3172</v>
      </c>
      <c r="Q3515">
        <v>677.29</v>
      </c>
      <c r="R3515" s="1" t="s">
        <v>1841</v>
      </c>
      <c r="S3515">
        <v>1155.23</v>
      </c>
      <c r="T3515">
        <v>782426</v>
      </c>
    </row>
    <row r="3516" spans="1:20" hidden="1" x14ac:dyDescent="0.4">
      <c r="A3516" s="1" t="s">
        <v>1334</v>
      </c>
      <c r="B3516" s="1" t="s">
        <v>1453</v>
      </c>
      <c r="C3516" s="1" t="s">
        <v>1844</v>
      </c>
      <c r="D3516" s="1" t="s">
        <v>1462</v>
      </c>
      <c r="E3516">
        <v>20251202</v>
      </c>
      <c r="F3516" s="1" t="s">
        <v>1474</v>
      </c>
      <c r="G3516">
        <v>4</v>
      </c>
      <c r="H3516" s="1" t="s">
        <v>1534</v>
      </c>
      <c r="I3516" t="s">
        <v>1914</v>
      </c>
      <c r="J3516" s="1" t="s">
        <v>1455</v>
      </c>
      <c r="K3516" s="1" t="s">
        <v>1670</v>
      </c>
      <c r="L3516" s="1" t="s">
        <v>1720</v>
      </c>
      <c r="M3516" s="1" t="s">
        <v>1762</v>
      </c>
      <c r="N3516" t="s">
        <v>2058</v>
      </c>
      <c r="O3516" t="s">
        <v>2166</v>
      </c>
      <c r="P3516" t="s">
        <v>3172</v>
      </c>
      <c r="Q3516">
        <v>2848.55</v>
      </c>
      <c r="R3516" s="1" t="s">
        <v>1839</v>
      </c>
      <c r="S3516">
        <v>795.36</v>
      </c>
      <c r="T3516">
        <v>2265623</v>
      </c>
    </row>
    <row r="3517" spans="1:20" hidden="1" x14ac:dyDescent="0.4">
      <c r="A3517" s="1" t="s">
        <v>1334</v>
      </c>
      <c r="B3517" s="1" t="s">
        <v>1454</v>
      </c>
      <c r="C3517" s="1" t="s">
        <v>1844</v>
      </c>
      <c r="D3517" s="1" t="s">
        <v>1462</v>
      </c>
      <c r="E3517">
        <v>20251202</v>
      </c>
      <c r="F3517" s="1" t="s">
        <v>1474</v>
      </c>
      <c r="G3517">
        <v>4</v>
      </c>
      <c r="H3517" s="1" t="s">
        <v>1534</v>
      </c>
      <c r="I3517" t="s">
        <v>1914</v>
      </c>
      <c r="J3517" s="1" t="s">
        <v>1455</v>
      </c>
      <c r="K3517" s="1" t="s">
        <v>1670</v>
      </c>
      <c r="L3517" s="1" t="s">
        <v>1720</v>
      </c>
      <c r="M3517" s="1" t="s">
        <v>1762</v>
      </c>
      <c r="N3517" t="s">
        <v>2058</v>
      </c>
      <c r="O3517" t="s">
        <v>2166</v>
      </c>
      <c r="P3517" t="s">
        <v>3172</v>
      </c>
      <c r="Q3517">
        <v>2523.06</v>
      </c>
      <c r="R3517" s="1" t="s">
        <v>1839</v>
      </c>
      <c r="S3517">
        <v>795.36</v>
      </c>
      <c r="T3517">
        <v>2006741</v>
      </c>
    </row>
    <row r="3518" spans="1:20" hidden="1" x14ac:dyDescent="0.4">
      <c r="A3518" s="1" t="s">
        <v>1334</v>
      </c>
      <c r="B3518" s="1" t="s">
        <v>1455</v>
      </c>
      <c r="C3518" s="1" t="s">
        <v>1844</v>
      </c>
      <c r="D3518" s="1" t="s">
        <v>1462</v>
      </c>
      <c r="E3518">
        <v>20251202</v>
      </c>
      <c r="F3518" s="1" t="s">
        <v>1474</v>
      </c>
      <c r="G3518">
        <v>4</v>
      </c>
      <c r="H3518" s="1" t="s">
        <v>1534</v>
      </c>
      <c r="I3518" t="s">
        <v>1914</v>
      </c>
      <c r="J3518" s="1" t="s">
        <v>1455</v>
      </c>
      <c r="K3518" s="1" t="s">
        <v>1670</v>
      </c>
      <c r="L3518" s="1" t="s">
        <v>1720</v>
      </c>
      <c r="M3518" s="1" t="s">
        <v>1762</v>
      </c>
      <c r="N3518" t="s">
        <v>2058</v>
      </c>
      <c r="O3518" t="s">
        <v>2166</v>
      </c>
      <c r="P3518" t="s">
        <v>3172</v>
      </c>
      <c r="Q3518">
        <v>1898.9</v>
      </c>
      <c r="R3518" s="1" t="s">
        <v>1839</v>
      </c>
      <c r="S3518">
        <v>795.19</v>
      </c>
      <c r="T3518">
        <v>1509986</v>
      </c>
    </row>
    <row r="3519" spans="1:20" hidden="1" x14ac:dyDescent="0.4">
      <c r="A3519" s="1" t="s">
        <v>1334</v>
      </c>
      <c r="B3519" s="1" t="s">
        <v>1456</v>
      </c>
      <c r="C3519" s="1" t="s">
        <v>1844</v>
      </c>
      <c r="D3519" s="1" t="s">
        <v>1462</v>
      </c>
      <c r="E3519">
        <v>20251202</v>
      </c>
      <c r="F3519" s="1" t="s">
        <v>1474</v>
      </c>
      <c r="G3519">
        <v>4</v>
      </c>
      <c r="H3519" s="1" t="s">
        <v>1534</v>
      </c>
      <c r="I3519" t="s">
        <v>1914</v>
      </c>
      <c r="J3519" s="1" t="s">
        <v>1455</v>
      </c>
      <c r="K3519" s="1" t="s">
        <v>1670</v>
      </c>
      <c r="L3519" s="1" t="s">
        <v>1720</v>
      </c>
      <c r="M3519" s="1" t="s">
        <v>1762</v>
      </c>
      <c r="N3519" t="s">
        <v>2058</v>
      </c>
      <c r="O3519" t="s">
        <v>2166</v>
      </c>
      <c r="P3519" t="s">
        <v>3172</v>
      </c>
      <c r="Q3519">
        <v>1268.22</v>
      </c>
      <c r="R3519" s="1" t="s">
        <v>1839</v>
      </c>
      <c r="S3519">
        <v>795.2</v>
      </c>
      <c r="T3519">
        <v>1008489</v>
      </c>
    </row>
    <row r="3520" spans="1:20" hidden="1" x14ac:dyDescent="0.4">
      <c r="A3520" s="1" t="s">
        <v>1335</v>
      </c>
      <c r="B3520" s="1" t="s">
        <v>1453</v>
      </c>
      <c r="C3520" s="1" t="s">
        <v>1844</v>
      </c>
      <c r="D3520" s="1" t="s">
        <v>1731</v>
      </c>
      <c r="E3520">
        <v>20251218</v>
      </c>
      <c r="F3520" s="1" t="s">
        <v>1473</v>
      </c>
      <c r="G3520">
        <v>1</v>
      </c>
      <c r="H3520" s="1" t="s">
        <v>1494</v>
      </c>
      <c r="I3520" t="s">
        <v>1874</v>
      </c>
      <c r="J3520" s="1" t="s">
        <v>1453</v>
      </c>
      <c r="K3520" s="1" t="s">
        <v>1611</v>
      </c>
      <c r="L3520" s="1" t="s">
        <v>1716</v>
      </c>
      <c r="M3520" s="1" t="s">
        <v>1791</v>
      </c>
      <c r="N3520" t="s">
        <v>1985</v>
      </c>
      <c r="O3520" t="s">
        <v>2162</v>
      </c>
      <c r="P3520" t="s">
        <v>3145</v>
      </c>
      <c r="Q3520">
        <v>1029.8</v>
      </c>
      <c r="R3520" s="1" t="s">
        <v>1463</v>
      </c>
      <c r="S3520">
        <v>1350</v>
      </c>
      <c r="T3520">
        <v>1390230</v>
      </c>
    </row>
    <row r="3521" spans="1:20" hidden="1" x14ac:dyDescent="0.4">
      <c r="A3521" s="1" t="s">
        <v>1336</v>
      </c>
      <c r="B3521" s="1" t="s">
        <v>1453</v>
      </c>
      <c r="C3521" s="1" t="s">
        <v>1844</v>
      </c>
      <c r="D3521" s="1" t="s">
        <v>1462</v>
      </c>
      <c r="E3521">
        <v>20251206</v>
      </c>
      <c r="F3521" s="1" t="s">
        <v>1474</v>
      </c>
      <c r="G3521">
        <v>4</v>
      </c>
      <c r="H3521" s="1" t="s">
        <v>1534</v>
      </c>
      <c r="I3521" t="s">
        <v>1914</v>
      </c>
      <c r="J3521" s="1" t="s">
        <v>1455</v>
      </c>
      <c r="K3521" s="1" t="s">
        <v>1670</v>
      </c>
      <c r="L3521" s="1" t="s">
        <v>1720</v>
      </c>
      <c r="M3521" s="1" t="s">
        <v>1762</v>
      </c>
      <c r="N3521" t="s">
        <v>2058</v>
      </c>
      <c r="O3521" t="s">
        <v>2166</v>
      </c>
      <c r="P3521" t="s">
        <v>3172</v>
      </c>
      <c r="Q3521">
        <v>1074.8399999999999</v>
      </c>
      <c r="R3521" s="1" t="s">
        <v>1839</v>
      </c>
      <c r="S3521">
        <v>793.69</v>
      </c>
      <c r="T3521">
        <v>853090</v>
      </c>
    </row>
    <row r="3522" spans="1:20" hidden="1" x14ac:dyDescent="0.4">
      <c r="A3522" s="1" t="s">
        <v>1336</v>
      </c>
      <c r="B3522" s="1" t="s">
        <v>1454</v>
      </c>
      <c r="C3522" s="1" t="s">
        <v>1844</v>
      </c>
      <c r="D3522" s="1" t="s">
        <v>1462</v>
      </c>
      <c r="E3522">
        <v>20251206</v>
      </c>
      <c r="F3522" s="1" t="s">
        <v>1474</v>
      </c>
      <c r="G3522">
        <v>4</v>
      </c>
      <c r="H3522" s="1" t="s">
        <v>1534</v>
      </c>
      <c r="I3522" t="s">
        <v>1914</v>
      </c>
      <c r="J3522" s="1" t="s">
        <v>1455</v>
      </c>
      <c r="K3522" s="1" t="s">
        <v>1670</v>
      </c>
      <c r="L3522" s="1" t="s">
        <v>1720</v>
      </c>
      <c r="M3522" s="1" t="s">
        <v>1762</v>
      </c>
      <c r="N3522" t="s">
        <v>2058</v>
      </c>
      <c r="O3522" t="s">
        <v>2166</v>
      </c>
      <c r="P3522" t="s">
        <v>3172</v>
      </c>
      <c r="Q3522">
        <v>1058.6199999999999</v>
      </c>
      <c r="R3522" s="1" t="s">
        <v>1839</v>
      </c>
      <c r="S3522">
        <v>793.69</v>
      </c>
      <c r="T3522">
        <v>840216</v>
      </c>
    </row>
    <row r="3523" spans="1:20" hidden="1" x14ac:dyDescent="0.4">
      <c r="A3523" s="1" t="s">
        <v>1336</v>
      </c>
      <c r="B3523" s="1" t="s">
        <v>1455</v>
      </c>
      <c r="C3523" s="1" t="s">
        <v>1844</v>
      </c>
      <c r="D3523" s="1" t="s">
        <v>1462</v>
      </c>
      <c r="E3523">
        <v>20251206</v>
      </c>
      <c r="F3523" s="1" t="s">
        <v>1474</v>
      </c>
      <c r="G3523">
        <v>4</v>
      </c>
      <c r="H3523" s="1" t="s">
        <v>1534</v>
      </c>
      <c r="I3523" t="s">
        <v>1914</v>
      </c>
      <c r="J3523" s="1" t="s">
        <v>1455</v>
      </c>
      <c r="K3523" s="1" t="s">
        <v>1682</v>
      </c>
      <c r="L3523" s="1" t="s">
        <v>1720</v>
      </c>
      <c r="M3523" s="1" t="s">
        <v>1762</v>
      </c>
      <c r="N3523" t="s">
        <v>2074</v>
      </c>
      <c r="O3523" t="s">
        <v>2166</v>
      </c>
      <c r="P3523" t="s">
        <v>3172</v>
      </c>
      <c r="Q3523">
        <v>483.34</v>
      </c>
      <c r="R3523" s="1" t="s">
        <v>1839</v>
      </c>
      <c r="S3523">
        <v>874.7</v>
      </c>
      <c r="T3523">
        <v>422777</v>
      </c>
    </row>
    <row r="3524" spans="1:20" hidden="1" x14ac:dyDescent="0.4">
      <c r="A3524" s="1" t="s">
        <v>1336</v>
      </c>
      <c r="B3524" s="1" t="s">
        <v>1456</v>
      </c>
      <c r="C3524" s="1" t="s">
        <v>1844</v>
      </c>
      <c r="D3524" s="1" t="s">
        <v>1462</v>
      </c>
      <c r="E3524">
        <v>20251206</v>
      </c>
      <c r="F3524" s="1" t="s">
        <v>1474</v>
      </c>
      <c r="G3524">
        <v>4</v>
      </c>
      <c r="H3524" s="1" t="s">
        <v>1534</v>
      </c>
      <c r="I3524" t="s">
        <v>1914</v>
      </c>
      <c r="J3524" s="1" t="s">
        <v>1455</v>
      </c>
      <c r="K3524" s="1" t="s">
        <v>1682</v>
      </c>
      <c r="L3524" s="1" t="s">
        <v>1720</v>
      </c>
      <c r="M3524" s="1" t="s">
        <v>1762</v>
      </c>
      <c r="N3524" t="s">
        <v>2074</v>
      </c>
      <c r="O3524" t="s">
        <v>2166</v>
      </c>
      <c r="P3524" t="s">
        <v>3172</v>
      </c>
      <c r="Q3524">
        <v>187.47</v>
      </c>
      <c r="R3524" s="1" t="s">
        <v>1839</v>
      </c>
      <c r="S3524">
        <v>874.7</v>
      </c>
      <c r="T3524">
        <v>163980</v>
      </c>
    </row>
    <row r="3525" spans="1:20" hidden="1" x14ac:dyDescent="0.4">
      <c r="A3525" s="1" t="s">
        <v>1336</v>
      </c>
      <c r="B3525" s="1" t="s">
        <v>1457</v>
      </c>
      <c r="C3525" s="1" t="s">
        <v>1844</v>
      </c>
      <c r="D3525" s="1" t="s">
        <v>1462</v>
      </c>
      <c r="E3525">
        <v>20251206</v>
      </c>
      <c r="F3525" s="1" t="s">
        <v>1474</v>
      </c>
      <c r="G3525">
        <v>4</v>
      </c>
      <c r="H3525" s="1" t="s">
        <v>1534</v>
      </c>
      <c r="I3525" t="s">
        <v>1914</v>
      </c>
      <c r="J3525" s="1" t="s">
        <v>1455</v>
      </c>
      <c r="K3525" s="1" t="s">
        <v>1670</v>
      </c>
      <c r="L3525" s="1" t="s">
        <v>1720</v>
      </c>
      <c r="M3525" s="1" t="s">
        <v>1762</v>
      </c>
      <c r="N3525" t="s">
        <v>2058</v>
      </c>
      <c r="O3525" t="s">
        <v>2166</v>
      </c>
      <c r="P3525" t="s">
        <v>3172</v>
      </c>
      <c r="Q3525">
        <v>568.51</v>
      </c>
      <c r="R3525" s="1" t="s">
        <v>1839</v>
      </c>
      <c r="S3525">
        <v>793.84</v>
      </c>
      <c r="T3525">
        <v>451306</v>
      </c>
    </row>
    <row r="3526" spans="1:20" hidden="1" x14ac:dyDescent="0.4">
      <c r="A3526" s="1" t="s">
        <v>1336</v>
      </c>
      <c r="B3526" s="1" t="s">
        <v>1458</v>
      </c>
      <c r="C3526" s="1" t="s">
        <v>1844</v>
      </c>
      <c r="D3526" s="1" t="s">
        <v>1462</v>
      </c>
      <c r="E3526">
        <v>20251206</v>
      </c>
      <c r="F3526" s="1" t="s">
        <v>1474</v>
      </c>
      <c r="G3526">
        <v>4</v>
      </c>
      <c r="H3526" s="1" t="s">
        <v>1534</v>
      </c>
      <c r="I3526" t="s">
        <v>1914</v>
      </c>
      <c r="J3526" s="1" t="s">
        <v>1455</v>
      </c>
      <c r="K3526" s="1" t="s">
        <v>1670</v>
      </c>
      <c r="L3526" s="1" t="s">
        <v>1720</v>
      </c>
      <c r="M3526" s="1" t="s">
        <v>1762</v>
      </c>
      <c r="N3526" t="s">
        <v>2058</v>
      </c>
      <c r="O3526" t="s">
        <v>2166</v>
      </c>
      <c r="P3526" t="s">
        <v>3172</v>
      </c>
      <c r="Q3526">
        <v>1175.99</v>
      </c>
      <c r="R3526" s="1" t="s">
        <v>1839</v>
      </c>
      <c r="S3526">
        <v>793.84</v>
      </c>
      <c r="T3526">
        <v>933548</v>
      </c>
    </row>
    <row r="3527" spans="1:20" hidden="1" x14ac:dyDescent="0.4">
      <c r="A3527" s="1" t="s">
        <v>1336</v>
      </c>
      <c r="B3527" s="1" t="s">
        <v>1459</v>
      </c>
      <c r="C3527" s="1" t="s">
        <v>1844</v>
      </c>
      <c r="D3527" s="1" t="s">
        <v>1462</v>
      </c>
      <c r="E3527">
        <v>20251206</v>
      </c>
      <c r="F3527" s="1" t="s">
        <v>1474</v>
      </c>
      <c r="G3527">
        <v>4</v>
      </c>
      <c r="H3527" s="1" t="s">
        <v>1534</v>
      </c>
      <c r="I3527" t="s">
        <v>1914</v>
      </c>
      <c r="J3527" s="1" t="s">
        <v>1455</v>
      </c>
      <c r="K3527" s="1" t="s">
        <v>1682</v>
      </c>
      <c r="L3527" s="1" t="s">
        <v>1720</v>
      </c>
      <c r="M3527" s="1" t="s">
        <v>1762</v>
      </c>
      <c r="N3527" t="s">
        <v>2074</v>
      </c>
      <c r="O3527" t="s">
        <v>2166</v>
      </c>
      <c r="P3527" t="s">
        <v>3172</v>
      </c>
      <c r="Q3527">
        <v>331.89</v>
      </c>
      <c r="R3527" s="1" t="s">
        <v>1839</v>
      </c>
      <c r="S3527">
        <v>874.7</v>
      </c>
      <c r="T3527">
        <v>290304</v>
      </c>
    </row>
    <row r="3528" spans="1:20" hidden="1" x14ac:dyDescent="0.4">
      <c r="A3528" s="1" t="s">
        <v>1336</v>
      </c>
      <c r="B3528" s="1" t="s">
        <v>1460</v>
      </c>
      <c r="C3528" s="1" t="s">
        <v>1844</v>
      </c>
      <c r="D3528" s="1" t="s">
        <v>1462</v>
      </c>
      <c r="E3528">
        <v>20251206</v>
      </c>
      <c r="F3528" s="1" t="s">
        <v>1474</v>
      </c>
      <c r="G3528">
        <v>4</v>
      </c>
      <c r="H3528" s="1" t="s">
        <v>1534</v>
      </c>
      <c r="I3528" t="s">
        <v>1914</v>
      </c>
      <c r="J3528" s="1" t="s">
        <v>1455</v>
      </c>
      <c r="K3528" s="1" t="s">
        <v>1666</v>
      </c>
      <c r="L3528" s="1" t="s">
        <v>1720</v>
      </c>
      <c r="M3528" s="1" t="s">
        <v>1762</v>
      </c>
      <c r="N3528" t="s">
        <v>2054</v>
      </c>
      <c r="O3528" t="s">
        <v>2166</v>
      </c>
      <c r="P3528" t="s">
        <v>3172</v>
      </c>
      <c r="Q3528">
        <v>520.4</v>
      </c>
      <c r="R3528" s="1" t="s">
        <v>1839</v>
      </c>
      <c r="S3528">
        <v>1154.5999999999999</v>
      </c>
      <c r="T3528">
        <v>600854</v>
      </c>
    </row>
    <row r="3529" spans="1:20" hidden="1" x14ac:dyDescent="0.4">
      <c r="A3529" s="1" t="s">
        <v>1336</v>
      </c>
      <c r="B3529" s="1" t="s">
        <v>1461</v>
      </c>
      <c r="C3529" s="1" t="s">
        <v>1844</v>
      </c>
      <c r="D3529" s="1" t="s">
        <v>1462</v>
      </c>
      <c r="E3529">
        <v>20251206</v>
      </c>
      <c r="F3529" s="1" t="s">
        <v>1474</v>
      </c>
      <c r="G3529">
        <v>4</v>
      </c>
      <c r="H3529" s="1" t="s">
        <v>1534</v>
      </c>
      <c r="I3529" t="s">
        <v>1914</v>
      </c>
      <c r="J3529" s="1" t="s">
        <v>1455</v>
      </c>
      <c r="K3529" s="1" t="s">
        <v>1666</v>
      </c>
      <c r="L3529" s="1" t="s">
        <v>1720</v>
      </c>
      <c r="M3529" s="1" t="s">
        <v>1762</v>
      </c>
      <c r="N3529" t="s">
        <v>2054</v>
      </c>
      <c r="O3529" t="s">
        <v>2166</v>
      </c>
      <c r="P3529" t="s">
        <v>3172</v>
      </c>
      <c r="Q3529">
        <v>530.11</v>
      </c>
      <c r="R3529" s="1" t="s">
        <v>1839</v>
      </c>
      <c r="S3529">
        <v>1154.5899999999999</v>
      </c>
      <c r="T3529">
        <v>612060</v>
      </c>
    </row>
    <row r="3530" spans="1:20" hidden="1" x14ac:dyDescent="0.4">
      <c r="A3530" s="1" t="s">
        <v>1337</v>
      </c>
      <c r="B3530" s="1" t="s">
        <v>1453</v>
      </c>
      <c r="C3530" s="1" t="s">
        <v>1844</v>
      </c>
      <c r="D3530" s="1" t="s">
        <v>1462</v>
      </c>
      <c r="E3530">
        <v>20251204</v>
      </c>
      <c r="F3530" s="1" t="s">
        <v>1474</v>
      </c>
      <c r="G3530">
        <v>4</v>
      </c>
      <c r="H3530" s="1" t="s">
        <v>1534</v>
      </c>
      <c r="I3530" t="s">
        <v>1914</v>
      </c>
      <c r="J3530" s="1" t="s">
        <v>1455</v>
      </c>
      <c r="K3530" s="1" t="s">
        <v>1666</v>
      </c>
      <c r="L3530" s="1" t="s">
        <v>1720</v>
      </c>
      <c r="M3530" s="1" t="s">
        <v>1762</v>
      </c>
      <c r="N3530" t="s">
        <v>2054</v>
      </c>
      <c r="O3530" t="s">
        <v>2166</v>
      </c>
      <c r="P3530" t="s">
        <v>3172</v>
      </c>
      <c r="Q3530">
        <v>1653.15</v>
      </c>
      <c r="R3530" s="1" t="s">
        <v>1841</v>
      </c>
      <c r="S3530">
        <v>1154.58</v>
      </c>
      <c r="T3530">
        <v>1908694</v>
      </c>
    </row>
    <row r="3531" spans="1:20" hidden="1" x14ac:dyDescent="0.4">
      <c r="A3531" s="1" t="s">
        <v>1337</v>
      </c>
      <c r="B3531" s="1" t="s">
        <v>1454</v>
      </c>
      <c r="C3531" s="1" t="s">
        <v>1844</v>
      </c>
      <c r="D3531" s="1" t="s">
        <v>1462</v>
      </c>
      <c r="E3531">
        <v>20251204</v>
      </c>
      <c r="F3531" s="1" t="s">
        <v>1474</v>
      </c>
      <c r="G3531">
        <v>4</v>
      </c>
      <c r="H3531" s="1" t="s">
        <v>1534</v>
      </c>
      <c r="I3531" t="s">
        <v>1914</v>
      </c>
      <c r="J3531" s="1" t="s">
        <v>1455</v>
      </c>
      <c r="K3531" s="1" t="s">
        <v>1666</v>
      </c>
      <c r="L3531" s="1" t="s">
        <v>1720</v>
      </c>
      <c r="M3531" s="1" t="s">
        <v>1762</v>
      </c>
      <c r="N3531" t="s">
        <v>2054</v>
      </c>
      <c r="O3531" t="s">
        <v>2166</v>
      </c>
      <c r="P3531" t="s">
        <v>3172</v>
      </c>
      <c r="Q3531">
        <v>1015.49</v>
      </c>
      <c r="R3531" s="1" t="s">
        <v>1841</v>
      </c>
      <c r="S3531">
        <v>1154.75</v>
      </c>
      <c r="T3531">
        <v>1172637</v>
      </c>
    </row>
    <row r="3532" spans="1:20" hidden="1" x14ac:dyDescent="0.4">
      <c r="A3532" s="1" t="s">
        <v>1337</v>
      </c>
      <c r="B3532" s="1" t="s">
        <v>1455</v>
      </c>
      <c r="C3532" s="1" t="s">
        <v>1844</v>
      </c>
      <c r="D3532" s="1" t="s">
        <v>1462</v>
      </c>
      <c r="E3532">
        <v>20251204</v>
      </c>
      <c r="F3532" s="1" t="s">
        <v>1474</v>
      </c>
      <c r="G3532">
        <v>4</v>
      </c>
      <c r="H3532" s="1" t="s">
        <v>1534</v>
      </c>
      <c r="I3532" t="s">
        <v>1914</v>
      </c>
      <c r="J3532" s="1" t="s">
        <v>1455</v>
      </c>
      <c r="K3532" s="1" t="s">
        <v>1662</v>
      </c>
      <c r="L3532" s="1" t="s">
        <v>1720</v>
      </c>
      <c r="M3532" s="1" t="s">
        <v>1762</v>
      </c>
      <c r="N3532" t="s">
        <v>2050</v>
      </c>
      <c r="O3532" t="s">
        <v>2166</v>
      </c>
      <c r="P3532" t="s">
        <v>3172</v>
      </c>
      <c r="Q3532">
        <v>1742.46</v>
      </c>
      <c r="R3532" s="1" t="s">
        <v>1841</v>
      </c>
      <c r="S3532">
        <v>1199.8399999999999</v>
      </c>
      <c r="T3532">
        <v>2090673</v>
      </c>
    </row>
    <row r="3533" spans="1:20" hidden="1" x14ac:dyDescent="0.4">
      <c r="A3533" s="1" t="s">
        <v>1338</v>
      </c>
      <c r="B3533" s="1" t="s">
        <v>1453</v>
      </c>
      <c r="C3533" s="1" t="s">
        <v>1844</v>
      </c>
      <c r="D3533" s="1" t="s">
        <v>1850</v>
      </c>
      <c r="E3533">
        <v>20251216</v>
      </c>
      <c r="F3533" s="1" t="s">
        <v>1471</v>
      </c>
      <c r="G3533">
        <v>4</v>
      </c>
      <c r="H3533" s="1" t="s">
        <v>1529</v>
      </c>
      <c r="I3533" t="s">
        <v>1909</v>
      </c>
      <c r="J3533" s="1" t="s">
        <v>1460</v>
      </c>
      <c r="K3533" s="1" t="s">
        <v>1653</v>
      </c>
      <c r="L3533" s="1" t="s">
        <v>1733</v>
      </c>
      <c r="M3533" s="1" t="s">
        <v>1737</v>
      </c>
      <c r="N3533" t="s">
        <v>2037</v>
      </c>
      <c r="O3533" t="s">
        <v>2162</v>
      </c>
      <c r="P3533" t="s">
        <v>2157</v>
      </c>
      <c r="Q3533">
        <v>-48</v>
      </c>
      <c r="R3533" s="1" t="s">
        <v>1463</v>
      </c>
      <c r="S3533">
        <v>1170</v>
      </c>
      <c r="T3533">
        <v>-56160</v>
      </c>
    </row>
    <row r="3534" spans="1:20" hidden="1" x14ac:dyDescent="0.4">
      <c r="A3534" s="1" t="s">
        <v>1339</v>
      </c>
      <c r="B3534" s="1" t="s">
        <v>1453</v>
      </c>
      <c r="C3534" s="1" t="s">
        <v>1844</v>
      </c>
      <c r="D3534" s="1" t="s">
        <v>1462</v>
      </c>
      <c r="E3534">
        <v>20251216</v>
      </c>
      <c r="F3534" s="1" t="s">
        <v>1471</v>
      </c>
      <c r="G3534">
        <v>4</v>
      </c>
      <c r="H3534" s="1" t="s">
        <v>1529</v>
      </c>
      <c r="I3534" t="s">
        <v>1909</v>
      </c>
      <c r="J3534" s="1" t="s">
        <v>1460</v>
      </c>
      <c r="K3534" s="1" t="s">
        <v>1653</v>
      </c>
      <c r="L3534" s="1" t="s">
        <v>1733</v>
      </c>
      <c r="M3534" s="1" t="s">
        <v>1737</v>
      </c>
      <c r="N3534" t="s">
        <v>2037</v>
      </c>
      <c r="O3534" t="s">
        <v>2162</v>
      </c>
      <c r="P3534" t="s">
        <v>2157</v>
      </c>
      <c r="Q3534">
        <v>48</v>
      </c>
      <c r="R3534" s="1" t="s">
        <v>1463</v>
      </c>
      <c r="S3534">
        <v>1170</v>
      </c>
      <c r="T3534">
        <v>56160</v>
      </c>
    </row>
    <row r="3535" spans="1:20" hidden="1" x14ac:dyDescent="0.4">
      <c r="A3535" s="1" t="s">
        <v>1340</v>
      </c>
      <c r="B3535" s="1" t="s">
        <v>1453</v>
      </c>
      <c r="C3535" s="1" t="s">
        <v>1844</v>
      </c>
      <c r="D3535" s="1" t="s">
        <v>1467</v>
      </c>
      <c r="E3535">
        <v>20251223</v>
      </c>
      <c r="F3535" s="1" t="s">
        <v>1470</v>
      </c>
      <c r="G3535">
        <v>4</v>
      </c>
      <c r="H3535" s="1" t="s">
        <v>1511</v>
      </c>
      <c r="I3535" t="s">
        <v>1891</v>
      </c>
      <c r="J3535" s="1" t="s">
        <v>1456</v>
      </c>
      <c r="K3535" s="1" t="s">
        <v>1575</v>
      </c>
      <c r="L3535" s="1" t="s">
        <v>1729</v>
      </c>
      <c r="M3535" s="1" t="s">
        <v>1735</v>
      </c>
      <c r="N3535" t="s">
        <v>1948</v>
      </c>
      <c r="O3535" t="s">
        <v>2859</v>
      </c>
      <c r="P3535" t="s">
        <v>3037</v>
      </c>
      <c r="Q3535">
        <v>350</v>
      </c>
      <c r="R3535" s="1" t="s">
        <v>1718</v>
      </c>
      <c r="S3535">
        <v>7990</v>
      </c>
      <c r="T3535">
        <v>2796500</v>
      </c>
    </row>
    <row r="3536" spans="1:20" hidden="1" x14ac:dyDescent="0.4">
      <c r="A3536" s="1" t="s">
        <v>1341</v>
      </c>
      <c r="B3536" s="1" t="s">
        <v>1453</v>
      </c>
      <c r="C3536" s="1" t="s">
        <v>1844</v>
      </c>
      <c r="D3536" s="1" t="s">
        <v>1467</v>
      </c>
      <c r="E3536">
        <v>20251223</v>
      </c>
      <c r="F3536" s="1" t="s">
        <v>1470</v>
      </c>
      <c r="G3536">
        <v>4</v>
      </c>
      <c r="H3536" s="1" t="s">
        <v>1511</v>
      </c>
      <c r="I3536" t="s">
        <v>1891</v>
      </c>
      <c r="J3536" s="1" t="s">
        <v>1456</v>
      </c>
      <c r="K3536" s="1" t="s">
        <v>1573</v>
      </c>
      <c r="L3536" s="1" t="s">
        <v>1729</v>
      </c>
      <c r="M3536" s="1" t="s">
        <v>1741</v>
      </c>
      <c r="N3536" t="s">
        <v>2103</v>
      </c>
      <c r="O3536" t="s">
        <v>2573</v>
      </c>
      <c r="P3536" t="s">
        <v>3042</v>
      </c>
      <c r="Q3536">
        <v>90</v>
      </c>
      <c r="R3536" s="1" t="s">
        <v>1718</v>
      </c>
      <c r="S3536">
        <v>9192</v>
      </c>
      <c r="T3536">
        <v>827280</v>
      </c>
    </row>
    <row r="3537" spans="1:20" hidden="1" x14ac:dyDescent="0.4">
      <c r="A3537" s="1" t="s">
        <v>1342</v>
      </c>
      <c r="B3537" s="1" t="s">
        <v>1453</v>
      </c>
      <c r="C3537" s="1" t="s">
        <v>1844</v>
      </c>
      <c r="D3537" s="1" t="s">
        <v>1467</v>
      </c>
      <c r="E3537">
        <v>20251223</v>
      </c>
      <c r="F3537" s="1" t="s">
        <v>1470</v>
      </c>
      <c r="G3537">
        <v>4</v>
      </c>
      <c r="H3537" s="1" t="s">
        <v>1503</v>
      </c>
      <c r="I3537" t="s">
        <v>1883</v>
      </c>
      <c r="J3537" s="1" t="s">
        <v>1456</v>
      </c>
      <c r="K3537" s="1" t="s">
        <v>1570</v>
      </c>
      <c r="L3537" s="1" t="s">
        <v>1729</v>
      </c>
      <c r="M3537" s="1" t="s">
        <v>1742</v>
      </c>
      <c r="N3537" t="s">
        <v>1943</v>
      </c>
      <c r="O3537" t="s">
        <v>2157</v>
      </c>
      <c r="P3537" t="s">
        <v>3245</v>
      </c>
      <c r="Q3537">
        <v>1</v>
      </c>
      <c r="R3537" s="1" t="s">
        <v>1718</v>
      </c>
      <c r="S3537">
        <v>21398</v>
      </c>
      <c r="T3537">
        <v>21398</v>
      </c>
    </row>
    <row r="3538" spans="1:20" hidden="1" x14ac:dyDescent="0.4">
      <c r="A3538" s="1" t="s">
        <v>1342</v>
      </c>
      <c r="B3538" s="1" t="s">
        <v>1454</v>
      </c>
      <c r="C3538" s="1" t="s">
        <v>1844</v>
      </c>
      <c r="D3538" s="1" t="s">
        <v>1467</v>
      </c>
      <c r="E3538">
        <v>20251223</v>
      </c>
      <c r="F3538" s="1" t="s">
        <v>1470</v>
      </c>
      <c r="G3538">
        <v>4</v>
      </c>
      <c r="H3538" s="1" t="s">
        <v>1503</v>
      </c>
      <c r="I3538" t="s">
        <v>1883</v>
      </c>
      <c r="J3538" s="1" t="s">
        <v>1456</v>
      </c>
      <c r="K3538" s="1" t="s">
        <v>1570</v>
      </c>
      <c r="L3538" s="1" t="s">
        <v>1729</v>
      </c>
      <c r="M3538" s="1" t="s">
        <v>1741</v>
      </c>
      <c r="N3538" t="s">
        <v>1943</v>
      </c>
      <c r="O3538" t="s">
        <v>2157</v>
      </c>
      <c r="P3538" t="s">
        <v>3243</v>
      </c>
      <c r="Q3538">
        <v>5</v>
      </c>
      <c r="R3538" s="1" t="s">
        <v>1718</v>
      </c>
      <c r="S3538">
        <v>5967</v>
      </c>
      <c r="T3538">
        <v>29835</v>
      </c>
    </row>
    <row r="3539" spans="1:20" hidden="1" x14ac:dyDescent="0.4">
      <c r="A3539" s="1" t="s">
        <v>1343</v>
      </c>
      <c r="B3539" s="1" t="s">
        <v>1453</v>
      </c>
      <c r="C3539" s="1" t="s">
        <v>1844</v>
      </c>
      <c r="D3539" s="1" t="s">
        <v>1462</v>
      </c>
      <c r="E3539">
        <v>20251223</v>
      </c>
      <c r="F3539" s="1" t="s">
        <v>1470</v>
      </c>
      <c r="G3539">
        <v>4</v>
      </c>
      <c r="H3539" s="1" t="s">
        <v>1511</v>
      </c>
      <c r="I3539" t="s">
        <v>1891</v>
      </c>
      <c r="J3539" s="1" t="s">
        <v>1456</v>
      </c>
      <c r="K3539" s="1" t="s">
        <v>1560</v>
      </c>
      <c r="L3539" s="1" t="s">
        <v>1729</v>
      </c>
      <c r="M3539" s="1" t="s">
        <v>1740</v>
      </c>
      <c r="N3539" t="s">
        <v>2105</v>
      </c>
      <c r="O3539" t="s">
        <v>2860</v>
      </c>
      <c r="P3539" t="s">
        <v>3172</v>
      </c>
      <c r="Q3539">
        <v>2</v>
      </c>
      <c r="R3539" s="1" t="s">
        <v>1718</v>
      </c>
      <c r="S3539">
        <v>14674</v>
      </c>
      <c r="T3539">
        <v>29348</v>
      </c>
    </row>
    <row r="3540" spans="1:20" hidden="1" x14ac:dyDescent="0.4">
      <c r="A3540" s="1" t="s">
        <v>1343</v>
      </c>
      <c r="B3540" s="1" t="s">
        <v>1454</v>
      </c>
      <c r="C3540" s="1" t="s">
        <v>1844</v>
      </c>
      <c r="D3540" s="1" t="s">
        <v>1462</v>
      </c>
      <c r="E3540">
        <v>20251223</v>
      </c>
      <c r="F3540" s="1" t="s">
        <v>1470</v>
      </c>
      <c r="G3540">
        <v>4</v>
      </c>
      <c r="H3540" s="1" t="s">
        <v>1511</v>
      </c>
      <c r="I3540" t="s">
        <v>1891</v>
      </c>
      <c r="J3540" s="1" t="s">
        <v>1456</v>
      </c>
      <c r="K3540" s="1" t="s">
        <v>1561</v>
      </c>
      <c r="L3540" s="1" t="s">
        <v>1729</v>
      </c>
      <c r="M3540" s="1" t="s">
        <v>1737</v>
      </c>
      <c r="N3540" t="s">
        <v>2106</v>
      </c>
      <c r="O3540" t="s">
        <v>2861</v>
      </c>
      <c r="P3540" t="s">
        <v>3214</v>
      </c>
      <c r="Q3540">
        <v>1</v>
      </c>
      <c r="R3540" s="1" t="s">
        <v>1718</v>
      </c>
      <c r="S3540">
        <v>9848</v>
      </c>
      <c r="T3540">
        <v>9848</v>
      </c>
    </row>
    <row r="3541" spans="1:20" hidden="1" x14ac:dyDescent="0.4">
      <c r="A3541" s="1" t="s">
        <v>1344</v>
      </c>
      <c r="B3541" s="1" t="s">
        <v>1453</v>
      </c>
      <c r="C3541" s="1" t="s">
        <v>1844</v>
      </c>
      <c r="D3541" s="1" t="s">
        <v>1462</v>
      </c>
      <c r="E3541">
        <v>20251223</v>
      </c>
      <c r="F3541" s="1" t="s">
        <v>1470</v>
      </c>
      <c r="G3541">
        <v>4</v>
      </c>
      <c r="H3541" s="1" t="s">
        <v>1511</v>
      </c>
      <c r="I3541" t="s">
        <v>1891</v>
      </c>
      <c r="J3541" s="1" t="s">
        <v>1456</v>
      </c>
      <c r="K3541" s="1" t="s">
        <v>1555</v>
      </c>
      <c r="L3541" s="1" t="s">
        <v>1729</v>
      </c>
      <c r="M3541" s="1" t="s">
        <v>1736</v>
      </c>
      <c r="N3541" t="s">
        <v>2088</v>
      </c>
      <c r="O3541" t="s">
        <v>2862</v>
      </c>
      <c r="P3541" t="s">
        <v>3216</v>
      </c>
      <c r="Q3541">
        <v>2</v>
      </c>
      <c r="R3541" s="1" t="s">
        <v>1718</v>
      </c>
      <c r="S3541">
        <v>10879</v>
      </c>
      <c r="T3541">
        <v>21758</v>
      </c>
    </row>
    <row r="3542" spans="1:20" hidden="1" x14ac:dyDescent="0.4">
      <c r="A3542" s="1" t="s">
        <v>1345</v>
      </c>
      <c r="B3542" s="1" t="s">
        <v>1453</v>
      </c>
      <c r="C3542" s="1" t="s">
        <v>1844</v>
      </c>
      <c r="D3542" s="1" t="s">
        <v>1462</v>
      </c>
      <c r="E3542">
        <v>20251223</v>
      </c>
      <c r="F3542" s="1" t="s">
        <v>1470</v>
      </c>
      <c r="G3542">
        <v>4</v>
      </c>
      <c r="H3542" s="1" t="s">
        <v>1511</v>
      </c>
      <c r="I3542" t="s">
        <v>1891</v>
      </c>
      <c r="J3542" s="1" t="s">
        <v>1456</v>
      </c>
      <c r="K3542" s="1" t="s">
        <v>1555</v>
      </c>
      <c r="L3542" s="1" t="s">
        <v>1729</v>
      </c>
      <c r="M3542" s="1" t="s">
        <v>1736</v>
      </c>
      <c r="N3542" t="s">
        <v>2088</v>
      </c>
      <c r="O3542" t="s">
        <v>2863</v>
      </c>
      <c r="P3542" t="s">
        <v>3500</v>
      </c>
      <c r="Q3542">
        <v>2</v>
      </c>
      <c r="R3542" s="1" t="s">
        <v>1718</v>
      </c>
      <c r="S3542">
        <v>7209</v>
      </c>
      <c r="T3542">
        <v>14418</v>
      </c>
    </row>
    <row r="3543" spans="1:20" hidden="1" x14ac:dyDescent="0.4">
      <c r="A3543" s="1" t="s">
        <v>1346</v>
      </c>
      <c r="B3543" s="1" t="s">
        <v>1453</v>
      </c>
      <c r="C3543" s="1" t="s">
        <v>1844</v>
      </c>
      <c r="D3543" s="1" t="s">
        <v>1462</v>
      </c>
      <c r="E3543">
        <v>20251223</v>
      </c>
      <c r="F3543" s="1" t="s">
        <v>1470</v>
      </c>
      <c r="G3543">
        <v>4</v>
      </c>
      <c r="H3543" s="1" t="s">
        <v>1511</v>
      </c>
      <c r="I3543" t="s">
        <v>1891</v>
      </c>
      <c r="J3543" s="1" t="s">
        <v>1456</v>
      </c>
      <c r="K3543" s="1" t="s">
        <v>1561</v>
      </c>
      <c r="L3543" s="1" t="s">
        <v>1729</v>
      </c>
      <c r="M3543" s="1" t="s">
        <v>1737</v>
      </c>
      <c r="N3543" t="s">
        <v>2106</v>
      </c>
      <c r="O3543" t="s">
        <v>2864</v>
      </c>
      <c r="P3543" t="s">
        <v>3446</v>
      </c>
      <c r="Q3543">
        <v>2</v>
      </c>
      <c r="R3543" s="1" t="s">
        <v>1718</v>
      </c>
      <c r="S3543">
        <v>10148</v>
      </c>
      <c r="T3543">
        <v>20296</v>
      </c>
    </row>
    <row r="3544" spans="1:20" hidden="1" x14ac:dyDescent="0.4">
      <c r="A3544" s="1" t="s">
        <v>1347</v>
      </c>
      <c r="B3544" s="1" t="s">
        <v>1453</v>
      </c>
      <c r="C3544" s="1" t="s">
        <v>1844</v>
      </c>
      <c r="D3544" s="1" t="s">
        <v>1462</v>
      </c>
      <c r="E3544">
        <v>20251223</v>
      </c>
      <c r="F3544" s="1" t="s">
        <v>1470</v>
      </c>
      <c r="G3544">
        <v>4</v>
      </c>
      <c r="H3544" s="1" t="s">
        <v>1511</v>
      </c>
      <c r="I3544" t="s">
        <v>1891</v>
      </c>
      <c r="J3544" s="1" t="s">
        <v>1456</v>
      </c>
      <c r="K3544" s="1" t="s">
        <v>1556</v>
      </c>
      <c r="L3544" s="1" t="s">
        <v>1729</v>
      </c>
      <c r="M3544" s="1" t="s">
        <v>1738</v>
      </c>
      <c r="N3544" t="s">
        <v>2089</v>
      </c>
      <c r="O3544" t="s">
        <v>2865</v>
      </c>
      <c r="P3544" t="s">
        <v>2222</v>
      </c>
      <c r="Q3544">
        <v>2</v>
      </c>
      <c r="R3544" s="1" t="s">
        <v>1718</v>
      </c>
      <c r="S3544">
        <v>15252</v>
      </c>
      <c r="T3544">
        <v>30504</v>
      </c>
    </row>
    <row r="3545" spans="1:20" hidden="1" x14ac:dyDescent="0.4">
      <c r="A3545" s="1" t="s">
        <v>1347</v>
      </c>
      <c r="B3545" s="1" t="s">
        <v>1454</v>
      </c>
      <c r="C3545" s="1" t="s">
        <v>1844</v>
      </c>
      <c r="D3545" s="1" t="s">
        <v>1462</v>
      </c>
      <c r="E3545">
        <v>20251223</v>
      </c>
      <c r="F3545" s="1" t="s">
        <v>1470</v>
      </c>
      <c r="G3545">
        <v>4</v>
      </c>
      <c r="H3545" s="1" t="s">
        <v>1511</v>
      </c>
      <c r="I3545" t="s">
        <v>1891</v>
      </c>
      <c r="J3545" s="1" t="s">
        <v>1456</v>
      </c>
      <c r="K3545" s="1" t="s">
        <v>1556</v>
      </c>
      <c r="L3545" s="1" t="s">
        <v>1729</v>
      </c>
      <c r="M3545" s="1" t="s">
        <v>1738</v>
      </c>
      <c r="N3545" t="s">
        <v>2089</v>
      </c>
      <c r="O3545" t="s">
        <v>2865</v>
      </c>
      <c r="P3545" t="s">
        <v>2222</v>
      </c>
      <c r="Q3545">
        <v>1</v>
      </c>
      <c r="R3545" s="1" t="s">
        <v>1718</v>
      </c>
      <c r="S3545">
        <v>24592</v>
      </c>
      <c r="T3545">
        <v>24592</v>
      </c>
    </row>
    <row r="3546" spans="1:20" hidden="1" x14ac:dyDescent="0.4">
      <c r="A3546" s="1" t="s">
        <v>1347</v>
      </c>
      <c r="B3546" s="1" t="s">
        <v>1455</v>
      </c>
      <c r="C3546" s="1" t="s">
        <v>1844</v>
      </c>
      <c r="D3546" s="1" t="s">
        <v>1462</v>
      </c>
      <c r="E3546">
        <v>20251223</v>
      </c>
      <c r="F3546" s="1" t="s">
        <v>1470</v>
      </c>
      <c r="G3546">
        <v>4</v>
      </c>
      <c r="H3546" s="1" t="s">
        <v>1511</v>
      </c>
      <c r="I3546" t="s">
        <v>1891</v>
      </c>
      <c r="J3546" s="1" t="s">
        <v>1456</v>
      </c>
      <c r="K3546" s="1" t="s">
        <v>1556</v>
      </c>
      <c r="L3546" s="1" t="s">
        <v>1729</v>
      </c>
      <c r="M3546" s="1" t="s">
        <v>1738</v>
      </c>
      <c r="N3546" t="s">
        <v>2089</v>
      </c>
      <c r="O3546" t="s">
        <v>2865</v>
      </c>
      <c r="P3546" t="s">
        <v>2222</v>
      </c>
      <c r="Q3546">
        <v>1</v>
      </c>
      <c r="R3546" s="1" t="s">
        <v>1718</v>
      </c>
      <c r="S3546">
        <v>24592</v>
      </c>
      <c r="T3546">
        <v>24592</v>
      </c>
    </row>
    <row r="3547" spans="1:20" hidden="1" x14ac:dyDescent="0.4">
      <c r="A3547" s="1" t="s">
        <v>1347</v>
      </c>
      <c r="B3547" s="1" t="s">
        <v>1456</v>
      </c>
      <c r="C3547" s="1" t="s">
        <v>1844</v>
      </c>
      <c r="D3547" s="1" t="s">
        <v>1462</v>
      </c>
      <c r="E3547">
        <v>20251223</v>
      </c>
      <c r="F3547" s="1" t="s">
        <v>1470</v>
      </c>
      <c r="G3547">
        <v>4</v>
      </c>
      <c r="H3547" s="1" t="s">
        <v>1511</v>
      </c>
      <c r="I3547" t="s">
        <v>1891</v>
      </c>
      <c r="J3547" s="1" t="s">
        <v>1456</v>
      </c>
      <c r="K3547" s="1" t="s">
        <v>1555</v>
      </c>
      <c r="L3547" s="1" t="s">
        <v>1729</v>
      </c>
      <c r="M3547" s="1" t="s">
        <v>1736</v>
      </c>
      <c r="N3547" t="s">
        <v>2088</v>
      </c>
      <c r="O3547" t="s">
        <v>2866</v>
      </c>
      <c r="P3547" t="s">
        <v>3213</v>
      </c>
      <c r="Q3547">
        <v>2</v>
      </c>
      <c r="R3547" s="1" t="s">
        <v>1718</v>
      </c>
      <c r="S3547">
        <v>12282</v>
      </c>
      <c r="T3547">
        <v>24564</v>
      </c>
    </row>
    <row r="3548" spans="1:20" hidden="1" x14ac:dyDescent="0.4">
      <c r="A3548" s="1" t="s">
        <v>1348</v>
      </c>
      <c r="B3548" s="1" t="s">
        <v>1453</v>
      </c>
      <c r="C3548" s="1" t="s">
        <v>1844</v>
      </c>
      <c r="D3548" s="1" t="s">
        <v>1462</v>
      </c>
      <c r="E3548">
        <v>20251223</v>
      </c>
      <c r="F3548" s="1" t="s">
        <v>1470</v>
      </c>
      <c r="G3548">
        <v>4</v>
      </c>
      <c r="H3548" s="1" t="s">
        <v>1511</v>
      </c>
      <c r="I3548" t="s">
        <v>1891</v>
      </c>
      <c r="J3548" s="1" t="s">
        <v>1456</v>
      </c>
      <c r="K3548" s="1" t="s">
        <v>1556</v>
      </c>
      <c r="L3548" s="1" t="s">
        <v>1729</v>
      </c>
      <c r="M3548" s="1" t="s">
        <v>1738</v>
      </c>
      <c r="N3548" t="s">
        <v>2089</v>
      </c>
      <c r="O3548" t="s">
        <v>2867</v>
      </c>
      <c r="P3548" t="s">
        <v>2222</v>
      </c>
      <c r="Q3548">
        <v>4</v>
      </c>
      <c r="R3548" s="1" t="s">
        <v>1718</v>
      </c>
      <c r="S3548">
        <v>11410</v>
      </c>
      <c r="T3548">
        <v>45640</v>
      </c>
    </row>
    <row r="3549" spans="1:20" hidden="1" x14ac:dyDescent="0.4">
      <c r="A3549" s="1" t="s">
        <v>1349</v>
      </c>
      <c r="B3549" s="1" t="s">
        <v>1453</v>
      </c>
      <c r="C3549" s="1" t="s">
        <v>1844</v>
      </c>
      <c r="D3549" s="1" t="s">
        <v>1462</v>
      </c>
      <c r="E3549">
        <v>20251223</v>
      </c>
      <c r="F3549" s="1" t="s">
        <v>1470</v>
      </c>
      <c r="G3549">
        <v>4</v>
      </c>
      <c r="H3549" s="1" t="s">
        <v>1511</v>
      </c>
      <c r="I3549" t="s">
        <v>1891</v>
      </c>
      <c r="J3549" s="1" t="s">
        <v>1456</v>
      </c>
      <c r="K3549" s="1" t="s">
        <v>1563</v>
      </c>
      <c r="L3549" s="1" t="s">
        <v>1729</v>
      </c>
      <c r="M3549" s="1" t="s">
        <v>1741</v>
      </c>
      <c r="N3549" t="s">
        <v>1935</v>
      </c>
      <c r="O3549" t="s">
        <v>2223</v>
      </c>
      <c r="P3549" t="s">
        <v>3042</v>
      </c>
      <c r="Q3549">
        <v>100</v>
      </c>
      <c r="R3549" s="1" t="s">
        <v>1718</v>
      </c>
      <c r="S3549">
        <v>3434</v>
      </c>
      <c r="T3549">
        <v>343400</v>
      </c>
    </row>
    <row r="3550" spans="1:20" hidden="1" x14ac:dyDescent="0.4">
      <c r="A3550" s="1" t="s">
        <v>1349</v>
      </c>
      <c r="B3550" s="1" t="s">
        <v>1454</v>
      </c>
      <c r="C3550" s="1" t="s">
        <v>1844</v>
      </c>
      <c r="D3550" s="1" t="s">
        <v>1462</v>
      </c>
      <c r="E3550">
        <v>20251223</v>
      </c>
      <c r="F3550" s="1" t="s">
        <v>1470</v>
      </c>
      <c r="G3550">
        <v>4</v>
      </c>
      <c r="H3550" s="1" t="s">
        <v>1511</v>
      </c>
      <c r="I3550" t="s">
        <v>1891</v>
      </c>
      <c r="J3550" s="1" t="s">
        <v>1456</v>
      </c>
      <c r="K3550" s="1" t="s">
        <v>1563</v>
      </c>
      <c r="L3550" s="1" t="s">
        <v>1729</v>
      </c>
      <c r="M3550" s="1" t="s">
        <v>1741</v>
      </c>
      <c r="N3550" t="s">
        <v>1935</v>
      </c>
      <c r="O3550" t="s">
        <v>2708</v>
      </c>
      <c r="P3550" t="s">
        <v>3042</v>
      </c>
      <c r="Q3550">
        <v>100</v>
      </c>
      <c r="R3550" s="1" t="s">
        <v>1718</v>
      </c>
      <c r="S3550">
        <v>6508</v>
      </c>
      <c r="T3550">
        <v>650800</v>
      </c>
    </row>
    <row r="3551" spans="1:20" hidden="1" x14ac:dyDescent="0.4">
      <c r="A3551" s="1" t="s">
        <v>1349</v>
      </c>
      <c r="B3551" s="1" t="s">
        <v>1455</v>
      </c>
      <c r="C3551" s="1" t="s">
        <v>1844</v>
      </c>
      <c r="D3551" s="1" t="s">
        <v>1462</v>
      </c>
      <c r="E3551">
        <v>20251223</v>
      </c>
      <c r="F3551" s="1" t="s">
        <v>1470</v>
      </c>
      <c r="G3551">
        <v>4</v>
      </c>
      <c r="H3551" s="1" t="s">
        <v>1511</v>
      </c>
      <c r="I3551" t="s">
        <v>1891</v>
      </c>
      <c r="J3551" s="1" t="s">
        <v>1456</v>
      </c>
      <c r="K3551" s="1" t="s">
        <v>1563</v>
      </c>
      <c r="L3551" s="1" t="s">
        <v>1729</v>
      </c>
      <c r="M3551" s="1" t="s">
        <v>1741</v>
      </c>
      <c r="N3551" t="s">
        <v>1935</v>
      </c>
      <c r="O3551" t="s">
        <v>2289</v>
      </c>
      <c r="P3551" t="s">
        <v>3042</v>
      </c>
      <c r="Q3551">
        <v>30</v>
      </c>
      <c r="R3551" s="1" t="s">
        <v>1718</v>
      </c>
      <c r="S3551">
        <v>10188</v>
      </c>
      <c r="T3551">
        <v>305640</v>
      </c>
    </row>
    <row r="3552" spans="1:20" hidden="1" x14ac:dyDescent="0.4">
      <c r="A3552" s="1" t="s">
        <v>1349</v>
      </c>
      <c r="B3552" s="1" t="s">
        <v>1456</v>
      </c>
      <c r="C3552" s="1" t="s">
        <v>1844</v>
      </c>
      <c r="D3552" s="1" t="s">
        <v>1462</v>
      </c>
      <c r="E3552">
        <v>20251223</v>
      </c>
      <c r="F3552" s="1" t="s">
        <v>1470</v>
      </c>
      <c r="G3552">
        <v>4</v>
      </c>
      <c r="H3552" s="1" t="s">
        <v>1511</v>
      </c>
      <c r="I3552" t="s">
        <v>1891</v>
      </c>
      <c r="J3552" s="1" t="s">
        <v>1456</v>
      </c>
      <c r="K3552" s="1" t="s">
        <v>1563</v>
      </c>
      <c r="L3552" s="1" t="s">
        <v>1729</v>
      </c>
      <c r="M3552" s="1" t="s">
        <v>1741</v>
      </c>
      <c r="N3552" t="s">
        <v>1935</v>
      </c>
      <c r="O3552" t="s">
        <v>2224</v>
      </c>
      <c r="P3552" t="s">
        <v>3042</v>
      </c>
      <c r="Q3552">
        <v>30</v>
      </c>
      <c r="R3552" s="1" t="s">
        <v>1718</v>
      </c>
      <c r="S3552">
        <v>12697</v>
      </c>
      <c r="T3552">
        <v>380910</v>
      </c>
    </row>
    <row r="3553" spans="1:20" hidden="1" x14ac:dyDescent="0.4">
      <c r="A3553" s="1" t="s">
        <v>1350</v>
      </c>
      <c r="B3553" s="1" t="s">
        <v>1453</v>
      </c>
      <c r="C3553" s="1" t="s">
        <v>1844</v>
      </c>
      <c r="D3553" s="1" t="s">
        <v>1462</v>
      </c>
      <c r="E3553">
        <v>20251202</v>
      </c>
      <c r="F3553" s="1" t="s">
        <v>1474</v>
      </c>
      <c r="G3553">
        <v>4</v>
      </c>
      <c r="H3553" s="1" t="s">
        <v>1488</v>
      </c>
      <c r="I3553" t="s">
        <v>1868</v>
      </c>
      <c r="J3553" s="1" t="s">
        <v>1455</v>
      </c>
      <c r="K3553" s="1" t="s">
        <v>1683</v>
      </c>
      <c r="L3553" s="1" t="s">
        <v>1734</v>
      </c>
      <c r="M3553" s="1" t="s">
        <v>1768</v>
      </c>
      <c r="N3553" t="s">
        <v>2075</v>
      </c>
      <c r="O3553" t="s">
        <v>2179</v>
      </c>
      <c r="P3553" t="s">
        <v>3199</v>
      </c>
      <c r="Q3553">
        <v>1036</v>
      </c>
      <c r="R3553" s="1" t="s">
        <v>1463</v>
      </c>
      <c r="S3553">
        <v>760</v>
      </c>
      <c r="T3553">
        <v>787360</v>
      </c>
    </row>
    <row r="3554" spans="1:20" hidden="1" x14ac:dyDescent="0.4">
      <c r="A3554" s="1" t="s">
        <v>1350</v>
      </c>
      <c r="B3554" s="1" t="s">
        <v>1454</v>
      </c>
      <c r="C3554" s="1" t="s">
        <v>1844</v>
      </c>
      <c r="D3554" s="1" t="s">
        <v>1462</v>
      </c>
      <c r="E3554">
        <v>20251202</v>
      </c>
      <c r="F3554" s="1" t="s">
        <v>1474</v>
      </c>
      <c r="G3554">
        <v>4</v>
      </c>
      <c r="H3554" s="1" t="s">
        <v>1488</v>
      </c>
      <c r="I3554" t="s">
        <v>1868</v>
      </c>
      <c r="J3554" s="1" t="s">
        <v>1455</v>
      </c>
      <c r="K3554" s="1" t="s">
        <v>1684</v>
      </c>
      <c r="L3554" s="1" t="s">
        <v>1734</v>
      </c>
      <c r="M3554" s="1" t="s">
        <v>1768</v>
      </c>
      <c r="N3554" t="s">
        <v>2076</v>
      </c>
      <c r="O3554" t="s">
        <v>2179</v>
      </c>
      <c r="P3554" t="s">
        <v>3200</v>
      </c>
      <c r="Q3554">
        <v>7151</v>
      </c>
      <c r="R3554" s="1" t="s">
        <v>1463</v>
      </c>
      <c r="S3554">
        <v>666</v>
      </c>
      <c r="T3554">
        <v>4762566</v>
      </c>
    </row>
    <row r="3555" spans="1:20" hidden="1" x14ac:dyDescent="0.4">
      <c r="A3555" s="1" t="s">
        <v>1350</v>
      </c>
      <c r="B3555" s="1" t="s">
        <v>1455</v>
      </c>
      <c r="C3555" s="1" t="s">
        <v>1844</v>
      </c>
      <c r="D3555" s="1" t="s">
        <v>1462</v>
      </c>
      <c r="E3555">
        <v>20251202</v>
      </c>
      <c r="F3555" s="1" t="s">
        <v>1474</v>
      </c>
      <c r="G3555">
        <v>4</v>
      </c>
      <c r="H3555" s="1" t="s">
        <v>1488</v>
      </c>
      <c r="I3555" t="s">
        <v>1868</v>
      </c>
      <c r="J3555" s="1" t="s">
        <v>1455</v>
      </c>
      <c r="K3555" s="1" t="s">
        <v>1684</v>
      </c>
      <c r="L3555" s="1" t="s">
        <v>1734</v>
      </c>
      <c r="M3555" s="1" t="s">
        <v>1761</v>
      </c>
      <c r="N3555" t="s">
        <v>2076</v>
      </c>
      <c r="O3555" t="s">
        <v>2179</v>
      </c>
      <c r="P3555" t="s">
        <v>3201</v>
      </c>
      <c r="Q3555">
        <v>260</v>
      </c>
      <c r="R3555" s="1" t="s">
        <v>1463</v>
      </c>
      <c r="S3555">
        <v>706</v>
      </c>
      <c r="T3555">
        <v>183560</v>
      </c>
    </row>
    <row r="3556" spans="1:20" hidden="1" x14ac:dyDescent="0.4">
      <c r="A3556" s="1" t="s">
        <v>1351</v>
      </c>
      <c r="B3556" s="1" t="s">
        <v>1453</v>
      </c>
      <c r="C3556" s="1" t="s">
        <v>1844</v>
      </c>
      <c r="D3556" s="1" t="s">
        <v>1733</v>
      </c>
      <c r="E3556">
        <v>20251204</v>
      </c>
      <c r="F3556" s="1" t="s">
        <v>1470</v>
      </c>
      <c r="G3556">
        <v>1</v>
      </c>
      <c r="H3556" s="1" t="s">
        <v>1494</v>
      </c>
      <c r="I3556" t="s">
        <v>1874</v>
      </c>
      <c r="J3556" s="1" t="s">
        <v>1456</v>
      </c>
      <c r="K3556" s="1" t="s">
        <v>1628</v>
      </c>
      <c r="L3556" s="1" t="s">
        <v>1716</v>
      </c>
      <c r="M3556" s="1" t="s">
        <v>1777</v>
      </c>
      <c r="N3556" t="s">
        <v>2033</v>
      </c>
      <c r="O3556" t="s">
        <v>2162</v>
      </c>
      <c r="P3556">
        <v>1403</v>
      </c>
      <c r="Q3556">
        <v>-509</v>
      </c>
      <c r="R3556" s="1" t="s">
        <v>1463</v>
      </c>
      <c r="S3556">
        <v>1453</v>
      </c>
      <c r="T3556">
        <v>-739577</v>
      </c>
    </row>
    <row r="3557" spans="1:20" hidden="1" x14ac:dyDescent="0.4">
      <c r="A3557" s="1" t="s">
        <v>1351</v>
      </c>
      <c r="B3557" s="1" t="s">
        <v>1454</v>
      </c>
      <c r="C3557" s="1" t="s">
        <v>1844</v>
      </c>
      <c r="D3557" s="1" t="s">
        <v>1733</v>
      </c>
      <c r="E3557">
        <v>20251204</v>
      </c>
      <c r="F3557" s="1" t="s">
        <v>1470</v>
      </c>
      <c r="G3557">
        <v>1</v>
      </c>
      <c r="H3557" s="1" t="s">
        <v>1494</v>
      </c>
      <c r="I3557" t="s">
        <v>1874</v>
      </c>
      <c r="J3557" s="1" t="s">
        <v>1456</v>
      </c>
      <c r="K3557" s="1" t="s">
        <v>1629</v>
      </c>
      <c r="L3557" s="1" t="s">
        <v>1716</v>
      </c>
      <c r="M3557" s="1" t="s">
        <v>1778</v>
      </c>
      <c r="N3557" t="s">
        <v>2034</v>
      </c>
      <c r="O3557" t="s">
        <v>2162</v>
      </c>
      <c r="P3557">
        <v>1303</v>
      </c>
      <c r="Q3557">
        <v>-509</v>
      </c>
      <c r="R3557" s="1" t="s">
        <v>1463</v>
      </c>
      <c r="S3557">
        <v>1845</v>
      </c>
      <c r="T3557">
        <v>-939105</v>
      </c>
    </row>
    <row r="3558" spans="1:20" hidden="1" x14ac:dyDescent="0.4">
      <c r="A3558" s="1" t="s">
        <v>1352</v>
      </c>
      <c r="B3558" s="1" t="s">
        <v>1453</v>
      </c>
      <c r="C3558" s="1" t="s">
        <v>1844</v>
      </c>
      <c r="D3558" s="1" t="s">
        <v>1731</v>
      </c>
      <c r="E3558">
        <v>20251204</v>
      </c>
      <c r="F3558" s="1" t="s">
        <v>1470</v>
      </c>
      <c r="G3558">
        <v>1</v>
      </c>
      <c r="H3558" s="1" t="s">
        <v>1494</v>
      </c>
      <c r="I3558" t="s">
        <v>1874</v>
      </c>
      <c r="J3558" s="1" t="s">
        <v>1456</v>
      </c>
      <c r="K3558" s="1" t="s">
        <v>1628</v>
      </c>
      <c r="L3558" s="1" t="s">
        <v>1716</v>
      </c>
      <c r="M3558" s="1" t="s">
        <v>1777</v>
      </c>
      <c r="N3558" t="s">
        <v>2033</v>
      </c>
      <c r="O3558" t="s">
        <v>2162</v>
      </c>
      <c r="P3558">
        <v>1403</v>
      </c>
      <c r="Q3558">
        <v>509</v>
      </c>
      <c r="R3558" s="1" t="s">
        <v>1463</v>
      </c>
      <c r="S3558">
        <v>1435</v>
      </c>
      <c r="T3558">
        <v>730415</v>
      </c>
    </row>
    <row r="3559" spans="1:20" hidden="1" x14ac:dyDescent="0.4">
      <c r="A3559" s="1" t="s">
        <v>1352</v>
      </c>
      <c r="B3559" s="1" t="s">
        <v>1454</v>
      </c>
      <c r="C3559" s="1" t="s">
        <v>1844</v>
      </c>
      <c r="D3559" s="1" t="s">
        <v>1731</v>
      </c>
      <c r="E3559">
        <v>20251204</v>
      </c>
      <c r="F3559" s="1" t="s">
        <v>1470</v>
      </c>
      <c r="G3559">
        <v>1</v>
      </c>
      <c r="H3559" s="1" t="s">
        <v>1494</v>
      </c>
      <c r="I3559" t="s">
        <v>1874</v>
      </c>
      <c r="J3559" s="1" t="s">
        <v>1456</v>
      </c>
      <c r="K3559" s="1" t="s">
        <v>1629</v>
      </c>
      <c r="L3559" s="1" t="s">
        <v>1716</v>
      </c>
      <c r="M3559" s="1" t="s">
        <v>1778</v>
      </c>
      <c r="N3559" t="s">
        <v>2034</v>
      </c>
      <c r="O3559" t="s">
        <v>2162</v>
      </c>
      <c r="P3559">
        <v>1303</v>
      </c>
      <c r="Q3559">
        <v>509</v>
      </c>
      <c r="R3559" s="1" t="s">
        <v>1463</v>
      </c>
      <c r="S3559">
        <v>1845</v>
      </c>
      <c r="T3559">
        <v>939105</v>
      </c>
    </row>
    <row r="3560" spans="1:20" hidden="1" x14ac:dyDescent="0.4">
      <c r="A3560" s="1" t="s">
        <v>1353</v>
      </c>
      <c r="B3560" s="1" t="s">
        <v>1453</v>
      </c>
      <c r="C3560" s="1" t="s">
        <v>1844</v>
      </c>
      <c r="D3560" s="1" t="s">
        <v>1462</v>
      </c>
      <c r="E3560">
        <v>20251223</v>
      </c>
      <c r="F3560" s="1" t="s">
        <v>1470</v>
      </c>
      <c r="G3560">
        <v>4</v>
      </c>
      <c r="H3560" s="1" t="s">
        <v>1517</v>
      </c>
      <c r="I3560" t="s">
        <v>1897</v>
      </c>
      <c r="J3560" s="1" t="s">
        <v>1456</v>
      </c>
      <c r="K3560" s="1" t="s">
        <v>1578</v>
      </c>
      <c r="L3560" s="1" t="s">
        <v>1729</v>
      </c>
      <c r="M3560" s="1" t="s">
        <v>1737</v>
      </c>
      <c r="N3560" t="s">
        <v>2145</v>
      </c>
      <c r="O3560" t="s">
        <v>2157</v>
      </c>
      <c r="P3560" t="s">
        <v>2157</v>
      </c>
      <c r="Q3560">
        <v>1</v>
      </c>
      <c r="R3560" s="1" t="s">
        <v>1725</v>
      </c>
      <c r="S3560">
        <v>25200</v>
      </c>
      <c r="T3560">
        <v>25200</v>
      </c>
    </row>
    <row r="3561" spans="1:20" hidden="1" x14ac:dyDescent="0.4">
      <c r="A3561" s="1" t="s">
        <v>1354</v>
      </c>
      <c r="B3561" s="1" t="s">
        <v>1453</v>
      </c>
      <c r="C3561" s="1" t="s">
        <v>1844</v>
      </c>
      <c r="D3561" s="1" t="s">
        <v>1462</v>
      </c>
      <c r="E3561">
        <v>20251223</v>
      </c>
      <c r="F3561" s="1" t="s">
        <v>1470</v>
      </c>
      <c r="G3561">
        <v>4</v>
      </c>
      <c r="H3561" s="1" t="s">
        <v>1503</v>
      </c>
      <c r="I3561" t="s">
        <v>1883</v>
      </c>
      <c r="J3561" s="1" t="s">
        <v>1456</v>
      </c>
      <c r="K3561" s="1" t="s">
        <v>1553</v>
      </c>
      <c r="L3561" s="1" t="s">
        <v>1729</v>
      </c>
      <c r="M3561" s="1" t="s">
        <v>1736</v>
      </c>
      <c r="N3561" t="s">
        <v>2093</v>
      </c>
      <c r="O3561" t="s">
        <v>2868</v>
      </c>
      <c r="P3561" t="s">
        <v>3601</v>
      </c>
      <c r="Q3561">
        <v>2</v>
      </c>
      <c r="R3561" s="1" t="s">
        <v>1718</v>
      </c>
      <c r="S3561">
        <v>10190</v>
      </c>
      <c r="T3561">
        <v>20380</v>
      </c>
    </row>
    <row r="3562" spans="1:20" hidden="1" x14ac:dyDescent="0.4">
      <c r="A3562" s="1" t="s">
        <v>1354</v>
      </c>
      <c r="B3562" s="1" t="s">
        <v>1454</v>
      </c>
      <c r="C3562" s="1" t="s">
        <v>1844</v>
      </c>
      <c r="D3562" s="1" t="s">
        <v>1462</v>
      </c>
      <c r="E3562">
        <v>20251223</v>
      </c>
      <c r="F3562" s="1" t="s">
        <v>1470</v>
      </c>
      <c r="G3562">
        <v>4</v>
      </c>
      <c r="H3562" s="1" t="s">
        <v>1503</v>
      </c>
      <c r="I3562" t="s">
        <v>1883</v>
      </c>
      <c r="J3562" s="1" t="s">
        <v>1456</v>
      </c>
      <c r="K3562" s="1" t="s">
        <v>1554</v>
      </c>
      <c r="L3562" s="1" t="s">
        <v>1729</v>
      </c>
      <c r="M3562" s="1" t="s">
        <v>1737</v>
      </c>
      <c r="N3562" t="s">
        <v>2092</v>
      </c>
      <c r="O3562" t="s">
        <v>2869</v>
      </c>
      <c r="P3562">
        <v>82332</v>
      </c>
      <c r="Q3562">
        <v>2</v>
      </c>
      <c r="R3562" s="1" t="s">
        <v>1718</v>
      </c>
      <c r="S3562">
        <v>14950</v>
      </c>
      <c r="T3562">
        <v>29900</v>
      </c>
    </row>
    <row r="3563" spans="1:20" hidden="1" x14ac:dyDescent="0.4">
      <c r="A3563" s="1" t="s">
        <v>1355</v>
      </c>
      <c r="B3563" s="1" t="s">
        <v>1453</v>
      </c>
      <c r="C3563" s="1" t="s">
        <v>1844</v>
      </c>
      <c r="D3563" s="1" t="s">
        <v>1462</v>
      </c>
      <c r="E3563">
        <v>20251223</v>
      </c>
      <c r="F3563" s="1" t="s">
        <v>1470</v>
      </c>
      <c r="G3563">
        <v>4</v>
      </c>
      <c r="H3563" s="1" t="s">
        <v>1503</v>
      </c>
      <c r="I3563" t="s">
        <v>1883</v>
      </c>
      <c r="J3563" s="1" t="s">
        <v>1456</v>
      </c>
      <c r="K3563" s="1" t="s">
        <v>1554</v>
      </c>
      <c r="L3563" s="1" t="s">
        <v>1729</v>
      </c>
      <c r="M3563" s="1" t="s">
        <v>1737</v>
      </c>
      <c r="N3563" t="s">
        <v>2118</v>
      </c>
      <c r="O3563" t="s">
        <v>2870</v>
      </c>
      <c r="P3563">
        <v>82282</v>
      </c>
      <c r="Q3563">
        <v>2</v>
      </c>
      <c r="R3563" s="1" t="s">
        <v>1718</v>
      </c>
      <c r="S3563">
        <v>9350</v>
      </c>
      <c r="T3563">
        <v>18700</v>
      </c>
    </row>
    <row r="3564" spans="1:20" hidden="1" x14ac:dyDescent="0.4">
      <c r="A3564" s="1" t="s">
        <v>1355</v>
      </c>
      <c r="B3564" s="1" t="s">
        <v>1454</v>
      </c>
      <c r="C3564" s="1" t="s">
        <v>1844</v>
      </c>
      <c r="D3564" s="1" t="s">
        <v>1462</v>
      </c>
      <c r="E3564">
        <v>20251223</v>
      </c>
      <c r="F3564" s="1" t="s">
        <v>1470</v>
      </c>
      <c r="G3564">
        <v>4</v>
      </c>
      <c r="H3564" s="1" t="s">
        <v>1503</v>
      </c>
      <c r="I3564" t="s">
        <v>1883</v>
      </c>
      <c r="J3564" s="1" t="s">
        <v>1456</v>
      </c>
      <c r="K3564" s="1" t="s">
        <v>1554</v>
      </c>
      <c r="L3564" s="1" t="s">
        <v>1729</v>
      </c>
      <c r="M3564" s="1" t="s">
        <v>1737</v>
      </c>
      <c r="N3564" t="s">
        <v>2090</v>
      </c>
      <c r="O3564" t="s">
        <v>2871</v>
      </c>
      <c r="P3564">
        <v>82283</v>
      </c>
      <c r="Q3564">
        <v>2</v>
      </c>
      <c r="R3564" s="1" t="s">
        <v>1718</v>
      </c>
      <c r="S3564">
        <v>18640</v>
      </c>
      <c r="T3564">
        <v>37280</v>
      </c>
    </row>
    <row r="3565" spans="1:20" hidden="1" x14ac:dyDescent="0.4">
      <c r="A3565" s="1" t="s">
        <v>1356</v>
      </c>
      <c r="B3565" s="1" t="s">
        <v>1453</v>
      </c>
      <c r="C3565" s="1" t="s">
        <v>1844</v>
      </c>
      <c r="D3565" s="1" t="s">
        <v>1462</v>
      </c>
      <c r="E3565">
        <v>20251223</v>
      </c>
      <c r="F3565" s="1" t="s">
        <v>1470</v>
      </c>
      <c r="G3565">
        <v>4</v>
      </c>
      <c r="H3565" s="1" t="s">
        <v>1503</v>
      </c>
      <c r="I3565" t="s">
        <v>1883</v>
      </c>
      <c r="J3565" s="1" t="s">
        <v>1456</v>
      </c>
      <c r="K3565" s="1" t="s">
        <v>1553</v>
      </c>
      <c r="L3565" s="1" t="s">
        <v>1729</v>
      </c>
      <c r="M3565" s="1" t="s">
        <v>1740</v>
      </c>
      <c r="N3565" t="s">
        <v>2111</v>
      </c>
      <c r="O3565" t="s">
        <v>2872</v>
      </c>
      <c r="P3565" t="s">
        <v>3602</v>
      </c>
      <c r="Q3565">
        <v>2</v>
      </c>
      <c r="R3565" s="1" t="s">
        <v>1718</v>
      </c>
      <c r="S3565">
        <v>4810</v>
      </c>
      <c r="T3565">
        <v>9620</v>
      </c>
    </row>
    <row r="3566" spans="1:20" hidden="1" x14ac:dyDescent="0.4">
      <c r="A3566" s="1" t="s">
        <v>1357</v>
      </c>
      <c r="B3566" s="1" t="s">
        <v>1453</v>
      </c>
      <c r="C3566" s="1" t="s">
        <v>1844</v>
      </c>
      <c r="D3566" s="1" t="s">
        <v>1462</v>
      </c>
      <c r="E3566">
        <v>20251223</v>
      </c>
      <c r="F3566" s="1" t="s">
        <v>1470</v>
      </c>
      <c r="G3566">
        <v>4</v>
      </c>
      <c r="H3566" s="1" t="s">
        <v>1503</v>
      </c>
      <c r="I3566" t="s">
        <v>1883</v>
      </c>
      <c r="J3566" s="1" t="s">
        <v>1456</v>
      </c>
      <c r="K3566" s="1" t="s">
        <v>1554</v>
      </c>
      <c r="L3566" s="1" t="s">
        <v>1729</v>
      </c>
      <c r="M3566" s="1" t="s">
        <v>1737</v>
      </c>
      <c r="N3566" t="s">
        <v>2091</v>
      </c>
      <c r="O3566" t="s">
        <v>2873</v>
      </c>
      <c r="P3566">
        <v>82333</v>
      </c>
      <c r="Q3566">
        <v>2</v>
      </c>
      <c r="R3566" s="1" t="s">
        <v>1718</v>
      </c>
      <c r="S3566">
        <v>7300</v>
      </c>
      <c r="T3566">
        <v>14600</v>
      </c>
    </row>
    <row r="3567" spans="1:20" hidden="1" x14ac:dyDescent="0.4">
      <c r="A3567" s="1" t="s">
        <v>1357</v>
      </c>
      <c r="B3567" s="1" t="s">
        <v>1454</v>
      </c>
      <c r="C3567" s="1" t="s">
        <v>1844</v>
      </c>
      <c r="D3567" s="1" t="s">
        <v>1462</v>
      </c>
      <c r="E3567">
        <v>20251223</v>
      </c>
      <c r="F3567" s="1" t="s">
        <v>1470</v>
      </c>
      <c r="G3567">
        <v>4</v>
      </c>
      <c r="H3567" s="1" t="s">
        <v>1503</v>
      </c>
      <c r="I3567" t="s">
        <v>1883</v>
      </c>
      <c r="J3567" s="1" t="s">
        <v>1456</v>
      </c>
      <c r="K3567" s="1" t="s">
        <v>1554</v>
      </c>
      <c r="L3567" s="1" t="s">
        <v>1729</v>
      </c>
      <c r="M3567" s="1" t="s">
        <v>1737</v>
      </c>
      <c r="N3567" t="s">
        <v>2118</v>
      </c>
      <c r="O3567" t="s">
        <v>2874</v>
      </c>
      <c r="P3567">
        <v>82334</v>
      </c>
      <c r="Q3567">
        <v>1</v>
      </c>
      <c r="R3567" s="1" t="s">
        <v>1718</v>
      </c>
      <c r="S3567">
        <v>9350</v>
      </c>
      <c r="T3567">
        <v>9350</v>
      </c>
    </row>
    <row r="3568" spans="1:20" hidden="1" x14ac:dyDescent="0.4">
      <c r="A3568" s="1" t="s">
        <v>1358</v>
      </c>
      <c r="B3568" s="1" t="s">
        <v>1453</v>
      </c>
      <c r="C3568" s="1" t="s">
        <v>1844</v>
      </c>
      <c r="D3568" s="1" t="s">
        <v>1462</v>
      </c>
      <c r="E3568">
        <v>20251223</v>
      </c>
      <c r="F3568" s="1" t="s">
        <v>1470</v>
      </c>
      <c r="G3568">
        <v>4</v>
      </c>
      <c r="H3568" s="1" t="s">
        <v>1503</v>
      </c>
      <c r="I3568" t="s">
        <v>1883</v>
      </c>
      <c r="J3568" s="1" t="s">
        <v>1456</v>
      </c>
      <c r="K3568" s="1" t="s">
        <v>1554</v>
      </c>
      <c r="L3568" s="1" t="s">
        <v>1729</v>
      </c>
      <c r="M3568" s="1" t="s">
        <v>1737</v>
      </c>
      <c r="N3568" t="s">
        <v>2113</v>
      </c>
      <c r="O3568" t="s">
        <v>2875</v>
      </c>
      <c r="P3568">
        <v>82329</v>
      </c>
      <c r="Q3568">
        <v>2</v>
      </c>
      <c r="R3568" s="1" t="s">
        <v>1718</v>
      </c>
      <c r="S3568">
        <v>37180</v>
      </c>
      <c r="T3568">
        <v>74360</v>
      </c>
    </row>
    <row r="3569" spans="1:20" hidden="1" x14ac:dyDescent="0.4">
      <c r="A3569" s="1" t="s">
        <v>1359</v>
      </c>
      <c r="B3569" s="1" t="s">
        <v>1453</v>
      </c>
      <c r="C3569" s="1" t="s">
        <v>1844</v>
      </c>
      <c r="D3569" s="1" t="s">
        <v>1462</v>
      </c>
      <c r="E3569">
        <v>20251223</v>
      </c>
      <c r="F3569" s="1" t="s">
        <v>1470</v>
      </c>
      <c r="G3569">
        <v>4</v>
      </c>
      <c r="H3569" s="1" t="s">
        <v>1503</v>
      </c>
      <c r="I3569" t="s">
        <v>1883</v>
      </c>
      <c r="J3569" s="1" t="s">
        <v>1456</v>
      </c>
      <c r="K3569" s="1" t="s">
        <v>1554</v>
      </c>
      <c r="L3569" s="1" t="s">
        <v>1729</v>
      </c>
      <c r="M3569" s="1" t="s">
        <v>1737</v>
      </c>
      <c r="N3569" t="s">
        <v>2091</v>
      </c>
      <c r="O3569" t="s">
        <v>2876</v>
      </c>
      <c r="P3569">
        <v>82324</v>
      </c>
      <c r="Q3569">
        <v>1</v>
      </c>
      <c r="R3569" s="1" t="s">
        <v>1718</v>
      </c>
      <c r="S3569">
        <v>6480</v>
      </c>
      <c r="T3569">
        <v>6480</v>
      </c>
    </row>
    <row r="3570" spans="1:20" hidden="1" x14ac:dyDescent="0.4">
      <c r="A3570" s="1" t="s">
        <v>1359</v>
      </c>
      <c r="B3570" s="1" t="s">
        <v>1454</v>
      </c>
      <c r="C3570" s="1" t="s">
        <v>1844</v>
      </c>
      <c r="D3570" s="1" t="s">
        <v>1462</v>
      </c>
      <c r="E3570">
        <v>20251223</v>
      </c>
      <c r="F3570" s="1" t="s">
        <v>1470</v>
      </c>
      <c r="G3570">
        <v>4</v>
      </c>
      <c r="H3570" s="1" t="s">
        <v>1503</v>
      </c>
      <c r="I3570" t="s">
        <v>1883</v>
      </c>
      <c r="J3570" s="1" t="s">
        <v>1456</v>
      </c>
      <c r="K3570" s="1" t="s">
        <v>1554</v>
      </c>
      <c r="L3570" s="1" t="s">
        <v>1729</v>
      </c>
      <c r="M3570" s="1" t="s">
        <v>1737</v>
      </c>
      <c r="N3570" t="s">
        <v>2091</v>
      </c>
      <c r="O3570" t="s">
        <v>2877</v>
      </c>
      <c r="P3570">
        <v>82325</v>
      </c>
      <c r="Q3570">
        <v>1</v>
      </c>
      <c r="R3570" s="1" t="s">
        <v>1718</v>
      </c>
      <c r="S3570">
        <v>6480</v>
      </c>
      <c r="T3570">
        <v>6480</v>
      </c>
    </row>
    <row r="3571" spans="1:20" hidden="1" x14ac:dyDescent="0.4">
      <c r="A3571" s="1" t="s">
        <v>1360</v>
      </c>
      <c r="B3571" s="1" t="s">
        <v>1453</v>
      </c>
      <c r="C3571" s="1" t="s">
        <v>1844</v>
      </c>
      <c r="D3571" s="1" t="s">
        <v>1730</v>
      </c>
      <c r="E3571">
        <v>20251223</v>
      </c>
      <c r="F3571" s="1" t="s">
        <v>1470</v>
      </c>
      <c r="G3571">
        <v>4</v>
      </c>
      <c r="H3571" s="1" t="s">
        <v>1503</v>
      </c>
      <c r="I3571" t="s">
        <v>1883</v>
      </c>
      <c r="J3571" s="1" t="s">
        <v>1456</v>
      </c>
      <c r="K3571" s="1" t="s">
        <v>1570</v>
      </c>
      <c r="L3571" s="1" t="s">
        <v>1729</v>
      </c>
      <c r="M3571" s="1" t="s">
        <v>1742</v>
      </c>
      <c r="N3571" t="s">
        <v>1943</v>
      </c>
      <c r="O3571" t="s">
        <v>2749</v>
      </c>
      <c r="P3571" t="s">
        <v>3245</v>
      </c>
      <c r="Q3571">
        <v>1</v>
      </c>
      <c r="R3571" s="1" t="s">
        <v>1718</v>
      </c>
      <c r="S3571">
        <v>0</v>
      </c>
      <c r="T3571">
        <v>0</v>
      </c>
    </row>
    <row r="3572" spans="1:20" hidden="1" x14ac:dyDescent="0.4">
      <c r="A3572" s="1" t="s">
        <v>1360</v>
      </c>
      <c r="B3572" s="1" t="s">
        <v>1454</v>
      </c>
      <c r="C3572" s="1" t="s">
        <v>1844</v>
      </c>
      <c r="D3572" s="1" t="s">
        <v>1730</v>
      </c>
      <c r="E3572">
        <v>20251223</v>
      </c>
      <c r="F3572" s="1" t="s">
        <v>1470</v>
      </c>
      <c r="G3572">
        <v>4</v>
      </c>
      <c r="H3572" s="1" t="s">
        <v>1503</v>
      </c>
      <c r="I3572" t="s">
        <v>1883</v>
      </c>
      <c r="J3572" s="1" t="s">
        <v>1456</v>
      </c>
      <c r="K3572" s="1" t="s">
        <v>1570</v>
      </c>
      <c r="L3572" s="1" t="s">
        <v>1729</v>
      </c>
      <c r="M3572" s="1" t="s">
        <v>1741</v>
      </c>
      <c r="N3572" t="s">
        <v>1943</v>
      </c>
      <c r="O3572" t="s">
        <v>2749</v>
      </c>
      <c r="P3572" t="s">
        <v>3243</v>
      </c>
      <c r="Q3572">
        <v>5</v>
      </c>
      <c r="R3572" s="1" t="s">
        <v>1718</v>
      </c>
      <c r="S3572">
        <v>0</v>
      </c>
      <c r="T3572">
        <v>0</v>
      </c>
    </row>
    <row r="3573" spans="1:20" hidden="1" x14ac:dyDescent="0.4">
      <c r="A3573" s="1" t="s">
        <v>1361</v>
      </c>
      <c r="B3573" s="1" t="s">
        <v>1453</v>
      </c>
      <c r="C3573" s="1" t="s">
        <v>1844</v>
      </c>
      <c r="D3573" s="1" t="s">
        <v>1730</v>
      </c>
      <c r="E3573">
        <v>20251223</v>
      </c>
      <c r="F3573" s="1" t="s">
        <v>1470</v>
      </c>
      <c r="G3573">
        <v>4</v>
      </c>
      <c r="H3573" s="1" t="s">
        <v>1503</v>
      </c>
      <c r="I3573" t="s">
        <v>1883</v>
      </c>
      <c r="J3573" s="1" t="s">
        <v>1456</v>
      </c>
      <c r="K3573" s="1" t="s">
        <v>1552</v>
      </c>
      <c r="L3573" s="1" t="s">
        <v>1729</v>
      </c>
      <c r="M3573" s="1" t="s">
        <v>1735</v>
      </c>
      <c r="N3573" t="s">
        <v>2097</v>
      </c>
      <c r="O3573" t="s">
        <v>2878</v>
      </c>
      <c r="P3573" t="s">
        <v>3037</v>
      </c>
      <c r="Q3573">
        <v>20</v>
      </c>
      <c r="R3573" s="1" t="s">
        <v>1718</v>
      </c>
      <c r="S3573">
        <v>0</v>
      </c>
      <c r="T3573">
        <v>0</v>
      </c>
    </row>
    <row r="3574" spans="1:20" hidden="1" x14ac:dyDescent="0.4">
      <c r="A3574" s="1" t="s">
        <v>1362</v>
      </c>
      <c r="B3574" s="1" t="s">
        <v>1453</v>
      </c>
      <c r="C3574" s="1" t="s">
        <v>1844</v>
      </c>
      <c r="D3574" s="1" t="s">
        <v>1462</v>
      </c>
      <c r="E3574">
        <v>20251223</v>
      </c>
      <c r="F3574" s="1" t="s">
        <v>1470</v>
      </c>
      <c r="G3574">
        <v>4</v>
      </c>
      <c r="H3574" s="1" t="s">
        <v>1496</v>
      </c>
      <c r="I3574" t="s">
        <v>1876</v>
      </c>
      <c r="J3574" s="1" t="s">
        <v>1456</v>
      </c>
      <c r="K3574" s="1" t="s">
        <v>1577</v>
      </c>
      <c r="L3574" s="1" t="s">
        <v>1729</v>
      </c>
      <c r="M3574" s="1" t="s">
        <v>1737</v>
      </c>
      <c r="N3574" t="s">
        <v>2146</v>
      </c>
      <c r="O3574" t="s">
        <v>2879</v>
      </c>
      <c r="P3574" t="s">
        <v>2157</v>
      </c>
      <c r="Q3574">
        <v>1</v>
      </c>
      <c r="R3574" s="1" t="s">
        <v>1718</v>
      </c>
      <c r="S3574">
        <v>5040</v>
      </c>
      <c r="T3574">
        <v>5040</v>
      </c>
    </row>
    <row r="3575" spans="1:20" hidden="1" x14ac:dyDescent="0.4">
      <c r="A3575" s="1" t="s">
        <v>1363</v>
      </c>
      <c r="B3575" s="1" t="s">
        <v>1453</v>
      </c>
      <c r="C3575" s="1" t="s">
        <v>1844</v>
      </c>
      <c r="D3575" s="1" t="s">
        <v>1462</v>
      </c>
      <c r="E3575">
        <v>20251223</v>
      </c>
      <c r="F3575" s="1" t="s">
        <v>1470</v>
      </c>
      <c r="G3575">
        <v>4</v>
      </c>
      <c r="H3575" s="1" t="s">
        <v>1512</v>
      </c>
      <c r="I3575" t="s">
        <v>1892</v>
      </c>
      <c r="J3575" s="1" t="s">
        <v>1456</v>
      </c>
      <c r="K3575" s="1" t="s">
        <v>1558</v>
      </c>
      <c r="L3575" s="1" t="s">
        <v>1729</v>
      </c>
      <c r="M3575" s="1" t="s">
        <v>1737</v>
      </c>
      <c r="N3575" t="s">
        <v>2096</v>
      </c>
      <c r="O3575" t="s">
        <v>2880</v>
      </c>
      <c r="P3575" t="s">
        <v>3603</v>
      </c>
      <c r="Q3575">
        <v>1</v>
      </c>
      <c r="R3575" s="1" t="s">
        <v>1718</v>
      </c>
      <c r="S3575">
        <v>50243</v>
      </c>
      <c r="T3575">
        <v>50243</v>
      </c>
    </row>
    <row r="3576" spans="1:20" hidden="1" x14ac:dyDescent="0.4">
      <c r="A3576" s="1" t="s">
        <v>1363</v>
      </c>
      <c r="B3576" s="1" t="s">
        <v>1454</v>
      </c>
      <c r="C3576" s="1" t="s">
        <v>1844</v>
      </c>
      <c r="D3576" s="1" t="s">
        <v>1462</v>
      </c>
      <c r="E3576">
        <v>20251223</v>
      </c>
      <c r="F3576" s="1" t="s">
        <v>1470</v>
      </c>
      <c r="G3576">
        <v>4</v>
      </c>
      <c r="H3576" s="1" t="s">
        <v>1512</v>
      </c>
      <c r="I3576" t="s">
        <v>1892</v>
      </c>
      <c r="J3576" s="1" t="s">
        <v>1456</v>
      </c>
      <c r="K3576" s="1" t="s">
        <v>1558</v>
      </c>
      <c r="L3576" s="1" t="s">
        <v>1729</v>
      </c>
      <c r="M3576" s="1" t="s">
        <v>1737</v>
      </c>
      <c r="N3576" t="s">
        <v>2096</v>
      </c>
      <c r="O3576" t="s">
        <v>2881</v>
      </c>
      <c r="P3576" t="s">
        <v>3604</v>
      </c>
      <c r="Q3576">
        <v>1</v>
      </c>
      <c r="R3576" s="1" t="s">
        <v>1718</v>
      </c>
      <c r="S3576">
        <v>50243</v>
      </c>
      <c r="T3576">
        <v>50243</v>
      </c>
    </row>
    <row r="3577" spans="1:20" hidden="1" x14ac:dyDescent="0.4">
      <c r="A3577" s="1" t="s">
        <v>1364</v>
      </c>
      <c r="B3577" s="1" t="s">
        <v>1453</v>
      </c>
      <c r="C3577" s="1" t="s">
        <v>1844</v>
      </c>
      <c r="D3577" s="1" t="s">
        <v>1462</v>
      </c>
      <c r="E3577">
        <v>20251223</v>
      </c>
      <c r="F3577" s="1" t="s">
        <v>1470</v>
      </c>
      <c r="G3577">
        <v>4</v>
      </c>
      <c r="H3577" s="1" t="s">
        <v>1512</v>
      </c>
      <c r="I3577" t="s">
        <v>1892</v>
      </c>
      <c r="J3577" s="1" t="s">
        <v>1456</v>
      </c>
      <c r="K3577" s="1" t="s">
        <v>1558</v>
      </c>
      <c r="L3577" s="1" t="s">
        <v>1729</v>
      </c>
      <c r="M3577" s="1" t="s">
        <v>1737</v>
      </c>
      <c r="N3577" t="s">
        <v>2096</v>
      </c>
      <c r="O3577" t="s">
        <v>2882</v>
      </c>
      <c r="P3577" t="s">
        <v>3605</v>
      </c>
      <c r="Q3577">
        <v>4</v>
      </c>
      <c r="R3577" s="1" t="s">
        <v>1718</v>
      </c>
      <c r="S3577">
        <v>27657</v>
      </c>
      <c r="T3577">
        <v>110628</v>
      </c>
    </row>
    <row r="3578" spans="1:20" hidden="1" x14ac:dyDescent="0.4">
      <c r="A3578" s="1" t="s">
        <v>1364</v>
      </c>
      <c r="B3578" s="1" t="s">
        <v>1454</v>
      </c>
      <c r="C3578" s="1" t="s">
        <v>1844</v>
      </c>
      <c r="D3578" s="1" t="s">
        <v>1462</v>
      </c>
      <c r="E3578">
        <v>20251223</v>
      </c>
      <c r="F3578" s="1" t="s">
        <v>1470</v>
      </c>
      <c r="G3578">
        <v>4</v>
      </c>
      <c r="H3578" s="1" t="s">
        <v>1512</v>
      </c>
      <c r="I3578" t="s">
        <v>1892</v>
      </c>
      <c r="J3578" s="1" t="s">
        <v>1456</v>
      </c>
      <c r="K3578" s="1" t="s">
        <v>1558</v>
      </c>
      <c r="L3578" s="1" t="s">
        <v>1729</v>
      </c>
      <c r="M3578" s="1" t="s">
        <v>1737</v>
      </c>
      <c r="N3578" t="s">
        <v>2096</v>
      </c>
      <c r="O3578" t="s">
        <v>2883</v>
      </c>
      <c r="P3578" t="s">
        <v>3606</v>
      </c>
      <c r="Q3578">
        <v>4</v>
      </c>
      <c r="R3578" s="1" t="s">
        <v>1718</v>
      </c>
      <c r="S3578">
        <v>27657</v>
      </c>
      <c r="T3578">
        <v>110628</v>
      </c>
    </row>
    <row r="3579" spans="1:20" hidden="1" x14ac:dyDescent="0.4">
      <c r="A3579" s="1" t="s">
        <v>1365</v>
      </c>
      <c r="B3579" s="1" t="s">
        <v>1453</v>
      </c>
      <c r="C3579" s="1" t="s">
        <v>1844</v>
      </c>
      <c r="D3579" s="1" t="s">
        <v>1462</v>
      </c>
      <c r="E3579">
        <v>20251223</v>
      </c>
      <c r="F3579" s="1" t="s">
        <v>1470</v>
      </c>
      <c r="G3579">
        <v>4</v>
      </c>
      <c r="H3579" s="1" t="s">
        <v>1512</v>
      </c>
      <c r="I3579" t="s">
        <v>1892</v>
      </c>
      <c r="J3579" s="1" t="s">
        <v>1456</v>
      </c>
      <c r="K3579" s="1" t="s">
        <v>1558</v>
      </c>
      <c r="L3579" s="1" t="s">
        <v>1729</v>
      </c>
      <c r="M3579" s="1" t="s">
        <v>1737</v>
      </c>
      <c r="N3579" t="s">
        <v>2096</v>
      </c>
      <c r="O3579" t="s">
        <v>2884</v>
      </c>
      <c r="P3579" t="s">
        <v>3607</v>
      </c>
      <c r="Q3579">
        <v>2</v>
      </c>
      <c r="R3579" s="1" t="s">
        <v>1718</v>
      </c>
      <c r="S3579">
        <v>17285</v>
      </c>
      <c r="T3579">
        <v>34570</v>
      </c>
    </row>
    <row r="3580" spans="1:20" hidden="1" x14ac:dyDescent="0.4">
      <c r="A3580" s="1" t="s">
        <v>1365</v>
      </c>
      <c r="B3580" s="1" t="s">
        <v>1454</v>
      </c>
      <c r="C3580" s="1" t="s">
        <v>1844</v>
      </c>
      <c r="D3580" s="1" t="s">
        <v>1462</v>
      </c>
      <c r="E3580">
        <v>20251223</v>
      </c>
      <c r="F3580" s="1" t="s">
        <v>1470</v>
      </c>
      <c r="G3580">
        <v>4</v>
      </c>
      <c r="H3580" s="1" t="s">
        <v>1512</v>
      </c>
      <c r="I3580" t="s">
        <v>1892</v>
      </c>
      <c r="J3580" s="1" t="s">
        <v>1456</v>
      </c>
      <c r="K3580" s="1" t="s">
        <v>1558</v>
      </c>
      <c r="L3580" s="1" t="s">
        <v>1729</v>
      </c>
      <c r="M3580" s="1" t="s">
        <v>1737</v>
      </c>
      <c r="N3580" t="s">
        <v>2096</v>
      </c>
      <c r="O3580" t="s">
        <v>2885</v>
      </c>
      <c r="P3580" t="s">
        <v>3608</v>
      </c>
      <c r="Q3580">
        <v>2</v>
      </c>
      <c r="R3580" s="1" t="s">
        <v>1718</v>
      </c>
      <c r="S3580">
        <v>17285</v>
      </c>
      <c r="T3580">
        <v>34570</v>
      </c>
    </row>
    <row r="3581" spans="1:20" hidden="1" x14ac:dyDescent="0.4">
      <c r="A3581" s="1" t="s">
        <v>1366</v>
      </c>
      <c r="B3581" s="1" t="s">
        <v>1453</v>
      </c>
      <c r="C3581" s="1" t="s">
        <v>1844</v>
      </c>
      <c r="D3581" s="1" t="s">
        <v>1462</v>
      </c>
      <c r="E3581">
        <v>20251223</v>
      </c>
      <c r="F3581" s="1" t="s">
        <v>1470</v>
      </c>
      <c r="G3581">
        <v>4</v>
      </c>
      <c r="H3581" s="1" t="s">
        <v>1512</v>
      </c>
      <c r="I3581" t="s">
        <v>1892</v>
      </c>
      <c r="J3581" s="1" t="s">
        <v>1456</v>
      </c>
      <c r="K3581" s="1" t="s">
        <v>1558</v>
      </c>
      <c r="L3581" s="1" t="s">
        <v>1729</v>
      </c>
      <c r="M3581" s="1" t="s">
        <v>1737</v>
      </c>
      <c r="N3581" t="s">
        <v>2096</v>
      </c>
      <c r="O3581" t="s">
        <v>2886</v>
      </c>
      <c r="P3581" t="s">
        <v>3609</v>
      </c>
      <c r="Q3581">
        <v>2</v>
      </c>
      <c r="R3581" s="1" t="s">
        <v>1718</v>
      </c>
      <c r="S3581">
        <v>20486</v>
      </c>
      <c r="T3581">
        <v>40972</v>
      </c>
    </row>
    <row r="3582" spans="1:20" hidden="1" x14ac:dyDescent="0.4">
      <c r="A3582" s="1" t="s">
        <v>1367</v>
      </c>
      <c r="B3582" s="1" t="s">
        <v>1453</v>
      </c>
      <c r="C3582" s="1" t="s">
        <v>1844</v>
      </c>
      <c r="D3582" s="1" t="s">
        <v>1730</v>
      </c>
      <c r="E3582">
        <v>20251223</v>
      </c>
      <c r="F3582" s="1" t="s">
        <v>1473</v>
      </c>
      <c r="G3582">
        <v>4</v>
      </c>
      <c r="H3582" s="1" t="s">
        <v>1521</v>
      </c>
      <c r="I3582" t="s">
        <v>1901</v>
      </c>
      <c r="J3582" s="1" t="s">
        <v>1453</v>
      </c>
      <c r="K3582" s="1" t="s">
        <v>1596</v>
      </c>
      <c r="L3582" s="1" t="s">
        <v>1718</v>
      </c>
      <c r="M3582" s="1" t="s">
        <v>1836</v>
      </c>
      <c r="N3582" t="s">
        <v>1971</v>
      </c>
      <c r="O3582" t="s">
        <v>2164</v>
      </c>
      <c r="P3582" t="s">
        <v>3444</v>
      </c>
      <c r="Q3582">
        <v>97.55</v>
      </c>
      <c r="R3582" s="1" t="s">
        <v>1839</v>
      </c>
      <c r="S3582">
        <v>0</v>
      </c>
      <c r="T3582">
        <v>0</v>
      </c>
    </row>
    <row r="3583" spans="1:20" hidden="1" x14ac:dyDescent="0.4">
      <c r="A3583" s="1" t="s">
        <v>1368</v>
      </c>
      <c r="B3583" s="1" t="s">
        <v>1453</v>
      </c>
      <c r="C3583" s="1" t="s">
        <v>1844</v>
      </c>
      <c r="D3583" s="1" t="s">
        <v>1730</v>
      </c>
      <c r="E3583">
        <v>20251223</v>
      </c>
      <c r="F3583" s="1" t="s">
        <v>1473</v>
      </c>
      <c r="G3583">
        <v>4</v>
      </c>
      <c r="H3583" s="1" t="s">
        <v>1521</v>
      </c>
      <c r="I3583" t="s">
        <v>1901</v>
      </c>
      <c r="J3583" s="1" t="s">
        <v>1453</v>
      </c>
      <c r="K3583" s="1" t="s">
        <v>1607</v>
      </c>
      <c r="L3583" s="1" t="s">
        <v>1718</v>
      </c>
      <c r="M3583" s="1" t="s">
        <v>1768</v>
      </c>
      <c r="N3583" t="s">
        <v>1970</v>
      </c>
      <c r="O3583" t="s">
        <v>2164</v>
      </c>
      <c r="P3583" t="s">
        <v>3092</v>
      </c>
      <c r="Q3583">
        <v>56.25</v>
      </c>
      <c r="R3583" s="1" t="s">
        <v>1839</v>
      </c>
      <c r="S3583">
        <v>0</v>
      </c>
      <c r="T3583">
        <v>0</v>
      </c>
    </row>
    <row r="3584" spans="1:20" hidden="1" x14ac:dyDescent="0.4">
      <c r="A3584" s="1" t="s">
        <v>1369</v>
      </c>
      <c r="B3584" s="1" t="s">
        <v>1453</v>
      </c>
      <c r="C3584" s="1" t="s">
        <v>1844</v>
      </c>
      <c r="D3584" s="1" t="s">
        <v>1462</v>
      </c>
      <c r="E3584">
        <v>20251224</v>
      </c>
      <c r="F3584" s="1" t="s">
        <v>1470</v>
      </c>
      <c r="G3584">
        <v>4</v>
      </c>
      <c r="H3584" s="1" t="s">
        <v>1511</v>
      </c>
      <c r="I3584" t="s">
        <v>1891</v>
      </c>
      <c r="J3584" s="1" t="s">
        <v>1456</v>
      </c>
      <c r="K3584" s="1" t="s">
        <v>1561</v>
      </c>
      <c r="L3584" s="1" t="s">
        <v>1729</v>
      </c>
      <c r="M3584" s="1" t="s">
        <v>1737</v>
      </c>
      <c r="N3584" t="s">
        <v>2106</v>
      </c>
      <c r="O3584" t="s">
        <v>2887</v>
      </c>
      <c r="P3584" t="s">
        <v>3446</v>
      </c>
      <c r="Q3584">
        <v>4</v>
      </c>
      <c r="R3584" s="1" t="s">
        <v>1718</v>
      </c>
      <c r="S3584">
        <v>31145</v>
      </c>
      <c r="T3584">
        <v>124580</v>
      </c>
    </row>
    <row r="3585" spans="1:20" hidden="1" x14ac:dyDescent="0.4">
      <c r="A3585" s="1" t="s">
        <v>1370</v>
      </c>
      <c r="B3585" s="1" t="s">
        <v>1453</v>
      </c>
      <c r="C3585" s="1" t="s">
        <v>1844</v>
      </c>
      <c r="D3585" s="1" t="s">
        <v>1462</v>
      </c>
      <c r="E3585">
        <v>20251224</v>
      </c>
      <c r="F3585" s="1" t="s">
        <v>1470</v>
      </c>
      <c r="G3585">
        <v>4</v>
      </c>
      <c r="H3585" s="1" t="s">
        <v>1503</v>
      </c>
      <c r="I3585" t="s">
        <v>1883</v>
      </c>
      <c r="J3585" s="1" t="s">
        <v>1456</v>
      </c>
      <c r="K3585" s="1" t="s">
        <v>1554</v>
      </c>
      <c r="L3585" s="1" t="s">
        <v>1729</v>
      </c>
      <c r="M3585" s="1" t="s">
        <v>1737</v>
      </c>
      <c r="N3585" t="s">
        <v>2092</v>
      </c>
      <c r="O3585" t="s">
        <v>2888</v>
      </c>
      <c r="P3585">
        <v>82335</v>
      </c>
      <c r="Q3585">
        <v>2</v>
      </c>
      <c r="R3585" s="1" t="s">
        <v>1718</v>
      </c>
      <c r="S3585">
        <v>14950</v>
      </c>
      <c r="T3585">
        <v>29900</v>
      </c>
    </row>
    <row r="3586" spans="1:20" hidden="1" x14ac:dyDescent="0.4">
      <c r="A3586" s="1" t="s">
        <v>1371</v>
      </c>
      <c r="B3586" s="1" t="s">
        <v>1453</v>
      </c>
      <c r="C3586" s="1" t="s">
        <v>1844</v>
      </c>
      <c r="D3586" s="1" t="s">
        <v>1462</v>
      </c>
      <c r="E3586">
        <v>20251224</v>
      </c>
      <c r="F3586" s="1" t="s">
        <v>1470</v>
      </c>
      <c r="G3586">
        <v>4</v>
      </c>
      <c r="H3586" s="1" t="s">
        <v>1503</v>
      </c>
      <c r="I3586" t="s">
        <v>1883</v>
      </c>
      <c r="J3586" s="1" t="s">
        <v>1456</v>
      </c>
      <c r="K3586" s="1" t="s">
        <v>1554</v>
      </c>
      <c r="L3586" s="1" t="s">
        <v>1729</v>
      </c>
      <c r="M3586" s="1" t="s">
        <v>1737</v>
      </c>
      <c r="N3586" t="s">
        <v>2091</v>
      </c>
      <c r="O3586" t="s">
        <v>2889</v>
      </c>
      <c r="P3586">
        <v>82319</v>
      </c>
      <c r="Q3586">
        <v>2</v>
      </c>
      <c r="R3586" s="1" t="s">
        <v>1718</v>
      </c>
      <c r="S3586">
        <v>24790</v>
      </c>
      <c r="T3586">
        <v>49580</v>
      </c>
    </row>
    <row r="3587" spans="1:20" hidden="1" x14ac:dyDescent="0.4">
      <c r="A3587" s="1" t="s">
        <v>1372</v>
      </c>
      <c r="B3587" s="1" t="s">
        <v>1453</v>
      </c>
      <c r="C3587" s="1" t="s">
        <v>1844</v>
      </c>
      <c r="D3587" s="1" t="s">
        <v>1462</v>
      </c>
      <c r="E3587">
        <v>20251224</v>
      </c>
      <c r="F3587" s="1" t="s">
        <v>1470</v>
      </c>
      <c r="G3587">
        <v>4</v>
      </c>
      <c r="H3587" s="1" t="s">
        <v>1503</v>
      </c>
      <c r="I3587" t="s">
        <v>1883</v>
      </c>
      <c r="J3587" s="1" t="s">
        <v>1456</v>
      </c>
      <c r="K3587" s="1" t="s">
        <v>1553</v>
      </c>
      <c r="L3587" s="1" t="s">
        <v>1729</v>
      </c>
      <c r="M3587" s="1" t="s">
        <v>1736</v>
      </c>
      <c r="N3587" t="s">
        <v>2093</v>
      </c>
      <c r="O3587" t="s">
        <v>2890</v>
      </c>
      <c r="P3587" t="s">
        <v>3610</v>
      </c>
      <c r="Q3587">
        <v>2</v>
      </c>
      <c r="R3587" s="1" t="s">
        <v>1718</v>
      </c>
      <c r="S3587">
        <v>12500</v>
      </c>
      <c r="T3587">
        <v>25000</v>
      </c>
    </row>
    <row r="3588" spans="1:20" hidden="1" x14ac:dyDescent="0.4">
      <c r="A3588" s="1" t="s">
        <v>1372</v>
      </c>
      <c r="B3588" s="1" t="s">
        <v>1454</v>
      </c>
      <c r="C3588" s="1" t="s">
        <v>1844</v>
      </c>
      <c r="D3588" s="1" t="s">
        <v>1462</v>
      </c>
      <c r="E3588">
        <v>20251224</v>
      </c>
      <c r="F3588" s="1" t="s">
        <v>1470</v>
      </c>
      <c r="G3588">
        <v>4</v>
      </c>
      <c r="H3588" s="1" t="s">
        <v>1503</v>
      </c>
      <c r="I3588" t="s">
        <v>1883</v>
      </c>
      <c r="J3588" s="1" t="s">
        <v>1456</v>
      </c>
      <c r="K3588" s="1" t="s">
        <v>1553</v>
      </c>
      <c r="L3588" s="1" t="s">
        <v>1729</v>
      </c>
      <c r="M3588" s="1" t="s">
        <v>1736</v>
      </c>
      <c r="N3588" t="s">
        <v>2093</v>
      </c>
      <c r="O3588" t="s">
        <v>2891</v>
      </c>
      <c r="P3588" t="s">
        <v>3611</v>
      </c>
      <c r="Q3588">
        <v>2</v>
      </c>
      <c r="R3588" s="1" t="s">
        <v>1718</v>
      </c>
      <c r="S3588">
        <v>14370</v>
      </c>
      <c r="T3588">
        <v>28740</v>
      </c>
    </row>
    <row r="3589" spans="1:20" hidden="1" x14ac:dyDescent="0.4">
      <c r="A3589" s="1" t="s">
        <v>1373</v>
      </c>
      <c r="B3589" s="1" t="s">
        <v>1453</v>
      </c>
      <c r="C3589" s="1" t="s">
        <v>1844</v>
      </c>
      <c r="D3589" s="1" t="s">
        <v>1462</v>
      </c>
      <c r="E3589">
        <v>20251224</v>
      </c>
      <c r="F3589" s="1" t="s">
        <v>1470</v>
      </c>
      <c r="G3589">
        <v>4</v>
      </c>
      <c r="H3589" s="1" t="s">
        <v>1503</v>
      </c>
      <c r="I3589" t="s">
        <v>1883</v>
      </c>
      <c r="J3589" s="1" t="s">
        <v>1456</v>
      </c>
      <c r="K3589" s="1" t="s">
        <v>1554</v>
      </c>
      <c r="L3589" s="1" t="s">
        <v>1729</v>
      </c>
      <c r="M3589" s="1" t="s">
        <v>1737</v>
      </c>
      <c r="N3589" t="s">
        <v>2118</v>
      </c>
      <c r="O3589" t="s">
        <v>2892</v>
      </c>
      <c r="P3589">
        <v>82331</v>
      </c>
      <c r="Q3589">
        <v>2</v>
      </c>
      <c r="R3589" s="1" t="s">
        <v>1718</v>
      </c>
      <c r="S3589">
        <v>9350</v>
      </c>
      <c r="T3589">
        <v>18700</v>
      </c>
    </row>
    <row r="3590" spans="1:20" hidden="1" x14ac:dyDescent="0.4">
      <c r="A3590" s="1" t="s">
        <v>1374</v>
      </c>
      <c r="B3590" s="1" t="s">
        <v>1453</v>
      </c>
      <c r="C3590" s="1" t="s">
        <v>1844</v>
      </c>
      <c r="D3590" s="1" t="s">
        <v>1462</v>
      </c>
      <c r="E3590">
        <v>20251224</v>
      </c>
      <c r="F3590" s="1" t="s">
        <v>1470</v>
      </c>
      <c r="G3590">
        <v>4</v>
      </c>
      <c r="H3590" s="1" t="s">
        <v>1503</v>
      </c>
      <c r="I3590" t="s">
        <v>1883</v>
      </c>
      <c r="J3590" s="1" t="s">
        <v>1456</v>
      </c>
      <c r="K3590" s="1" t="s">
        <v>1553</v>
      </c>
      <c r="L3590" s="1" t="s">
        <v>1729</v>
      </c>
      <c r="M3590" s="1" t="s">
        <v>1736</v>
      </c>
      <c r="N3590" t="s">
        <v>2093</v>
      </c>
      <c r="O3590" t="s">
        <v>2893</v>
      </c>
      <c r="P3590" t="s">
        <v>3612</v>
      </c>
      <c r="Q3590">
        <v>2</v>
      </c>
      <c r="R3590" s="1" t="s">
        <v>1718</v>
      </c>
      <c r="S3590">
        <v>10190</v>
      </c>
      <c r="T3590">
        <v>20380</v>
      </c>
    </row>
    <row r="3591" spans="1:20" hidden="1" x14ac:dyDescent="0.4">
      <c r="A3591" s="1" t="s">
        <v>1375</v>
      </c>
      <c r="B3591" s="1" t="s">
        <v>1453</v>
      </c>
      <c r="C3591" s="1" t="s">
        <v>1844</v>
      </c>
      <c r="D3591" s="1" t="s">
        <v>1462</v>
      </c>
      <c r="E3591">
        <v>20251224</v>
      </c>
      <c r="F3591" s="1" t="s">
        <v>1470</v>
      </c>
      <c r="G3591">
        <v>4</v>
      </c>
      <c r="H3591" s="1" t="s">
        <v>1503</v>
      </c>
      <c r="I3591" t="s">
        <v>1883</v>
      </c>
      <c r="J3591" s="1" t="s">
        <v>1456</v>
      </c>
      <c r="K3591" s="1" t="s">
        <v>1554</v>
      </c>
      <c r="L3591" s="1" t="s">
        <v>1729</v>
      </c>
      <c r="M3591" s="1" t="s">
        <v>1737</v>
      </c>
      <c r="N3591" t="s">
        <v>2092</v>
      </c>
      <c r="O3591" t="s">
        <v>2894</v>
      </c>
      <c r="P3591">
        <v>82328</v>
      </c>
      <c r="Q3591">
        <v>2</v>
      </c>
      <c r="R3591" s="1" t="s">
        <v>1718</v>
      </c>
      <c r="S3591">
        <v>15150</v>
      </c>
      <c r="T3591">
        <v>30300</v>
      </c>
    </row>
    <row r="3592" spans="1:20" hidden="1" x14ac:dyDescent="0.4">
      <c r="A3592" s="1" t="s">
        <v>1376</v>
      </c>
      <c r="B3592" s="1" t="s">
        <v>1453</v>
      </c>
      <c r="C3592" s="1" t="s">
        <v>1844</v>
      </c>
      <c r="D3592" s="1" t="s">
        <v>1462</v>
      </c>
      <c r="E3592">
        <v>20251224</v>
      </c>
      <c r="F3592" s="1" t="s">
        <v>1470</v>
      </c>
      <c r="G3592">
        <v>4</v>
      </c>
      <c r="H3592" s="1" t="s">
        <v>1503</v>
      </c>
      <c r="I3592" t="s">
        <v>1883</v>
      </c>
      <c r="J3592" s="1" t="s">
        <v>1456</v>
      </c>
      <c r="K3592" s="1" t="s">
        <v>1554</v>
      </c>
      <c r="L3592" s="1" t="s">
        <v>1729</v>
      </c>
      <c r="M3592" s="1" t="s">
        <v>1737</v>
      </c>
      <c r="N3592" t="s">
        <v>2091</v>
      </c>
      <c r="O3592" t="s">
        <v>2895</v>
      </c>
      <c r="P3592">
        <v>82337</v>
      </c>
      <c r="Q3592">
        <v>4</v>
      </c>
      <c r="R3592" s="1" t="s">
        <v>1718</v>
      </c>
      <c r="S3592">
        <v>41380</v>
      </c>
      <c r="T3592">
        <v>165520</v>
      </c>
    </row>
    <row r="3593" spans="1:20" hidden="1" x14ac:dyDescent="0.4">
      <c r="A3593" s="1" t="s">
        <v>1377</v>
      </c>
      <c r="B3593" s="1" t="s">
        <v>1453</v>
      </c>
      <c r="C3593" s="1" t="s">
        <v>1844</v>
      </c>
      <c r="D3593" s="1" t="s">
        <v>1462</v>
      </c>
      <c r="E3593">
        <v>20251224</v>
      </c>
      <c r="F3593" s="1" t="s">
        <v>1470</v>
      </c>
      <c r="G3593">
        <v>4</v>
      </c>
      <c r="H3593" s="1" t="s">
        <v>1503</v>
      </c>
      <c r="I3593" t="s">
        <v>1883</v>
      </c>
      <c r="J3593" s="1" t="s">
        <v>1456</v>
      </c>
      <c r="K3593" s="1" t="s">
        <v>1554</v>
      </c>
      <c r="L3593" s="1" t="s">
        <v>1729</v>
      </c>
      <c r="M3593" s="1" t="s">
        <v>1737</v>
      </c>
      <c r="N3593" t="s">
        <v>2090</v>
      </c>
      <c r="O3593" t="s">
        <v>2896</v>
      </c>
      <c r="P3593">
        <v>82253</v>
      </c>
      <c r="Q3593">
        <v>2</v>
      </c>
      <c r="R3593" s="1" t="s">
        <v>1718</v>
      </c>
      <c r="S3593">
        <v>18640</v>
      </c>
      <c r="T3593">
        <v>37280</v>
      </c>
    </row>
    <row r="3594" spans="1:20" hidden="1" x14ac:dyDescent="0.4">
      <c r="A3594" s="1" t="s">
        <v>1378</v>
      </c>
      <c r="B3594" s="1" t="s">
        <v>1453</v>
      </c>
      <c r="C3594" s="1" t="s">
        <v>1844</v>
      </c>
      <c r="D3594" s="1" t="s">
        <v>1462</v>
      </c>
      <c r="E3594">
        <v>20251224</v>
      </c>
      <c r="F3594" s="1" t="s">
        <v>1470</v>
      </c>
      <c r="G3594">
        <v>4</v>
      </c>
      <c r="H3594" s="1" t="s">
        <v>1496</v>
      </c>
      <c r="I3594" t="s">
        <v>1876</v>
      </c>
      <c r="J3594" s="1" t="s">
        <v>1456</v>
      </c>
      <c r="K3594" s="1" t="s">
        <v>1557</v>
      </c>
      <c r="L3594" s="1" t="s">
        <v>1729</v>
      </c>
      <c r="M3594" s="1" t="s">
        <v>1737</v>
      </c>
      <c r="N3594" t="s">
        <v>1929</v>
      </c>
      <c r="O3594" t="s">
        <v>2897</v>
      </c>
      <c r="P3594" t="s">
        <v>3613</v>
      </c>
      <c r="Q3594">
        <v>1</v>
      </c>
      <c r="R3594" s="1" t="s">
        <v>1718</v>
      </c>
      <c r="S3594">
        <v>17588</v>
      </c>
      <c r="T3594">
        <v>17588</v>
      </c>
    </row>
    <row r="3595" spans="1:20" hidden="1" x14ac:dyDescent="0.4">
      <c r="A3595" s="1" t="s">
        <v>1378</v>
      </c>
      <c r="B3595" s="1" t="s">
        <v>1454</v>
      </c>
      <c r="C3595" s="1" t="s">
        <v>1844</v>
      </c>
      <c r="D3595" s="1" t="s">
        <v>1462</v>
      </c>
      <c r="E3595">
        <v>20251224</v>
      </c>
      <c r="F3595" s="1" t="s">
        <v>1470</v>
      </c>
      <c r="G3595">
        <v>4</v>
      </c>
      <c r="H3595" s="1" t="s">
        <v>1496</v>
      </c>
      <c r="I3595" t="s">
        <v>1876</v>
      </c>
      <c r="J3595" s="1" t="s">
        <v>1456</v>
      </c>
      <c r="K3595" s="1" t="s">
        <v>1557</v>
      </c>
      <c r="L3595" s="1" t="s">
        <v>1729</v>
      </c>
      <c r="M3595" s="1" t="s">
        <v>1737</v>
      </c>
      <c r="N3595" t="s">
        <v>1929</v>
      </c>
      <c r="O3595" t="s">
        <v>2897</v>
      </c>
      <c r="P3595" t="s">
        <v>3613</v>
      </c>
      <c r="Q3595">
        <v>1</v>
      </c>
      <c r="R3595" s="1" t="s">
        <v>1718</v>
      </c>
      <c r="S3595">
        <v>17588</v>
      </c>
      <c r="T3595">
        <v>17588</v>
      </c>
    </row>
    <row r="3596" spans="1:20" hidden="1" x14ac:dyDescent="0.4">
      <c r="A3596" s="1" t="s">
        <v>1379</v>
      </c>
      <c r="B3596" s="1" t="s">
        <v>1453</v>
      </c>
      <c r="C3596" s="1" t="s">
        <v>1844</v>
      </c>
      <c r="D3596" s="1" t="s">
        <v>1462</v>
      </c>
      <c r="E3596">
        <v>20251224</v>
      </c>
      <c r="F3596" s="1" t="s">
        <v>1470</v>
      </c>
      <c r="G3596">
        <v>4</v>
      </c>
      <c r="H3596" s="1" t="s">
        <v>1512</v>
      </c>
      <c r="I3596" t="s">
        <v>1892</v>
      </c>
      <c r="J3596" s="1" t="s">
        <v>1456</v>
      </c>
      <c r="K3596" s="1" t="s">
        <v>1558</v>
      </c>
      <c r="L3596" s="1" t="s">
        <v>1729</v>
      </c>
      <c r="M3596" s="1" t="s">
        <v>1737</v>
      </c>
      <c r="N3596" t="s">
        <v>2096</v>
      </c>
      <c r="O3596" t="s">
        <v>2898</v>
      </c>
      <c r="P3596" t="s">
        <v>3614</v>
      </c>
      <c r="Q3596">
        <v>2</v>
      </c>
      <c r="R3596" s="1" t="s">
        <v>1718</v>
      </c>
      <c r="S3596">
        <v>10371</v>
      </c>
      <c r="T3596">
        <v>20742</v>
      </c>
    </row>
    <row r="3597" spans="1:20" hidden="1" x14ac:dyDescent="0.4">
      <c r="A3597" s="1" t="s">
        <v>1380</v>
      </c>
      <c r="B3597" s="1" t="s">
        <v>1453</v>
      </c>
      <c r="C3597" s="1" t="s">
        <v>1844</v>
      </c>
      <c r="D3597" s="1" t="s">
        <v>1462</v>
      </c>
      <c r="E3597">
        <v>20251224</v>
      </c>
      <c r="F3597" s="1" t="s">
        <v>1470</v>
      </c>
      <c r="G3597">
        <v>4</v>
      </c>
      <c r="H3597" s="1" t="s">
        <v>1512</v>
      </c>
      <c r="I3597" t="s">
        <v>1892</v>
      </c>
      <c r="J3597" s="1" t="s">
        <v>1456</v>
      </c>
      <c r="K3597" s="1" t="s">
        <v>1558</v>
      </c>
      <c r="L3597" s="1" t="s">
        <v>1729</v>
      </c>
      <c r="M3597" s="1" t="s">
        <v>1737</v>
      </c>
      <c r="N3597" t="s">
        <v>2096</v>
      </c>
      <c r="O3597" t="s">
        <v>2256</v>
      </c>
      <c r="P3597" t="s">
        <v>3615</v>
      </c>
      <c r="Q3597">
        <v>1</v>
      </c>
      <c r="R3597" s="1" t="s">
        <v>1718</v>
      </c>
      <c r="S3597">
        <v>23127</v>
      </c>
      <c r="T3597">
        <v>23127</v>
      </c>
    </row>
    <row r="3598" spans="1:20" hidden="1" x14ac:dyDescent="0.4">
      <c r="A3598" s="1" t="s">
        <v>1381</v>
      </c>
      <c r="B3598" s="1" t="s">
        <v>1453</v>
      </c>
      <c r="C3598" s="1" t="s">
        <v>1844</v>
      </c>
      <c r="D3598" s="1" t="s">
        <v>1462</v>
      </c>
      <c r="E3598">
        <v>20251224</v>
      </c>
      <c r="F3598" s="1" t="s">
        <v>1470</v>
      </c>
      <c r="G3598">
        <v>4</v>
      </c>
      <c r="H3598" s="1" t="s">
        <v>1512</v>
      </c>
      <c r="I3598" t="s">
        <v>1892</v>
      </c>
      <c r="J3598" s="1" t="s">
        <v>1456</v>
      </c>
      <c r="K3598" s="1" t="s">
        <v>1558</v>
      </c>
      <c r="L3598" s="1" t="s">
        <v>1729</v>
      </c>
      <c r="M3598" s="1" t="s">
        <v>1737</v>
      </c>
      <c r="N3598" t="s">
        <v>2096</v>
      </c>
      <c r="O3598" t="s">
        <v>2256</v>
      </c>
      <c r="P3598" t="s">
        <v>3616</v>
      </c>
      <c r="Q3598">
        <v>2</v>
      </c>
      <c r="R3598" s="1" t="s">
        <v>1718</v>
      </c>
      <c r="S3598">
        <v>15188</v>
      </c>
      <c r="T3598">
        <v>30376</v>
      </c>
    </row>
    <row r="3599" spans="1:20" hidden="1" x14ac:dyDescent="0.4">
      <c r="A3599" s="1" t="s">
        <v>1381</v>
      </c>
      <c r="B3599" s="1" t="s">
        <v>1454</v>
      </c>
      <c r="C3599" s="1" t="s">
        <v>1844</v>
      </c>
      <c r="D3599" s="1" t="s">
        <v>1462</v>
      </c>
      <c r="E3599">
        <v>20251224</v>
      </c>
      <c r="F3599" s="1" t="s">
        <v>1470</v>
      </c>
      <c r="G3599">
        <v>4</v>
      </c>
      <c r="H3599" s="1" t="s">
        <v>1512</v>
      </c>
      <c r="I3599" t="s">
        <v>1892</v>
      </c>
      <c r="J3599" s="1" t="s">
        <v>1456</v>
      </c>
      <c r="K3599" s="1" t="s">
        <v>1558</v>
      </c>
      <c r="L3599" s="1" t="s">
        <v>1729</v>
      </c>
      <c r="M3599" s="1" t="s">
        <v>1737</v>
      </c>
      <c r="N3599" t="s">
        <v>2096</v>
      </c>
      <c r="O3599" t="s">
        <v>2899</v>
      </c>
      <c r="P3599" t="s">
        <v>3617</v>
      </c>
      <c r="Q3599">
        <v>2</v>
      </c>
      <c r="R3599" s="1" t="s">
        <v>1718</v>
      </c>
      <c r="S3599">
        <v>29016</v>
      </c>
      <c r="T3599">
        <v>58032</v>
      </c>
    </row>
    <row r="3600" spans="1:20" hidden="1" x14ac:dyDescent="0.4">
      <c r="A3600" s="1" t="s">
        <v>1382</v>
      </c>
      <c r="B3600" s="1" t="s">
        <v>1453</v>
      </c>
      <c r="C3600" s="1" t="s">
        <v>1844</v>
      </c>
      <c r="D3600" s="1" t="s">
        <v>1462</v>
      </c>
      <c r="E3600">
        <v>20251224</v>
      </c>
      <c r="F3600" s="1" t="s">
        <v>1470</v>
      </c>
      <c r="G3600">
        <v>4</v>
      </c>
      <c r="H3600" s="1" t="s">
        <v>1512</v>
      </c>
      <c r="I3600" t="s">
        <v>1892</v>
      </c>
      <c r="J3600" s="1" t="s">
        <v>1456</v>
      </c>
      <c r="K3600" s="1" t="s">
        <v>1558</v>
      </c>
      <c r="L3600" s="1" t="s">
        <v>1729</v>
      </c>
      <c r="M3600" s="1" t="s">
        <v>1737</v>
      </c>
      <c r="N3600" t="s">
        <v>2096</v>
      </c>
      <c r="O3600" t="s">
        <v>2900</v>
      </c>
      <c r="P3600" t="s">
        <v>3618</v>
      </c>
      <c r="Q3600">
        <v>2</v>
      </c>
      <c r="R3600" s="1" t="s">
        <v>1718</v>
      </c>
      <c r="S3600">
        <v>7938</v>
      </c>
      <c r="T3600">
        <v>15876</v>
      </c>
    </row>
    <row r="3601" spans="1:20" hidden="1" x14ac:dyDescent="0.4">
      <c r="A3601" s="1" t="s">
        <v>1383</v>
      </c>
      <c r="B3601" s="1" t="s">
        <v>1453</v>
      </c>
      <c r="C3601" s="1" t="s">
        <v>1844</v>
      </c>
      <c r="D3601" s="1" t="s">
        <v>1462</v>
      </c>
      <c r="E3601">
        <v>20251224</v>
      </c>
      <c r="F3601" s="1" t="s">
        <v>1470</v>
      </c>
      <c r="G3601">
        <v>4</v>
      </c>
      <c r="H3601" s="1" t="s">
        <v>1512</v>
      </c>
      <c r="I3601" t="s">
        <v>1892</v>
      </c>
      <c r="J3601" s="1" t="s">
        <v>1456</v>
      </c>
      <c r="K3601" s="1" t="s">
        <v>1558</v>
      </c>
      <c r="L3601" s="1" t="s">
        <v>1729</v>
      </c>
      <c r="M3601" s="1" t="s">
        <v>1737</v>
      </c>
      <c r="N3601" t="s">
        <v>2096</v>
      </c>
      <c r="O3601" t="s">
        <v>2799</v>
      </c>
      <c r="P3601" t="s">
        <v>3619</v>
      </c>
      <c r="Q3601">
        <v>2</v>
      </c>
      <c r="R3601" s="1" t="s">
        <v>1718</v>
      </c>
      <c r="S3601">
        <v>27736</v>
      </c>
      <c r="T3601">
        <v>55472</v>
      </c>
    </row>
    <row r="3602" spans="1:20" hidden="1" x14ac:dyDescent="0.4">
      <c r="A3602" s="1" t="s">
        <v>1384</v>
      </c>
      <c r="B3602" s="1" t="s">
        <v>1453</v>
      </c>
      <c r="C3602" s="1" t="s">
        <v>1844</v>
      </c>
      <c r="D3602" s="1" t="s">
        <v>1462</v>
      </c>
      <c r="E3602">
        <v>20251224</v>
      </c>
      <c r="F3602" s="1" t="s">
        <v>1470</v>
      </c>
      <c r="G3602">
        <v>4</v>
      </c>
      <c r="H3602" s="1" t="s">
        <v>1533</v>
      </c>
      <c r="I3602" t="s">
        <v>1913</v>
      </c>
      <c r="J3602" s="1" t="s">
        <v>1456</v>
      </c>
      <c r="K3602" s="1" t="s">
        <v>1574</v>
      </c>
      <c r="L3602" s="1" t="s">
        <v>1729</v>
      </c>
      <c r="M3602" s="1" t="s">
        <v>1737</v>
      </c>
      <c r="N3602" t="s">
        <v>2147</v>
      </c>
      <c r="O3602" t="s">
        <v>2157</v>
      </c>
      <c r="P3602" t="s">
        <v>2157</v>
      </c>
      <c r="Q3602">
        <v>3</v>
      </c>
      <c r="R3602" s="1" t="s">
        <v>1718</v>
      </c>
      <c r="S3602">
        <v>4180</v>
      </c>
      <c r="T3602">
        <v>12540</v>
      </c>
    </row>
    <row r="3603" spans="1:20" hidden="1" x14ac:dyDescent="0.4">
      <c r="A3603" s="1" t="s">
        <v>1384</v>
      </c>
      <c r="B3603" s="1" t="s">
        <v>1454</v>
      </c>
      <c r="C3603" s="1" t="s">
        <v>1844</v>
      </c>
      <c r="D3603" s="1" t="s">
        <v>1462</v>
      </c>
      <c r="E3603">
        <v>20251224</v>
      </c>
      <c r="F3603" s="1" t="s">
        <v>1470</v>
      </c>
      <c r="G3603">
        <v>4</v>
      </c>
      <c r="H3603" s="1" t="s">
        <v>1533</v>
      </c>
      <c r="I3603" t="s">
        <v>1913</v>
      </c>
      <c r="J3603" s="1" t="s">
        <v>1456</v>
      </c>
      <c r="K3603" s="1" t="s">
        <v>1574</v>
      </c>
      <c r="L3603" s="1" t="s">
        <v>1729</v>
      </c>
      <c r="M3603" s="1" t="s">
        <v>1737</v>
      </c>
      <c r="N3603" t="s">
        <v>2148</v>
      </c>
      <c r="O3603" t="s">
        <v>2157</v>
      </c>
      <c r="P3603" t="s">
        <v>2157</v>
      </c>
      <c r="Q3603">
        <v>3</v>
      </c>
      <c r="R3603" s="1" t="s">
        <v>1718</v>
      </c>
      <c r="S3603">
        <v>4180</v>
      </c>
      <c r="T3603">
        <v>12540</v>
      </c>
    </row>
    <row r="3604" spans="1:20" hidden="1" x14ac:dyDescent="0.4">
      <c r="A3604" s="1" t="s">
        <v>1384</v>
      </c>
      <c r="B3604" s="1" t="s">
        <v>1455</v>
      </c>
      <c r="C3604" s="1" t="s">
        <v>1844</v>
      </c>
      <c r="D3604" s="1" t="s">
        <v>1462</v>
      </c>
      <c r="E3604">
        <v>20251224</v>
      </c>
      <c r="F3604" s="1" t="s">
        <v>1470</v>
      </c>
      <c r="G3604">
        <v>4</v>
      </c>
      <c r="H3604" s="1" t="s">
        <v>1533</v>
      </c>
      <c r="I3604" t="s">
        <v>1913</v>
      </c>
      <c r="J3604" s="1" t="s">
        <v>1456</v>
      </c>
      <c r="K3604" s="1" t="s">
        <v>1574</v>
      </c>
      <c r="L3604" s="1" t="s">
        <v>1729</v>
      </c>
      <c r="M3604" s="1" t="s">
        <v>1737</v>
      </c>
      <c r="N3604" t="s">
        <v>2149</v>
      </c>
      <c r="O3604" t="s">
        <v>2157</v>
      </c>
      <c r="P3604" t="s">
        <v>2157</v>
      </c>
      <c r="Q3604">
        <v>3</v>
      </c>
      <c r="R3604" s="1" t="s">
        <v>1718</v>
      </c>
      <c r="S3604">
        <v>10560</v>
      </c>
      <c r="T3604">
        <v>31680</v>
      </c>
    </row>
    <row r="3605" spans="1:20" hidden="1" x14ac:dyDescent="0.4">
      <c r="A3605" s="1" t="s">
        <v>1385</v>
      </c>
      <c r="B3605" s="1" t="s">
        <v>1453</v>
      </c>
      <c r="C3605" s="1" t="s">
        <v>1844</v>
      </c>
      <c r="D3605" s="1" t="s">
        <v>1462</v>
      </c>
      <c r="E3605">
        <v>20251224</v>
      </c>
      <c r="F3605" s="1" t="s">
        <v>1470</v>
      </c>
      <c r="G3605">
        <v>4</v>
      </c>
      <c r="H3605" s="1" t="s">
        <v>1533</v>
      </c>
      <c r="I3605" t="s">
        <v>1913</v>
      </c>
      <c r="J3605" s="1" t="s">
        <v>1456</v>
      </c>
      <c r="K3605" s="1" t="s">
        <v>1706</v>
      </c>
      <c r="L3605" s="1" t="s">
        <v>1725</v>
      </c>
      <c r="M3605" s="1" t="s">
        <v>1737</v>
      </c>
      <c r="N3605" t="s">
        <v>2023</v>
      </c>
      <c r="O3605" t="s">
        <v>2157</v>
      </c>
      <c r="P3605" t="s">
        <v>2157</v>
      </c>
      <c r="Q3605">
        <v>1</v>
      </c>
      <c r="R3605" s="1" t="s">
        <v>1725</v>
      </c>
      <c r="S3605">
        <v>1200</v>
      </c>
      <c r="T3605">
        <v>1200</v>
      </c>
    </row>
    <row r="3606" spans="1:20" hidden="1" x14ac:dyDescent="0.4">
      <c r="A3606" s="1" t="s">
        <v>1386</v>
      </c>
      <c r="B3606" s="1" t="s">
        <v>1453</v>
      </c>
      <c r="C3606" s="1" t="s">
        <v>1844</v>
      </c>
      <c r="D3606" s="1" t="s">
        <v>1730</v>
      </c>
      <c r="E3606">
        <v>20251224</v>
      </c>
      <c r="F3606" s="1" t="s">
        <v>1470</v>
      </c>
      <c r="G3606">
        <v>4</v>
      </c>
      <c r="H3606" s="1" t="s">
        <v>1503</v>
      </c>
      <c r="I3606" t="s">
        <v>1883</v>
      </c>
      <c r="J3606" s="1" t="s">
        <v>1456</v>
      </c>
      <c r="K3606" s="1" t="s">
        <v>1552</v>
      </c>
      <c r="L3606" s="1" t="s">
        <v>1729</v>
      </c>
      <c r="M3606" s="1" t="s">
        <v>1735</v>
      </c>
      <c r="N3606" t="s">
        <v>2097</v>
      </c>
      <c r="O3606" t="s">
        <v>2901</v>
      </c>
      <c r="P3606" t="s">
        <v>3037</v>
      </c>
      <c r="Q3606">
        <v>6</v>
      </c>
      <c r="R3606" s="1" t="s">
        <v>1718</v>
      </c>
      <c r="S3606">
        <v>0</v>
      </c>
      <c r="T3606">
        <v>0</v>
      </c>
    </row>
    <row r="3607" spans="1:20" hidden="1" x14ac:dyDescent="0.4">
      <c r="A3607" s="1" t="s">
        <v>1387</v>
      </c>
      <c r="B3607" s="1" t="s">
        <v>1453</v>
      </c>
      <c r="C3607" s="1" t="s">
        <v>1844</v>
      </c>
      <c r="D3607" s="1" t="s">
        <v>1731</v>
      </c>
      <c r="E3607">
        <v>20251223</v>
      </c>
      <c r="F3607" s="1" t="s">
        <v>1470</v>
      </c>
      <c r="G3607">
        <v>1</v>
      </c>
      <c r="H3607" s="1" t="s">
        <v>1490</v>
      </c>
      <c r="I3607" t="s">
        <v>1870</v>
      </c>
      <c r="J3607" s="1" t="s">
        <v>1456</v>
      </c>
      <c r="K3607" s="1" t="s">
        <v>1561</v>
      </c>
      <c r="L3607" s="1" t="s">
        <v>1716</v>
      </c>
      <c r="M3607" s="1" t="s">
        <v>1735</v>
      </c>
      <c r="N3607" t="s">
        <v>1954</v>
      </c>
      <c r="O3607" t="s">
        <v>2162</v>
      </c>
      <c r="P3607" t="s">
        <v>3060</v>
      </c>
      <c r="Q3607">
        <v>1031</v>
      </c>
      <c r="R3607" s="1" t="s">
        <v>1463</v>
      </c>
      <c r="S3607">
        <v>1517</v>
      </c>
      <c r="T3607">
        <v>1564027</v>
      </c>
    </row>
    <row r="3608" spans="1:20" hidden="1" x14ac:dyDescent="0.4">
      <c r="A3608" s="1" t="s">
        <v>1388</v>
      </c>
      <c r="B3608" s="1" t="s">
        <v>1453</v>
      </c>
      <c r="C3608" s="1" t="s">
        <v>1844</v>
      </c>
      <c r="D3608" s="1" t="s">
        <v>1462</v>
      </c>
      <c r="E3608">
        <v>20251201</v>
      </c>
      <c r="F3608" s="1" t="s">
        <v>1472</v>
      </c>
      <c r="G3608">
        <v>4</v>
      </c>
      <c r="H3608" s="1" t="s">
        <v>1540</v>
      </c>
      <c r="I3608" t="s">
        <v>1920</v>
      </c>
      <c r="J3608" s="1" t="s">
        <v>1457</v>
      </c>
      <c r="K3608" s="1" t="s">
        <v>1709</v>
      </c>
      <c r="L3608" s="1" t="s">
        <v>1719</v>
      </c>
      <c r="M3608" s="1" t="s">
        <v>1768</v>
      </c>
      <c r="N3608" t="s">
        <v>2024</v>
      </c>
      <c r="O3608" t="s">
        <v>2902</v>
      </c>
      <c r="P3608" t="s">
        <v>3620</v>
      </c>
      <c r="Q3608">
        <v>208.21</v>
      </c>
      <c r="R3608" s="1" t="s">
        <v>1839</v>
      </c>
      <c r="S3608">
        <v>4000</v>
      </c>
      <c r="T3608">
        <v>832840</v>
      </c>
    </row>
    <row r="3609" spans="1:20" hidden="1" x14ac:dyDescent="0.4">
      <c r="A3609" s="1" t="s">
        <v>1388</v>
      </c>
      <c r="B3609" s="1" t="s">
        <v>1454</v>
      </c>
      <c r="C3609" s="1" t="s">
        <v>1844</v>
      </c>
      <c r="D3609" s="1" t="s">
        <v>1462</v>
      </c>
      <c r="E3609">
        <v>20251201</v>
      </c>
      <c r="F3609" s="1" t="s">
        <v>1472</v>
      </c>
      <c r="G3609">
        <v>4</v>
      </c>
      <c r="H3609" s="1" t="s">
        <v>1540</v>
      </c>
      <c r="I3609" t="s">
        <v>1920</v>
      </c>
      <c r="J3609" s="1" t="s">
        <v>1457</v>
      </c>
      <c r="K3609" s="1" t="s">
        <v>1709</v>
      </c>
      <c r="L3609" s="1" t="s">
        <v>1719</v>
      </c>
      <c r="M3609" s="1" t="s">
        <v>1768</v>
      </c>
      <c r="N3609" t="s">
        <v>2024</v>
      </c>
      <c r="O3609" t="s">
        <v>2903</v>
      </c>
      <c r="P3609" t="s">
        <v>3037</v>
      </c>
      <c r="Q3609">
        <v>208.21</v>
      </c>
      <c r="R3609" s="1" t="s">
        <v>1839</v>
      </c>
      <c r="S3609">
        <v>4000</v>
      </c>
      <c r="T3609">
        <v>832840</v>
      </c>
    </row>
    <row r="3610" spans="1:20" hidden="1" x14ac:dyDescent="0.4">
      <c r="A3610" s="1" t="s">
        <v>1388</v>
      </c>
      <c r="B3610" s="1" t="s">
        <v>1455</v>
      </c>
      <c r="C3610" s="1" t="s">
        <v>1844</v>
      </c>
      <c r="D3610" s="1" t="s">
        <v>1462</v>
      </c>
      <c r="E3610">
        <v>20251201</v>
      </c>
      <c r="F3610" s="1" t="s">
        <v>1472</v>
      </c>
      <c r="G3610">
        <v>4</v>
      </c>
      <c r="H3610" s="1" t="s">
        <v>1540</v>
      </c>
      <c r="I3610" t="s">
        <v>1920</v>
      </c>
      <c r="J3610" s="1" t="s">
        <v>1457</v>
      </c>
      <c r="K3610" s="1" t="s">
        <v>1643</v>
      </c>
      <c r="L3610" s="1" t="s">
        <v>1725</v>
      </c>
      <c r="M3610" s="1" t="s">
        <v>1737</v>
      </c>
      <c r="N3610" t="s">
        <v>2150</v>
      </c>
      <c r="O3610" t="s">
        <v>2157</v>
      </c>
      <c r="P3610" t="s">
        <v>2157</v>
      </c>
      <c r="Q3610">
        <v>1</v>
      </c>
      <c r="R3610" s="1" t="s">
        <v>1843</v>
      </c>
      <c r="S3610">
        <v>46638</v>
      </c>
      <c r="T3610">
        <v>46638</v>
      </c>
    </row>
    <row r="3611" spans="1:20" hidden="1" x14ac:dyDescent="0.4">
      <c r="A3611" s="1" t="s">
        <v>1388</v>
      </c>
      <c r="B3611" s="1" t="s">
        <v>1456</v>
      </c>
      <c r="C3611" s="1" t="s">
        <v>1844</v>
      </c>
      <c r="D3611" s="1" t="s">
        <v>1462</v>
      </c>
      <c r="E3611">
        <v>20251201</v>
      </c>
      <c r="F3611" s="1" t="s">
        <v>1472</v>
      </c>
      <c r="G3611">
        <v>4</v>
      </c>
      <c r="H3611" s="1" t="s">
        <v>1540</v>
      </c>
      <c r="I3611" t="s">
        <v>1920</v>
      </c>
      <c r="J3611" s="1" t="s">
        <v>1457</v>
      </c>
      <c r="K3611" s="1" t="s">
        <v>1642</v>
      </c>
      <c r="L3611" s="1" t="s">
        <v>1725</v>
      </c>
      <c r="M3611" s="1" t="s">
        <v>1737</v>
      </c>
      <c r="N3611" t="s">
        <v>2023</v>
      </c>
      <c r="O3611" t="s">
        <v>2157</v>
      </c>
      <c r="P3611" t="s">
        <v>2157</v>
      </c>
      <c r="Q3611">
        <v>1</v>
      </c>
      <c r="R3611" s="1" t="s">
        <v>1843</v>
      </c>
      <c r="S3611">
        <v>77940</v>
      </c>
      <c r="T3611">
        <v>77940</v>
      </c>
    </row>
    <row r="3612" spans="1:20" hidden="1" x14ac:dyDescent="0.4">
      <c r="A3612" s="1" t="s">
        <v>1389</v>
      </c>
      <c r="B3612" s="1" t="s">
        <v>1453</v>
      </c>
      <c r="C3612" s="1" t="s">
        <v>1844</v>
      </c>
      <c r="D3612" s="1" t="s">
        <v>1462</v>
      </c>
      <c r="E3612">
        <v>20251216</v>
      </c>
      <c r="F3612" s="1" t="s">
        <v>1472</v>
      </c>
      <c r="G3612">
        <v>4</v>
      </c>
      <c r="H3612" s="1" t="s">
        <v>1541</v>
      </c>
      <c r="I3612" t="s">
        <v>1921</v>
      </c>
      <c r="J3612" s="1" t="s">
        <v>1457</v>
      </c>
      <c r="K3612" s="1" t="s">
        <v>1643</v>
      </c>
      <c r="L3612" s="1" t="s">
        <v>1725</v>
      </c>
      <c r="M3612" s="1" t="s">
        <v>1737</v>
      </c>
      <c r="N3612" t="s">
        <v>2151</v>
      </c>
      <c r="O3612" t="s">
        <v>2904</v>
      </c>
      <c r="P3612" t="s">
        <v>3153</v>
      </c>
      <c r="Q3612">
        <v>1</v>
      </c>
      <c r="R3612" s="1" t="s">
        <v>1839</v>
      </c>
      <c r="S3612">
        <v>15543</v>
      </c>
      <c r="T3612">
        <v>15543</v>
      </c>
    </row>
    <row r="3613" spans="1:20" hidden="1" x14ac:dyDescent="0.4">
      <c r="A3613" s="1" t="s">
        <v>1389</v>
      </c>
      <c r="B3613" s="1" t="s">
        <v>1454</v>
      </c>
      <c r="C3613" s="1" t="s">
        <v>1844</v>
      </c>
      <c r="D3613" s="1" t="s">
        <v>1462</v>
      </c>
      <c r="E3613">
        <v>20251216</v>
      </c>
      <c r="F3613" s="1" t="s">
        <v>1472</v>
      </c>
      <c r="G3613">
        <v>4</v>
      </c>
      <c r="H3613" s="1" t="s">
        <v>1541</v>
      </c>
      <c r="I3613" t="s">
        <v>1921</v>
      </c>
      <c r="J3613" s="1" t="s">
        <v>1457</v>
      </c>
      <c r="K3613" s="1" t="s">
        <v>1642</v>
      </c>
      <c r="L3613" s="1" t="s">
        <v>1725</v>
      </c>
      <c r="M3613" s="1" t="s">
        <v>1737</v>
      </c>
      <c r="N3613" t="s">
        <v>2023</v>
      </c>
      <c r="O3613" t="s">
        <v>2905</v>
      </c>
      <c r="P3613" t="s">
        <v>2157</v>
      </c>
      <c r="Q3613">
        <v>1</v>
      </c>
      <c r="R3613" s="1" t="s">
        <v>1843</v>
      </c>
      <c r="S3613">
        <v>81600</v>
      </c>
      <c r="T3613">
        <v>81600</v>
      </c>
    </row>
    <row r="3614" spans="1:20" hidden="1" x14ac:dyDescent="0.4">
      <c r="A3614" s="1" t="s">
        <v>1390</v>
      </c>
      <c r="B3614" s="1" t="s">
        <v>1453</v>
      </c>
      <c r="C3614" s="1" t="s">
        <v>1844</v>
      </c>
      <c r="D3614" s="1" t="s">
        <v>1462</v>
      </c>
      <c r="E3614">
        <v>20251201</v>
      </c>
      <c r="F3614" s="1" t="s">
        <v>1472</v>
      </c>
      <c r="G3614">
        <v>4</v>
      </c>
      <c r="H3614" s="1" t="s">
        <v>1493</v>
      </c>
      <c r="I3614" t="s">
        <v>1873</v>
      </c>
      <c r="J3614" s="1" t="s">
        <v>1457</v>
      </c>
      <c r="K3614" s="1" t="s">
        <v>1710</v>
      </c>
      <c r="L3614" s="1" t="s">
        <v>1719</v>
      </c>
      <c r="M3614" s="1" t="s">
        <v>1827</v>
      </c>
      <c r="N3614" t="s">
        <v>2152</v>
      </c>
      <c r="O3614" t="s">
        <v>2177</v>
      </c>
      <c r="P3614" t="s">
        <v>3621</v>
      </c>
      <c r="Q3614">
        <v>25.84</v>
      </c>
      <c r="R3614" s="1" t="s">
        <v>1839</v>
      </c>
      <c r="S3614">
        <v>2800</v>
      </c>
      <c r="T3614">
        <v>72352</v>
      </c>
    </row>
    <row r="3615" spans="1:20" hidden="1" x14ac:dyDescent="0.4">
      <c r="A3615" s="1" t="s">
        <v>1390</v>
      </c>
      <c r="B3615" s="1" t="s">
        <v>1454</v>
      </c>
      <c r="C3615" s="1" t="s">
        <v>1844</v>
      </c>
      <c r="D3615" s="1" t="s">
        <v>1462</v>
      </c>
      <c r="E3615">
        <v>20251201</v>
      </c>
      <c r="F3615" s="1" t="s">
        <v>1472</v>
      </c>
      <c r="G3615">
        <v>4</v>
      </c>
      <c r="H3615" s="1" t="s">
        <v>1493</v>
      </c>
      <c r="I3615" t="s">
        <v>1873</v>
      </c>
      <c r="J3615" s="1" t="s">
        <v>1457</v>
      </c>
      <c r="K3615" s="1" t="s">
        <v>1643</v>
      </c>
      <c r="L3615" s="1" t="s">
        <v>1725</v>
      </c>
      <c r="M3615" s="1" t="s">
        <v>1737</v>
      </c>
      <c r="N3615" t="s">
        <v>2150</v>
      </c>
      <c r="O3615" t="s">
        <v>2157</v>
      </c>
      <c r="P3615" t="s">
        <v>2157</v>
      </c>
      <c r="Q3615">
        <v>1</v>
      </c>
      <c r="R3615" s="1" t="s">
        <v>1843</v>
      </c>
      <c r="S3615">
        <v>1654</v>
      </c>
      <c r="T3615">
        <v>1654</v>
      </c>
    </row>
    <row r="3616" spans="1:20" hidden="1" x14ac:dyDescent="0.4">
      <c r="A3616" s="1" t="s">
        <v>1390</v>
      </c>
      <c r="B3616" s="1" t="s">
        <v>1455</v>
      </c>
      <c r="C3616" s="1" t="s">
        <v>1844</v>
      </c>
      <c r="D3616" s="1" t="s">
        <v>1462</v>
      </c>
      <c r="E3616">
        <v>20251201</v>
      </c>
      <c r="F3616" s="1" t="s">
        <v>1472</v>
      </c>
      <c r="G3616">
        <v>4</v>
      </c>
      <c r="H3616" s="1" t="s">
        <v>1493</v>
      </c>
      <c r="I3616" t="s">
        <v>1873</v>
      </c>
      <c r="J3616" s="1" t="s">
        <v>1457</v>
      </c>
      <c r="K3616" s="1" t="s">
        <v>1642</v>
      </c>
      <c r="L3616" s="1" t="s">
        <v>1725</v>
      </c>
      <c r="M3616" s="1" t="s">
        <v>1737</v>
      </c>
      <c r="N3616" t="s">
        <v>2023</v>
      </c>
      <c r="O3616" t="s">
        <v>2157</v>
      </c>
      <c r="P3616" t="s">
        <v>2157</v>
      </c>
      <c r="Q3616">
        <v>1</v>
      </c>
      <c r="R3616" s="1" t="s">
        <v>1843</v>
      </c>
      <c r="S3616">
        <v>40916</v>
      </c>
      <c r="T3616">
        <v>40916</v>
      </c>
    </row>
    <row r="3617" spans="1:20" hidden="1" x14ac:dyDescent="0.4">
      <c r="A3617" s="1" t="s">
        <v>1391</v>
      </c>
      <c r="B3617" s="1" t="s">
        <v>1453</v>
      </c>
      <c r="C3617" s="1" t="s">
        <v>1844</v>
      </c>
      <c r="D3617" s="1" t="s">
        <v>1462</v>
      </c>
      <c r="E3617">
        <v>20251204</v>
      </c>
      <c r="F3617" s="1" t="s">
        <v>1472</v>
      </c>
      <c r="G3617">
        <v>4</v>
      </c>
      <c r="H3617" s="1" t="s">
        <v>1496</v>
      </c>
      <c r="I3617" t="s">
        <v>1876</v>
      </c>
      <c r="J3617" s="1" t="s">
        <v>1457</v>
      </c>
      <c r="K3617" s="1" t="s">
        <v>1711</v>
      </c>
      <c r="L3617" s="1" t="s">
        <v>1719</v>
      </c>
      <c r="M3617" s="1" t="s">
        <v>1768</v>
      </c>
      <c r="N3617" t="s">
        <v>2153</v>
      </c>
      <c r="O3617" t="s">
        <v>2906</v>
      </c>
      <c r="P3617" t="s">
        <v>3620</v>
      </c>
      <c r="Q3617">
        <v>504</v>
      </c>
      <c r="R3617" s="1" t="s">
        <v>1839</v>
      </c>
      <c r="S3617">
        <v>4152</v>
      </c>
      <c r="T3617">
        <v>2092608</v>
      </c>
    </row>
    <row r="3618" spans="1:20" hidden="1" x14ac:dyDescent="0.4">
      <c r="A3618" s="1" t="s">
        <v>1391</v>
      </c>
      <c r="B3618" s="1" t="s">
        <v>1454</v>
      </c>
      <c r="C3618" s="1" t="s">
        <v>1844</v>
      </c>
      <c r="D3618" s="1" t="s">
        <v>1462</v>
      </c>
      <c r="E3618">
        <v>20251204</v>
      </c>
      <c r="F3618" s="1" t="s">
        <v>1472</v>
      </c>
      <c r="G3618">
        <v>4</v>
      </c>
      <c r="H3618" s="1" t="s">
        <v>1496</v>
      </c>
      <c r="I3618" t="s">
        <v>1876</v>
      </c>
      <c r="J3618" s="1" t="s">
        <v>1457</v>
      </c>
      <c r="K3618" s="1" t="s">
        <v>1642</v>
      </c>
      <c r="L3618" s="1" t="s">
        <v>1725</v>
      </c>
      <c r="M3618" s="1" t="s">
        <v>1737</v>
      </c>
      <c r="N3618" t="s">
        <v>2023</v>
      </c>
      <c r="O3618" t="s">
        <v>2157</v>
      </c>
      <c r="P3618" t="s">
        <v>2157</v>
      </c>
      <c r="Q3618">
        <v>1</v>
      </c>
      <c r="R3618" s="1" t="s">
        <v>1843</v>
      </c>
      <c r="S3618">
        <v>103560</v>
      </c>
      <c r="T3618">
        <v>103560</v>
      </c>
    </row>
    <row r="3619" spans="1:20" hidden="1" x14ac:dyDescent="0.4">
      <c r="A3619" s="1" t="s">
        <v>1392</v>
      </c>
      <c r="B3619" s="1" t="s">
        <v>1453</v>
      </c>
      <c r="C3619" s="1" t="s">
        <v>1844</v>
      </c>
      <c r="D3619" s="1" t="s">
        <v>1462</v>
      </c>
      <c r="E3619">
        <v>20251211</v>
      </c>
      <c r="F3619" s="1" t="s">
        <v>1472</v>
      </c>
      <c r="G3619">
        <v>4</v>
      </c>
      <c r="H3619" s="1" t="s">
        <v>1540</v>
      </c>
      <c r="I3619" t="s">
        <v>1920</v>
      </c>
      <c r="J3619" s="1" t="s">
        <v>1457</v>
      </c>
      <c r="K3619" s="1" t="s">
        <v>1709</v>
      </c>
      <c r="L3619" s="1" t="s">
        <v>1719</v>
      </c>
      <c r="M3619" s="1" t="s">
        <v>1768</v>
      </c>
      <c r="N3619" t="s">
        <v>2024</v>
      </c>
      <c r="O3619" t="s">
        <v>2907</v>
      </c>
      <c r="P3619" t="s">
        <v>3037</v>
      </c>
      <c r="Q3619">
        <v>576.58000000000004</v>
      </c>
      <c r="R3619" s="1" t="s">
        <v>1839</v>
      </c>
      <c r="S3619">
        <v>4000</v>
      </c>
      <c r="T3619">
        <v>2306320</v>
      </c>
    </row>
    <row r="3620" spans="1:20" hidden="1" x14ac:dyDescent="0.4">
      <c r="A3620" s="1" t="s">
        <v>1392</v>
      </c>
      <c r="B3620" s="1" t="s">
        <v>1454</v>
      </c>
      <c r="C3620" s="1" t="s">
        <v>1844</v>
      </c>
      <c r="D3620" s="1" t="s">
        <v>1462</v>
      </c>
      <c r="E3620">
        <v>20251211</v>
      </c>
      <c r="F3620" s="1" t="s">
        <v>1472</v>
      </c>
      <c r="G3620">
        <v>4</v>
      </c>
      <c r="H3620" s="1" t="s">
        <v>1540</v>
      </c>
      <c r="I3620" t="s">
        <v>1920</v>
      </c>
      <c r="J3620" s="1" t="s">
        <v>1457</v>
      </c>
      <c r="K3620" s="1" t="s">
        <v>1643</v>
      </c>
      <c r="L3620" s="1" t="s">
        <v>1725</v>
      </c>
      <c r="M3620" s="1" t="s">
        <v>1737</v>
      </c>
      <c r="N3620" t="s">
        <v>2150</v>
      </c>
      <c r="O3620" t="s">
        <v>2157</v>
      </c>
      <c r="P3620" t="s">
        <v>2157</v>
      </c>
      <c r="Q3620">
        <v>1</v>
      </c>
      <c r="R3620" s="1" t="s">
        <v>1843</v>
      </c>
      <c r="S3620">
        <v>62340</v>
      </c>
      <c r="T3620">
        <v>62340</v>
      </c>
    </row>
    <row r="3621" spans="1:20" hidden="1" x14ac:dyDescent="0.4">
      <c r="A3621" s="1" t="s">
        <v>1392</v>
      </c>
      <c r="B3621" s="1" t="s">
        <v>1455</v>
      </c>
      <c r="C3621" s="1" t="s">
        <v>1844</v>
      </c>
      <c r="D3621" s="1" t="s">
        <v>1462</v>
      </c>
      <c r="E3621">
        <v>20251211</v>
      </c>
      <c r="F3621" s="1" t="s">
        <v>1472</v>
      </c>
      <c r="G3621">
        <v>4</v>
      </c>
      <c r="H3621" s="1" t="s">
        <v>1540</v>
      </c>
      <c r="I3621" t="s">
        <v>1920</v>
      </c>
      <c r="J3621" s="1" t="s">
        <v>1457</v>
      </c>
      <c r="K3621" s="1" t="s">
        <v>1642</v>
      </c>
      <c r="L3621" s="1" t="s">
        <v>1725</v>
      </c>
      <c r="M3621" s="1" t="s">
        <v>1737</v>
      </c>
      <c r="N3621" t="s">
        <v>2023</v>
      </c>
      <c r="O3621" t="s">
        <v>2157</v>
      </c>
      <c r="P3621" t="s">
        <v>2157</v>
      </c>
      <c r="Q3621">
        <v>1</v>
      </c>
      <c r="R3621" s="1" t="s">
        <v>1843</v>
      </c>
      <c r="S3621">
        <v>130260</v>
      </c>
      <c r="T3621">
        <v>130260</v>
      </c>
    </row>
    <row r="3622" spans="1:20" hidden="1" x14ac:dyDescent="0.4">
      <c r="A3622" s="1" t="s">
        <v>1393</v>
      </c>
      <c r="B3622" s="1" t="s">
        <v>1453</v>
      </c>
      <c r="C3622" s="1" t="s">
        <v>1844</v>
      </c>
      <c r="D3622" s="1" t="s">
        <v>1730</v>
      </c>
      <c r="E3622">
        <v>20251216</v>
      </c>
      <c r="F3622" s="1" t="s">
        <v>1472</v>
      </c>
      <c r="G3622">
        <v>4</v>
      </c>
      <c r="H3622" s="1" t="s">
        <v>1541</v>
      </c>
      <c r="I3622" t="s">
        <v>1921</v>
      </c>
      <c r="J3622" s="1" t="s">
        <v>1457</v>
      </c>
      <c r="K3622" s="1" t="s">
        <v>1712</v>
      </c>
      <c r="L3622" s="1" t="s">
        <v>1719</v>
      </c>
      <c r="M3622" s="1" t="s">
        <v>1762</v>
      </c>
      <c r="N3622" t="s">
        <v>2151</v>
      </c>
      <c r="O3622" t="s">
        <v>2904</v>
      </c>
      <c r="P3622" t="s">
        <v>3077</v>
      </c>
      <c r="Q3622">
        <v>160.57</v>
      </c>
      <c r="R3622" s="1" t="s">
        <v>1839</v>
      </c>
      <c r="S3622">
        <v>0</v>
      </c>
      <c r="T3622">
        <v>0</v>
      </c>
    </row>
    <row r="3623" spans="1:20" hidden="1" x14ac:dyDescent="0.4">
      <c r="A3623" s="1" t="s">
        <v>1394</v>
      </c>
      <c r="B3623" s="1" t="s">
        <v>1453</v>
      </c>
      <c r="C3623" s="1" t="s">
        <v>1844</v>
      </c>
      <c r="D3623" s="1" t="s">
        <v>1852</v>
      </c>
      <c r="E3623">
        <v>20251225</v>
      </c>
      <c r="F3623" s="1" t="s">
        <v>1473</v>
      </c>
      <c r="G3623">
        <v>4</v>
      </c>
      <c r="H3623" s="1" t="s">
        <v>1493</v>
      </c>
      <c r="I3623" t="s">
        <v>1873</v>
      </c>
      <c r="J3623" s="1" t="s">
        <v>1453</v>
      </c>
      <c r="K3623" s="1" t="s">
        <v>1608</v>
      </c>
      <c r="L3623" s="1" t="s">
        <v>1718</v>
      </c>
      <c r="M3623" s="1" t="s">
        <v>1769</v>
      </c>
      <c r="N3623" t="s">
        <v>1982</v>
      </c>
      <c r="O3623" t="s">
        <v>2164</v>
      </c>
      <c r="P3623" t="s">
        <v>3093</v>
      </c>
      <c r="Q3623">
        <v>-94.64</v>
      </c>
      <c r="R3623" s="1" t="s">
        <v>1839</v>
      </c>
      <c r="S3623">
        <v>2419</v>
      </c>
      <c r="T3623">
        <v>-228934</v>
      </c>
    </row>
    <row r="3624" spans="1:20" hidden="1" x14ac:dyDescent="0.4">
      <c r="A3624" s="1" t="s">
        <v>1394</v>
      </c>
      <c r="B3624" s="1" t="s">
        <v>1454</v>
      </c>
      <c r="C3624" s="1" t="s">
        <v>1844</v>
      </c>
      <c r="D3624" s="1" t="s">
        <v>1852</v>
      </c>
      <c r="E3624">
        <v>20251225</v>
      </c>
      <c r="F3624" s="1" t="s">
        <v>1473</v>
      </c>
      <c r="G3624">
        <v>4</v>
      </c>
      <c r="H3624" s="1" t="s">
        <v>1493</v>
      </c>
      <c r="I3624" t="s">
        <v>1873</v>
      </c>
      <c r="J3624" s="1" t="s">
        <v>1453</v>
      </c>
      <c r="K3624" s="1" t="s">
        <v>1608</v>
      </c>
      <c r="L3624" s="1" t="s">
        <v>1718</v>
      </c>
      <c r="M3624" s="1" t="s">
        <v>1769</v>
      </c>
      <c r="N3624" t="s">
        <v>1982</v>
      </c>
      <c r="O3624" t="s">
        <v>2164</v>
      </c>
      <c r="P3624" t="s">
        <v>3093</v>
      </c>
      <c r="Q3624">
        <v>-80.08</v>
      </c>
      <c r="R3624" s="1" t="s">
        <v>1839</v>
      </c>
      <c r="S3624">
        <v>2419</v>
      </c>
      <c r="T3624">
        <v>-193713</v>
      </c>
    </row>
    <row r="3625" spans="1:20" hidden="1" x14ac:dyDescent="0.4">
      <c r="A3625" s="1" t="s">
        <v>1394</v>
      </c>
      <c r="B3625" s="1" t="s">
        <v>1455</v>
      </c>
      <c r="C3625" s="1" t="s">
        <v>1844</v>
      </c>
      <c r="D3625" s="1" t="s">
        <v>1852</v>
      </c>
      <c r="E3625">
        <v>20251225</v>
      </c>
      <c r="F3625" s="1" t="s">
        <v>1473</v>
      </c>
      <c r="G3625">
        <v>4</v>
      </c>
      <c r="H3625" s="1" t="s">
        <v>1493</v>
      </c>
      <c r="I3625" t="s">
        <v>1873</v>
      </c>
      <c r="J3625" s="1" t="s">
        <v>1453</v>
      </c>
      <c r="K3625" s="1" t="s">
        <v>1608</v>
      </c>
      <c r="L3625" s="1" t="s">
        <v>1718</v>
      </c>
      <c r="M3625" s="1" t="s">
        <v>1769</v>
      </c>
      <c r="N3625" t="s">
        <v>1982</v>
      </c>
      <c r="O3625" t="s">
        <v>2164</v>
      </c>
      <c r="P3625" t="s">
        <v>3093</v>
      </c>
      <c r="Q3625">
        <v>-80.08</v>
      </c>
      <c r="R3625" s="1" t="s">
        <v>1839</v>
      </c>
      <c r="S3625">
        <v>2419</v>
      </c>
      <c r="T3625">
        <v>-193713</v>
      </c>
    </row>
    <row r="3626" spans="1:20" hidden="1" x14ac:dyDescent="0.4">
      <c r="A3626" s="1" t="s">
        <v>1394</v>
      </c>
      <c r="B3626" s="1" t="s">
        <v>1456</v>
      </c>
      <c r="C3626" s="1" t="s">
        <v>1844</v>
      </c>
      <c r="D3626" s="1" t="s">
        <v>1852</v>
      </c>
      <c r="E3626">
        <v>20251225</v>
      </c>
      <c r="F3626" s="1" t="s">
        <v>1473</v>
      </c>
      <c r="G3626">
        <v>4</v>
      </c>
      <c r="H3626" s="1" t="s">
        <v>1493</v>
      </c>
      <c r="I3626" t="s">
        <v>1873</v>
      </c>
      <c r="J3626" s="1" t="s">
        <v>1453</v>
      </c>
      <c r="K3626" s="1" t="s">
        <v>1608</v>
      </c>
      <c r="L3626" s="1" t="s">
        <v>1718</v>
      </c>
      <c r="M3626" s="1" t="s">
        <v>1769</v>
      </c>
      <c r="N3626" t="s">
        <v>1982</v>
      </c>
      <c r="O3626" t="s">
        <v>2164</v>
      </c>
      <c r="P3626" t="s">
        <v>3093</v>
      </c>
      <c r="Q3626">
        <v>-80.08</v>
      </c>
      <c r="R3626" s="1" t="s">
        <v>1839</v>
      </c>
      <c r="S3626">
        <v>2419</v>
      </c>
      <c r="T3626">
        <v>-193713</v>
      </c>
    </row>
    <row r="3627" spans="1:20" hidden="1" x14ac:dyDescent="0.4">
      <c r="A3627" s="1" t="s">
        <v>1395</v>
      </c>
      <c r="B3627" s="1" t="s">
        <v>1453</v>
      </c>
      <c r="C3627" s="1" t="s">
        <v>1844</v>
      </c>
      <c r="D3627" s="1" t="s">
        <v>1467</v>
      </c>
      <c r="E3627">
        <v>20251224</v>
      </c>
      <c r="F3627" s="1" t="s">
        <v>1470</v>
      </c>
      <c r="G3627">
        <v>4</v>
      </c>
      <c r="H3627" s="1" t="s">
        <v>1503</v>
      </c>
      <c r="I3627" t="s">
        <v>1883</v>
      </c>
      <c r="J3627" s="1" t="s">
        <v>1456</v>
      </c>
      <c r="K3627" s="1" t="s">
        <v>1612</v>
      </c>
      <c r="L3627" s="1" t="s">
        <v>1729</v>
      </c>
      <c r="M3627" s="1" t="s">
        <v>1737</v>
      </c>
      <c r="N3627" t="s">
        <v>1986</v>
      </c>
      <c r="O3627" t="s">
        <v>2908</v>
      </c>
      <c r="P3627" t="s">
        <v>2157</v>
      </c>
      <c r="Q3627">
        <v>12.3</v>
      </c>
      <c r="R3627" s="1" t="s">
        <v>1839</v>
      </c>
      <c r="S3627">
        <v>1251</v>
      </c>
      <c r="T3627">
        <v>15387</v>
      </c>
    </row>
    <row r="3628" spans="1:20" hidden="1" x14ac:dyDescent="0.4">
      <c r="A3628" s="1" t="s">
        <v>1395</v>
      </c>
      <c r="B3628" s="1" t="s">
        <v>1454</v>
      </c>
      <c r="C3628" s="1" t="s">
        <v>1844</v>
      </c>
      <c r="D3628" s="1" t="s">
        <v>1467</v>
      </c>
      <c r="E3628">
        <v>20251224</v>
      </c>
      <c r="F3628" s="1" t="s">
        <v>1470</v>
      </c>
      <c r="G3628">
        <v>4</v>
      </c>
      <c r="H3628" s="1" t="s">
        <v>1503</v>
      </c>
      <c r="I3628" t="s">
        <v>1883</v>
      </c>
      <c r="J3628" s="1" t="s">
        <v>1456</v>
      </c>
      <c r="K3628" s="1" t="s">
        <v>1612</v>
      </c>
      <c r="L3628" s="1" t="s">
        <v>1729</v>
      </c>
      <c r="M3628" s="1" t="s">
        <v>1737</v>
      </c>
      <c r="N3628" t="s">
        <v>1986</v>
      </c>
      <c r="O3628" t="s">
        <v>2909</v>
      </c>
      <c r="P3628" t="s">
        <v>2157</v>
      </c>
      <c r="Q3628">
        <v>12.3</v>
      </c>
      <c r="R3628" s="1" t="s">
        <v>1839</v>
      </c>
      <c r="S3628">
        <v>1251</v>
      </c>
      <c r="T3628">
        <v>15387</v>
      </c>
    </row>
    <row r="3629" spans="1:20" hidden="1" x14ac:dyDescent="0.4">
      <c r="A3629" s="1" t="s">
        <v>1395</v>
      </c>
      <c r="B3629" s="1" t="s">
        <v>1455</v>
      </c>
      <c r="C3629" s="1" t="s">
        <v>1844</v>
      </c>
      <c r="D3629" s="1" t="s">
        <v>1467</v>
      </c>
      <c r="E3629">
        <v>20251224</v>
      </c>
      <c r="F3629" s="1" t="s">
        <v>1470</v>
      </c>
      <c r="G3629">
        <v>4</v>
      </c>
      <c r="H3629" s="1" t="s">
        <v>1503</v>
      </c>
      <c r="I3629" t="s">
        <v>1883</v>
      </c>
      <c r="J3629" s="1" t="s">
        <v>1456</v>
      </c>
      <c r="K3629" s="1" t="s">
        <v>1612</v>
      </c>
      <c r="L3629" s="1" t="s">
        <v>1729</v>
      </c>
      <c r="M3629" s="1" t="s">
        <v>1737</v>
      </c>
      <c r="N3629" t="s">
        <v>1986</v>
      </c>
      <c r="O3629" t="s">
        <v>2910</v>
      </c>
      <c r="P3629" t="s">
        <v>2157</v>
      </c>
      <c r="Q3629">
        <v>12.3</v>
      </c>
      <c r="R3629" s="1" t="s">
        <v>1839</v>
      </c>
      <c r="S3629">
        <v>1251</v>
      </c>
      <c r="T3629">
        <v>15387</v>
      </c>
    </row>
    <row r="3630" spans="1:20" hidden="1" x14ac:dyDescent="0.4">
      <c r="A3630" s="1" t="s">
        <v>1395</v>
      </c>
      <c r="B3630" s="1" t="s">
        <v>1456</v>
      </c>
      <c r="C3630" s="1" t="s">
        <v>1844</v>
      </c>
      <c r="D3630" s="1" t="s">
        <v>1467</v>
      </c>
      <c r="E3630">
        <v>20251224</v>
      </c>
      <c r="F3630" s="1" t="s">
        <v>1470</v>
      </c>
      <c r="G3630">
        <v>4</v>
      </c>
      <c r="H3630" s="1" t="s">
        <v>1503</v>
      </c>
      <c r="I3630" t="s">
        <v>1883</v>
      </c>
      <c r="J3630" s="1" t="s">
        <v>1456</v>
      </c>
      <c r="K3630" s="1" t="s">
        <v>1612</v>
      </c>
      <c r="L3630" s="1" t="s">
        <v>1729</v>
      </c>
      <c r="M3630" s="1" t="s">
        <v>1737</v>
      </c>
      <c r="N3630" t="s">
        <v>1986</v>
      </c>
      <c r="O3630" t="s">
        <v>2911</v>
      </c>
      <c r="P3630" t="s">
        <v>2157</v>
      </c>
      <c r="Q3630">
        <v>12.3</v>
      </c>
      <c r="R3630" s="1" t="s">
        <v>1839</v>
      </c>
      <c r="S3630">
        <v>1251</v>
      </c>
      <c r="T3630">
        <v>15387</v>
      </c>
    </row>
    <row r="3631" spans="1:20" hidden="1" x14ac:dyDescent="0.4">
      <c r="A3631" s="1" t="s">
        <v>1395</v>
      </c>
      <c r="B3631" s="1" t="s">
        <v>1457</v>
      </c>
      <c r="C3631" s="1" t="s">
        <v>1844</v>
      </c>
      <c r="D3631" s="1" t="s">
        <v>1467</v>
      </c>
      <c r="E3631">
        <v>20251224</v>
      </c>
      <c r="F3631" s="1" t="s">
        <v>1470</v>
      </c>
      <c r="G3631">
        <v>4</v>
      </c>
      <c r="H3631" s="1" t="s">
        <v>1503</v>
      </c>
      <c r="I3631" t="s">
        <v>1883</v>
      </c>
      <c r="J3631" s="1" t="s">
        <v>1456</v>
      </c>
      <c r="K3631" s="1" t="s">
        <v>1612</v>
      </c>
      <c r="L3631" s="1" t="s">
        <v>1729</v>
      </c>
      <c r="M3631" s="1" t="s">
        <v>1737</v>
      </c>
      <c r="N3631" t="s">
        <v>1986</v>
      </c>
      <c r="O3631" t="s">
        <v>2912</v>
      </c>
      <c r="P3631" t="s">
        <v>2157</v>
      </c>
      <c r="Q3631">
        <v>12.3</v>
      </c>
      <c r="R3631" s="1" t="s">
        <v>1839</v>
      </c>
      <c r="S3631">
        <v>1251</v>
      </c>
      <c r="T3631">
        <v>15387</v>
      </c>
    </row>
    <row r="3632" spans="1:20" hidden="1" x14ac:dyDescent="0.4">
      <c r="A3632" s="1" t="s">
        <v>1395</v>
      </c>
      <c r="B3632" s="1" t="s">
        <v>1458</v>
      </c>
      <c r="C3632" s="1" t="s">
        <v>1844</v>
      </c>
      <c r="D3632" s="1" t="s">
        <v>1467</v>
      </c>
      <c r="E3632">
        <v>20251224</v>
      </c>
      <c r="F3632" s="1" t="s">
        <v>1470</v>
      </c>
      <c r="G3632">
        <v>4</v>
      </c>
      <c r="H3632" s="1" t="s">
        <v>1503</v>
      </c>
      <c r="I3632" t="s">
        <v>1883</v>
      </c>
      <c r="J3632" s="1" t="s">
        <v>1456</v>
      </c>
      <c r="K3632" s="1" t="s">
        <v>1612</v>
      </c>
      <c r="L3632" s="1" t="s">
        <v>1729</v>
      </c>
      <c r="M3632" s="1" t="s">
        <v>1737</v>
      </c>
      <c r="N3632" t="s">
        <v>1986</v>
      </c>
      <c r="O3632" t="s">
        <v>2913</v>
      </c>
      <c r="P3632" t="s">
        <v>2157</v>
      </c>
      <c r="Q3632">
        <v>12.3</v>
      </c>
      <c r="R3632" s="1" t="s">
        <v>1839</v>
      </c>
      <c r="S3632">
        <v>1251</v>
      </c>
      <c r="T3632">
        <v>15387</v>
      </c>
    </row>
    <row r="3633" spans="1:20" hidden="1" x14ac:dyDescent="0.4">
      <c r="A3633" s="1" t="s">
        <v>1395</v>
      </c>
      <c r="B3633" s="1" t="s">
        <v>1459</v>
      </c>
      <c r="C3633" s="1" t="s">
        <v>1844</v>
      </c>
      <c r="D3633" s="1" t="s">
        <v>1467</v>
      </c>
      <c r="E3633">
        <v>20251224</v>
      </c>
      <c r="F3633" s="1" t="s">
        <v>1470</v>
      </c>
      <c r="G3633">
        <v>4</v>
      </c>
      <c r="H3633" s="1" t="s">
        <v>1503</v>
      </c>
      <c r="I3633" t="s">
        <v>1883</v>
      </c>
      <c r="J3633" s="1" t="s">
        <v>1456</v>
      </c>
      <c r="K3633" s="1" t="s">
        <v>1612</v>
      </c>
      <c r="L3633" s="1" t="s">
        <v>1729</v>
      </c>
      <c r="M3633" s="1" t="s">
        <v>1737</v>
      </c>
      <c r="N3633" t="s">
        <v>1986</v>
      </c>
      <c r="O3633" t="s">
        <v>2914</v>
      </c>
      <c r="P3633" t="s">
        <v>2157</v>
      </c>
      <c r="Q3633">
        <v>12.3</v>
      </c>
      <c r="R3633" s="1" t="s">
        <v>1839</v>
      </c>
      <c r="S3633">
        <v>1251</v>
      </c>
      <c r="T3633">
        <v>15387</v>
      </c>
    </row>
    <row r="3634" spans="1:20" hidden="1" x14ac:dyDescent="0.4">
      <c r="A3634" s="1" t="s">
        <v>1395</v>
      </c>
      <c r="B3634" s="1" t="s">
        <v>1460</v>
      </c>
      <c r="C3634" s="1" t="s">
        <v>1844</v>
      </c>
      <c r="D3634" s="1" t="s">
        <v>1467</v>
      </c>
      <c r="E3634">
        <v>20251224</v>
      </c>
      <c r="F3634" s="1" t="s">
        <v>1470</v>
      </c>
      <c r="G3634">
        <v>4</v>
      </c>
      <c r="H3634" s="1" t="s">
        <v>1503</v>
      </c>
      <c r="I3634" t="s">
        <v>1883</v>
      </c>
      <c r="J3634" s="1" t="s">
        <v>1456</v>
      </c>
      <c r="K3634" s="1" t="s">
        <v>1612</v>
      </c>
      <c r="L3634" s="1" t="s">
        <v>1729</v>
      </c>
      <c r="M3634" s="1" t="s">
        <v>1737</v>
      </c>
      <c r="N3634" t="s">
        <v>1986</v>
      </c>
      <c r="O3634" t="s">
        <v>2915</v>
      </c>
      <c r="P3634" t="s">
        <v>2157</v>
      </c>
      <c r="Q3634">
        <v>12.3</v>
      </c>
      <c r="R3634" s="1" t="s">
        <v>1839</v>
      </c>
      <c r="S3634">
        <v>1251</v>
      </c>
      <c r="T3634">
        <v>15387</v>
      </c>
    </row>
    <row r="3635" spans="1:20" hidden="1" x14ac:dyDescent="0.4">
      <c r="A3635" s="1" t="s">
        <v>1395</v>
      </c>
      <c r="B3635" s="1" t="s">
        <v>1461</v>
      </c>
      <c r="C3635" s="1" t="s">
        <v>1844</v>
      </c>
      <c r="D3635" s="1" t="s">
        <v>1467</v>
      </c>
      <c r="E3635">
        <v>20251224</v>
      </c>
      <c r="F3635" s="1" t="s">
        <v>1470</v>
      </c>
      <c r="G3635">
        <v>4</v>
      </c>
      <c r="H3635" s="1" t="s">
        <v>1503</v>
      </c>
      <c r="I3635" t="s">
        <v>1883</v>
      </c>
      <c r="J3635" s="1" t="s">
        <v>1456</v>
      </c>
      <c r="K3635" s="1" t="s">
        <v>1612</v>
      </c>
      <c r="L3635" s="1" t="s">
        <v>1729</v>
      </c>
      <c r="M3635" s="1" t="s">
        <v>1737</v>
      </c>
      <c r="N3635" t="s">
        <v>1986</v>
      </c>
      <c r="O3635" t="s">
        <v>2916</v>
      </c>
      <c r="P3635" t="s">
        <v>2157</v>
      </c>
      <c r="Q3635">
        <v>12.3</v>
      </c>
      <c r="R3635" s="1" t="s">
        <v>1839</v>
      </c>
      <c r="S3635">
        <v>1251</v>
      </c>
      <c r="T3635">
        <v>15387</v>
      </c>
    </row>
    <row r="3636" spans="1:20" hidden="1" x14ac:dyDescent="0.4">
      <c r="A3636" s="1" t="s">
        <v>1395</v>
      </c>
      <c r="B3636" s="1" t="s">
        <v>1462</v>
      </c>
      <c r="C3636" s="1" t="s">
        <v>1844</v>
      </c>
      <c r="D3636" s="1" t="s">
        <v>1467</v>
      </c>
      <c r="E3636">
        <v>20251224</v>
      </c>
      <c r="F3636" s="1" t="s">
        <v>1470</v>
      </c>
      <c r="G3636">
        <v>4</v>
      </c>
      <c r="H3636" s="1" t="s">
        <v>1503</v>
      </c>
      <c r="I3636" t="s">
        <v>1883</v>
      </c>
      <c r="J3636" s="1" t="s">
        <v>1456</v>
      </c>
      <c r="K3636" s="1" t="s">
        <v>1612</v>
      </c>
      <c r="L3636" s="1" t="s">
        <v>1729</v>
      </c>
      <c r="M3636" s="1" t="s">
        <v>1737</v>
      </c>
      <c r="N3636" t="s">
        <v>1986</v>
      </c>
      <c r="O3636" t="s">
        <v>2917</v>
      </c>
      <c r="P3636" t="s">
        <v>2157</v>
      </c>
      <c r="Q3636">
        <v>12.4</v>
      </c>
      <c r="R3636" s="1" t="s">
        <v>1839</v>
      </c>
      <c r="S3636">
        <v>1251</v>
      </c>
      <c r="T3636">
        <v>15512</v>
      </c>
    </row>
    <row r="3637" spans="1:20" hidden="1" x14ac:dyDescent="0.4">
      <c r="A3637" s="1" t="s">
        <v>1395</v>
      </c>
      <c r="B3637" s="1" t="s">
        <v>1463</v>
      </c>
      <c r="C3637" s="1" t="s">
        <v>1844</v>
      </c>
      <c r="D3637" s="1" t="s">
        <v>1467</v>
      </c>
      <c r="E3637">
        <v>20251224</v>
      </c>
      <c r="F3637" s="1" t="s">
        <v>1470</v>
      </c>
      <c r="G3637">
        <v>4</v>
      </c>
      <c r="H3637" s="1" t="s">
        <v>1503</v>
      </c>
      <c r="I3637" t="s">
        <v>1883</v>
      </c>
      <c r="J3637" s="1" t="s">
        <v>1456</v>
      </c>
      <c r="K3637" s="1" t="s">
        <v>1612</v>
      </c>
      <c r="L3637" s="1" t="s">
        <v>1729</v>
      </c>
      <c r="M3637" s="1" t="s">
        <v>1737</v>
      </c>
      <c r="N3637" t="s">
        <v>1986</v>
      </c>
      <c r="O3637" t="s">
        <v>2918</v>
      </c>
      <c r="P3637" t="s">
        <v>2157</v>
      </c>
      <c r="Q3637">
        <v>12.4</v>
      </c>
      <c r="R3637" s="1" t="s">
        <v>1839</v>
      </c>
      <c r="S3637">
        <v>1251</v>
      </c>
      <c r="T3637">
        <v>15512</v>
      </c>
    </row>
    <row r="3638" spans="1:20" hidden="1" x14ac:dyDescent="0.4">
      <c r="A3638" s="1" t="s">
        <v>1396</v>
      </c>
      <c r="B3638" s="1" t="s">
        <v>1453</v>
      </c>
      <c r="C3638" s="1" t="s">
        <v>1844</v>
      </c>
      <c r="D3638" s="1" t="s">
        <v>1467</v>
      </c>
      <c r="E3638">
        <v>20251224</v>
      </c>
      <c r="F3638" s="1" t="s">
        <v>1470</v>
      </c>
      <c r="G3638">
        <v>4</v>
      </c>
      <c r="H3638" s="1" t="s">
        <v>1503</v>
      </c>
      <c r="I3638" t="s">
        <v>1883</v>
      </c>
      <c r="J3638" s="1" t="s">
        <v>1456</v>
      </c>
      <c r="K3638" s="1" t="s">
        <v>1612</v>
      </c>
      <c r="L3638" s="1" t="s">
        <v>1729</v>
      </c>
      <c r="M3638" s="1" t="s">
        <v>1737</v>
      </c>
      <c r="N3638" t="s">
        <v>1986</v>
      </c>
      <c r="O3638" t="s">
        <v>2919</v>
      </c>
      <c r="P3638" t="s">
        <v>2157</v>
      </c>
      <c r="Q3638">
        <v>12.4</v>
      </c>
      <c r="R3638" s="1" t="s">
        <v>1839</v>
      </c>
      <c r="S3638">
        <v>1251</v>
      </c>
      <c r="T3638">
        <v>15512</v>
      </c>
    </row>
    <row r="3639" spans="1:20" hidden="1" x14ac:dyDescent="0.4">
      <c r="A3639" s="1" t="s">
        <v>1396</v>
      </c>
      <c r="B3639" s="1" t="s">
        <v>1454</v>
      </c>
      <c r="C3639" s="1" t="s">
        <v>1844</v>
      </c>
      <c r="D3639" s="1" t="s">
        <v>1467</v>
      </c>
      <c r="E3639">
        <v>20251224</v>
      </c>
      <c r="F3639" s="1" t="s">
        <v>1470</v>
      </c>
      <c r="G3639">
        <v>4</v>
      </c>
      <c r="H3639" s="1" t="s">
        <v>1503</v>
      </c>
      <c r="I3639" t="s">
        <v>1883</v>
      </c>
      <c r="J3639" s="1" t="s">
        <v>1456</v>
      </c>
      <c r="K3639" s="1" t="s">
        <v>1612</v>
      </c>
      <c r="L3639" s="1" t="s">
        <v>1729</v>
      </c>
      <c r="M3639" s="1" t="s">
        <v>1737</v>
      </c>
      <c r="N3639" t="s">
        <v>1986</v>
      </c>
      <c r="O3639" t="s">
        <v>2920</v>
      </c>
      <c r="P3639" t="s">
        <v>2157</v>
      </c>
      <c r="Q3639">
        <v>12.3</v>
      </c>
      <c r="R3639" s="1" t="s">
        <v>1839</v>
      </c>
      <c r="S3639">
        <v>1251</v>
      </c>
      <c r="T3639">
        <v>15387</v>
      </c>
    </row>
    <row r="3640" spans="1:20" hidden="1" x14ac:dyDescent="0.4">
      <c r="A3640" s="1" t="s">
        <v>1396</v>
      </c>
      <c r="B3640" s="1" t="s">
        <v>1455</v>
      </c>
      <c r="C3640" s="1" t="s">
        <v>1844</v>
      </c>
      <c r="D3640" s="1" t="s">
        <v>1467</v>
      </c>
      <c r="E3640">
        <v>20251224</v>
      </c>
      <c r="F3640" s="1" t="s">
        <v>1470</v>
      </c>
      <c r="G3640">
        <v>4</v>
      </c>
      <c r="H3640" s="1" t="s">
        <v>1503</v>
      </c>
      <c r="I3640" t="s">
        <v>1883</v>
      </c>
      <c r="J3640" s="1" t="s">
        <v>1456</v>
      </c>
      <c r="K3640" s="1" t="s">
        <v>1612</v>
      </c>
      <c r="L3640" s="1" t="s">
        <v>1729</v>
      </c>
      <c r="M3640" s="1" t="s">
        <v>1737</v>
      </c>
      <c r="N3640" t="s">
        <v>1986</v>
      </c>
      <c r="O3640" t="s">
        <v>2921</v>
      </c>
      <c r="P3640" t="s">
        <v>2157</v>
      </c>
      <c r="Q3640">
        <v>12.3</v>
      </c>
      <c r="R3640" s="1" t="s">
        <v>1839</v>
      </c>
      <c r="S3640">
        <v>1251</v>
      </c>
      <c r="T3640">
        <v>15387</v>
      </c>
    </row>
    <row r="3641" spans="1:20" hidden="1" x14ac:dyDescent="0.4">
      <c r="A3641" s="1" t="s">
        <v>1396</v>
      </c>
      <c r="B3641" s="1" t="s">
        <v>1456</v>
      </c>
      <c r="C3641" s="1" t="s">
        <v>1844</v>
      </c>
      <c r="D3641" s="1" t="s">
        <v>1467</v>
      </c>
      <c r="E3641">
        <v>20251224</v>
      </c>
      <c r="F3641" s="1" t="s">
        <v>1470</v>
      </c>
      <c r="G3641">
        <v>4</v>
      </c>
      <c r="H3641" s="1" t="s">
        <v>1503</v>
      </c>
      <c r="I3641" t="s">
        <v>1883</v>
      </c>
      <c r="J3641" s="1" t="s">
        <v>1456</v>
      </c>
      <c r="K3641" s="1" t="s">
        <v>1612</v>
      </c>
      <c r="L3641" s="1" t="s">
        <v>1729</v>
      </c>
      <c r="M3641" s="1" t="s">
        <v>1737</v>
      </c>
      <c r="N3641" t="s">
        <v>1986</v>
      </c>
      <c r="O3641" t="s">
        <v>2922</v>
      </c>
      <c r="P3641" t="s">
        <v>2157</v>
      </c>
      <c r="Q3641">
        <v>12.3</v>
      </c>
      <c r="R3641" s="1" t="s">
        <v>1839</v>
      </c>
      <c r="S3641">
        <v>1251</v>
      </c>
      <c r="T3641">
        <v>15387</v>
      </c>
    </row>
    <row r="3642" spans="1:20" hidden="1" x14ac:dyDescent="0.4">
      <c r="A3642" s="1" t="s">
        <v>1396</v>
      </c>
      <c r="B3642" s="1" t="s">
        <v>1457</v>
      </c>
      <c r="C3642" s="1" t="s">
        <v>1844</v>
      </c>
      <c r="D3642" s="1" t="s">
        <v>1467</v>
      </c>
      <c r="E3642">
        <v>20251224</v>
      </c>
      <c r="F3642" s="1" t="s">
        <v>1470</v>
      </c>
      <c r="G3642">
        <v>4</v>
      </c>
      <c r="H3642" s="1" t="s">
        <v>1503</v>
      </c>
      <c r="I3642" t="s">
        <v>1883</v>
      </c>
      <c r="J3642" s="1" t="s">
        <v>1456</v>
      </c>
      <c r="K3642" s="1" t="s">
        <v>1612</v>
      </c>
      <c r="L3642" s="1" t="s">
        <v>1729</v>
      </c>
      <c r="M3642" s="1" t="s">
        <v>1737</v>
      </c>
      <c r="N3642" t="s">
        <v>1986</v>
      </c>
      <c r="O3642" t="s">
        <v>2923</v>
      </c>
      <c r="P3642" t="s">
        <v>2157</v>
      </c>
      <c r="Q3642">
        <v>12.3</v>
      </c>
      <c r="R3642" s="1" t="s">
        <v>1839</v>
      </c>
      <c r="S3642">
        <v>1251</v>
      </c>
      <c r="T3642">
        <v>15387</v>
      </c>
    </row>
    <row r="3643" spans="1:20" hidden="1" x14ac:dyDescent="0.4">
      <c r="A3643" s="1" t="s">
        <v>1396</v>
      </c>
      <c r="B3643" s="1" t="s">
        <v>1458</v>
      </c>
      <c r="C3643" s="1" t="s">
        <v>1844</v>
      </c>
      <c r="D3643" s="1" t="s">
        <v>1467</v>
      </c>
      <c r="E3643">
        <v>20251224</v>
      </c>
      <c r="F3643" s="1" t="s">
        <v>1470</v>
      </c>
      <c r="G3643">
        <v>4</v>
      </c>
      <c r="H3643" s="1" t="s">
        <v>1503</v>
      </c>
      <c r="I3643" t="s">
        <v>1883</v>
      </c>
      <c r="J3643" s="1" t="s">
        <v>1456</v>
      </c>
      <c r="K3643" s="1" t="s">
        <v>1612</v>
      </c>
      <c r="L3643" s="1" t="s">
        <v>1729</v>
      </c>
      <c r="M3643" s="1" t="s">
        <v>1737</v>
      </c>
      <c r="N3643" t="s">
        <v>1986</v>
      </c>
      <c r="O3643" t="s">
        <v>2924</v>
      </c>
      <c r="P3643" t="s">
        <v>2157</v>
      </c>
      <c r="Q3643">
        <v>12.3</v>
      </c>
      <c r="R3643" s="1" t="s">
        <v>1839</v>
      </c>
      <c r="S3643">
        <v>1251</v>
      </c>
      <c r="T3643">
        <v>15387</v>
      </c>
    </row>
    <row r="3644" spans="1:20" hidden="1" x14ac:dyDescent="0.4">
      <c r="A3644" s="1" t="s">
        <v>1396</v>
      </c>
      <c r="B3644" s="1" t="s">
        <v>1459</v>
      </c>
      <c r="C3644" s="1" t="s">
        <v>1844</v>
      </c>
      <c r="D3644" s="1" t="s">
        <v>1467</v>
      </c>
      <c r="E3644">
        <v>20251224</v>
      </c>
      <c r="F3644" s="1" t="s">
        <v>1470</v>
      </c>
      <c r="G3644">
        <v>4</v>
      </c>
      <c r="H3644" s="1" t="s">
        <v>1503</v>
      </c>
      <c r="I3644" t="s">
        <v>1883</v>
      </c>
      <c r="J3644" s="1" t="s">
        <v>1456</v>
      </c>
      <c r="K3644" s="1" t="s">
        <v>1612</v>
      </c>
      <c r="L3644" s="1" t="s">
        <v>1729</v>
      </c>
      <c r="M3644" s="1" t="s">
        <v>1737</v>
      </c>
      <c r="N3644" t="s">
        <v>1986</v>
      </c>
      <c r="O3644" t="s">
        <v>2925</v>
      </c>
      <c r="P3644" t="s">
        <v>2157</v>
      </c>
      <c r="Q3644">
        <v>12.3</v>
      </c>
      <c r="R3644" s="1" t="s">
        <v>1839</v>
      </c>
      <c r="S3644">
        <v>1251</v>
      </c>
      <c r="T3644">
        <v>15387</v>
      </c>
    </row>
    <row r="3645" spans="1:20" hidden="1" x14ac:dyDescent="0.4">
      <c r="A3645" s="1" t="s">
        <v>1396</v>
      </c>
      <c r="B3645" s="1" t="s">
        <v>1460</v>
      </c>
      <c r="C3645" s="1" t="s">
        <v>1844</v>
      </c>
      <c r="D3645" s="1" t="s">
        <v>1467</v>
      </c>
      <c r="E3645">
        <v>20251224</v>
      </c>
      <c r="F3645" s="1" t="s">
        <v>1470</v>
      </c>
      <c r="G3645">
        <v>4</v>
      </c>
      <c r="H3645" s="1" t="s">
        <v>1503</v>
      </c>
      <c r="I3645" t="s">
        <v>1883</v>
      </c>
      <c r="J3645" s="1" t="s">
        <v>1456</v>
      </c>
      <c r="K3645" s="1" t="s">
        <v>1612</v>
      </c>
      <c r="L3645" s="1" t="s">
        <v>1729</v>
      </c>
      <c r="M3645" s="1" t="s">
        <v>1737</v>
      </c>
      <c r="N3645" t="s">
        <v>1986</v>
      </c>
      <c r="O3645" t="s">
        <v>2926</v>
      </c>
      <c r="P3645" t="s">
        <v>2157</v>
      </c>
      <c r="Q3645">
        <v>12.3</v>
      </c>
      <c r="R3645" s="1" t="s">
        <v>1839</v>
      </c>
      <c r="S3645">
        <v>1251</v>
      </c>
      <c r="T3645">
        <v>15387</v>
      </c>
    </row>
    <row r="3646" spans="1:20" hidden="1" x14ac:dyDescent="0.4">
      <c r="A3646" s="1" t="s">
        <v>1396</v>
      </c>
      <c r="B3646" s="1" t="s">
        <v>1461</v>
      </c>
      <c r="C3646" s="1" t="s">
        <v>1844</v>
      </c>
      <c r="D3646" s="1" t="s">
        <v>1467</v>
      </c>
      <c r="E3646">
        <v>20251224</v>
      </c>
      <c r="F3646" s="1" t="s">
        <v>1470</v>
      </c>
      <c r="G3646">
        <v>4</v>
      </c>
      <c r="H3646" s="1" t="s">
        <v>1503</v>
      </c>
      <c r="I3646" t="s">
        <v>1883</v>
      </c>
      <c r="J3646" s="1" t="s">
        <v>1456</v>
      </c>
      <c r="K3646" s="1" t="s">
        <v>1612</v>
      </c>
      <c r="L3646" s="1" t="s">
        <v>1729</v>
      </c>
      <c r="M3646" s="1" t="s">
        <v>1737</v>
      </c>
      <c r="N3646" t="s">
        <v>1986</v>
      </c>
      <c r="O3646" t="s">
        <v>2927</v>
      </c>
      <c r="P3646" t="s">
        <v>2157</v>
      </c>
      <c r="Q3646">
        <v>12.3</v>
      </c>
      <c r="R3646" s="1" t="s">
        <v>1839</v>
      </c>
      <c r="S3646">
        <v>1251</v>
      </c>
      <c r="T3646">
        <v>15387</v>
      </c>
    </row>
    <row r="3647" spans="1:20" hidden="1" x14ac:dyDescent="0.4">
      <c r="A3647" s="1" t="s">
        <v>1396</v>
      </c>
      <c r="B3647" s="1" t="s">
        <v>1462</v>
      </c>
      <c r="C3647" s="1" t="s">
        <v>1844</v>
      </c>
      <c r="D3647" s="1" t="s">
        <v>1467</v>
      </c>
      <c r="E3647">
        <v>20251224</v>
      </c>
      <c r="F3647" s="1" t="s">
        <v>1470</v>
      </c>
      <c r="G3647">
        <v>4</v>
      </c>
      <c r="H3647" s="1" t="s">
        <v>1503</v>
      </c>
      <c r="I3647" t="s">
        <v>1883</v>
      </c>
      <c r="J3647" s="1" t="s">
        <v>1456</v>
      </c>
      <c r="K3647" s="1" t="s">
        <v>1612</v>
      </c>
      <c r="L3647" s="1" t="s">
        <v>1729</v>
      </c>
      <c r="M3647" s="1" t="s">
        <v>1737</v>
      </c>
      <c r="N3647" t="s">
        <v>1986</v>
      </c>
      <c r="O3647" t="s">
        <v>2928</v>
      </c>
      <c r="P3647" t="s">
        <v>2157</v>
      </c>
      <c r="Q3647">
        <v>12.3</v>
      </c>
      <c r="R3647" s="1" t="s">
        <v>1839</v>
      </c>
      <c r="S3647">
        <v>1251</v>
      </c>
      <c r="T3647">
        <v>15387</v>
      </c>
    </row>
    <row r="3648" spans="1:20" hidden="1" x14ac:dyDescent="0.4">
      <c r="A3648" s="1" t="s">
        <v>1396</v>
      </c>
      <c r="B3648" s="1" t="s">
        <v>1463</v>
      </c>
      <c r="C3648" s="1" t="s">
        <v>1844</v>
      </c>
      <c r="D3648" s="1" t="s">
        <v>1467</v>
      </c>
      <c r="E3648">
        <v>20251224</v>
      </c>
      <c r="F3648" s="1" t="s">
        <v>1470</v>
      </c>
      <c r="G3648">
        <v>4</v>
      </c>
      <c r="H3648" s="1" t="s">
        <v>1503</v>
      </c>
      <c r="I3648" t="s">
        <v>1883</v>
      </c>
      <c r="J3648" s="1" t="s">
        <v>1456</v>
      </c>
      <c r="K3648" s="1" t="s">
        <v>1612</v>
      </c>
      <c r="L3648" s="1" t="s">
        <v>1729</v>
      </c>
      <c r="M3648" s="1" t="s">
        <v>1737</v>
      </c>
      <c r="N3648" t="s">
        <v>1986</v>
      </c>
      <c r="O3648" t="s">
        <v>2929</v>
      </c>
      <c r="P3648" t="s">
        <v>2157</v>
      </c>
      <c r="Q3648">
        <v>12.3</v>
      </c>
      <c r="R3648" s="1" t="s">
        <v>1839</v>
      </c>
      <c r="S3648">
        <v>1251</v>
      </c>
      <c r="T3648">
        <v>15387</v>
      </c>
    </row>
    <row r="3649" spans="1:20" hidden="1" x14ac:dyDescent="0.4">
      <c r="A3649" s="1" t="s">
        <v>1397</v>
      </c>
      <c r="B3649" s="1" t="s">
        <v>1453</v>
      </c>
      <c r="C3649" s="1" t="s">
        <v>1844</v>
      </c>
      <c r="D3649" s="1" t="s">
        <v>1467</v>
      </c>
      <c r="E3649">
        <v>20251224</v>
      </c>
      <c r="F3649" s="1" t="s">
        <v>1470</v>
      </c>
      <c r="G3649">
        <v>4</v>
      </c>
      <c r="H3649" s="1" t="s">
        <v>1503</v>
      </c>
      <c r="I3649" t="s">
        <v>1883</v>
      </c>
      <c r="J3649" s="1" t="s">
        <v>1456</v>
      </c>
      <c r="K3649" s="1" t="s">
        <v>1612</v>
      </c>
      <c r="L3649" s="1" t="s">
        <v>1729</v>
      </c>
      <c r="M3649" s="1" t="s">
        <v>1737</v>
      </c>
      <c r="N3649" t="s">
        <v>1986</v>
      </c>
      <c r="O3649" t="s">
        <v>2930</v>
      </c>
      <c r="P3649" t="s">
        <v>2157</v>
      </c>
      <c r="Q3649">
        <v>12.3</v>
      </c>
      <c r="R3649" s="1" t="s">
        <v>1839</v>
      </c>
      <c r="S3649">
        <v>1251</v>
      </c>
      <c r="T3649">
        <v>15387</v>
      </c>
    </row>
    <row r="3650" spans="1:20" hidden="1" x14ac:dyDescent="0.4">
      <c r="A3650" s="1" t="s">
        <v>1397</v>
      </c>
      <c r="B3650" s="1" t="s">
        <v>1454</v>
      </c>
      <c r="C3650" s="1" t="s">
        <v>1844</v>
      </c>
      <c r="D3650" s="1" t="s">
        <v>1467</v>
      </c>
      <c r="E3650">
        <v>20251224</v>
      </c>
      <c r="F3650" s="1" t="s">
        <v>1470</v>
      </c>
      <c r="G3650">
        <v>4</v>
      </c>
      <c r="H3650" s="1" t="s">
        <v>1503</v>
      </c>
      <c r="I3650" t="s">
        <v>1883</v>
      </c>
      <c r="J3650" s="1" t="s">
        <v>1456</v>
      </c>
      <c r="K3650" s="1" t="s">
        <v>1612</v>
      </c>
      <c r="L3650" s="1" t="s">
        <v>1729</v>
      </c>
      <c r="M3650" s="1" t="s">
        <v>1737</v>
      </c>
      <c r="N3650" t="s">
        <v>1986</v>
      </c>
      <c r="O3650" t="s">
        <v>2931</v>
      </c>
      <c r="P3650" t="s">
        <v>2157</v>
      </c>
      <c r="Q3650">
        <v>12.3</v>
      </c>
      <c r="R3650" s="1" t="s">
        <v>1839</v>
      </c>
      <c r="S3650">
        <v>1251</v>
      </c>
      <c r="T3650">
        <v>15387</v>
      </c>
    </row>
    <row r="3651" spans="1:20" hidden="1" x14ac:dyDescent="0.4">
      <c r="A3651" s="1" t="s">
        <v>1397</v>
      </c>
      <c r="B3651" s="1" t="s">
        <v>1455</v>
      </c>
      <c r="C3651" s="1" t="s">
        <v>1844</v>
      </c>
      <c r="D3651" s="1" t="s">
        <v>1467</v>
      </c>
      <c r="E3651">
        <v>20251224</v>
      </c>
      <c r="F3651" s="1" t="s">
        <v>1470</v>
      </c>
      <c r="G3651">
        <v>4</v>
      </c>
      <c r="H3651" s="1" t="s">
        <v>1503</v>
      </c>
      <c r="I3651" t="s">
        <v>1883</v>
      </c>
      <c r="J3651" s="1" t="s">
        <v>1456</v>
      </c>
      <c r="K3651" s="1" t="s">
        <v>1612</v>
      </c>
      <c r="L3651" s="1" t="s">
        <v>1729</v>
      </c>
      <c r="M3651" s="1" t="s">
        <v>1737</v>
      </c>
      <c r="N3651" t="s">
        <v>1986</v>
      </c>
      <c r="O3651" t="s">
        <v>2932</v>
      </c>
      <c r="P3651" t="s">
        <v>2157</v>
      </c>
      <c r="Q3651">
        <v>12.3</v>
      </c>
      <c r="R3651" s="1" t="s">
        <v>1839</v>
      </c>
      <c r="S3651">
        <v>1251</v>
      </c>
      <c r="T3651">
        <v>15387</v>
      </c>
    </row>
    <row r="3652" spans="1:20" hidden="1" x14ac:dyDescent="0.4">
      <c r="A3652" s="1" t="s">
        <v>1397</v>
      </c>
      <c r="B3652" s="1" t="s">
        <v>1456</v>
      </c>
      <c r="C3652" s="1" t="s">
        <v>1844</v>
      </c>
      <c r="D3652" s="1" t="s">
        <v>1467</v>
      </c>
      <c r="E3652">
        <v>20251224</v>
      </c>
      <c r="F3652" s="1" t="s">
        <v>1470</v>
      </c>
      <c r="G3652">
        <v>4</v>
      </c>
      <c r="H3652" s="1" t="s">
        <v>1503</v>
      </c>
      <c r="I3652" t="s">
        <v>1883</v>
      </c>
      <c r="J3652" s="1" t="s">
        <v>1456</v>
      </c>
      <c r="K3652" s="1" t="s">
        <v>1612</v>
      </c>
      <c r="L3652" s="1" t="s">
        <v>1729</v>
      </c>
      <c r="M3652" s="1" t="s">
        <v>1737</v>
      </c>
      <c r="N3652" t="s">
        <v>1986</v>
      </c>
      <c r="O3652" t="s">
        <v>2933</v>
      </c>
      <c r="P3652" t="s">
        <v>2157</v>
      </c>
      <c r="Q3652">
        <v>12.3</v>
      </c>
      <c r="R3652" s="1" t="s">
        <v>1839</v>
      </c>
      <c r="S3652">
        <v>1251</v>
      </c>
      <c r="T3652">
        <v>15387</v>
      </c>
    </row>
    <row r="3653" spans="1:20" hidden="1" x14ac:dyDescent="0.4">
      <c r="A3653" s="1" t="s">
        <v>1397</v>
      </c>
      <c r="B3653" s="1" t="s">
        <v>1457</v>
      </c>
      <c r="C3653" s="1" t="s">
        <v>1844</v>
      </c>
      <c r="D3653" s="1" t="s">
        <v>1467</v>
      </c>
      <c r="E3653">
        <v>20251224</v>
      </c>
      <c r="F3653" s="1" t="s">
        <v>1470</v>
      </c>
      <c r="G3653">
        <v>4</v>
      </c>
      <c r="H3653" s="1" t="s">
        <v>1503</v>
      </c>
      <c r="I3653" t="s">
        <v>1883</v>
      </c>
      <c r="J3653" s="1" t="s">
        <v>1456</v>
      </c>
      <c r="K3653" s="1" t="s">
        <v>1612</v>
      </c>
      <c r="L3653" s="1" t="s">
        <v>1729</v>
      </c>
      <c r="M3653" s="1" t="s">
        <v>1737</v>
      </c>
      <c r="N3653" t="s">
        <v>1986</v>
      </c>
      <c r="O3653" t="s">
        <v>2934</v>
      </c>
      <c r="P3653" t="s">
        <v>2157</v>
      </c>
      <c r="Q3653">
        <v>12.3</v>
      </c>
      <c r="R3653" s="1" t="s">
        <v>1839</v>
      </c>
      <c r="S3653">
        <v>1251</v>
      </c>
      <c r="T3653">
        <v>15387</v>
      </c>
    </row>
    <row r="3654" spans="1:20" hidden="1" x14ac:dyDescent="0.4">
      <c r="A3654" s="1" t="s">
        <v>1397</v>
      </c>
      <c r="B3654" s="1" t="s">
        <v>1458</v>
      </c>
      <c r="C3654" s="1" t="s">
        <v>1844</v>
      </c>
      <c r="D3654" s="1" t="s">
        <v>1467</v>
      </c>
      <c r="E3654">
        <v>20251224</v>
      </c>
      <c r="F3654" s="1" t="s">
        <v>1470</v>
      </c>
      <c r="G3654">
        <v>4</v>
      </c>
      <c r="H3654" s="1" t="s">
        <v>1503</v>
      </c>
      <c r="I3654" t="s">
        <v>1883</v>
      </c>
      <c r="J3654" s="1" t="s">
        <v>1456</v>
      </c>
      <c r="K3654" s="1" t="s">
        <v>1612</v>
      </c>
      <c r="L3654" s="1" t="s">
        <v>1729</v>
      </c>
      <c r="M3654" s="1" t="s">
        <v>1737</v>
      </c>
      <c r="N3654" t="s">
        <v>1986</v>
      </c>
      <c r="O3654" t="s">
        <v>2935</v>
      </c>
      <c r="P3654" t="s">
        <v>2157</v>
      </c>
      <c r="Q3654">
        <v>12.3</v>
      </c>
      <c r="R3654" s="1" t="s">
        <v>1839</v>
      </c>
      <c r="S3654">
        <v>1251</v>
      </c>
      <c r="T3654">
        <v>15387</v>
      </c>
    </row>
    <row r="3655" spans="1:20" hidden="1" x14ac:dyDescent="0.4">
      <c r="A3655" s="1" t="s">
        <v>1397</v>
      </c>
      <c r="B3655" s="1" t="s">
        <v>1459</v>
      </c>
      <c r="C3655" s="1" t="s">
        <v>1844</v>
      </c>
      <c r="D3655" s="1" t="s">
        <v>1467</v>
      </c>
      <c r="E3655">
        <v>20251224</v>
      </c>
      <c r="F3655" s="1" t="s">
        <v>1470</v>
      </c>
      <c r="G3655">
        <v>4</v>
      </c>
      <c r="H3655" s="1" t="s">
        <v>1503</v>
      </c>
      <c r="I3655" t="s">
        <v>1883</v>
      </c>
      <c r="J3655" s="1" t="s">
        <v>1456</v>
      </c>
      <c r="K3655" s="1" t="s">
        <v>1612</v>
      </c>
      <c r="L3655" s="1" t="s">
        <v>1729</v>
      </c>
      <c r="M3655" s="1" t="s">
        <v>1737</v>
      </c>
      <c r="N3655" t="s">
        <v>1986</v>
      </c>
      <c r="O3655" t="s">
        <v>2936</v>
      </c>
      <c r="P3655" t="s">
        <v>2157</v>
      </c>
      <c r="Q3655">
        <v>12.3</v>
      </c>
      <c r="R3655" s="1" t="s">
        <v>1839</v>
      </c>
      <c r="S3655">
        <v>1251</v>
      </c>
      <c r="T3655">
        <v>15387</v>
      </c>
    </row>
    <row r="3656" spans="1:20" hidden="1" x14ac:dyDescent="0.4">
      <c r="A3656" s="1" t="s">
        <v>1398</v>
      </c>
      <c r="B3656" s="1" t="s">
        <v>1453</v>
      </c>
      <c r="C3656" s="1" t="s">
        <v>1844</v>
      </c>
      <c r="D3656" s="1" t="s">
        <v>1462</v>
      </c>
      <c r="E3656">
        <v>20251219</v>
      </c>
      <c r="F3656" s="1" t="s">
        <v>1471</v>
      </c>
      <c r="G3656">
        <v>4</v>
      </c>
      <c r="H3656" s="1" t="s">
        <v>1524</v>
      </c>
      <c r="I3656" t="s">
        <v>1904</v>
      </c>
      <c r="J3656" s="1" t="s">
        <v>1460</v>
      </c>
      <c r="K3656" s="1" t="s">
        <v>1649</v>
      </c>
      <c r="L3656" s="1" t="s">
        <v>1731</v>
      </c>
      <c r="M3656" s="1" t="s">
        <v>1761</v>
      </c>
      <c r="N3656" t="s">
        <v>2031</v>
      </c>
      <c r="O3656" t="s">
        <v>2178</v>
      </c>
      <c r="P3656" t="s">
        <v>3156</v>
      </c>
      <c r="Q3656">
        <v>250</v>
      </c>
      <c r="R3656" s="1" t="s">
        <v>1463</v>
      </c>
      <c r="S3656">
        <v>1560</v>
      </c>
      <c r="T3656">
        <v>390000</v>
      </c>
    </row>
    <row r="3657" spans="1:20" hidden="1" x14ac:dyDescent="0.4">
      <c r="A3657" s="1" t="s">
        <v>1399</v>
      </c>
      <c r="B3657" s="1" t="s">
        <v>1453</v>
      </c>
      <c r="C3657" s="1" t="s">
        <v>1844</v>
      </c>
      <c r="D3657" s="1" t="s">
        <v>1462</v>
      </c>
      <c r="E3657">
        <v>20251224</v>
      </c>
      <c r="F3657" s="1" t="s">
        <v>1470</v>
      </c>
      <c r="G3657">
        <v>4</v>
      </c>
      <c r="H3657" s="1" t="s">
        <v>1503</v>
      </c>
      <c r="I3657" t="s">
        <v>1883</v>
      </c>
      <c r="J3657" s="1" t="s">
        <v>1456</v>
      </c>
      <c r="K3657" s="1" t="s">
        <v>1606</v>
      </c>
      <c r="L3657" s="1" t="s">
        <v>1729</v>
      </c>
      <c r="M3657" s="1" t="s">
        <v>1735</v>
      </c>
      <c r="N3657" t="s">
        <v>1981</v>
      </c>
      <c r="O3657" t="s">
        <v>2937</v>
      </c>
      <c r="P3657" t="s">
        <v>3037</v>
      </c>
      <c r="Q3657">
        <v>45.5</v>
      </c>
      <c r="R3657" s="1" t="s">
        <v>1839</v>
      </c>
      <c r="S3657">
        <v>2850</v>
      </c>
      <c r="T3657">
        <v>129675</v>
      </c>
    </row>
    <row r="3658" spans="1:20" hidden="1" x14ac:dyDescent="0.4">
      <c r="A3658" s="1" t="s">
        <v>1399</v>
      </c>
      <c r="B3658" s="1" t="s">
        <v>1454</v>
      </c>
      <c r="C3658" s="1" t="s">
        <v>1844</v>
      </c>
      <c r="D3658" s="1" t="s">
        <v>1462</v>
      </c>
      <c r="E3658">
        <v>20251224</v>
      </c>
      <c r="F3658" s="1" t="s">
        <v>1470</v>
      </c>
      <c r="G3658">
        <v>4</v>
      </c>
      <c r="H3658" s="1" t="s">
        <v>1503</v>
      </c>
      <c r="I3658" t="s">
        <v>1883</v>
      </c>
      <c r="J3658" s="1" t="s">
        <v>1456</v>
      </c>
      <c r="K3658" s="1" t="s">
        <v>1606</v>
      </c>
      <c r="L3658" s="1" t="s">
        <v>1729</v>
      </c>
      <c r="M3658" s="1" t="s">
        <v>1735</v>
      </c>
      <c r="N3658" t="s">
        <v>1981</v>
      </c>
      <c r="O3658" t="s">
        <v>2938</v>
      </c>
      <c r="P3658" t="s">
        <v>3037</v>
      </c>
      <c r="Q3658">
        <v>45.5</v>
      </c>
      <c r="R3658" s="1" t="s">
        <v>1839</v>
      </c>
      <c r="S3658">
        <v>2850</v>
      </c>
      <c r="T3658">
        <v>129675</v>
      </c>
    </row>
    <row r="3659" spans="1:20" hidden="1" x14ac:dyDescent="0.4">
      <c r="A3659" s="1" t="s">
        <v>1399</v>
      </c>
      <c r="B3659" s="1" t="s">
        <v>1455</v>
      </c>
      <c r="C3659" s="1" t="s">
        <v>1844</v>
      </c>
      <c r="D3659" s="1" t="s">
        <v>1462</v>
      </c>
      <c r="E3659">
        <v>20251224</v>
      </c>
      <c r="F3659" s="1" t="s">
        <v>1470</v>
      </c>
      <c r="G3659">
        <v>4</v>
      </c>
      <c r="H3659" s="1" t="s">
        <v>1503</v>
      </c>
      <c r="I3659" t="s">
        <v>1883</v>
      </c>
      <c r="J3659" s="1" t="s">
        <v>1456</v>
      </c>
      <c r="K3659" s="1" t="s">
        <v>1606</v>
      </c>
      <c r="L3659" s="1" t="s">
        <v>1729</v>
      </c>
      <c r="M3659" s="1" t="s">
        <v>1735</v>
      </c>
      <c r="N3659" t="s">
        <v>1981</v>
      </c>
      <c r="O3659" t="s">
        <v>2939</v>
      </c>
      <c r="P3659" t="s">
        <v>3037</v>
      </c>
      <c r="Q3659">
        <v>45.5</v>
      </c>
      <c r="R3659" s="1" t="s">
        <v>1839</v>
      </c>
      <c r="S3659">
        <v>2850</v>
      </c>
      <c r="T3659">
        <v>129675</v>
      </c>
    </row>
    <row r="3660" spans="1:20" hidden="1" x14ac:dyDescent="0.4">
      <c r="A3660" s="1" t="s">
        <v>1399</v>
      </c>
      <c r="B3660" s="1" t="s">
        <v>1456</v>
      </c>
      <c r="C3660" s="1" t="s">
        <v>1844</v>
      </c>
      <c r="D3660" s="1" t="s">
        <v>1462</v>
      </c>
      <c r="E3660">
        <v>20251224</v>
      </c>
      <c r="F3660" s="1" t="s">
        <v>1470</v>
      </c>
      <c r="G3660">
        <v>4</v>
      </c>
      <c r="H3660" s="1" t="s">
        <v>1503</v>
      </c>
      <c r="I3660" t="s">
        <v>1883</v>
      </c>
      <c r="J3660" s="1" t="s">
        <v>1456</v>
      </c>
      <c r="K3660" s="1" t="s">
        <v>1606</v>
      </c>
      <c r="L3660" s="1" t="s">
        <v>1729</v>
      </c>
      <c r="M3660" s="1" t="s">
        <v>1735</v>
      </c>
      <c r="N3660" t="s">
        <v>1981</v>
      </c>
      <c r="O3660" t="s">
        <v>2940</v>
      </c>
      <c r="P3660" t="s">
        <v>3037</v>
      </c>
      <c r="Q3660">
        <v>45.5</v>
      </c>
      <c r="R3660" s="1" t="s">
        <v>1839</v>
      </c>
      <c r="S3660">
        <v>2850</v>
      </c>
      <c r="T3660">
        <v>129675</v>
      </c>
    </row>
    <row r="3661" spans="1:20" hidden="1" x14ac:dyDescent="0.4">
      <c r="A3661" s="1" t="s">
        <v>1399</v>
      </c>
      <c r="B3661" s="1" t="s">
        <v>1457</v>
      </c>
      <c r="C3661" s="1" t="s">
        <v>1844</v>
      </c>
      <c r="D3661" s="1" t="s">
        <v>1462</v>
      </c>
      <c r="E3661">
        <v>20251224</v>
      </c>
      <c r="F3661" s="1" t="s">
        <v>1470</v>
      </c>
      <c r="G3661">
        <v>4</v>
      </c>
      <c r="H3661" s="1" t="s">
        <v>1503</v>
      </c>
      <c r="I3661" t="s">
        <v>1883</v>
      </c>
      <c r="J3661" s="1" t="s">
        <v>1456</v>
      </c>
      <c r="K3661" s="1" t="s">
        <v>1606</v>
      </c>
      <c r="L3661" s="1" t="s">
        <v>1729</v>
      </c>
      <c r="M3661" s="1" t="s">
        <v>1735</v>
      </c>
      <c r="N3661" t="s">
        <v>1981</v>
      </c>
      <c r="O3661" t="s">
        <v>2941</v>
      </c>
      <c r="P3661" t="s">
        <v>3037</v>
      </c>
      <c r="Q3661">
        <v>45.5</v>
      </c>
      <c r="R3661" s="1" t="s">
        <v>1839</v>
      </c>
      <c r="S3661">
        <v>2850</v>
      </c>
      <c r="T3661">
        <v>129675</v>
      </c>
    </row>
    <row r="3662" spans="1:20" hidden="1" x14ac:dyDescent="0.4">
      <c r="A3662" s="1" t="s">
        <v>1399</v>
      </c>
      <c r="B3662" s="1" t="s">
        <v>1458</v>
      </c>
      <c r="C3662" s="1" t="s">
        <v>1844</v>
      </c>
      <c r="D3662" s="1" t="s">
        <v>1462</v>
      </c>
      <c r="E3662">
        <v>20251224</v>
      </c>
      <c r="F3662" s="1" t="s">
        <v>1470</v>
      </c>
      <c r="G3662">
        <v>4</v>
      </c>
      <c r="H3662" s="1" t="s">
        <v>1503</v>
      </c>
      <c r="I3662" t="s">
        <v>1883</v>
      </c>
      <c r="J3662" s="1" t="s">
        <v>1456</v>
      </c>
      <c r="K3662" s="1" t="s">
        <v>1606</v>
      </c>
      <c r="L3662" s="1" t="s">
        <v>1729</v>
      </c>
      <c r="M3662" s="1" t="s">
        <v>1735</v>
      </c>
      <c r="N3662" t="s">
        <v>1981</v>
      </c>
      <c r="O3662" t="s">
        <v>2942</v>
      </c>
      <c r="P3662" t="s">
        <v>3037</v>
      </c>
      <c r="Q3662">
        <v>45.5</v>
      </c>
      <c r="R3662" s="1" t="s">
        <v>1839</v>
      </c>
      <c r="S3662">
        <v>2850</v>
      </c>
      <c r="T3662">
        <v>129675</v>
      </c>
    </row>
    <row r="3663" spans="1:20" hidden="1" x14ac:dyDescent="0.4">
      <c r="A3663" s="1" t="s">
        <v>1399</v>
      </c>
      <c r="B3663" s="1" t="s">
        <v>1459</v>
      </c>
      <c r="C3663" s="1" t="s">
        <v>1844</v>
      </c>
      <c r="D3663" s="1" t="s">
        <v>1462</v>
      </c>
      <c r="E3663">
        <v>20251224</v>
      </c>
      <c r="F3663" s="1" t="s">
        <v>1470</v>
      </c>
      <c r="G3663">
        <v>4</v>
      </c>
      <c r="H3663" s="1" t="s">
        <v>1503</v>
      </c>
      <c r="I3663" t="s">
        <v>1883</v>
      </c>
      <c r="J3663" s="1" t="s">
        <v>1456</v>
      </c>
      <c r="K3663" s="1" t="s">
        <v>1606</v>
      </c>
      <c r="L3663" s="1" t="s">
        <v>1729</v>
      </c>
      <c r="M3663" s="1" t="s">
        <v>1735</v>
      </c>
      <c r="N3663" t="s">
        <v>1981</v>
      </c>
      <c r="O3663" t="s">
        <v>2943</v>
      </c>
      <c r="P3663" t="s">
        <v>3037</v>
      </c>
      <c r="Q3663">
        <v>45.5</v>
      </c>
      <c r="R3663" s="1" t="s">
        <v>1839</v>
      </c>
      <c r="S3663">
        <v>2850</v>
      </c>
      <c r="T3663">
        <v>129675</v>
      </c>
    </row>
    <row r="3664" spans="1:20" hidden="1" x14ac:dyDescent="0.4">
      <c r="A3664" s="1" t="s">
        <v>1399</v>
      </c>
      <c r="B3664" s="1" t="s">
        <v>1460</v>
      </c>
      <c r="C3664" s="1" t="s">
        <v>1844</v>
      </c>
      <c r="D3664" s="1" t="s">
        <v>1462</v>
      </c>
      <c r="E3664">
        <v>20251224</v>
      </c>
      <c r="F3664" s="1" t="s">
        <v>1470</v>
      </c>
      <c r="G3664">
        <v>4</v>
      </c>
      <c r="H3664" s="1" t="s">
        <v>1503</v>
      </c>
      <c r="I3664" t="s">
        <v>1883</v>
      </c>
      <c r="J3664" s="1" t="s">
        <v>1456</v>
      </c>
      <c r="K3664" s="1" t="s">
        <v>1606</v>
      </c>
      <c r="L3664" s="1" t="s">
        <v>1729</v>
      </c>
      <c r="M3664" s="1" t="s">
        <v>1735</v>
      </c>
      <c r="N3664" t="s">
        <v>1981</v>
      </c>
      <c r="O3664" t="s">
        <v>2944</v>
      </c>
      <c r="P3664" t="s">
        <v>3037</v>
      </c>
      <c r="Q3664">
        <v>48.2</v>
      </c>
      <c r="R3664" s="1" t="s">
        <v>1839</v>
      </c>
      <c r="S3664">
        <v>2850</v>
      </c>
      <c r="T3664">
        <v>137370</v>
      </c>
    </row>
    <row r="3665" spans="1:20" hidden="1" x14ac:dyDescent="0.4">
      <c r="A3665" s="1" t="s">
        <v>1399</v>
      </c>
      <c r="B3665" s="1" t="s">
        <v>1461</v>
      </c>
      <c r="C3665" s="1" t="s">
        <v>1844</v>
      </c>
      <c r="D3665" s="1" t="s">
        <v>1462</v>
      </c>
      <c r="E3665">
        <v>20251224</v>
      </c>
      <c r="F3665" s="1" t="s">
        <v>1470</v>
      </c>
      <c r="G3665">
        <v>4</v>
      </c>
      <c r="H3665" s="1" t="s">
        <v>1503</v>
      </c>
      <c r="I3665" t="s">
        <v>1883</v>
      </c>
      <c r="J3665" s="1" t="s">
        <v>1456</v>
      </c>
      <c r="K3665" s="1" t="s">
        <v>1606</v>
      </c>
      <c r="L3665" s="1" t="s">
        <v>1729</v>
      </c>
      <c r="M3665" s="1" t="s">
        <v>1735</v>
      </c>
      <c r="N3665" t="s">
        <v>1981</v>
      </c>
      <c r="O3665" t="s">
        <v>2945</v>
      </c>
      <c r="P3665" t="s">
        <v>3037</v>
      </c>
      <c r="Q3665">
        <v>45.5</v>
      </c>
      <c r="R3665" s="1" t="s">
        <v>1839</v>
      </c>
      <c r="S3665">
        <v>2850</v>
      </c>
      <c r="T3665">
        <v>129675</v>
      </c>
    </row>
    <row r="3666" spans="1:20" hidden="1" x14ac:dyDescent="0.4">
      <c r="A3666" s="1" t="s">
        <v>1399</v>
      </c>
      <c r="B3666" s="1" t="s">
        <v>1462</v>
      </c>
      <c r="C3666" s="1" t="s">
        <v>1844</v>
      </c>
      <c r="D3666" s="1" t="s">
        <v>1462</v>
      </c>
      <c r="E3666">
        <v>20251224</v>
      </c>
      <c r="F3666" s="1" t="s">
        <v>1470</v>
      </c>
      <c r="G3666">
        <v>4</v>
      </c>
      <c r="H3666" s="1" t="s">
        <v>1503</v>
      </c>
      <c r="I3666" t="s">
        <v>1883</v>
      </c>
      <c r="J3666" s="1" t="s">
        <v>1456</v>
      </c>
      <c r="K3666" s="1" t="s">
        <v>1606</v>
      </c>
      <c r="L3666" s="1" t="s">
        <v>1729</v>
      </c>
      <c r="M3666" s="1" t="s">
        <v>1735</v>
      </c>
      <c r="N3666" t="s">
        <v>1981</v>
      </c>
      <c r="O3666" t="s">
        <v>2946</v>
      </c>
      <c r="P3666" t="s">
        <v>3037</v>
      </c>
      <c r="Q3666">
        <v>45.5</v>
      </c>
      <c r="R3666" s="1" t="s">
        <v>1839</v>
      </c>
      <c r="S3666">
        <v>2850</v>
      </c>
      <c r="T3666">
        <v>129675</v>
      </c>
    </row>
    <row r="3667" spans="1:20" hidden="1" x14ac:dyDescent="0.4">
      <c r="A3667" s="1" t="s">
        <v>1399</v>
      </c>
      <c r="B3667" s="1" t="s">
        <v>1463</v>
      </c>
      <c r="C3667" s="1" t="s">
        <v>1844</v>
      </c>
      <c r="D3667" s="1" t="s">
        <v>1462</v>
      </c>
      <c r="E3667">
        <v>20251224</v>
      </c>
      <c r="F3667" s="1" t="s">
        <v>1470</v>
      </c>
      <c r="G3667">
        <v>4</v>
      </c>
      <c r="H3667" s="1" t="s">
        <v>1503</v>
      </c>
      <c r="I3667" t="s">
        <v>1883</v>
      </c>
      <c r="J3667" s="1" t="s">
        <v>1456</v>
      </c>
      <c r="K3667" s="1" t="s">
        <v>1606</v>
      </c>
      <c r="L3667" s="1" t="s">
        <v>1729</v>
      </c>
      <c r="M3667" s="1" t="s">
        <v>1735</v>
      </c>
      <c r="N3667" t="s">
        <v>1981</v>
      </c>
      <c r="O3667" t="s">
        <v>2947</v>
      </c>
      <c r="P3667" t="s">
        <v>3037</v>
      </c>
      <c r="Q3667">
        <v>45.5</v>
      </c>
      <c r="R3667" s="1" t="s">
        <v>1839</v>
      </c>
      <c r="S3667">
        <v>2850</v>
      </c>
      <c r="T3667">
        <v>129675</v>
      </c>
    </row>
    <row r="3668" spans="1:20" hidden="1" x14ac:dyDescent="0.4">
      <c r="A3668" s="1" t="s">
        <v>1400</v>
      </c>
      <c r="B3668" s="1" t="s">
        <v>1453</v>
      </c>
      <c r="C3668" s="1" t="s">
        <v>1844</v>
      </c>
      <c r="D3668" s="1" t="s">
        <v>1462</v>
      </c>
      <c r="E3668">
        <v>20251222</v>
      </c>
      <c r="F3668" s="1" t="s">
        <v>1471</v>
      </c>
      <c r="G3668">
        <v>4</v>
      </c>
      <c r="H3668" s="1" t="s">
        <v>1525</v>
      </c>
      <c r="I3668" t="s">
        <v>1905</v>
      </c>
      <c r="J3668" s="1" t="s">
        <v>1460</v>
      </c>
      <c r="K3668" s="1" t="s">
        <v>1647</v>
      </c>
      <c r="L3668" s="1" t="s">
        <v>1731</v>
      </c>
      <c r="M3668" s="1" t="s">
        <v>1798</v>
      </c>
      <c r="N3668" t="s">
        <v>2029</v>
      </c>
      <c r="O3668" t="s">
        <v>2178</v>
      </c>
      <c r="P3668" t="s">
        <v>3157</v>
      </c>
      <c r="Q3668">
        <v>500</v>
      </c>
      <c r="R3668" s="1" t="s">
        <v>1463</v>
      </c>
      <c r="S3668">
        <v>615</v>
      </c>
      <c r="T3668">
        <v>307500</v>
      </c>
    </row>
    <row r="3669" spans="1:20" hidden="1" x14ac:dyDescent="0.4">
      <c r="A3669" s="1" t="s">
        <v>1401</v>
      </c>
      <c r="B3669" s="1" t="s">
        <v>1453</v>
      </c>
      <c r="C3669" s="1" t="s">
        <v>1844</v>
      </c>
      <c r="D3669" s="1" t="s">
        <v>1462</v>
      </c>
      <c r="E3669">
        <v>20251222</v>
      </c>
      <c r="F3669" s="1" t="s">
        <v>1471</v>
      </c>
      <c r="G3669">
        <v>4</v>
      </c>
      <c r="H3669" s="1" t="s">
        <v>1542</v>
      </c>
      <c r="I3669" t="s">
        <v>1922</v>
      </c>
      <c r="J3669" s="1" t="s">
        <v>1460</v>
      </c>
      <c r="K3669" s="1" t="s">
        <v>1649</v>
      </c>
      <c r="L3669" s="1" t="s">
        <v>1731</v>
      </c>
      <c r="M3669" s="1" t="s">
        <v>1799</v>
      </c>
      <c r="N3669" t="s">
        <v>2031</v>
      </c>
      <c r="O3669" t="s">
        <v>2178</v>
      </c>
      <c r="P3669" t="s">
        <v>3159</v>
      </c>
      <c r="Q3669">
        <v>2500</v>
      </c>
      <c r="R3669" s="1" t="s">
        <v>1463</v>
      </c>
      <c r="S3669">
        <v>1339</v>
      </c>
      <c r="T3669">
        <v>3347500</v>
      </c>
    </row>
    <row r="3670" spans="1:20" hidden="1" x14ac:dyDescent="0.4">
      <c r="A3670" s="1" t="s">
        <v>1402</v>
      </c>
      <c r="B3670" s="1" t="s">
        <v>1453</v>
      </c>
      <c r="C3670" s="1" t="s">
        <v>1844</v>
      </c>
      <c r="D3670" s="1" t="s">
        <v>1462</v>
      </c>
      <c r="E3670">
        <v>20251224</v>
      </c>
      <c r="F3670" s="1" t="s">
        <v>1470</v>
      </c>
      <c r="G3670">
        <v>4</v>
      </c>
      <c r="H3670" s="1" t="s">
        <v>1503</v>
      </c>
      <c r="I3670" t="s">
        <v>1883</v>
      </c>
      <c r="J3670" s="1" t="s">
        <v>1456</v>
      </c>
      <c r="K3670" s="1" t="s">
        <v>1606</v>
      </c>
      <c r="L3670" s="1" t="s">
        <v>1729</v>
      </c>
      <c r="M3670" s="1" t="s">
        <v>1735</v>
      </c>
      <c r="N3670" t="s">
        <v>1981</v>
      </c>
      <c r="O3670" t="s">
        <v>2948</v>
      </c>
      <c r="P3670" t="s">
        <v>3037</v>
      </c>
      <c r="Q3670">
        <v>45.5</v>
      </c>
      <c r="R3670" s="1" t="s">
        <v>1839</v>
      </c>
      <c r="S3670">
        <v>2850</v>
      </c>
      <c r="T3670">
        <v>129675</v>
      </c>
    </row>
    <row r="3671" spans="1:20" hidden="1" x14ac:dyDescent="0.4">
      <c r="A3671" s="1" t="s">
        <v>1402</v>
      </c>
      <c r="B3671" s="1" t="s">
        <v>1454</v>
      </c>
      <c r="C3671" s="1" t="s">
        <v>1844</v>
      </c>
      <c r="D3671" s="1" t="s">
        <v>1462</v>
      </c>
      <c r="E3671">
        <v>20251224</v>
      </c>
      <c r="F3671" s="1" t="s">
        <v>1470</v>
      </c>
      <c r="G3671">
        <v>4</v>
      </c>
      <c r="H3671" s="1" t="s">
        <v>1503</v>
      </c>
      <c r="I3671" t="s">
        <v>1883</v>
      </c>
      <c r="J3671" s="1" t="s">
        <v>1456</v>
      </c>
      <c r="K3671" s="1" t="s">
        <v>1606</v>
      </c>
      <c r="L3671" s="1" t="s">
        <v>1729</v>
      </c>
      <c r="M3671" s="1" t="s">
        <v>1735</v>
      </c>
      <c r="N3671" t="s">
        <v>1981</v>
      </c>
      <c r="O3671" t="s">
        <v>2949</v>
      </c>
      <c r="P3671" t="s">
        <v>3037</v>
      </c>
      <c r="Q3671">
        <v>45.5</v>
      </c>
      <c r="R3671" s="1" t="s">
        <v>1839</v>
      </c>
      <c r="S3671">
        <v>2850</v>
      </c>
      <c r="T3671">
        <v>129675</v>
      </c>
    </row>
    <row r="3672" spans="1:20" hidden="1" x14ac:dyDescent="0.4">
      <c r="A3672" s="1" t="s">
        <v>1402</v>
      </c>
      <c r="B3672" s="1" t="s">
        <v>1455</v>
      </c>
      <c r="C3672" s="1" t="s">
        <v>1844</v>
      </c>
      <c r="D3672" s="1" t="s">
        <v>1462</v>
      </c>
      <c r="E3672">
        <v>20251224</v>
      </c>
      <c r="F3672" s="1" t="s">
        <v>1470</v>
      </c>
      <c r="G3672">
        <v>4</v>
      </c>
      <c r="H3672" s="1" t="s">
        <v>1503</v>
      </c>
      <c r="I3672" t="s">
        <v>1883</v>
      </c>
      <c r="J3672" s="1" t="s">
        <v>1456</v>
      </c>
      <c r="K3672" s="1" t="s">
        <v>1606</v>
      </c>
      <c r="L3672" s="1" t="s">
        <v>1729</v>
      </c>
      <c r="M3672" s="1" t="s">
        <v>1735</v>
      </c>
      <c r="N3672" t="s">
        <v>1981</v>
      </c>
      <c r="O3672" t="s">
        <v>2950</v>
      </c>
      <c r="P3672" t="s">
        <v>3037</v>
      </c>
      <c r="Q3672">
        <v>45.5</v>
      </c>
      <c r="R3672" s="1" t="s">
        <v>1839</v>
      </c>
      <c r="S3672">
        <v>2850</v>
      </c>
      <c r="T3672">
        <v>129675</v>
      </c>
    </row>
    <row r="3673" spans="1:20" hidden="1" x14ac:dyDescent="0.4">
      <c r="A3673" s="1" t="s">
        <v>1402</v>
      </c>
      <c r="B3673" s="1" t="s">
        <v>1456</v>
      </c>
      <c r="C3673" s="1" t="s">
        <v>1844</v>
      </c>
      <c r="D3673" s="1" t="s">
        <v>1462</v>
      </c>
      <c r="E3673">
        <v>20251224</v>
      </c>
      <c r="F3673" s="1" t="s">
        <v>1470</v>
      </c>
      <c r="G3673">
        <v>4</v>
      </c>
      <c r="H3673" s="1" t="s">
        <v>1503</v>
      </c>
      <c r="I3673" t="s">
        <v>1883</v>
      </c>
      <c r="J3673" s="1" t="s">
        <v>1456</v>
      </c>
      <c r="K3673" s="1" t="s">
        <v>1606</v>
      </c>
      <c r="L3673" s="1" t="s">
        <v>1729</v>
      </c>
      <c r="M3673" s="1" t="s">
        <v>1735</v>
      </c>
      <c r="N3673" t="s">
        <v>1981</v>
      </c>
      <c r="O3673" t="s">
        <v>2951</v>
      </c>
      <c r="P3673" t="s">
        <v>3037</v>
      </c>
      <c r="Q3673">
        <v>45.5</v>
      </c>
      <c r="R3673" s="1" t="s">
        <v>1839</v>
      </c>
      <c r="S3673">
        <v>2850</v>
      </c>
      <c r="T3673">
        <v>129675</v>
      </c>
    </row>
    <row r="3674" spans="1:20" hidden="1" x14ac:dyDescent="0.4">
      <c r="A3674" s="1" t="s">
        <v>1402</v>
      </c>
      <c r="B3674" s="1" t="s">
        <v>1457</v>
      </c>
      <c r="C3674" s="1" t="s">
        <v>1844</v>
      </c>
      <c r="D3674" s="1" t="s">
        <v>1462</v>
      </c>
      <c r="E3674">
        <v>20251224</v>
      </c>
      <c r="F3674" s="1" t="s">
        <v>1470</v>
      </c>
      <c r="G3674">
        <v>4</v>
      </c>
      <c r="H3674" s="1" t="s">
        <v>1503</v>
      </c>
      <c r="I3674" t="s">
        <v>1883</v>
      </c>
      <c r="J3674" s="1" t="s">
        <v>1456</v>
      </c>
      <c r="K3674" s="1" t="s">
        <v>1606</v>
      </c>
      <c r="L3674" s="1" t="s">
        <v>1729</v>
      </c>
      <c r="M3674" s="1" t="s">
        <v>1735</v>
      </c>
      <c r="N3674" t="s">
        <v>1981</v>
      </c>
      <c r="O3674" t="s">
        <v>2952</v>
      </c>
      <c r="P3674" t="s">
        <v>3037</v>
      </c>
      <c r="Q3674">
        <v>48.8</v>
      </c>
      <c r="R3674" s="1" t="s">
        <v>1839</v>
      </c>
      <c r="S3674">
        <v>2850</v>
      </c>
      <c r="T3674">
        <v>139080</v>
      </c>
    </row>
    <row r="3675" spans="1:20" hidden="1" x14ac:dyDescent="0.4">
      <c r="A3675" s="1" t="s">
        <v>1402</v>
      </c>
      <c r="B3675" s="1" t="s">
        <v>1458</v>
      </c>
      <c r="C3675" s="1" t="s">
        <v>1844</v>
      </c>
      <c r="D3675" s="1" t="s">
        <v>1462</v>
      </c>
      <c r="E3675">
        <v>20251224</v>
      </c>
      <c r="F3675" s="1" t="s">
        <v>1470</v>
      </c>
      <c r="G3675">
        <v>4</v>
      </c>
      <c r="H3675" s="1" t="s">
        <v>1503</v>
      </c>
      <c r="I3675" t="s">
        <v>1883</v>
      </c>
      <c r="J3675" s="1" t="s">
        <v>1456</v>
      </c>
      <c r="K3675" s="1" t="s">
        <v>1606</v>
      </c>
      <c r="L3675" s="1" t="s">
        <v>1729</v>
      </c>
      <c r="M3675" s="1" t="s">
        <v>1735</v>
      </c>
      <c r="N3675" t="s">
        <v>1981</v>
      </c>
      <c r="O3675" t="s">
        <v>2953</v>
      </c>
      <c r="P3675" t="s">
        <v>3037</v>
      </c>
      <c r="Q3675">
        <v>45.5</v>
      </c>
      <c r="R3675" s="1" t="s">
        <v>1839</v>
      </c>
      <c r="S3675">
        <v>2850</v>
      </c>
      <c r="T3675">
        <v>129675</v>
      </c>
    </row>
    <row r="3676" spans="1:20" hidden="1" x14ac:dyDescent="0.4">
      <c r="A3676" s="1" t="s">
        <v>1402</v>
      </c>
      <c r="B3676" s="1" t="s">
        <v>1459</v>
      </c>
      <c r="C3676" s="1" t="s">
        <v>1844</v>
      </c>
      <c r="D3676" s="1" t="s">
        <v>1462</v>
      </c>
      <c r="E3676">
        <v>20251224</v>
      </c>
      <c r="F3676" s="1" t="s">
        <v>1470</v>
      </c>
      <c r="G3676">
        <v>4</v>
      </c>
      <c r="H3676" s="1" t="s">
        <v>1503</v>
      </c>
      <c r="I3676" t="s">
        <v>1883</v>
      </c>
      <c r="J3676" s="1" t="s">
        <v>1456</v>
      </c>
      <c r="K3676" s="1" t="s">
        <v>1606</v>
      </c>
      <c r="L3676" s="1" t="s">
        <v>1729</v>
      </c>
      <c r="M3676" s="1" t="s">
        <v>1735</v>
      </c>
      <c r="N3676" t="s">
        <v>1981</v>
      </c>
      <c r="O3676" t="s">
        <v>2954</v>
      </c>
      <c r="P3676" t="s">
        <v>3037</v>
      </c>
      <c r="Q3676">
        <v>45.9</v>
      </c>
      <c r="R3676" s="1" t="s">
        <v>1839</v>
      </c>
      <c r="S3676">
        <v>2850</v>
      </c>
      <c r="T3676">
        <v>130815</v>
      </c>
    </row>
    <row r="3677" spans="1:20" hidden="1" x14ac:dyDescent="0.4">
      <c r="A3677" s="1" t="s">
        <v>1402</v>
      </c>
      <c r="B3677" s="1" t="s">
        <v>1460</v>
      </c>
      <c r="C3677" s="1" t="s">
        <v>1844</v>
      </c>
      <c r="D3677" s="1" t="s">
        <v>1462</v>
      </c>
      <c r="E3677">
        <v>20251224</v>
      </c>
      <c r="F3677" s="1" t="s">
        <v>1470</v>
      </c>
      <c r="G3677">
        <v>4</v>
      </c>
      <c r="H3677" s="1" t="s">
        <v>1503</v>
      </c>
      <c r="I3677" t="s">
        <v>1883</v>
      </c>
      <c r="J3677" s="1" t="s">
        <v>1456</v>
      </c>
      <c r="K3677" s="1" t="s">
        <v>1606</v>
      </c>
      <c r="L3677" s="1" t="s">
        <v>1729</v>
      </c>
      <c r="M3677" s="1" t="s">
        <v>1735</v>
      </c>
      <c r="N3677" t="s">
        <v>1981</v>
      </c>
      <c r="O3677" t="s">
        <v>2955</v>
      </c>
      <c r="P3677" t="s">
        <v>3037</v>
      </c>
      <c r="Q3677">
        <v>45.5</v>
      </c>
      <c r="R3677" s="1" t="s">
        <v>1839</v>
      </c>
      <c r="S3677">
        <v>2850</v>
      </c>
      <c r="T3677">
        <v>129675</v>
      </c>
    </row>
    <row r="3678" spans="1:20" hidden="1" x14ac:dyDescent="0.4">
      <c r="A3678" s="1" t="s">
        <v>1402</v>
      </c>
      <c r="B3678" s="1" t="s">
        <v>1461</v>
      </c>
      <c r="C3678" s="1" t="s">
        <v>1844</v>
      </c>
      <c r="D3678" s="1" t="s">
        <v>1462</v>
      </c>
      <c r="E3678">
        <v>20251224</v>
      </c>
      <c r="F3678" s="1" t="s">
        <v>1470</v>
      </c>
      <c r="G3678">
        <v>4</v>
      </c>
      <c r="H3678" s="1" t="s">
        <v>1503</v>
      </c>
      <c r="I3678" t="s">
        <v>1883</v>
      </c>
      <c r="J3678" s="1" t="s">
        <v>1456</v>
      </c>
      <c r="K3678" s="1" t="s">
        <v>1606</v>
      </c>
      <c r="L3678" s="1" t="s">
        <v>1729</v>
      </c>
      <c r="M3678" s="1" t="s">
        <v>1735</v>
      </c>
      <c r="N3678" t="s">
        <v>1981</v>
      </c>
      <c r="O3678" t="s">
        <v>2956</v>
      </c>
      <c r="P3678" t="s">
        <v>3037</v>
      </c>
      <c r="Q3678">
        <v>45.5</v>
      </c>
      <c r="R3678" s="1" t="s">
        <v>1839</v>
      </c>
      <c r="S3678">
        <v>2850</v>
      </c>
      <c r="T3678">
        <v>129675</v>
      </c>
    </row>
    <row r="3679" spans="1:20" hidden="1" x14ac:dyDescent="0.4">
      <c r="A3679" s="1" t="s">
        <v>1402</v>
      </c>
      <c r="B3679" s="1" t="s">
        <v>1462</v>
      </c>
      <c r="C3679" s="1" t="s">
        <v>1844</v>
      </c>
      <c r="D3679" s="1" t="s">
        <v>1462</v>
      </c>
      <c r="E3679">
        <v>20251224</v>
      </c>
      <c r="F3679" s="1" t="s">
        <v>1470</v>
      </c>
      <c r="G3679">
        <v>4</v>
      </c>
      <c r="H3679" s="1" t="s">
        <v>1503</v>
      </c>
      <c r="I3679" t="s">
        <v>1883</v>
      </c>
      <c r="J3679" s="1" t="s">
        <v>1456</v>
      </c>
      <c r="K3679" s="1" t="s">
        <v>1606</v>
      </c>
      <c r="L3679" s="1" t="s">
        <v>1729</v>
      </c>
      <c r="M3679" s="1" t="s">
        <v>1735</v>
      </c>
      <c r="N3679" t="s">
        <v>1981</v>
      </c>
      <c r="O3679" t="s">
        <v>2957</v>
      </c>
      <c r="P3679" t="s">
        <v>3037</v>
      </c>
      <c r="Q3679">
        <v>45.5</v>
      </c>
      <c r="R3679" s="1" t="s">
        <v>1839</v>
      </c>
      <c r="S3679">
        <v>2850</v>
      </c>
      <c r="T3679">
        <v>129675</v>
      </c>
    </row>
    <row r="3680" spans="1:20" hidden="1" x14ac:dyDescent="0.4">
      <c r="A3680" s="1" t="s">
        <v>1402</v>
      </c>
      <c r="B3680" s="1" t="s">
        <v>1463</v>
      </c>
      <c r="C3680" s="1" t="s">
        <v>1844</v>
      </c>
      <c r="D3680" s="1" t="s">
        <v>1462</v>
      </c>
      <c r="E3680">
        <v>20251224</v>
      </c>
      <c r="F3680" s="1" t="s">
        <v>1470</v>
      </c>
      <c r="G3680">
        <v>4</v>
      </c>
      <c r="H3680" s="1" t="s">
        <v>1503</v>
      </c>
      <c r="I3680" t="s">
        <v>1883</v>
      </c>
      <c r="J3680" s="1" t="s">
        <v>1456</v>
      </c>
      <c r="K3680" s="1" t="s">
        <v>1606</v>
      </c>
      <c r="L3680" s="1" t="s">
        <v>1729</v>
      </c>
      <c r="M3680" s="1" t="s">
        <v>1735</v>
      </c>
      <c r="N3680" t="s">
        <v>1981</v>
      </c>
      <c r="O3680" t="s">
        <v>2958</v>
      </c>
      <c r="P3680" t="s">
        <v>3037</v>
      </c>
      <c r="Q3680">
        <v>45.5</v>
      </c>
      <c r="R3680" s="1" t="s">
        <v>1839</v>
      </c>
      <c r="S3680">
        <v>2850</v>
      </c>
      <c r="T3680">
        <v>129675</v>
      </c>
    </row>
    <row r="3681" spans="1:20" hidden="1" x14ac:dyDescent="0.4">
      <c r="A3681" s="1" t="s">
        <v>1403</v>
      </c>
      <c r="B3681" s="1" t="s">
        <v>1453</v>
      </c>
      <c r="C3681" s="1" t="s">
        <v>1844</v>
      </c>
      <c r="D3681" s="1" t="s">
        <v>1462</v>
      </c>
      <c r="E3681">
        <v>20251224</v>
      </c>
      <c r="F3681" s="1" t="s">
        <v>1470</v>
      </c>
      <c r="G3681">
        <v>4</v>
      </c>
      <c r="H3681" s="1" t="s">
        <v>1503</v>
      </c>
      <c r="I3681" t="s">
        <v>1883</v>
      </c>
      <c r="J3681" s="1" t="s">
        <v>1456</v>
      </c>
      <c r="K3681" s="1" t="s">
        <v>1606</v>
      </c>
      <c r="L3681" s="1" t="s">
        <v>1729</v>
      </c>
      <c r="M3681" s="1" t="s">
        <v>1735</v>
      </c>
      <c r="N3681" t="s">
        <v>1981</v>
      </c>
      <c r="O3681" t="s">
        <v>2959</v>
      </c>
      <c r="P3681" t="s">
        <v>3037</v>
      </c>
      <c r="Q3681">
        <v>48</v>
      </c>
      <c r="R3681" s="1" t="s">
        <v>1839</v>
      </c>
      <c r="S3681">
        <v>2850</v>
      </c>
      <c r="T3681">
        <v>136800</v>
      </c>
    </row>
    <row r="3682" spans="1:20" hidden="1" x14ac:dyDescent="0.4">
      <c r="A3682" s="1" t="s">
        <v>1403</v>
      </c>
      <c r="B3682" s="1" t="s">
        <v>1454</v>
      </c>
      <c r="C3682" s="1" t="s">
        <v>1844</v>
      </c>
      <c r="D3682" s="1" t="s">
        <v>1462</v>
      </c>
      <c r="E3682">
        <v>20251224</v>
      </c>
      <c r="F3682" s="1" t="s">
        <v>1470</v>
      </c>
      <c r="G3682">
        <v>4</v>
      </c>
      <c r="H3682" s="1" t="s">
        <v>1503</v>
      </c>
      <c r="I3682" t="s">
        <v>1883</v>
      </c>
      <c r="J3682" s="1" t="s">
        <v>1456</v>
      </c>
      <c r="K3682" s="1" t="s">
        <v>1606</v>
      </c>
      <c r="L3682" s="1" t="s">
        <v>1729</v>
      </c>
      <c r="M3682" s="1" t="s">
        <v>1735</v>
      </c>
      <c r="N3682" t="s">
        <v>1981</v>
      </c>
      <c r="O3682" t="s">
        <v>2960</v>
      </c>
      <c r="P3682" t="s">
        <v>3037</v>
      </c>
      <c r="Q3682">
        <v>42.2</v>
      </c>
      <c r="R3682" s="1" t="s">
        <v>1839</v>
      </c>
      <c r="S3682">
        <v>2850</v>
      </c>
      <c r="T3682">
        <v>120270</v>
      </c>
    </row>
    <row r="3683" spans="1:20" hidden="1" x14ac:dyDescent="0.4">
      <c r="A3683" s="1" t="s">
        <v>1403</v>
      </c>
      <c r="B3683" s="1" t="s">
        <v>1455</v>
      </c>
      <c r="C3683" s="1" t="s">
        <v>1844</v>
      </c>
      <c r="D3683" s="1" t="s">
        <v>1462</v>
      </c>
      <c r="E3683">
        <v>20251224</v>
      </c>
      <c r="F3683" s="1" t="s">
        <v>1470</v>
      </c>
      <c r="G3683">
        <v>4</v>
      </c>
      <c r="H3683" s="1" t="s">
        <v>1503</v>
      </c>
      <c r="I3683" t="s">
        <v>1883</v>
      </c>
      <c r="J3683" s="1" t="s">
        <v>1456</v>
      </c>
      <c r="K3683" s="1" t="s">
        <v>1606</v>
      </c>
      <c r="L3683" s="1" t="s">
        <v>1729</v>
      </c>
      <c r="M3683" s="1" t="s">
        <v>1735</v>
      </c>
      <c r="N3683" t="s">
        <v>1981</v>
      </c>
      <c r="O3683" t="s">
        <v>2961</v>
      </c>
      <c r="P3683" t="s">
        <v>3037</v>
      </c>
      <c r="Q3683">
        <v>45.5</v>
      </c>
      <c r="R3683" s="1" t="s">
        <v>1839</v>
      </c>
      <c r="S3683">
        <v>2850</v>
      </c>
      <c r="T3683">
        <v>129675</v>
      </c>
    </row>
    <row r="3684" spans="1:20" hidden="1" x14ac:dyDescent="0.4">
      <c r="A3684" s="1" t="s">
        <v>1403</v>
      </c>
      <c r="B3684" s="1" t="s">
        <v>1456</v>
      </c>
      <c r="C3684" s="1" t="s">
        <v>1844</v>
      </c>
      <c r="D3684" s="1" t="s">
        <v>1462</v>
      </c>
      <c r="E3684">
        <v>20251224</v>
      </c>
      <c r="F3684" s="1" t="s">
        <v>1470</v>
      </c>
      <c r="G3684">
        <v>4</v>
      </c>
      <c r="H3684" s="1" t="s">
        <v>1503</v>
      </c>
      <c r="I3684" t="s">
        <v>1883</v>
      </c>
      <c r="J3684" s="1" t="s">
        <v>1456</v>
      </c>
      <c r="K3684" s="1" t="s">
        <v>1606</v>
      </c>
      <c r="L3684" s="1" t="s">
        <v>1729</v>
      </c>
      <c r="M3684" s="1" t="s">
        <v>1735</v>
      </c>
      <c r="N3684" t="s">
        <v>1981</v>
      </c>
      <c r="O3684" t="s">
        <v>2962</v>
      </c>
      <c r="P3684" t="s">
        <v>3037</v>
      </c>
      <c r="Q3684">
        <v>45.9</v>
      </c>
      <c r="R3684" s="1" t="s">
        <v>1839</v>
      </c>
      <c r="S3684">
        <v>2850</v>
      </c>
      <c r="T3684">
        <v>130815</v>
      </c>
    </row>
    <row r="3685" spans="1:20" hidden="1" x14ac:dyDescent="0.4">
      <c r="A3685" s="1" t="s">
        <v>1403</v>
      </c>
      <c r="B3685" s="1" t="s">
        <v>1457</v>
      </c>
      <c r="C3685" s="1" t="s">
        <v>1844</v>
      </c>
      <c r="D3685" s="1" t="s">
        <v>1462</v>
      </c>
      <c r="E3685">
        <v>20251224</v>
      </c>
      <c r="F3685" s="1" t="s">
        <v>1470</v>
      </c>
      <c r="G3685">
        <v>4</v>
      </c>
      <c r="H3685" s="1" t="s">
        <v>1503</v>
      </c>
      <c r="I3685" t="s">
        <v>1883</v>
      </c>
      <c r="J3685" s="1" t="s">
        <v>1456</v>
      </c>
      <c r="K3685" s="1" t="s">
        <v>1606</v>
      </c>
      <c r="L3685" s="1" t="s">
        <v>1729</v>
      </c>
      <c r="M3685" s="1" t="s">
        <v>1735</v>
      </c>
      <c r="N3685" t="s">
        <v>1981</v>
      </c>
      <c r="O3685" t="s">
        <v>2963</v>
      </c>
      <c r="P3685" t="s">
        <v>3037</v>
      </c>
      <c r="Q3685">
        <v>45.5</v>
      </c>
      <c r="R3685" s="1" t="s">
        <v>1839</v>
      </c>
      <c r="S3685">
        <v>2850</v>
      </c>
      <c r="T3685">
        <v>129675</v>
      </c>
    </row>
    <row r="3686" spans="1:20" hidden="1" x14ac:dyDescent="0.4">
      <c r="A3686" s="1" t="s">
        <v>1403</v>
      </c>
      <c r="B3686" s="1" t="s">
        <v>1458</v>
      </c>
      <c r="C3686" s="1" t="s">
        <v>1844</v>
      </c>
      <c r="D3686" s="1" t="s">
        <v>1462</v>
      </c>
      <c r="E3686">
        <v>20251224</v>
      </c>
      <c r="F3686" s="1" t="s">
        <v>1470</v>
      </c>
      <c r="G3686">
        <v>4</v>
      </c>
      <c r="H3686" s="1" t="s">
        <v>1503</v>
      </c>
      <c r="I3686" t="s">
        <v>1883</v>
      </c>
      <c r="J3686" s="1" t="s">
        <v>1456</v>
      </c>
      <c r="K3686" s="1" t="s">
        <v>1606</v>
      </c>
      <c r="L3686" s="1" t="s">
        <v>1729</v>
      </c>
      <c r="M3686" s="1" t="s">
        <v>1735</v>
      </c>
      <c r="N3686" t="s">
        <v>1981</v>
      </c>
      <c r="O3686" t="s">
        <v>2964</v>
      </c>
      <c r="P3686" t="s">
        <v>3037</v>
      </c>
      <c r="Q3686">
        <v>45.5</v>
      </c>
      <c r="R3686" s="1" t="s">
        <v>1839</v>
      </c>
      <c r="S3686">
        <v>2850</v>
      </c>
      <c r="T3686">
        <v>129675</v>
      </c>
    </row>
    <row r="3687" spans="1:20" hidden="1" x14ac:dyDescent="0.4">
      <c r="A3687" s="1" t="s">
        <v>1403</v>
      </c>
      <c r="B3687" s="1" t="s">
        <v>1459</v>
      </c>
      <c r="C3687" s="1" t="s">
        <v>1844</v>
      </c>
      <c r="D3687" s="1" t="s">
        <v>1462</v>
      </c>
      <c r="E3687">
        <v>20251224</v>
      </c>
      <c r="F3687" s="1" t="s">
        <v>1470</v>
      </c>
      <c r="G3687">
        <v>4</v>
      </c>
      <c r="H3687" s="1" t="s">
        <v>1503</v>
      </c>
      <c r="I3687" t="s">
        <v>1883</v>
      </c>
      <c r="J3687" s="1" t="s">
        <v>1456</v>
      </c>
      <c r="K3687" s="1" t="s">
        <v>1606</v>
      </c>
      <c r="L3687" s="1" t="s">
        <v>1729</v>
      </c>
      <c r="M3687" s="1" t="s">
        <v>1735</v>
      </c>
      <c r="N3687" t="s">
        <v>1981</v>
      </c>
      <c r="O3687" t="s">
        <v>2965</v>
      </c>
      <c r="P3687" t="s">
        <v>3037</v>
      </c>
      <c r="Q3687">
        <v>45.5</v>
      </c>
      <c r="R3687" s="1" t="s">
        <v>1839</v>
      </c>
      <c r="S3687">
        <v>2850</v>
      </c>
      <c r="T3687">
        <v>129675</v>
      </c>
    </row>
    <row r="3688" spans="1:20" hidden="1" x14ac:dyDescent="0.4">
      <c r="A3688" s="1" t="s">
        <v>1403</v>
      </c>
      <c r="B3688" s="1" t="s">
        <v>1460</v>
      </c>
      <c r="C3688" s="1" t="s">
        <v>1844</v>
      </c>
      <c r="D3688" s="1" t="s">
        <v>1462</v>
      </c>
      <c r="E3688">
        <v>20251224</v>
      </c>
      <c r="F3688" s="1" t="s">
        <v>1470</v>
      </c>
      <c r="G3688">
        <v>4</v>
      </c>
      <c r="H3688" s="1" t="s">
        <v>1503</v>
      </c>
      <c r="I3688" t="s">
        <v>1883</v>
      </c>
      <c r="J3688" s="1" t="s">
        <v>1456</v>
      </c>
      <c r="K3688" s="1" t="s">
        <v>1606</v>
      </c>
      <c r="L3688" s="1" t="s">
        <v>1729</v>
      </c>
      <c r="M3688" s="1" t="s">
        <v>1735</v>
      </c>
      <c r="N3688" t="s">
        <v>1981</v>
      </c>
      <c r="O3688" t="s">
        <v>2966</v>
      </c>
      <c r="P3688" t="s">
        <v>3037</v>
      </c>
      <c r="Q3688">
        <v>45.5</v>
      </c>
      <c r="R3688" s="1" t="s">
        <v>1839</v>
      </c>
      <c r="S3688">
        <v>2850</v>
      </c>
      <c r="T3688">
        <v>129675</v>
      </c>
    </row>
    <row r="3689" spans="1:20" hidden="1" x14ac:dyDescent="0.4">
      <c r="A3689" s="1" t="s">
        <v>1403</v>
      </c>
      <c r="B3689" s="1" t="s">
        <v>1461</v>
      </c>
      <c r="C3689" s="1" t="s">
        <v>1844</v>
      </c>
      <c r="D3689" s="1" t="s">
        <v>1462</v>
      </c>
      <c r="E3689">
        <v>20251224</v>
      </c>
      <c r="F3689" s="1" t="s">
        <v>1470</v>
      </c>
      <c r="G3689">
        <v>4</v>
      </c>
      <c r="H3689" s="1" t="s">
        <v>1503</v>
      </c>
      <c r="I3689" t="s">
        <v>1883</v>
      </c>
      <c r="J3689" s="1" t="s">
        <v>1456</v>
      </c>
      <c r="K3689" s="1" t="s">
        <v>1606</v>
      </c>
      <c r="L3689" s="1" t="s">
        <v>1729</v>
      </c>
      <c r="M3689" s="1" t="s">
        <v>1735</v>
      </c>
      <c r="N3689" t="s">
        <v>1981</v>
      </c>
      <c r="O3689" t="s">
        <v>2967</v>
      </c>
      <c r="P3689" t="s">
        <v>3037</v>
      </c>
      <c r="Q3689">
        <v>48</v>
      </c>
      <c r="R3689" s="1" t="s">
        <v>1839</v>
      </c>
      <c r="S3689">
        <v>2850</v>
      </c>
      <c r="T3689">
        <v>136800</v>
      </c>
    </row>
    <row r="3690" spans="1:20" hidden="1" x14ac:dyDescent="0.4">
      <c r="A3690" s="1" t="s">
        <v>1403</v>
      </c>
      <c r="B3690" s="1" t="s">
        <v>1462</v>
      </c>
      <c r="C3690" s="1" t="s">
        <v>1844</v>
      </c>
      <c r="D3690" s="1" t="s">
        <v>1462</v>
      </c>
      <c r="E3690">
        <v>20251224</v>
      </c>
      <c r="F3690" s="1" t="s">
        <v>1470</v>
      </c>
      <c r="G3690">
        <v>4</v>
      </c>
      <c r="H3690" s="1" t="s">
        <v>1503</v>
      </c>
      <c r="I3690" t="s">
        <v>1883</v>
      </c>
      <c r="J3690" s="1" t="s">
        <v>1456</v>
      </c>
      <c r="K3690" s="1" t="s">
        <v>1606</v>
      </c>
      <c r="L3690" s="1" t="s">
        <v>1729</v>
      </c>
      <c r="M3690" s="1" t="s">
        <v>1735</v>
      </c>
      <c r="N3690" t="s">
        <v>1981</v>
      </c>
      <c r="O3690" t="s">
        <v>2968</v>
      </c>
      <c r="P3690" t="s">
        <v>3037</v>
      </c>
      <c r="Q3690">
        <v>42.2</v>
      </c>
      <c r="R3690" s="1" t="s">
        <v>1839</v>
      </c>
      <c r="S3690">
        <v>2850</v>
      </c>
      <c r="T3690">
        <v>120270</v>
      </c>
    </row>
    <row r="3691" spans="1:20" hidden="1" x14ac:dyDescent="0.4">
      <c r="A3691" s="1" t="s">
        <v>1403</v>
      </c>
      <c r="B3691" s="1" t="s">
        <v>1463</v>
      </c>
      <c r="C3691" s="1" t="s">
        <v>1844</v>
      </c>
      <c r="D3691" s="1" t="s">
        <v>1462</v>
      </c>
      <c r="E3691">
        <v>20251224</v>
      </c>
      <c r="F3691" s="1" t="s">
        <v>1470</v>
      </c>
      <c r="G3691">
        <v>4</v>
      </c>
      <c r="H3691" s="1" t="s">
        <v>1503</v>
      </c>
      <c r="I3691" t="s">
        <v>1883</v>
      </c>
      <c r="J3691" s="1" t="s">
        <v>1456</v>
      </c>
      <c r="K3691" s="1" t="s">
        <v>1606</v>
      </c>
      <c r="L3691" s="1" t="s">
        <v>1729</v>
      </c>
      <c r="M3691" s="1" t="s">
        <v>1735</v>
      </c>
      <c r="N3691" t="s">
        <v>1981</v>
      </c>
      <c r="O3691" t="s">
        <v>2969</v>
      </c>
      <c r="P3691" t="s">
        <v>3037</v>
      </c>
      <c r="Q3691">
        <v>43.7</v>
      </c>
      <c r="R3691" s="1" t="s">
        <v>1839</v>
      </c>
      <c r="S3691">
        <v>2850</v>
      </c>
      <c r="T3691">
        <v>124545</v>
      </c>
    </row>
    <row r="3692" spans="1:20" hidden="1" x14ac:dyDescent="0.4">
      <c r="A3692" s="1" t="s">
        <v>1404</v>
      </c>
      <c r="B3692" s="1" t="s">
        <v>1453</v>
      </c>
      <c r="C3692" s="1" t="s">
        <v>1844</v>
      </c>
      <c r="D3692" s="1" t="s">
        <v>1462</v>
      </c>
      <c r="E3692">
        <v>20251224</v>
      </c>
      <c r="F3692" s="1" t="s">
        <v>1470</v>
      </c>
      <c r="G3692">
        <v>4</v>
      </c>
      <c r="H3692" s="1" t="s">
        <v>1503</v>
      </c>
      <c r="I3692" t="s">
        <v>1883</v>
      </c>
      <c r="J3692" s="1" t="s">
        <v>1456</v>
      </c>
      <c r="K3692" s="1" t="s">
        <v>1606</v>
      </c>
      <c r="L3692" s="1" t="s">
        <v>1729</v>
      </c>
      <c r="M3692" s="1" t="s">
        <v>1735</v>
      </c>
      <c r="N3692" t="s">
        <v>1981</v>
      </c>
      <c r="O3692" t="s">
        <v>2970</v>
      </c>
      <c r="P3692" t="s">
        <v>3037</v>
      </c>
      <c r="Q3692">
        <v>43.7</v>
      </c>
      <c r="R3692" s="1" t="s">
        <v>1839</v>
      </c>
      <c r="S3692">
        <v>2850</v>
      </c>
      <c r="T3692">
        <v>124545</v>
      </c>
    </row>
    <row r="3693" spans="1:20" hidden="1" x14ac:dyDescent="0.4">
      <c r="A3693" s="1" t="s">
        <v>1404</v>
      </c>
      <c r="B3693" s="1" t="s">
        <v>1454</v>
      </c>
      <c r="C3693" s="1" t="s">
        <v>1844</v>
      </c>
      <c r="D3693" s="1" t="s">
        <v>1462</v>
      </c>
      <c r="E3693">
        <v>20251224</v>
      </c>
      <c r="F3693" s="1" t="s">
        <v>1470</v>
      </c>
      <c r="G3693">
        <v>4</v>
      </c>
      <c r="H3693" s="1" t="s">
        <v>1503</v>
      </c>
      <c r="I3693" t="s">
        <v>1883</v>
      </c>
      <c r="J3693" s="1" t="s">
        <v>1456</v>
      </c>
      <c r="K3693" s="1" t="s">
        <v>1606</v>
      </c>
      <c r="L3693" s="1" t="s">
        <v>1729</v>
      </c>
      <c r="M3693" s="1" t="s">
        <v>1735</v>
      </c>
      <c r="N3693" t="s">
        <v>1981</v>
      </c>
      <c r="O3693" t="s">
        <v>2971</v>
      </c>
      <c r="P3693" t="s">
        <v>3037</v>
      </c>
      <c r="Q3693">
        <v>42.8</v>
      </c>
      <c r="R3693" s="1" t="s">
        <v>1839</v>
      </c>
      <c r="S3693">
        <v>2850</v>
      </c>
      <c r="T3693">
        <v>121980</v>
      </c>
    </row>
    <row r="3694" spans="1:20" hidden="1" x14ac:dyDescent="0.4">
      <c r="A3694" s="1" t="s">
        <v>1404</v>
      </c>
      <c r="B3694" s="1" t="s">
        <v>1455</v>
      </c>
      <c r="C3694" s="1" t="s">
        <v>1844</v>
      </c>
      <c r="D3694" s="1" t="s">
        <v>1462</v>
      </c>
      <c r="E3694">
        <v>20251224</v>
      </c>
      <c r="F3694" s="1" t="s">
        <v>1470</v>
      </c>
      <c r="G3694">
        <v>4</v>
      </c>
      <c r="H3694" s="1" t="s">
        <v>1503</v>
      </c>
      <c r="I3694" t="s">
        <v>1883</v>
      </c>
      <c r="J3694" s="1" t="s">
        <v>1456</v>
      </c>
      <c r="K3694" s="1" t="s">
        <v>1606</v>
      </c>
      <c r="L3694" s="1" t="s">
        <v>1729</v>
      </c>
      <c r="M3694" s="1" t="s">
        <v>1735</v>
      </c>
      <c r="N3694" t="s">
        <v>1981</v>
      </c>
      <c r="O3694" t="s">
        <v>2972</v>
      </c>
      <c r="P3694" t="s">
        <v>3037</v>
      </c>
      <c r="Q3694">
        <v>40</v>
      </c>
      <c r="R3694" s="1" t="s">
        <v>1839</v>
      </c>
      <c r="S3694">
        <v>2850</v>
      </c>
      <c r="T3694">
        <v>114000</v>
      </c>
    </row>
    <row r="3695" spans="1:20" hidden="1" x14ac:dyDescent="0.4">
      <c r="A3695" s="1" t="s">
        <v>1404</v>
      </c>
      <c r="B3695" s="1" t="s">
        <v>1456</v>
      </c>
      <c r="C3695" s="1" t="s">
        <v>1844</v>
      </c>
      <c r="D3695" s="1" t="s">
        <v>1462</v>
      </c>
      <c r="E3695">
        <v>20251224</v>
      </c>
      <c r="F3695" s="1" t="s">
        <v>1470</v>
      </c>
      <c r="G3695">
        <v>4</v>
      </c>
      <c r="H3695" s="1" t="s">
        <v>1503</v>
      </c>
      <c r="I3695" t="s">
        <v>1883</v>
      </c>
      <c r="J3695" s="1" t="s">
        <v>1456</v>
      </c>
      <c r="K3695" s="1" t="s">
        <v>1606</v>
      </c>
      <c r="L3695" s="1" t="s">
        <v>1729</v>
      </c>
      <c r="M3695" s="1" t="s">
        <v>1735</v>
      </c>
      <c r="N3695" t="s">
        <v>1981</v>
      </c>
      <c r="O3695" t="s">
        <v>2973</v>
      </c>
      <c r="P3695" t="s">
        <v>3037</v>
      </c>
      <c r="Q3695">
        <v>40</v>
      </c>
      <c r="R3695" s="1" t="s">
        <v>1839</v>
      </c>
      <c r="S3695">
        <v>2850</v>
      </c>
      <c r="T3695">
        <v>114000</v>
      </c>
    </row>
    <row r="3696" spans="1:20" hidden="1" x14ac:dyDescent="0.4">
      <c r="A3696" s="1" t="s">
        <v>1404</v>
      </c>
      <c r="B3696" s="1" t="s">
        <v>1457</v>
      </c>
      <c r="C3696" s="1" t="s">
        <v>1844</v>
      </c>
      <c r="D3696" s="1" t="s">
        <v>1462</v>
      </c>
      <c r="E3696">
        <v>20251224</v>
      </c>
      <c r="F3696" s="1" t="s">
        <v>1470</v>
      </c>
      <c r="G3696">
        <v>4</v>
      </c>
      <c r="H3696" s="1" t="s">
        <v>1503</v>
      </c>
      <c r="I3696" t="s">
        <v>1883</v>
      </c>
      <c r="J3696" s="1" t="s">
        <v>1456</v>
      </c>
      <c r="K3696" s="1" t="s">
        <v>1606</v>
      </c>
      <c r="L3696" s="1" t="s">
        <v>1729</v>
      </c>
      <c r="M3696" s="1" t="s">
        <v>1735</v>
      </c>
      <c r="N3696" t="s">
        <v>1981</v>
      </c>
      <c r="O3696" t="s">
        <v>2974</v>
      </c>
      <c r="P3696" t="s">
        <v>3037</v>
      </c>
      <c r="Q3696">
        <v>40</v>
      </c>
      <c r="R3696" s="1" t="s">
        <v>1839</v>
      </c>
      <c r="S3696">
        <v>2850</v>
      </c>
      <c r="T3696">
        <v>114000</v>
      </c>
    </row>
    <row r="3697" spans="1:20" hidden="1" x14ac:dyDescent="0.4">
      <c r="A3697" s="1" t="s">
        <v>1404</v>
      </c>
      <c r="B3697" s="1" t="s">
        <v>1458</v>
      </c>
      <c r="C3697" s="1" t="s">
        <v>1844</v>
      </c>
      <c r="D3697" s="1" t="s">
        <v>1462</v>
      </c>
      <c r="E3697">
        <v>20251224</v>
      </c>
      <c r="F3697" s="1" t="s">
        <v>1470</v>
      </c>
      <c r="G3697">
        <v>4</v>
      </c>
      <c r="H3697" s="1" t="s">
        <v>1503</v>
      </c>
      <c r="I3697" t="s">
        <v>1883</v>
      </c>
      <c r="J3697" s="1" t="s">
        <v>1456</v>
      </c>
      <c r="K3697" s="1" t="s">
        <v>1606</v>
      </c>
      <c r="L3697" s="1" t="s">
        <v>1729</v>
      </c>
      <c r="M3697" s="1" t="s">
        <v>1735</v>
      </c>
      <c r="N3697" t="s">
        <v>1981</v>
      </c>
      <c r="O3697" t="s">
        <v>2975</v>
      </c>
      <c r="P3697" t="s">
        <v>3037</v>
      </c>
      <c r="Q3697">
        <v>40</v>
      </c>
      <c r="R3697" s="1" t="s">
        <v>1839</v>
      </c>
      <c r="S3697">
        <v>2850</v>
      </c>
      <c r="T3697">
        <v>114000</v>
      </c>
    </row>
    <row r="3698" spans="1:20" hidden="1" x14ac:dyDescent="0.4">
      <c r="A3698" s="1" t="s">
        <v>1404</v>
      </c>
      <c r="B3698" s="1" t="s">
        <v>1459</v>
      </c>
      <c r="C3698" s="1" t="s">
        <v>1844</v>
      </c>
      <c r="D3698" s="1" t="s">
        <v>1462</v>
      </c>
      <c r="E3698">
        <v>20251224</v>
      </c>
      <c r="F3698" s="1" t="s">
        <v>1470</v>
      </c>
      <c r="G3698">
        <v>4</v>
      </c>
      <c r="H3698" s="1" t="s">
        <v>1503</v>
      </c>
      <c r="I3698" t="s">
        <v>1883</v>
      </c>
      <c r="J3698" s="1" t="s">
        <v>1456</v>
      </c>
      <c r="K3698" s="1" t="s">
        <v>1606</v>
      </c>
      <c r="L3698" s="1" t="s">
        <v>1729</v>
      </c>
      <c r="M3698" s="1" t="s">
        <v>1735</v>
      </c>
      <c r="N3698" t="s">
        <v>1981</v>
      </c>
      <c r="O3698" t="s">
        <v>2976</v>
      </c>
      <c r="P3698" t="s">
        <v>3037</v>
      </c>
      <c r="Q3698">
        <v>43.5</v>
      </c>
      <c r="R3698" s="1" t="s">
        <v>1839</v>
      </c>
      <c r="S3698">
        <v>2850</v>
      </c>
      <c r="T3698">
        <v>123975</v>
      </c>
    </row>
    <row r="3699" spans="1:20" hidden="1" x14ac:dyDescent="0.4">
      <c r="A3699" s="1" t="s">
        <v>1404</v>
      </c>
      <c r="B3699" s="1" t="s">
        <v>1460</v>
      </c>
      <c r="C3699" s="1" t="s">
        <v>1844</v>
      </c>
      <c r="D3699" s="1" t="s">
        <v>1462</v>
      </c>
      <c r="E3699">
        <v>20251224</v>
      </c>
      <c r="F3699" s="1" t="s">
        <v>1470</v>
      </c>
      <c r="G3699">
        <v>4</v>
      </c>
      <c r="H3699" s="1" t="s">
        <v>1503</v>
      </c>
      <c r="I3699" t="s">
        <v>1883</v>
      </c>
      <c r="J3699" s="1" t="s">
        <v>1456</v>
      </c>
      <c r="K3699" s="1" t="s">
        <v>1606</v>
      </c>
      <c r="L3699" s="1" t="s">
        <v>1729</v>
      </c>
      <c r="M3699" s="1" t="s">
        <v>1735</v>
      </c>
      <c r="N3699" t="s">
        <v>1981</v>
      </c>
      <c r="O3699" t="s">
        <v>2977</v>
      </c>
      <c r="P3699" t="s">
        <v>3037</v>
      </c>
      <c r="Q3699">
        <v>43.7</v>
      </c>
      <c r="R3699" s="1" t="s">
        <v>1839</v>
      </c>
      <c r="S3699">
        <v>2850</v>
      </c>
      <c r="T3699">
        <v>124545</v>
      </c>
    </row>
    <row r="3700" spans="1:20" hidden="1" x14ac:dyDescent="0.4">
      <c r="A3700" s="1" t="s">
        <v>1404</v>
      </c>
      <c r="B3700" s="1" t="s">
        <v>1461</v>
      </c>
      <c r="C3700" s="1" t="s">
        <v>1844</v>
      </c>
      <c r="D3700" s="1" t="s">
        <v>1462</v>
      </c>
      <c r="E3700">
        <v>20251224</v>
      </c>
      <c r="F3700" s="1" t="s">
        <v>1470</v>
      </c>
      <c r="G3700">
        <v>4</v>
      </c>
      <c r="H3700" s="1" t="s">
        <v>1503</v>
      </c>
      <c r="I3700" t="s">
        <v>1883</v>
      </c>
      <c r="J3700" s="1" t="s">
        <v>1456</v>
      </c>
      <c r="K3700" s="1" t="s">
        <v>1606</v>
      </c>
      <c r="L3700" s="1" t="s">
        <v>1729</v>
      </c>
      <c r="M3700" s="1" t="s">
        <v>1735</v>
      </c>
      <c r="N3700" t="s">
        <v>1981</v>
      </c>
      <c r="O3700" t="s">
        <v>2978</v>
      </c>
      <c r="P3700" t="s">
        <v>3037</v>
      </c>
      <c r="Q3700">
        <v>43.7</v>
      </c>
      <c r="R3700" s="1" t="s">
        <v>1839</v>
      </c>
      <c r="S3700">
        <v>2850</v>
      </c>
      <c r="T3700">
        <v>124545</v>
      </c>
    </row>
    <row r="3701" spans="1:20" hidden="1" x14ac:dyDescent="0.4">
      <c r="A3701" s="1" t="s">
        <v>1404</v>
      </c>
      <c r="B3701" s="1" t="s">
        <v>1462</v>
      </c>
      <c r="C3701" s="1" t="s">
        <v>1844</v>
      </c>
      <c r="D3701" s="1" t="s">
        <v>1462</v>
      </c>
      <c r="E3701">
        <v>20251224</v>
      </c>
      <c r="F3701" s="1" t="s">
        <v>1470</v>
      </c>
      <c r="G3701">
        <v>4</v>
      </c>
      <c r="H3701" s="1" t="s">
        <v>1503</v>
      </c>
      <c r="I3701" t="s">
        <v>1883</v>
      </c>
      <c r="J3701" s="1" t="s">
        <v>1456</v>
      </c>
      <c r="K3701" s="1" t="s">
        <v>1606</v>
      </c>
      <c r="L3701" s="1" t="s">
        <v>1729</v>
      </c>
      <c r="M3701" s="1" t="s">
        <v>1735</v>
      </c>
      <c r="N3701" t="s">
        <v>1981</v>
      </c>
      <c r="O3701" t="s">
        <v>2979</v>
      </c>
      <c r="P3701" t="s">
        <v>3037</v>
      </c>
      <c r="Q3701">
        <v>42.8</v>
      </c>
      <c r="R3701" s="1" t="s">
        <v>1839</v>
      </c>
      <c r="S3701">
        <v>2850</v>
      </c>
      <c r="T3701">
        <v>121980</v>
      </c>
    </row>
    <row r="3702" spans="1:20" hidden="1" x14ac:dyDescent="0.4">
      <c r="A3702" s="1" t="s">
        <v>1404</v>
      </c>
      <c r="B3702" s="1" t="s">
        <v>1463</v>
      </c>
      <c r="C3702" s="1" t="s">
        <v>1844</v>
      </c>
      <c r="D3702" s="1" t="s">
        <v>1462</v>
      </c>
      <c r="E3702">
        <v>20251224</v>
      </c>
      <c r="F3702" s="1" t="s">
        <v>1470</v>
      </c>
      <c r="G3702">
        <v>4</v>
      </c>
      <c r="H3702" s="1" t="s">
        <v>1503</v>
      </c>
      <c r="I3702" t="s">
        <v>1883</v>
      </c>
      <c r="J3702" s="1" t="s">
        <v>1456</v>
      </c>
      <c r="K3702" s="1" t="s">
        <v>1606</v>
      </c>
      <c r="L3702" s="1" t="s">
        <v>1729</v>
      </c>
      <c r="M3702" s="1" t="s">
        <v>1735</v>
      </c>
      <c r="N3702" t="s">
        <v>1981</v>
      </c>
      <c r="O3702" t="s">
        <v>2980</v>
      </c>
      <c r="P3702" t="s">
        <v>3037</v>
      </c>
      <c r="Q3702">
        <v>40</v>
      </c>
      <c r="R3702" s="1" t="s">
        <v>1839</v>
      </c>
      <c r="S3702">
        <v>2850</v>
      </c>
      <c r="T3702">
        <v>114000</v>
      </c>
    </row>
    <row r="3703" spans="1:20" hidden="1" x14ac:dyDescent="0.4">
      <c r="A3703" s="1" t="s">
        <v>1405</v>
      </c>
      <c r="B3703" s="1" t="s">
        <v>1453</v>
      </c>
      <c r="C3703" s="1" t="s">
        <v>1844</v>
      </c>
      <c r="D3703" s="1" t="s">
        <v>1462</v>
      </c>
      <c r="E3703">
        <v>20251224</v>
      </c>
      <c r="F3703" s="1" t="s">
        <v>1470</v>
      </c>
      <c r="G3703">
        <v>4</v>
      </c>
      <c r="H3703" s="1" t="s">
        <v>1503</v>
      </c>
      <c r="I3703" t="s">
        <v>1883</v>
      </c>
      <c r="J3703" s="1" t="s">
        <v>1456</v>
      </c>
      <c r="K3703" s="1" t="s">
        <v>1606</v>
      </c>
      <c r="L3703" s="1" t="s">
        <v>1729</v>
      </c>
      <c r="M3703" s="1" t="s">
        <v>1735</v>
      </c>
      <c r="N3703" t="s">
        <v>1981</v>
      </c>
      <c r="O3703" t="s">
        <v>2981</v>
      </c>
      <c r="P3703" t="s">
        <v>3037</v>
      </c>
      <c r="Q3703">
        <v>40</v>
      </c>
      <c r="R3703" s="1" t="s">
        <v>1839</v>
      </c>
      <c r="S3703">
        <v>2850</v>
      </c>
      <c r="T3703">
        <v>114000</v>
      </c>
    </row>
    <row r="3704" spans="1:20" hidden="1" x14ac:dyDescent="0.4">
      <c r="A3704" s="1" t="s">
        <v>1405</v>
      </c>
      <c r="B3704" s="1" t="s">
        <v>1454</v>
      </c>
      <c r="C3704" s="1" t="s">
        <v>1844</v>
      </c>
      <c r="D3704" s="1" t="s">
        <v>1462</v>
      </c>
      <c r="E3704">
        <v>20251224</v>
      </c>
      <c r="F3704" s="1" t="s">
        <v>1470</v>
      </c>
      <c r="G3704">
        <v>4</v>
      </c>
      <c r="H3704" s="1" t="s">
        <v>1503</v>
      </c>
      <c r="I3704" t="s">
        <v>1883</v>
      </c>
      <c r="J3704" s="1" t="s">
        <v>1456</v>
      </c>
      <c r="K3704" s="1" t="s">
        <v>1606</v>
      </c>
      <c r="L3704" s="1" t="s">
        <v>1729</v>
      </c>
      <c r="M3704" s="1" t="s">
        <v>1735</v>
      </c>
      <c r="N3704" t="s">
        <v>1981</v>
      </c>
      <c r="O3704" t="s">
        <v>2982</v>
      </c>
      <c r="P3704" t="s">
        <v>3037</v>
      </c>
      <c r="Q3704">
        <v>37.299999999999997</v>
      </c>
      <c r="R3704" s="1" t="s">
        <v>1839</v>
      </c>
      <c r="S3704">
        <v>2850</v>
      </c>
      <c r="T3704">
        <v>106305</v>
      </c>
    </row>
    <row r="3705" spans="1:20" hidden="1" x14ac:dyDescent="0.4">
      <c r="A3705" s="1" t="s">
        <v>1405</v>
      </c>
      <c r="B3705" s="1" t="s">
        <v>1455</v>
      </c>
      <c r="C3705" s="1" t="s">
        <v>1844</v>
      </c>
      <c r="D3705" s="1" t="s">
        <v>1462</v>
      </c>
      <c r="E3705">
        <v>20251224</v>
      </c>
      <c r="F3705" s="1" t="s">
        <v>1470</v>
      </c>
      <c r="G3705">
        <v>4</v>
      </c>
      <c r="H3705" s="1" t="s">
        <v>1503</v>
      </c>
      <c r="I3705" t="s">
        <v>1883</v>
      </c>
      <c r="J3705" s="1" t="s">
        <v>1456</v>
      </c>
      <c r="K3705" s="1" t="s">
        <v>1606</v>
      </c>
      <c r="L3705" s="1" t="s">
        <v>1729</v>
      </c>
      <c r="M3705" s="1" t="s">
        <v>1735</v>
      </c>
      <c r="N3705" t="s">
        <v>1981</v>
      </c>
      <c r="O3705" t="s">
        <v>2983</v>
      </c>
      <c r="P3705" t="s">
        <v>3037</v>
      </c>
      <c r="Q3705">
        <v>40</v>
      </c>
      <c r="R3705" s="1" t="s">
        <v>1839</v>
      </c>
      <c r="S3705">
        <v>2850</v>
      </c>
      <c r="T3705">
        <v>114000</v>
      </c>
    </row>
    <row r="3706" spans="1:20" hidden="1" x14ac:dyDescent="0.4">
      <c r="A3706" s="1" t="s">
        <v>1405</v>
      </c>
      <c r="B3706" s="1" t="s">
        <v>1456</v>
      </c>
      <c r="C3706" s="1" t="s">
        <v>1844</v>
      </c>
      <c r="D3706" s="1" t="s">
        <v>1462</v>
      </c>
      <c r="E3706">
        <v>20251224</v>
      </c>
      <c r="F3706" s="1" t="s">
        <v>1470</v>
      </c>
      <c r="G3706">
        <v>4</v>
      </c>
      <c r="H3706" s="1" t="s">
        <v>1503</v>
      </c>
      <c r="I3706" t="s">
        <v>1883</v>
      </c>
      <c r="J3706" s="1" t="s">
        <v>1456</v>
      </c>
      <c r="K3706" s="1" t="s">
        <v>1606</v>
      </c>
      <c r="L3706" s="1" t="s">
        <v>1729</v>
      </c>
      <c r="M3706" s="1" t="s">
        <v>1735</v>
      </c>
      <c r="N3706" t="s">
        <v>1981</v>
      </c>
      <c r="O3706" t="s">
        <v>2984</v>
      </c>
      <c r="P3706" t="s">
        <v>3037</v>
      </c>
      <c r="Q3706">
        <v>43.5</v>
      </c>
      <c r="R3706" s="1" t="s">
        <v>1839</v>
      </c>
      <c r="S3706">
        <v>2850</v>
      </c>
      <c r="T3706">
        <v>123975</v>
      </c>
    </row>
    <row r="3707" spans="1:20" hidden="1" x14ac:dyDescent="0.4">
      <c r="A3707" s="1" t="s">
        <v>1406</v>
      </c>
      <c r="B3707" s="1" t="s">
        <v>1453</v>
      </c>
      <c r="C3707" s="1" t="s">
        <v>1844</v>
      </c>
      <c r="D3707" s="1" t="s">
        <v>1467</v>
      </c>
      <c r="E3707">
        <v>20251224</v>
      </c>
      <c r="F3707" s="1" t="s">
        <v>1470</v>
      </c>
      <c r="G3707">
        <v>4</v>
      </c>
      <c r="H3707" s="1" t="s">
        <v>1511</v>
      </c>
      <c r="I3707" t="s">
        <v>1891</v>
      </c>
      <c r="J3707" s="1" t="s">
        <v>1456</v>
      </c>
      <c r="K3707" s="1" t="s">
        <v>1566</v>
      </c>
      <c r="L3707" s="1" t="s">
        <v>1729</v>
      </c>
      <c r="M3707" s="1" t="s">
        <v>1737</v>
      </c>
      <c r="N3707" t="s">
        <v>1938</v>
      </c>
      <c r="O3707" t="s">
        <v>2985</v>
      </c>
      <c r="P3707" t="s">
        <v>2157</v>
      </c>
      <c r="Q3707">
        <v>256</v>
      </c>
      <c r="R3707" s="1" t="s">
        <v>1718</v>
      </c>
      <c r="S3707">
        <v>8666</v>
      </c>
      <c r="T3707">
        <v>2218496</v>
      </c>
    </row>
    <row r="3708" spans="1:20" hidden="1" x14ac:dyDescent="0.4">
      <c r="A3708" s="1" t="s">
        <v>1407</v>
      </c>
      <c r="B3708" s="1" t="s">
        <v>1453</v>
      </c>
      <c r="C3708" s="1" t="s">
        <v>1844</v>
      </c>
      <c r="D3708" s="1" t="s">
        <v>1731</v>
      </c>
      <c r="E3708">
        <v>20251222</v>
      </c>
      <c r="F3708" s="1" t="s">
        <v>1473</v>
      </c>
      <c r="G3708">
        <v>1</v>
      </c>
      <c r="H3708" s="1" t="s">
        <v>1494</v>
      </c>
      <c r="I3708" t="s">
        <v>1874</v>
      </c>
      <c r="J3708" s="1" t="s">
        <v>1453</v>
      </c>
      <c r="K3708" s="1" t="s">
        <v>1611</v>
      </c>
      <c r="L3708" s="1" t="s">
        <v>1716</v>
      </c>
      <c r="M3708" s="1" t="s">
        <v>1793</v>
      </c>
      <c r="N3708" t="s">
        <v>1985</v>
      </c>
      <c r="O3708" t="s">
        <v>2162</v>
      </c>
      <c r="P3708" t="s">
        <v>3148</v>
      </c>
      <c r="Q3708">
        <v>1024.5</v>
      </c>
      <c r="R3708" s="1" t="s">
        <v>1463</v>
      </c>
      <c r="S3708">
        <v>1350</v>
      </c>
      <c r="T3708">
        <v>1383075</v>
      </c>
    </row>
    <row r="3709" spans="1:20" hidden="1" x14ac:dyDescent="0.4">
      <c r="A3709" s="1" t="s">
        <v>1408</v>
      </c>
      <c r="B3709" s="1" t="s">
        <v>1453</v>
      </c>
      <c r="C3709" s="1" t="s">
        <v>1844</v>
      </c>
      <c r="D3709" s="1" t="s">
        <v>1731</v>
      </c>
      <c r="E3709">
        <v>20251224</v>
      </c>
      <c r="F3709" s="1" t="s">
        <v>1470</v>
      </c>
      <c r="G3709">
        <v>1</v>
      </c>
      <c r="H3709" s="1" t="s">
        <v>1490</v>
      </c>
      <c r="I3709" t="s">
        <v>1870</v>
      </c>
      <c r="J3709" s="1" t="s">
        <v>1459</v>
      </c>
      <c r="K3709" s="1" t="s">
        <v>1579</v>
      </c>
      <c r="L3709" s="1" t="s">
        <v>1715</v>
      </c>
      <c r="M3709" s="1" t="s">
        <v>1794</v>
      </c>
      <c r="N3709" t="s">
        <v>1952</v>
      </c>
      <c r="O3709" t="s">
        <v>2161</v>
      </c>
      <c r="P3709" t="s">
        <v>3050</v>
      </c>
      <c r="Q3709">
        <v>508</v>
      </c>
      <c r="R3709" s="1" t="s">
        <v>1463</v>
      </c>
      <c r="S3709">
        <v>833</v>
      </c>
      <c r="T3709">
        <v>423164</v>
      </c>
    </row>
    <row r="3710" spans="1:20" hidden="1" x14ac:dyDescent="0.4">
      <c r="A3710" s="1" t="s">
        <v>1408</v>
      </c>
      <c r="B3710" s="1" t="s">
        <v>1454</v>
      </c>
      <c r="C3710" s="1" t="s">
        <v>1844</v>
      </c>
      <c r="D3710" s="1" t="s">
        <v>1731</v>
      </c>
      <c r="E3710">
        <v>20251224</v>
      </c>
      <c r="F3710" s="1" t="s">
        <v>1470</v>
      </c>
      <c r="G3710">
        <v>1</v>
      </c>
      <c r="H3710" s="1" t="s">
        <v>1490</v>
      </c>
      <c r="I3710" t="s">
        <v>1870</v>
      </c>
      <c r="J3710" s="1" t="s">
        <v>1459</v>
      </c>
      <c r="K3710" s="1" t="s">
        <v>1579</v>
      </c>
      <c r="L3710" s="1" t="s">
        <v>1715</v>
      </c>
      <c r="M3710" s="1" t="s">
        <v>1795</v>
      </c>
      <c r="N3710" t="s">
        <v>1952</v>
      </c>
      <c r="O3710" t="s">
        <v>2161</v>
      </c>
      <c r="P3710" t="s">
        <v>3051</v>
      </c>
      <c r="Q3710">
        <v>2362</v>
      </c>
      <c r="R3710" s="1" t="s">
        <v>1463</v>
      </c>
      <c r="S3710">
        <v>833</v>
      </c>
      <c r="T3710">
        <v>1967546</v>
      </c>
    </row>
    <row r="3711" spans="1:20" hidden="1" x14ac:dyDescent="0.4">
      <c r="A3711" s="1" t="s">
        <v>1408</v>
      </c>
      <c r="B3711" s="1" t="s">
        <v>1455</v>
      </c>
      <c r="C3711" s="1" t="s">
        <v>1844</v>
      </c>
      <c r="D3711" s="1" t="s">
        <v>1731</v>
      </c>
      <c r="E3711">
        <v>20251224</v>
      </c>
      <c r="F3711" s="1" t="s">
        <v>1470</v>
      </c>
      <c r="G3711">
        <v>1</v>
      </c>
      <c r="H3711" s="1" t="s">
        <v>1490</v>
      </c>
      <c r="I3711" t="s">
        <v>1870</v>
      </c>
      <c r="J3711" s="1" t="s">
        <v>1459</v>
      </c>
      <c r="K3711" s="1" t="s">
        <v>1579</v>
      </c>
      <c r="L3711" s="1" t="s">
        <v>1715</v>
      </c>
      <c r="M3711" s="1" t="s">
        <v>1796</v>
      </c>
      <c r="N3711" t="s">
        <v>1952</v>
      </c>
      <c r="O3711" t="s">
        <v>2161</v>
      </c>
      <c r="P3711" t="s">
        <v>3052</v>
      </c>
      <c r="Q3711">
        <v>372</v>
      </c>
      <c r="R3711" s="1" t="s">
        <v>1463</v>
      </c>
      <c r="S3711">
        <v>833</v>
      </c>
      <c r="T3711">
        <v>309876</v>
      </c>
    </row>
    <row r="3712" spans="1:20" hidden="1" x14ac:dyDescent="0.4">
      <c r="A3712" s="1" t="s">
        <v>1408</v>
      </c>
      <c r="B3712" s="1" t="s">
        <v>1456</v>
      </c>
      <c r="C3712" s="1" t="s">
        <v>1844</v>
      </c>
      <c r="D3712" s="1" t="s">
        <v>1731</v>
      </c>
      <c r="E3712">
        <v>20251224</v>
      </c>
      <c r="F3712" s="1" t="s">
        <v>1470</v>
      </c>
      <c r="G3712">
        <v>1</v>
      </c>
      <c r="H3712" s="1" t="s">
        <v>1490</v>
      </c>
      <c r="I3712" t="s">
        <v>1870</v>
      </c>
      <c r="J3712" s="1" t="s">
        <v>1459</v>
      </c>
      <c r="K3712" s="1" t="s">
        <v>1579</v>
      </c>
      <c r="L3712" s="1" t="s">
        <v>1715</v>
      </c>
      <c r="M3712" s="1" t="s">
        <v>1797</v>
      </c>
      <c r="N3712" t="s">
        <v>1952</v>
      </c>
      <c r="O3712" t="s">
        <v>2161</v>
      </c>
      <c r="P3712" t="s">
        <v>3053</v>
      </c>
      <c r="Q3712">
        <v>1075</v>
      </c>
      <c r="R3712" s="1" t="s">
        <v>1463</v>
      </c>
      <c r="S3712">
        <v>833</v>
      </c>
      <c r="T3712">
        <v>895475</v>
      </c>
    </row>
    <row r="3713" spans="1:20" hidden="1" x14ac:dyDescent="0.4">
      <c r="A3713" s="1" t="s">
        <v>1409</v>
      </c>
      <c r="B3713" s="1" t="s">
        <v>1453</v>
      </c>
      <c r="C3713" s="1" t="s">
        <v>1844</v>
      </c>
      <c r="D3713" s="1" t="s">
        <v>1467</v>
      </c>
      <c r="E3713">
        <v>20251224</v>
      </c>
      <c r="F3713" s="1" t="s">
        <v>1470</v>
      </c>
      <c r="G3713">
        <v>4</v>
      </c>
      <c r="H3713" s="1" t="s">
        <v>1503</v>
      </c>
      <c r="I3713" t="s">
        <v>1883</v>
      </c>
      <c r="J3713" s="1" t="s">
        <v>1456</v>
      </c>
      <c r="K3713" s="1" t="s">
        <v>1570</v>
      </c>
      <c r="L3713" s="1" t="s">
        <v>1729</v>
      </c>
      <c r="M3713" s="1" t="s">
        <v>1741</v>
      </c>
      <c r="N3713" t="s">
        <v>1943</v>
      </c>
      <c r="O3713" t="s">
        <v>2157</v>
      </c>
      <c r="P3713" t="s">
        <v>3243</v>
      </c>
      <c r="Q3713">
        <v>8</v>
      </c>
      <c r="R3713" s="1" t="s">
        <v>1718</v>
      </c>
      <c r="S3713">
        <v>21398</v>
      </c>
      <c r="T3713">
        <v>171184</v>
      </c>
    </row>
    <row r="3714" spans="1:20" hidden="1" x14ac:dyDescent="0.4">
      <c r="A3714" s="1" t="s">
        <v>1410</v>
      </c>
      <c r="B3714" s="1" t="s">
        <v>1453</v>
      </c>
      <c r="C3714" s="1" t="s">
        <v>1844</v>
      </c>
      <c r="D3714" s="1" t="s">
        <v>1462</v>
      </c>
      <c r="E3714">
        <v>20251212</v>
      </c>
      <c r="F3714" s="1" t="s">
        <v>1474</v>
      </c>
      <c r="G3714">
        <v>4</v>
      </c>
      <c r="H3714" s="1" t="s">
        <v>1534</v>
      </c>
      <c r="I3714" t="s">
        <v>1914</v>
      </c>
      <c r="J3714" s="1" t="s">
        <v>1455</v>
      </c>
      <c r="K3714" s="1" t="s">
        <v>1670</v>
      </c>
      <c r="L3714" s="1" t="s">
        <v>1720</v>
      </c>
      <c r="M3714" s="1" t="s">
        <v>1762</v>
      </c>
      <c r="N3714" t="s">
        <v>2058</v>
      </c>
      <c r="O3714" t="s">
        <v>2166</v>
      </c>
      <c r="P3714" t="s">
        <v>3172</v>
      </c>
      <c r="Q3714">
        <v>646.29999999999995</v>
      </c>
      <c r="R3714" s="1" t="s">
        <v>1839</v>
      </c>
      <c r="S3714">
        <v>793.68</v>
      </c>
      <c r="T3714">
        <v>512955</v>
      </c>
    </row>
    <row r="3715" spans="1:20" hidden="1" x14ac:dyDescent="0.4">
      <c r="A3715" s="1" t="s">
        <v>1410</v>
      </c>
      <c r="B3715" s="1" t="s">
        <v>1454</v>
      </c>
      <c r="C3715" s="1" t="s">
        <v>1844</v>
      </c>
      <c r="D3715" s="1" t="s">
        <v>1462</v>
      </c>
      <c r="E3715">
        <v>20251212</v>
      </c>
      <c r="F3715" s="1" t="s">
        <v>1474</v>
      </c>
      <c r="G3715">
        <v>4</v>
      </c>
      <c r="H3715" s="1" t="s">
        <v>1534</v>
      </c>
      <c r="I3715" t="s">
        <v>1914</v>
      </c>
      <c r="J3715" s="1" t="s">
        <v>1455</v>
      </c>
      <c r="K3715" s="1" t="s">
        <v>1670</v>
      </c>
      <c r="L3715" s="1" t="s">
        <v>1720</v>
      </c>
      <c r="M3715" s="1" t="s">
        <v>1762</v>
      </c>
      <c r="N3715" t="s">
        <v>2058</v>
      </c>
      <c r="O3715" t="s">
        <v>2166</v>
      </c>
      <c r="P3715" t="s">
        <v>3172</v>
      </c>
      <c r="Q3715">
        <v>3967.56</v>
      </c>
      <c r="R3715" s="1" t="s">
        <v>1839</v>
      </c>
      <c r="S3715">
        <v>793.68</v>
      </c>
      <c r="T3715">
        <v>3148973</v>
      </c>
    </row>
    <row r="3716" spans="1:20" hidden="1" x14ac:dyDescent="0.4">
      <c r="A3716" s="1" t="s">
        <v>1410</v>
      </c>
      <c r="B3716" s="1" t="s">
        <v>1455</v>
      </c>
      <c r="C3716" s="1" t="s">
        <v>1844</v>
      </c>
      <c r="D3716" s="1" t="s">
        <v>1462</v>
      </c>
      <c r="E3716">
        <v>20251212</v>
      </c>
      <c r="F3716" s="1" t="s">
        <v>1474</v>
      </c>
      <c r="G3716">
        <v>4</v>
      </c>
      <c r="H3716" s="1" t="s">
        <v>1534</v>
      </c>
      <c r="I3716" t="s">
        <v>1914</v>
      </c>
      <c r="J3716" s="1" t="s">
        <v>1455</v>
      </c>
      <c r="K3716" s="1" t="s">
        <v>1670</v>
      </c>
      <c r="L3716" s="1" t="s">
        <v>1720</v>
      </c>
      <c r="M3716" s="1" t="s">
        <v>1762</v>
      </c>
      <c r="N3716" t="s">
        <v>2058</v>
      </c>
      <c r="O3716" t="s">
        <v>2166</v>
      </c>
      <c r="P3716" t="s">
        <v>3172</v>
      </c>
      <c r="Q3716">
        <v>1949.96</v>
      </c>
      <c r="R3716" s="1" t="s">
        <v>1839</v>
      </c>
      <c r="S3716">
        <v>793.52</v>
      </c>
      <c r="T3716">
        <v>1547332</v>
      </c>
    </row>
    <row r="3717" spans="1:20" hidden="1" x14ac:dyDescent="0.4">
      <c r="A3717" s="1" t="s">
        <v>1410</v>
      </c>
      <c r="B3717" s="1" t="s">
        <v>1456</v>
      </c>
      <c r="C3717" s="1" t="s">
        <v>1844</v>
      </c>
      <c r="D3717" s="1" t="s">
        <v>1462</v>
      </c>
      <c r="E3717">
        <v>20251212</v>
      </c>
      <c r="F3717" s="1" t="s">
        <v>1474</v>
      </c>
      <c r="G3717">
        <v>4</v>
      </c>
      <c r="H3717" s="1" t="s">
        <v>1534</v>
      </c>
      <c r="I3717" t="s">
        <v>1914</v>
      </c>
      <c r="J3717" s="1" t="s">
        <v>1455</v>
      </c>
      <c r="K3717" s="1" t="s">
        <v>1670</v>
      </c>
      <c r="L3717" s="1" t="s">
        <v>1720</v>
      </c>
      <c r="M3717" s="1" t="s">
        <v>1762</v>
      </c>
      <c r="N3717" t="s">
        <v>2058</v>
      </c>
      <c r="O3717" t="s">
        <v>2166</v>
      </c>
      <c r="P3717" t="s">
        <v>3172</v>
      </c>
      <c r="Q3717">
        <v>1028.26</v>
      </c>
      <c r="R3717" s="1" t="s">
        <v>1839</v>
      </c>
      <c r="S3717">
        <v>793.52</v>
      </c>
      <c r="T3717">
        <v>815945</v>
      </c>
    </row>
    <row r="3718" spans="1:20" hidden="1" x14ac:dyDescent="0.4">
      <c r="A3718" s="1" t="s">
        <v>1410</v>
      </c>
      <c r="B3718" s="1" t="s">
        <v>1457</v>
      </c>
      <c r="C3718" s="1" t="s">
        <v>1844</v>
      </c>
      <c r="D3718" s="1" t="s">
        <v>1462</v>
      </c>
      <c r="E3718">
        <v>20251212</v>
      </c>
      <c r="F3718" s="1" t="s">
        <v>1474</v>
      </c>
      <c r="G3718">
        <v>4</v>
      </c>
      <c r="H3718" s="1" t="s">
        <v>1534</v>
      </c>
      <c r="I3718" t="s">
        <v>1914</v>
      </c>
      <c r="J3718" s="1" t="s">
        <v>1455</v>
      </c>
      <c r="K3718" s="1" t="s">
        <v>1670</v>
      </c>
      <c r="L3718" s="1" t="s">
        <v>1720</v>
      </c>
      <c r="M3718" s="1" t="s">
        <v>1762</v>
      </c>
      <c r="N3718" t="s">
        <v>2058</v>
      </c>
      <c r="O3718" t="s">
        <v>2166</v>
      </c>
      <c r="P3718" t="s">
        <v>3172</v>
      </c>
      <c r="Q3718">
        <v>553.19000000000005</v>
      </c>
      <c r="R3718" s="1" t="s">
        <v>1839</v>
      </c>
      <c r="S3718">
        <v>793.68</v>
      </c>
      <c r="T3718">
        <v>439056</v>
      </c>
    </row>
    <row r="3719" spans="1:20" hidden="1" x14ac:dyDescent="0.4">
      <c r="A3719" s="1" t="s">
        <v>1410</v>
      </c>
      <c r="B3719" s="1" t="s">
        <v>1458</v>
      </c>
      <c r="C3719" s="1" t="s">
        <v>1844</v>
      </c>
      <c r="D3719" s="1" t="s">
        <v>1462</v>
      </c>
      <c r="E3719">
        <v>20251212</v>
      </c>
      <c r="F3719" s="1" t="s">
        <v>1474</v>
      </c>
      <c r="G3719">
        <v>4</v>
      </c>
      <c r="H3719" s="1" t="s">
        <v>1534</v>
      </c>
      <c r="I3719" t="s">
        <v>1914</v>
      </c>
      <c r="J3719" s="1" t="s">
        <v>1455</v>
      </c>
      <c r="K3719" s="1" t="s">
        <v>1670</v>
      </c>
      <c r="L3719" s="1" t="s">
        <v>1720</v>
      </c>
      <c r="M3719" s="1" t="s">
        <v>1762</v>
      </c>
      <c r="N3719" t="s">
        <v>2058</v>
      </c>
      <c r="O3719" t="s">
        <v>2166</v>
      </c>
      <c r="P3719" t="s">
        <v>3172</v>
      </c>
      <c r="Q3719">
        <v>1480.02</v>
      </c>
      <c r="R3719" s="1" t="s">
        <v>1839</v>
      </c>
      <c r="S3719">
        <v>793.51</v>
      </c>
      <c r="T3719">
        <v>1174411</v>
      </c>
    </row>
    <row r="3720" spans="1:20" hidden="1" x14ac:dyDescent="0.4">
      <c r="A3720" s="1" t="s">
        <v>1411</v>
      </c>
      <c r="B3720" s="1" t="s">
        <v>1453</v>
      </c>
      <c r="C3720" s="1" t="s">
        <v>1844</v>
      </c>
      <c r="D3720" s="1" t="s">
        <v>1462</v>
      </c>
      <c r="E3720">
        <v>20251220</v>
      </c>
      <c r="F3720" s="1" t="s">
        <v>1474</v>
      </c>
      <c r="G3720">
        <v>4</v>
      </c>
      <c r="H3720" s="1" t="s">
        <v>1534</v>
      </c>
      <c r="I3720" t="s">
        <v>1914</v>
      </c>
      <c r="J3720" s="1" t="s">
        <v>1455</v>
      </c>
      <c r="K3720" s="1" t="s">
        <v>1670</v>
      </c>
      <c r="L3720" s="1" t="s">
        <v>1720</v>
      </c>
      <c r="M3720" s="1" t="s">
        <v>1762</v>
      </c>
      <c r="N3720" t="s">
        <v>2058</v>
      </c>
      <c r="O3720" t="s">
        <v>2166</v>
      </c>
      <c r="P3720" t="s">
        <v>3172</v>
      </c>
      <c r="Q3720">
        <v>1011.43</v>
      </c>
      <c r="R3720" s="1" t="s">
        <v>1839</v>
      </c>
      <c r="S3720">
        <v>793.84</v>
      </c>
      <c r="T3720">
        <v>802914</v>
      </c>
    </row>
    <row r="3721" spans="1:20" hidden="1" x14ac:dyDescent="0.4">
      <c r="A3721" s="1" t="s">
        <v>1411</v>
      </c>
      <c r="B3721" s="1" t="s">
        <v>1454</v>
      </c>
      <c r="C3721" s="1" t="s">
        <v>1844</v>
      </c>
      <c r="D3721" s="1" t="s">
        <v>1462</v>
      </c>
      <c r="E3721">
        <v>20251220</v>
      </c>
      <c r="F3721" s="1" t="s">
        <v>1474</v>
      </c>
      <c r="G3721">
        <v>4</v>
      </c>
      <c r="H3721" s="1" t="s">
        <v>1534</v>
      </c>
      <c r="I3721" t="s">
        <v>1914</v>
      </c>
      <c r="J3721" s="1" t="s">
        <v>1455</v>
      </c>
      <c r="K3721" s="1" t="s">
        <v>1670</v>
      </c>
      <c r="L3721" s="1" t="s">
        <v>1720</v>
      </c>
      <c r="M3721" s="1" t="s">
        <v>1762</v>
      </c>
      <c r="N3721" t="s">
        <v>2058</v>
      </c>
      <c r="O3721" t="s">
        <v>2166</v>
      </c>
      <c r="P3721" t="s">
        <v>3172</v>
      </c>
      <c r="Q3721">
        <v>1618.94</v>
      </c>
      <c r="R3721" s="1" t="s">
        <v>1839</v>
      </c>
      <c r="S3721">
        <v>793.84</v>
      </c>
      <c r="T3721">
        <v>1285179</v>
      </c>
    </row>
    <row r="3722" spans="1:20" hidden="1" x14ac:dyDescent="0.4">
      <c r="A3722" s="1" t="s">
        <v>1411</v>
      </c>
      <c r="B3722" s="1" t="s">
        <v>1455</v>
      </c>
      <c r="C3722" s="1" t="s">
        <v>1844</v>
      </c>
      <c r="D3722" s="1" t="s">
        <v>1462</v>
      </c>
      <c r="E3722">
        <v>20251220</v>
      </c>
      <c r="F3722" s="1" t="s">
        <v>1474</v>
      </c>
      <c r="G3722">
        <v>4</v>
      </c>
      <c r="H3722" s="1" t="s">
        <v>1534</v>
      </c>
      <c r="I3722" t="s">
        <v>1914</v>
      </c>
      <c r="J3722" s="1" t="s">
        <v>1455</v>
      </c>
      <c r="K3722" s="1" t="s">
        <v>1670</v>
      </c>
      <c r="L3722" s="1" t="s">
        <v>1720</v>
      </c>
      <c r="M3722" s="1" t="s">
        <v>1762</v>
      </c>
      <c r="N3722" t="s">
        <v>2058</v>
      </c>
      <c r="O3722" t="s">
        <v>2166</v>
      </c>
      <c r="P3722" t="s">
        <v>3172</v>
      </c>
      <c r="Q3722">
        <v>1196.1400000000001</v>
      </c>
      <c r="R3722" s="1" t="s">
        <v>1839</v>
      </c>
      <c r="S3722">
        <v>793.99</v>
      </c>
      <c r="T3722">
        <v>949723</v>
      </c>
    </row>
    <row r="3723" spans="1:20" hidden="1" x14ac:dyDescent="0.4">
      <c r="A3723" s="1" t="s">
        <v>1412</v>
      </c>
      <c r="B3723" s="1" t="s">
        <v>1453</v>
      </c>
      <c r="C3723" s="1" t="s">
        <v>1844</v>
      </c>
      <c r="D3723" s="1" t="s">
        <v>1730</v>
      </c>
      <c r="E3723">
        <v>20251224</v>
      </c>
      <c r="F3723" s="1" t="s">
        <v>1470</v>
      </c>
      <c r="G3723">
        <v>4</v>
      </c>
      <c r="H3723" s="1" t="s">
        <v>1503</v>
      </c>
      <c r="I3723" t="s">
        <v>1883</v>
      </c>
      <c r="J3723" s="1" t="s">
        <v>1456</v>
      </c>
      <c r="K3723" s="1" t="s">
        <v>1570</v>
      </c>
      <c r="L3723" s="1" t="s">
        <v>1729</v>
      </c>
      <c r="M3723" s="1" t="s">
        <v>1742</v>
      </c>
      <c r="N3723" t="s">
        <v>1943</v>
      </c>
      <c r="O3723" t="s">
        <v>2986</v>
      </c>
      <c r="P3723" t="s">
        <v>3245</v>
      </c>
      <c r="Q3723">
        <v>6</v>
      </c>
      <c r="R3723" s="1" t="s">
        <v>1718</v>
      </c>
      <c r="S3723">
        <v>0</v>
      </c>
      <c r="T3723">
        <v>0</v>
      </c>
    </row>
    <row r="3724" spans="1:20" hidden="1" x14ac:dyDescent="0.4">
      <c r="A3724" s="1" t="s">
        <v>1412</v>
      </c>
      <c r="B3724" s="1" t="s">
        <v>1454</v>
      </c>
      <c r="C3724" s="1" t="s">
        <v>1844</v>
      </c>
      <c r="D3724" s="1" t="s">
        <v>1730</v>
      </c>
      <c r="E3724">
        <v>20251224</v>
      </c>
      <c r="F3724" s="1" t="s">
        <v>1470</v>
      </c>
      <c r="G3724">
        <v>4</v>
      </c>
      <c r="H3724" s="1" t="s">
        <v>1503</v>
      </c>
      <c r="I3724" t="s">
        <v>1883</v>
      </c>
      <c r="J3724" s="1" t="s">
        <v>1456</v>
      </c>
      <c r="K3724" s="1" t="s">
        <v>1570</v>
      </c>
      <c r="L3724" s="1" t="s">
        <v>1729</v>
      </c>
      <c r="M3724" s="1" t="s">
        <v>1741</v>
      </c>
      <c r="N3724" t="s">
        <v>1943</v>
      </c>
      <c r="O3724" t="s">
        <v>2986</v>
      </c>
      <c r="P3724" t="s">
        <v>3243</v>
      </c>
      <c r="Q3724">
        <v>8</v>
      </c>
      <c r="R3724" s="1" t="s">
        <v>1718</v>
      </c>
      <c r="S3724">
        <v>0</v>
      </c>
      <c r="T3724">
        <v>0</v>
      </c>
    </row>
    <row r="3725" spans="1:20" hidden="1" x14ac:dyDescent="0.4">
      <c r="A3725" s="1" t="s">
        <v>1412</v>
      </c>
      <c r="B3725" s="1" t="s">
        <v>1455</v>
      </c>
      <c r="C3725" s="1" t="s">
        <v>1844</v>
      </c>
      <c r="D3725" s="1" t="s">
        <v>1730</v>
      </c>
      <c r="E3725">
        <v>20251224</v>
      </c>
      <c r="F3725" s="1" t="s">
        <v>1470</v>
      </c>
      <c r="G3725">
        <v>4</v>
      </c>
      <c r="H3725" s="1" t="s">
        <v>1503</v>
      </c>
      <c r="I3725" t="s">
        <v>1883</v>
      </c>
      <c r="J3725" s="1" t="s">
        <v>1456</v>
      </c>
      <c r="K3725" s="1" t="s">
        <v>1552</v>
      </c>
      <c r="L3725" s="1" t="s">
        <v>1729</v>
      </c>
      <c r="M3725" s="1" t="s">
        <v>1735</v>
      </c>
      <c r="N3725" t="s">
        <v>2097</v>
      </c>
      <c r="O3725" t="s">
        <v>2986</v>
      </c>
      <c r="P3725" t="s">
        <v>3037</v>
      </c>
      <c r="Q3725">
        <v>2</v>
      </c>
      <c r="R3725" s="1" t="s">
        <v>1718</v>
      </c>
      <c r="S3725">
        <v>0</v>
      </c>
      <c r="T3725">
        <v>0</v>
      </c>
    </row>
    <row r="3726" spans="1:20" hidden="1" x14ac:dyDescent="0.4">
      <c r="A3726" s="1" t="s">
        <v>1413</v>
      </c>
      <c r="B3726" s="1" t="s">
        <v>1453</v>
      </c>
      <c r="C3726" s="1" t="s">
        <v>1844</v>
      </c>
      <c r="D3726" s="1" t="s">
        <v>1462</v>
      </c>
      <c r="E3726">
        <v>20251220</v>
      </c>
      <c r="F3726" s="1" t="s">
        <v>1474</v>
      </c>
      <c r="G3726">
        <v>4</v>
      </c>
      <c r="H3726" s="1" t="s">
        <v>1534</v>
      </c>
      <c r="I3726" t="s">
        <v>1914</v>
      </c>
      <c r="J3726" s="1" t="s">
        <v>1455</v>
      </c>
      <c r="K3726" s="1" t="s">
        <v>1685</v>
      </c>
      <c r="L3726" s="1" t="s">
        <v>1734</v>
      </c>
      <c r="M3726" s="1" t="s">
        <v>1816</v>
      </c>
      <c r="N3726" t="s">
        <v>2077</v>
      </c>
      <c r="O3726" t="s">
        <v>2179</v>
      </c>
      <c r="P3726" t="s">
        <v>3202</v>
      </c>
      <c r="Q3726">
        <v>1000.96</v>
      </c>
      <c r="R3726" s="1" t="s">
        <v>1463</v>
      </c>
      <c r="S3726">
        <v>751.06</v>
      </c>
      <c r="T3726">
        <v>751781</v>
      </c>
    </row>
    <row r="3727" spans="1:20" hidden="1" x14ac:dyDescent="0.4">
      <c r="A3727" s="1" t="s">
        <v>1413</v>
      </c>
      <c r="B3727" s="1" t="s">
        <v>1454</v>
      </c>
      <c r="C3727" s="1" t="s">
        <v>1844</v>
      </c>
      <c r="D3727" s="1" t="s">
        <v>1462</v>
      </c>
      <c r="E3727">
        <v>20251220</v>
      </c>
      <c r="F3727" s="1" t="s">
        <v>1474</v>
      </c>
      <c r="G3727">
        <v>4</v>
      </c>
      <c r="H3727" s="1" t="s">
        <v>1534</v>
      </c>
      <c r="I3727" t="s">
        <v>1914</v>
      </c>
      <c r="J3727" s="1" t="s">
        <v>1455</v>
      </c>
      <c r="K3727" s="1" t="s">
        <v>1664</v>
      </c>
      <c r="L3727" s="1" t="s">
        <v>1720</v>
      </c>
      <c r="M3727" s="1" t="s">
        <v>1762</v>
      </c>
      <c r="N3727" t="s">
        <v>2052</v>
      </c>
      <c r="O3727" t="s">
        <v>2166</v>
      </c>
      <c r="P3727" t="s">
        <v>3172</v>
      </c>
      <c r="Q3727">
        <v>2295.5</v>
      </c>
      <c r="R3727" s="1" t="s">
        <v>1841</v>
      </c>
      <c r="S3727">
        <v>828.2</v>
      </c>
      <c r="T3727">
        <v>1901133</v>
      </c>
    </row>
    <row r="3728" spans="1:20" hidden="1" x14ac:dyDescent="0.4">
      <c r="A3728" s="1" t="s">
        <v>1413</v>
      </c>
      <c r="B3728" s="1" t="s">
        <v>1455</v>
      </c>
      <c r="C3728" s="1" t="s">
        <v>1844</v>
      </c>
      <c r="D3728" s="1" t="s">
        <v>1462</v>
      </c>
      <c r="E3728">
        <v>20251220</v>
      </c>
      <c r="F3728" s="1" t="s">
        <v>1474</v>
      </c>
      <c r="G3728">
        <v>4</v>
      </c>
      <c r="H3728" s="1" t="s">
        <v>1534</v>
      </c>
      <c r="I3728" t="s">
        <v>1914</v>
      </c>
      <c r="J3728" s="1" t="s">
        <v>1455</v>
      </c>
      <c r="K3728" s="1" t="s">
        <v>1665</v>
      </c>
      <c r="L3728" s="1" t="s">
        <v>1720</v>
      </c>
      <c r="M3728" s="1" t="s">
        <v>1762</v>
      </c>
      <c r="N3728" t="s">
        <v>2053</v>
      </c>
      <c r="O3728" t="s">
        <v>2166</v>
      </c>
      <c r="P3728" t="s">
        <v>3172</v>
      </c>
      <c r="Q3728">
        <v>178.7</v>
      </c>
      <c r="R3728" s="1" t="s">
        <v>1839</v>
      </c>
      <c r="S3728">
        <v>1504.62</v>
      </c>
      <c r="T3728">
        <v>268876</v>
      </c>
    </row>
    <row r="3729" spans="1:20" hidden="1" x14ac:dyDescent="0.4">
      <c r="A3729" s="1" t="s">
        <v>1413</v>
      </c>
      <c r="B3729" s="1" t="s">
        <v>1456</v>
      </c>
      <c r="C3729" s="1" t="s">
        <v>1844</v>
      </c>
      <c r="D3729" s="1" t="s">
        <v>1462</v>
      </c>
      <c r="E3729">
        <v>20251220</v>
      </c>
      <c r="F3729" s="1" t="s">
        <v>1474</v>
      </c>
      <c r="G3729">
        <v>4</v>
      </c>
      <c r="H3729" s="1" t="s">
        <v>1534</v>
      </c>
      <c r="I3729" t="s">
        <v>1914</v>
      </c>
      <c r="J3729" s="1" t="s">
        <v>1455</v>
      </c>
      <c r="K3729" s="1" t="s">
        <v>1665</v>
      </c>
      <c r="L3729" s="1" t="s">
        <v>1720</v>
      </c>
      <c r="M3729" s="1" t="s">
        <v>1762</v>
      </c>
      <c r="N3729" t="s">
        <v>2053</v>
      </c>
      <c r="O3729" t="s">
        <v>2166</v>
      </c>
      <c r="P3729" t="s">
        <v>3172</v>
      </c>
      <c r="Q3729">
        <v>70.88</v>
      </c>
      <c r="R3729" s="1" t="s">
        <v>1841</v>
      </c>
      <c r="S3729">
        <v>1504.62</v>
      </c>
      <c r="T3729">
        <v>106647</v>
      </c>
    </row>
    <row r="3730" spans="1:20" hidden="1" x14ac:dyDescent="0.4">
      <c r="A3730" s="1" t="s">
        <v>1413</v>
      </c>
      <c r="B3730" s="1" t="s">
        <v>1457</v>
      </c>
      <c r="C3730" s="1" t="s">
        <v>1844</v>
      </c>
      <c r="D3730" s="1" t="s">
        <v>1462</v>
      </c>
      <c r="E3730">
        <v>20251220</v>
      </c>
      <c r="F3730" s="1" t="s">
        <v>1474</v>
      </c>
      <c r="G3730">
        <v>4</v>
      </c>
      <c r="H3730" s="1" t="s">
        <v>1534</v>
      </c>
      <c r="I3730" t="s">
        <v>1914</v>
      </c>
      <c r="J3730" s="1" t="s">
        <v>1455</v>
      </c>
      <c r="K3730" s="1" t="s">
        <v>1665</v>
      </c>
      <c r="L3730" s="1" t="s">
        <v>1720</v>
      </c>
      <c r="M3730" s="1" t="s">
        <v>1762</v>
      </c>
      <c r="N3730" t="s">
        <v>2053</v>
      </c>
      <c r="O3730" t="s">
        <v>2166</v>
      </c>
      <c r="P3730" t="s">
        <v>3172</v>
      </c>
      <c r="Q3730">
        <v>1888.5</v>
      </c>
      <c r="R3730" s="1" t="s">
        <v>1839</v>
      </c>
      <c r="S3730">
        <v>1504.62</v>
      </c>
      <c r="T3730">
        <v>2841475</v>
      </c>
    </row>
    <row r="3731" spans="1:20" hidden="1" x14ac:dyDescent="0.4">
      <c r="A3731" s="1" t="s">
        <v>1413</v>
      </c>
      <c r="B3731" s="1" t="s">
        <v>1458</v>
      </c>
      <c r="C3731" s="1" t="s">
        <v>1844</v>
      </c>
      <c r="D3731" s="1" t="s">
        <v>1462</v>
      </c>
      <c r="E3731">
        <v>20251220</v>
      </c>
      <c r="F3731" s="1" t="s">
        <v>1474</v>
      </c>
      <c r="G3731">
        <v>4</v>
      </c>
      <c r="H3731" s="1" t="s">
        <v>1534</v>
      </c>
      <c r="I3731" t="s">
        <v>1914</v>
      </c>
      <c r="J3731" s="1" t="s">
        <v>1455</v>
      </c>
      <c r="K3731" s="1" t="s">
        <v>1665</v>
      </c>
      <c r="L3731" s="1" t="s">
        <v>1720</v>
      </c>
      <c r="M3731" s="1" t="s">
        <v>1762</v>
      </c>
      <c r="N3731" t="s">
        <v>2053</v>
      </c>
      <c r="O3731" t="s">
        <v>2166</v>
      </c>
      <c r="P3731" t="s">
        <v>3172</v>
      </c>
      <c r="Q3731">
        <v>686.56</v>
      </c>
      <c r="R3731" s="1" t="s">
        <v>1839</v>
      </c>
      <c r="S3731">
        <v>1504.62</v>
      </c>
      <c r="T3731">
        <v>1033012</v>
      </c>
    </row>
    <row r="3732" spans="1:20" hidden="1" x14ac:dyDescent="0.4">
      <c r="A3732" s="1" t="s">
        <v>1413</v>
      </c>
      <c r="B3732" s="1" t="s">
        <v>1459</v>
      </c>
      <c r="C3732" s="1" t="s">
        <v>1844</v>
      </c>
      <c r="D3732" s="1" t="s">
        <v>1462</v>
      </c>
      <c r="E3732">
        <v>20251220</v>
      </c>
      <c r="F3732" s="1" t="s">
        <v>1474</v>
      </c>
      <c r="G3732">
        <v>4</v>
      </c>
      <c r="H3732" s="1" t="s">
        <v>1534</v>
      </c>
      <c r="I3732" t="s">
        <v>1914</v>
      </c>
      <c r="J3732" s="1" t="s">
        <v>1455</v>
      </c>
      <c r="K3732" s="1" t="s">
        <v>1665</v>
      </c>
      <c r="L3732" s="1" t="s">
        <v>1720</v>
      </c>
      <c r="M3732" s="1" t="s">
        <v>1762</v>
      </c>
      <c r="N3732" t="s">
        <v>2053</v>
      </c>
      <c r="O3732" t="s">
        <v>2166</v>
      </c>
      <c r="P3732" t="s">
        <v>3172</v>
      </c>
      <c r="Q3732">
        <v>2062.29</v>
      </c>
      <c r="R3732" s="1" t="s">
        <v>1839</v>
      </c>
      <c r="S3732">
        <v>1504.62</v>
      </c>
      <c r="T3732">
        <v>3102963</v>
      </c>
    </row>
    <row r="3733" spans="1:20" hidden="1" x14ac:dyDescent="0.4">
      <c r="A3733" s="1" t="s">
        <v>1413</v>
      </c>
      <c r="B3733" s="1" t="s">
        <v>1460</v>
      </c>
      <c r="C3733" s="1" t="s">
        <v>1844</v>
      </c>
      <c r="D3733" s="1" t="s">
        <v>1462</v>
      </c>
      <c r="E3733">
        <v>20251220</v>
      </c>
      <c r="F3733" s="1" t="s">
        <v>1474</v>
      </c>
      <c r="G3733">
        <v>4</v>
      </c>
      <c r="H3733" s="1" t="s">
        <v>1534</v>
      </c>
      <c r="I3733" t="s">
        <v>1914</v>
      </c>
      <c r="J3733" s="1" t="s">
        <v>1455</v>
      </c>
      <c r="K3733" s="1" t="s">
        <v>1662</v>
      </c>
      <c r="L3733" s="1" t="s">
        <v>1720</v>
      </c>
      <c r="M3733" s="1" t="s">
        <v>1762</v>
      </c>
      <c r="N3733" t="s">
        <v>2050</v>
      </c>
      <c r="O3733" t="s">
        <v>2166</v>
      </c>
      <c r="P3733" t="s">
        <v>3172</v>
      </c>
      <c r="Q3733">
        <v>1272.32</v>
      </c>
      <c r="R3733" s="1" t="s">
        <v>1841</v>
      </c>
      <c r="S3733">
        <v>1199.69</v>
      </c>
      <c r="T3733">
        <v>1526390</v>
      </c>
    </row>
    <row r="3734" spans="1:20" hidden="1" x14ac:dyDescent="0.4">
      <c r="A3734" s="1" t="s">
        <v>1414</v>
      </c>
      <c r="B3734" s="1" t="s">
        <v>1453</v>
      </c>
      <c r="C3734" s="1" t="s">
        <v>1844</v>
      </c>
      <c r="D3734" s="1" t="s">
        <v>1462</v>
      </c>
      <c r="E3734">
        <v>20251223</v>
      </c>
      <c r="F3734" s="1" t="s">
        <v>1471</v>
      </c>
      <c r="G3734">
        <v>4</v>
      </c>
      <c r="H3734" s="1" t="s">
        <v>1527</v>
      </c>
      <c r="I3734" t="s">
        <v>1907</v>
      </c>
      <c r="J3734" s="1" t="s">
        <v>1460</v>
      </c>
      <c r="K3734" s="1" t="s">
        <v>1649</v>
      </c>
      <c r="L3734" s="1" t="s">
        <v>1731</v>
      </c>
      <c r="M3734" s="1" t="s">
        <v>1761</v>
      </c>
      <c r="N3734" t="s">
        <v>2031</v>
      </c>
      <c r="O3734" t="s">
        <v>2178</v>
      </c>
      <c r="P3734" t="s">
        <v>3156</v>
      </c>
      <c r="Q3734">
        <v>750</v>
      </c>
      <c r="R3734" s="1" t="s">
        <v>1463</v>
      </c>
      <c r="S3734">
        <v>1560</v>
      </c>
      <c r="T3734">
        <v>1170000</v>
      </c>
    </row>
    <row r="3735" spans="1:20" hidden="1" x14ac:dyDescent="0.4">
      <c r="A3735" s="1" t="s">
        <v>1415</v>
      </c>
      <c r="B3735" s="1" t="s">
        <v>1453</v>
      </c>
      <c r="C3735" s="1" t="s">
        <v>1844</v>
      </c>
      <c r="D3735" s="1" t="s">
        <v>1462</v>
      </c>
      <c r="E3735">
        <v>20251223</v>
      </c>
      <c r="F3735" s="1" t="s">
        <v>1471</v>
      </c>
      <c r="G3735">
        <v>4</v>
      </c>
      <c r="H3735" s="1" t="s">
        <v>1520</v>
      </c>
      <c r="I3735" t="s">
        <v>1900</v>
      </c>
      <c r="J3735" s="1" t="s">
        <v>1460</v>
      </c>
      <c r="K3735" s="1" t="s">
        <v>1649</v>
      </c>
      <c r="L3735" s="1" t="s">
        <v>1731</v>
      </c>
      <c r="M3735" s="1" t="s">
        <v>1799</v>
      </c>
      <c r="N3735" t="s">
        <v>2031</v>
      </c>
      <c r="O3735" t="s">
        <v>2178</v>
      </c>
      <c r="P3735" t="s">
        <v>3159</v>
      </c>
      <c r="Q3735">
        <v>1500</v>
      </c>
      <c r="R3735" s="1" t="s">
        <v>1463</v>
      </c>
      <c r="S3735">
        <v>1560</v>
      </c>
      <c r="T3735">
        <v>2340000</v>
      </c>
    </row>
    <row r="3736" spans="1:20" hidden="1" x14ac:dyDescent="0.4">
      <c r="A3736" s="1" t="s">
        <v>1416</v>
      </c>
      <c r="B3736" s="1" t="s">
        <v>1453</v>
      </c>
      <c r="C3736" s="1" t="s">
        <v>1844</v>
      </c>
      <c r="D3736" s="1" t="s">
        <v>1730</v>
      </c>
      <c r="E3736">
        <v>20251224</v>
      </c>
      <c r="F3736" s="1" t="s">
        <v>1470</v>
      </c>
      <c r="G3736">
        <v>4</v>
      </c>
      <c r="H3736" s="1" t="s">
        <v>1503</v>
      </c>
      <c r="I3736" t="s">
        <v>1883</v>
      </c>
      <c r="J3736" s="1" t="s">
        <v>1456</v>
      </c>
      <c r="K3736" s="1" t="s">
        <v>1612</v>
      </c>
      <c r="L3736" s="1" t="s">
        <v>1729</v>
      </c>
      <c r="M3736" s="1" t="s">
        <v>1737</v>
      </c>
      <c r="N3736" t="s">
        <v>1986</v>
      </c>
      <c r="O3736" t="s">
        <v>2987</v>
      </c>
      <c r="P3736" t="s">
        <v>2632</v>
      </c>
      <c r="Q3736">
        <v>12.3</v>
      </c>
      <c r="R3736" s="1" t="s">
        <v>1839</v>
      </c>
      <c r="S3736">
        <v>0</v>
      </c>
      <c r="T3736">
        <v>0</v>
      </c>
    </row>
    <row r="3737" spans="1:20" hidden="1" x14ac:dyDescent="0.4">
      <c r="A3737" s="1" t="s">
        <v>1417</v>
      </c>
      <c r="B3737" s="1" t="s">
        <v>1453</v>
      </c>
      <c r="C3737" s="1" t="s">
        <v>1844</v>
      </c>
      <c r="D3737" s="1" t="s">
        <v>1462</v>
      </c>
      <c r="E3737">
        <v>20251202</v>
      </c>
      <c r="F3737" s="1" t="s">
        <v>1474</v>
      </c>
      <c r="G3737">
        <v>4</v>
      </c>
      <c r="H3737" s="1" t="s">
        <v>1488</v>
      </c>
      <c r="I3737" t="s">
        <v>1868</v>
      </c>
      <c r="J3737" s="1" t="s">
        <v>1455</v>
      </c>
      <c r="K3737" s="1" t="s">
        <v>1683</v>
      </c>
      <c r="L3737" s="1" t="s">
        <v>1734</v>
      </c>
      <c r="M3737" s="1" t="s">
        <v>1735</v>
      </c>
      <c r="N3737" t="s">
        <v>2075</v>
      </c>
      <c r="O3737" t="s">
        <v>2179</v>
      </c>
      <c r="P3737" t="s">
        <v>3203</v>
      </c>
      <c r="Q3737">
        <v>591</v>
      </c>
      <c r="R3737" s="1" t="s">
        <v>1463</v>
      </c>
      <c r="S3737">
        <v>760</v>
      </c>
      <c r="T3737">
        <v>449160</v>
      </c>
    </row>
    <row r="3738" spans="1:20" hidden="1" x14ac:dyDescent="0.4">
      <c r="A3738" s="1" t="s">
        <v>1417</v>
      </c>
      <c r="B3738" s="1" t="s">
        <v>1454</v>
      </c>
      <c r="C3738" s="1" t="s">
        <v>1844</v>
      </c>
      <c r="D3738" s="1" t="s">
        <v>1462</v>
      </c>
      <c r="E3738">
        <v>20251202</v>
      </c>
      <c r="F3738" s="1" t="s">
        <v>1474</v>
      </c>
      <c r="G3738">
        <v>4</v>
      </c>
      <c r="H3738" s="1" t="s">
        <v>1488</v>
      </c>
      <c r="I3738" t="s">
        <v>1868</v>
      </c>
      <c r="J3738" s="1" t="s">
        <v>1455</v>
      </c>
      <c r="K3738" s="1" t="s">
        <v>1683</v>
      </c>
      <c r="L3738" s="1" t="s">
        <v>1734</v>
      </c>
      <c r="M3738" s="1" t="s">
        <v>1768</v>
      </c>
      <c r="N3738" t="s">
        <v>2075</v>
      </c>
      <c r="O3738" t="s">
        <v>2179</v>
      </c>
      <c r="P3738" t="s">
        <v>3199</v>
      </c>
      <c r="Q3738">
        <v>335</v>
      </c>
      <c r="R3738" s="1" t="s">
        <v>1463</v>
      </c>
      <c r="S3738">
        <v>760</v>
      </c>
      <c r="T3738">
        <v>254600</v>
      </c>
    </row>
    <row r="3739" spans="1:20" hidden="1" x14ac:dyDescent="0.4">
      <c r="A3739" s="1" t="s">
        <v>1417</v>
      </c>
      <c r="B3739" s="1" t="s">
        <v>1455</v>
      </c>
      <c r="C3739" s="1" t="s">
        <v>1844</v>
      </c>
      <c r="D3739" s="1" t="s">
        <v>1462</v>
      </c>
      <c r="E3739">
        <v>20251202</v>
      </c>
      <c r="F3739" s="1" t="s">
        <v>1474</v>
      </c>
      <c r="G3739">
        <v>4</v>
      </c>
      <c r="H3739" s="1" t="s">
        <v>1488</v>
      </c>
      <c r="I3739" t="s">
        <v>1868</v>
      </c>
      <c r="J3739" s="1" t="s">
        <v>1455</v>
      </c>
      <c r="K3739" s="1" t="s">
        <v>1683</v>
      </c>
      <c r="L3739" s="1" t="s">
        <v>1734</v>
      </c>
      <c r="M3739" s="1" t="s">
        <v>1761</v>
      </c>
      <c r="N3739" t="s">
        <v>2075</v>
      </c>
      <c r="O3739" t="s">
        <v>2179</v>
      </c>
      <c r="P3739" t="s">
        <v>3204</v>
      </c>
      <c r="Q3739">
        <v>47</v>
      </c>
      <c r="R3739" s="1" t="s">
        <v>1463</v>
      </c>
      <c r="S3739">
        <v>760</v>
      </c>
      <c r="T3739">
        <v>35720</v>
      </c>
    </row>
    <row r="3740" spans="1:20" hidden="1" x14ac:dyDescent="0.4">
      <c r="A3740" s="1" t="s">
        <v>1417</v>
      </c>
      <c r="B3740" s="1" t="s">
        <v>1456</v>
      </c>
      <c r="C3740" s="1" t="s">
        <v>1844</v>
      </c>
      <c r="D3740" s="1" t="s">
        <v>1462</v>
      </c>
      <c r="E3740">
        <v>20251202</v>
      </c>
      <c r="F3740" s="1" t="s">
        <v>1474</v>
      </c>
      <c r="G3740">
        <v>4</v>
      </c>
      <c r="H3740" s="1" t="s">
        <v>1488</v>
      </c>
      <c r="I3740" t="s">
        <v>1868</v>
      </c>
      <c r="J3740" s="1" t="s">
        <v>1455</v>
      </c>
      <c r="K3740" s="1" t="s">
        <v>1684</v>
      </c>
      <c r="L3740" s="1" t="s">
        <v>1734</v>
      </c>
      <c r="M3740" s="1" t="s">
        <v>1768</v>
      </c>
      <c r="N3740" t="s">
        <v>2076</v>
      </c>
      <c r="O3740" t="s">
        <v>2179</v>
      </c>
      <c r="P3740" t="s">
        <v>3200</v>
      </c>
      <c r="Q3740">
        <v>987</v>
      </c>
      <c r="R3740" s="1" t="s">
        <v>1463</v>
      </c>
      <c r="S3740">
        <v>666</v>
      </c>
      <c r="T3740">
        <v>657342</v>
      </c>
    </row>
    <row r="3741" spans="1:20" hidden="1" x14ac:dyDescent="0.4">
      <c r="A3741" s="1" t="s">
        <v>1418</v>
      </c>
      <c r="B3741" s="1" t="s">
        <v>1453</v>
      </c>
      <c r="C3741" s="1" t="s">
        <v>1844</v>
      </c>
      <c r="D3741" s="1" t="s">
        <v>1467</v>
      </c>
      <c r="E3741">
        <v>20251225</v>
      </c>
      <c r="F3741" s="1" t="s">
        <v>1470</v>
      </c>
      <c r="G3741">
        <v>4</v>
      </c>
      <c r="H3741" s="1" t="s">
        <v>1503</v>
      </c>
      <c r="I3741" t="s">
        <v>1883</v>
      </c>
      <c r="J3741" s="1" t="s">
        <v>1456</v>
      </c>
      <c r="K3741" s="1" t="s">
        <v>1570</v>
      </c>
      <c r="L3741" s="1" t="s">
        <v>1729</v>
      </c>
      <c r="M3741" s="1" t="s">
        <v>1742</v>
      </c>
      <c r="N3741" t="s">
        <v>1943</v>
      </c>
      <c r="O3741" t="s">
        <v>2157</v>
      </c>
      <c r="P3741" t="s">
        <v>3245</v>
      </c>
      <c r="Q3741">
        <v>4</v>
      </c>
      <c r="R3741" s="1" t="s">
        <v>1718</v>
      </c>
      <c r="S3741">
        <v>12696</v>
      </c>
      <c r="T3741">
        <v>50784</v>
      </c>
    </row>
    <row r="3742" spans="1:20" hidden="1" x14ac:dyDescent="0.4">
      <c r="A3742" s="1" t="s">
        <v>1419</v>
      </c>
      <c r="B3742" s="1" t="s">
        <v>1453</v>
      </c>
      <c r="C3742" s="1" t="s">
        <v>1844</v>
      </c>
      <c r="D3742" s="1" t="s">
        <v>1462</v>
      </c>
      <c r="E3742">
        <v>20251225</v>
      </c>
      <c r="F3742" s="1" t="s">
        <v>1470</v>
      </c>
      <c r="G3742">
        <v>4</v>
      </c>
      <c r="H3742" s="1" t="s">
        <v>1511</v>
      </c>
      <c r="I3742" t="s">
        <v>1891</v>
      </c>
      <c r="J3742" s="1" t="s">
        <v>1456</v>
      </c>
      <c r="K3742" s="1" t="s">
        <v>1561</v>
      </c>
      <c r="L3742" s="1" t="s">
        <v>1729</v>
      </c>
      <c r="M3742" s="1" t="s">
        <v>1737</v>
      </c>
      <c r="N3742" t="s">
        <v>2106</v>
      </c>
      <c r="O3742" t="s">
        <v>2988</v>
      </c>
      <c r="P3742" t="s">
        <v>3172</v>
      </c>
      <c r="Q3742">
        <v>2</v>
      </c>
      <c r="R3742" s="1" t="s">
        <v>1718</v>
      </c>
      <c r="S3742">
        <v>14848</v>
      </c>
      <c r="T3742">
        <v>29696</v>
      </c>
    </row>
    <row r="3743" spans="1:20" hidden="1" x14ac:dyDescent="0.4">
      <c r="A3743" s="1" t="s">
        <v>1419</v>
      </c>
      <c r="B3743" s="1" t="s">
        <v>1454</v>
      </c>
      <c r="C3743" s="1" t="s">
        <v>1844</v>
      </c>
      <c r="D3743" s="1" t="s">
        <v>1462</v>
      </c>
      <c r="E3743">
        <v>20251225</v>
      </c>
      <c r="F3743" s="1" t="s">
        <v>1470</v>
      </c>
      <c r="G3743">
        <v>4</v>
      </c>
      <c r="H3743" s="1" t="s">
        <v>1511</v>
      </c>
      <c r="I3743" t="s">
        <v>1891</v>
      </c>
      <c r="J3743" s="1" t="s">
        <v>1456</v>
      </c>
      <c r="K3743" s="1" t="s">
        <v>1561</v>
      </c>
      <c r="L3743" s="1" t="s">
        <v>1729</v>
      </c>
      <c r="M3743" s="1" t="s">
        <v>1737</v>
      </c>
      <c r="N3743" t="s">
        <v>2106</v>
      </c>
      <c r="O3743" t="s">
        <v>2989</v>
      </c>
      <c r="P3743" t="s">
        <v>3172</v>
      </c>
      <c r="Q3743">
        <v>2</v>
      </c>
      <c r="R3743" s="1" t="s">
        <v>1718</v>
      </c>
      <c r="S3743">
        <v>15297</v>
      </c>
      <c r="T3743">
        <v>30594</v>
      </c>
    </row>
    <row r="3744" spans="1:20" hidden="1" x14ac:dyDescent="0.4">
      <c r="A3744" s="1" t="s">
        <v>1420</v>
      </c>
      <c r="B3744" s="1" t="s">
        <v>1453</v>
      </c>
      <c r="C3744" s="1" t="s">
        <v>1844</v>
      </c>
      <c r="D3744" s="1" t="s">
        <v>1462</v>
      </c>
      <c r="E3744">
        <v>20251225</v>
      </c>
      <c r="F3744" s="1" t="s">
        <v>1470</v>
      </c>
      <c r="G3744">
        <v>4</v>
      </c>
      <c r="H3744" s="1" t="s">
        <v>1503</v>
      </c>
      <c r="I3744" t="s">
        <v>1883</v>
      </c>
      <c r="J3744" s="1" t="s">
        <v>1456</v>
      </c>
      <c r="K3744" s="1" t="s">
        <v>1554</v>
      </c>
      <c r="L3744" s="1" t="s">
        <v>1729</v>
      </c>
      <c r="M3744" s="1" t="s">
        <v>1737</v>
      </c>
      <c r="N3744" t="s">
        <v>2090</v>
      </c>
      <c r="O3744" t="s">
        <v>2990</v>
      </c>
      <c r="P3744">
        <v>82341</v>
      </c>
      <c r="Q3744">
        <v>2</v>
      </c>
      <c r="R3744" s="1" t="s">
        <v>1718</v>
      </c>
      <c r="S3744">
        <v>18640</v>
      </c>
      <c r="T3744">
        <v>37280</v>
      </c>
    </row>
    <row r="3745" spans="1:20" hidden="1" x14ac:dyDescent="0.4">
      <c r="A3745" s="1" t="s">
        <v>1421</v>
      </c>
      <c r="B3745" s="1" t="s">
        <v>1453</v>
      </c>
      <c r="C3745" s="1" t="s">
        <v>1844</v>
      </c>
      <c r="D3745" s="1" t="s">
        <v>1462</v>
      </c>
      <c r="E3745">
        <v>20251225</v>
      </c>
      <c r="F3745" s="1" t="s">
        <v>1470</v>
      </c>
      <c r="G3745">
        <v>4</v>
      </c>
      <c r="H3745" s="1" t="s">
        <v>1503</v>
      </c>
      <c r="I3745" t="s">
        <v>1883</v>
      </c>
      <c r="J3745" s="1" t="s">
        <v>1456</v>
      </c>
      <c r="K3745" s="1" t="s">
        <v>1553</v>
      </c>
      <c r="L3745" s="1" t="s">
        <v>1729</v>
      </c>
      <c r="M3745" s="1" t="s">
        <v>1736</v>
      </c>
      <c r="N3745" t="s">
        <v>2108</v>
      </c>
      <c r="O3745" t="s">
        <v>2991</v>
      </c>
      <c r="P3745" t="s">
        <v>3622</v>
      </c>
      <c r="Q3745">
        <v>2</v>
      </c>
      <c r="R3745" s="1" t="s">
        <v>1718</v>
      </c>
      <c r="S3745">
        <v>3440</v>
      </c>
      <c r="T3745">
        <v>6880</v>
      </c>
    </row>
    <row r="3746" spans="1:20" hidden="1" x14ac:dyDescent="0.4">
      <c r="A3746" s="1" t="s">
        <v>1422</v>
      </c>
      <c r="B3746" s="1" t="s">
        <v>1453</v>
      </c>
      <c r="C3746" s="1" t="s">
        <v>1844</v>
      </c>
      <c r="D3746" s="1" t="s">
        <v>1462</v>
      </c>
      <c r="E3746">
        <v>20251225</v>
      </c>
      <c r="F3746" s="1" t="s">
        <v>1470</v>
      </c>
      <c r="G3746">
        <v>4</v>
      </c>
      <c r="H3746" s="1" t="s">
        <v>1503</v>
      </c>
      <c r="I3746" t="s">
        <v>1883</v>
      </c>
      <c r="J3746" s="1" t="s">
        <v>1456</v>
      </c>
      <c r="K3746" s="1" t="s">
        <v>1553</v>
      </c>
      <c r="L3746" s="1" t="s">
        <v>1729</v>
      </c>
      <c r="M3746" s="1" t="s">
        <v>1740</v>
      </c>
      <c r="N3746" t="s">
        <v>2134</v>
      </c>
      <c r="O3746" t="s">
        <v>2992</v>
      </c>
      <c r="P3746" t="s">
        <v>3623</v>
      </c>
      <c r="Q3746">
        <v>2</v>
      </c>
      <c r="R3746" s="1" t="s">
        <v>1718</v>
      </c>
      <c r="S3746">
        <v>8224</v>
      </c>
      <c r="T3746">
        <v>16448</v>
      </c>
    </row>
    <row r="3747" spans="1:20" hidden="1" x14ac:dyDescent="0.4">
      <c r="A3747" s="1" t="s">
        <v>1423</v>
      </c>
      <c r="B3747" s="1" t="s">
        <v>1453</v>
      </c>
      <c r="C3747" s="1" t="s">
        <v>1844</v>
      </c>
      <c r="D3747" s="1" t="s">
        <v>1730</v>
      </c>
      <c r="E3747">
        <v>20251225</v>
      </c>
      <c r="F3747" s="1" t="s">
        <v>1470</v>
      </c>
      <c r="G3747">
        <v>4</v>
      </c>
      <c r="H3747" s="1" t="s">
        <v>1503</v>
      </c>
      <c r="I3747" t="s">
        <v>1883</v>
      </c>
      <c r="J3747" s="1" t="s">
        <v>1456</v>
      </c>
      <c r="K3747" s="1" t="s">
        <v>1570</v>
      </c>
      <c r="L3747" s="1" t="s">
        <v>1729</v>
      </c>
      <c r="M3747" s="1" t="s">
        <v>1742</v>
      </c>
      <c r="N3747" t="s">
        <v>1943</v>
      </c>
      <c r="O3747" t="s">
        <v>2826</v>
      </c>
      <c r="P3747" t="s">
        <v>3245</v>
      </c>
      <c r="Q3747">
        <v>4</v>
      </c>
      <c r="R3747" s="1" t="s">
        <v>1718</v>
      </c>
      <c r="S3747">
        <v>0</v>
      </c>
      <c r="T3747">
        <v>0</v>
      </c>
    </row>
    <row r="3748" spans="1:20" hidden="1" x14ac:dyDescent="0.4">
      <c r="A3748" s="1" t="s">
        <v>1424</v>
      </c>
      <c r="B3748" s="1" t="s">
        <v>1453</v>
      </c>
      <c r="C3748" s="1" t="s">
        <v>1844</v>
      </c>
      <c r="D3748" s="1" t="s">
        <v>1462</v>
      </c>
      <c r="E3748">
        <v>20251225</v>
      </c>
      <c r="F3748" s="1" t="s">
        <v>1470</v>
      </c>
      <c r="G3748">
        <v>4</v>
      </c>
      <c r="H3748" s="1" t="s">
        <v>1512</v>
      </c>
      <c r="I3748" t="s">
        <v>1892</v>
      </c>
      <c r="J3748" s="1" t="s">
        <v>1456</v>
      </c>
      <c r="K3748" s="1" t="s">
        <v>1558</v>
      </c>
      <c r="L3748" s="1" t="s">
        <v>1729</v>
      </c>
      <c r="M3748" s="1" t="s">
        <v>1737</v>
      </c>
      <c r="N3748" t="s">
        <v>2096</v>
      </c>
      <c r="O3748" t="s">
        <v>2993</v>
      </c>
      <c r="P3748" t="s">
        <v>3624</v>
      </c>
      <c r="Q3748">
        <v>2</v>
      </c>
      <c r="R3748" s="1" t="s">
        <v>1718</v>
      </c>
      <c r="S3748">
        <v>44765</v>
      </c>
      <c r="T3748">
        <v>89530</v>
      </c>
    </row>
    <row r="3749" spans="1:20" hidden="1" x14ac:dyDescent="0.4">
      <c r="A3749" s="1" t="s">
        <v>1425</v>
      </c>
      <c r="B3749" s="1" t="s">
        <v>1453</v>
      </c>
      <c r="C3749" s="1" t="s">
        <v>1844</v>
      </c>
      <c r="D3749" s="1" t="s">
        <v>1462</v>
      </c>
      <c r="E3749">
        <v>20251225</v>
      </c>
      <c r="F3749" s="1" t="s">
        <v>1470</v>
      </c>
      <c r="G3749">
        <v>4</v>
      </c>
      <c r="H3749" s="1" t="s">
        <v>1512</v>
      </c>
      <c r="I3749" t="s">
        <v>1892</v>
      </c>
      <c r="J3749" s="1" t="s">
        <v>1456</v>
      </c>
      <c r="K3749" s="1" t="s">
        <v>1558</v>
      </c>
      <c r="L3749" s="1" t="s">
        <v>1729</v>
      </c>
      <c r="M3749" s="1" t="s">
        <v>1737</v>
      </c>
      <c r="N3749" t="s">
        <v>2096</v>
      </c>
      <c r="O3749" t="s">
        <v>2994</v>
      </c>
      <c r="P3749" t="s">
        <v>3625</v>
      </c>
      <c r="Q3749">
        <v>2</v>
      </c>
      <c r="R3749" s="1" t="s">
        <v>1718</v>
      </c>
      <c r="S3749">
        <v>7654</v>
      </c>
      <c r="T3749">
        <v>15308</v>
      </c>
    </row>
    <row r="3750" spans="1:20" hidden="1" x14ac:dyDescent="0.4">
      <c r="A3750" s="1" t="s">
        <v>1426</v>
      </c>
      <c r="B3750" s="1" t="s">
        <v>1453</v>
      </c>
      <c r="C3750" s="1" t="s">
        <v>1844</v>
      </c>
      <c r="D3750" s="1" t="s">
        <v>1462</v>
      </c>
      <c r="E3750">
        <v>20251225</v>
      </c>
      <c r="F3750" s="1" t="s">
        <v>1470</v>
      </c>
      <c r="G3750">
        <v>4</v>
      </c>
      <c r="H3750" s="1" t="s">
        <v>1512</v>
      </c>
      <c r="I3750" t="s">
        <v>1892</v>
      </c>
      <c r="J3750" s="1" t="s">
        <v>1456</v>
      </c>
      <c r="K3750" s="1" t="s">
        <v>1558</v>
      </c>
      <c r="L3750" s="1" t="s">
        <v>1729</v>
      </c>
      <c r="M3750" s="1" t="s">
        <v>1737</v>
      </c>
      <c r="N3750" t="s">
        <v>2096</v>
      </c>
      <c r="O3750" t="s">
        <v>2995</v>
      </c>
      <c r="P3750" t="s">
        <v>3626</v>
      </c>
      <c r="Q3750">
        <v>2</v>
      </c>
      <c r="R3750" s="1" t="s">
        <v>1718</v>
      </c>
      <c r="S3750">
        <v>38107</v>
      </c>
      <c r="T3750">
        <v>76214</v>
      </c>
    </row>
    <row r="3751" spans="1:20" hidden="1" x14ac:dyDescent="0.4">
      <c r="A3751" s="1" t="s">
        <v>1427</v>
      </c>
      <c r="B3751" s="1" t="s">
        <v>1453</v>
      </c>
      <c r="C3751" s="1" t="s">
        <v>1844</v>
      </c>
      <c r="D3751" s="1" t="s">
        <v>1462</v>
      </c>
      <c r="E3751">
        <v>20251225</v>
      </c>
      <c r="F3751" s="1" t="s">
        <v>1470</v>
      </c>
      <c r="G3751">
        <v>4</v>
      </c>
      <c r="H3751" s="1" t="s">
        <v>1503</v>
      </c>
      <c r="I3751" t="s">
        <v>1883</v>
      </c>
      <c r="J3751" s="1" t="s">
        <v>1456</v>
      </c>
      <c r="K3751" s="1" t="s">
        <v>1706</v>
      </c>
      <c r="L3751" s="1" t="s">
        <v>1725</v>
      </c>
      <c r="M3751" s="1" t="s">
        <v>1737</v>
      </c>
      <c r="N3751" t="s">
        <v>2154</v>
      </c>
      <c r="O3751" t="s">
        <v>2996</v>
      </c>
      <c r="P3751" t="s">
        <v>2157</v>
      </c>
      <c r="Q3751">
        <v>1</v>
      </c>
      <c r="R3751" s="1" t="s">
        <v>1725</v>
      </c>
      <c r="S3751">
        <v>0</v>
      </c>
      <c r="T3751">
        <v>21800</v>
      </c>
    </row>
    <row r="3752" spans="1:20" hidden="1" x14ac:dyDescent="0.4">
      <c r="A3752" s="1" t="s">
        <v>1427</v>
      </c>
      <c r="B3752" s="1" t="s">
        <v>1454</v>
      </c>
      <c r="C3752" s="1" t="s">
        <v>1844</v>
      </c>
      <c r="D3752" s="1" t="s">
        <v>1462</v>
      </c>
      <c r="E3752">
        <v>20251225</v>
      </c>
      <c r="F3752" s="1" t="s">
        <v>1470</v>
      </c>
      <c r="G3752">
        <v>4</v>
      </c>
      <c r="H3752" s="1" t="s">
        <v>1503</v>
      </c>
      <c r="I3752" t="s">
        <v>1883</v>
      </c>
      <c r="J3752" s="1" t="s">
        <v>1456</v>
      </c>
      <c r="K3752" s="1" t="s">
        <v>1706</v>
      </c>
      <c r="L3752" s="1" t="s">
        <v>1725</v>
      </c>
      <c r="M3752" s="1" t="s">
        <v>1737</v>
      </c>
      <c r="N3752" t="s">
        <v>2155</v>
      </c>
      <c r="O3752" t="s">
        <v>2996</v>
      </c>
      <c r="P3752" t="s">
        <v>2157</v>
      </c>
      <c r="Q3752">
        <v>1</v>
      </c>
      <c r="R3752" s="1" t="s">
        <v>1725</v>
      </c>
      <c r="S3752">
        <v>0</v>
      </c>
      <c r="T3752">
        <v>16750</v>
      </c>
    </row>
    <row r="3753" spans="1:20" hidden="1" x14ac:dyDescent="0.4">
      <c r="A3753" s="1" t="s">
        <v>1428</v>
      </c>
      <c r="B3753" s="1" t="s">
        <v>1453</v>
      </c>
      <c r="C3753" s="1" t="s">
        <v>1844</v>
      </c>
      <c r="D3753" s="1" t="s">
        <v>1462</v>
      </c>
      <c r="E3753">
        <v>20251202</v>
      </c>
      <c r="F3753" s="1" t="s">
        <v>1474</v>
      </c>
      <c r="G3753">
        <v>4</v>
      </c>
      <c r="H3753" s="1" t="s">
        <v>1488</v>
      </c>
      <c r="I3753" t="s">
        <v>1868</v>
      </c>
      <c r="J3753" s="1" t="s">
        <v>1455</v>
      </c>
      <c r="K3753" s="1" t="s">
        <v>1686</v>
      </c>
      <c r="L3753" s="1" t="s">
        <v>1734</v>
      </c>
      <c r="M3753" s="1" t="s">
        <v>1735</v>
      </c>
      <c r="N3753" t="s">
        <v>2078</v>
      </c>
      <c r="O3753" t="s">
        <v>2179</v>
      </c>
      <c r="P3753" t="s">
        <v>3205</v>
      </c>
      <c r="Q3753">
        <v>1903.7</v>
      </c>
      <c r="R3753" s="1" t="s">
        <v>1463</v>
      </c>
      <c r="S3753">
        <v>654</v>
      </c>
      <c r="T3753">
        <v>1245020</v>
      </c>
    </row>
    <row r="3754" spans="1:20" hidden="1" x14ac:dyDescent="0.4">
      <c r="A3754" s="1" t="s">
        <v>1428</v>
      </c>
      <c r="B3754" s="1" t="s">
        <v>1454</v>
      </c>
      <c r="C3754" s="1" t="s">
        <v>1844</v>
      </c>
      <c r="D3754" s="1" t="s">
        <v>1462</v>
      </c>
      <c r="E3754">
        <v>20251202</v>
      </c>
      <c r="F3754" s="1" t="s">
        <v>1474</v>
      </c>
      <c r="G3754">
        <v>4</v>
      </c>
      <c r="H3754" s="1" t="s">
        <v>1488</v>
      </c>
      <c r="I3754" t="s">
        <v>1868</v>
      </c>
      <c r="J3754" s="1" t="s">
        <v>1455</v>
      </c>
      <c r="K3754" s="1" t="s">
        <v>1687</v>
      </c>
      <c r="L3754" s="1" t="s">
        <v>1734</v>
      </c>
      <c r="M3754" s="1" t="s">
        <v>1735</v>
      </c>
      <c r="N3754" t="s">
        <v>2079</v>
      </c>
      <c r="O3754" t="s">
        <v>2179</v>
      </c>
      <c r="P3754" t="s">
        <v>3205</v>
      </c>
      <c r="Q3754">
        <v>645.9</v>
      </c>
      <c r="R3754" s="1" t="s">
        <v>1463</v>
      </c>
      <c r="S3754">
        <v>673</v>
      </c>
      <c r="T3754">
        <v>434691</v>
      </c>
    </row>
    <row r="3755" spans="1:20" hidden="1" x14ac:dyDescent="0.4">
      <c r="A3755" s="1" t="s">
        <v>1428</v>
      </c>
      <c r="B3755" s="1" t="s">
        <v>1455</v>
      </c>
      <c r="C3755" s="1" t="s">
        <v>1844</v>
      </c>
      <c r="D3755" s="1" t="s">
        <v>1462</v>
      </c>
      <c r="E3755">
        <v>20251202</v>
      </c>
      <c r="F3755" s="1" t="s">
        <v>1474</v>
      </c>
      <c r="G3755">
        <v>4</v>
      </c>
      <c r="H3755" s="1" t="s">
        <v>1488</v>
      </c>
      <c r="I3755" t="s">
        <v>1868</v>
      </c>
      <c r="J3755" s="1" t="s">
        <v>1455</v>
      </c>
      <c r="K3755" s="1" t="s">
        <v>1687</v>
      </c>
      <c r="L3755" s="1" t="s">
        <v>1734</v>
      </c>
      <c r="M3755" s="1" t="s">
        <v>1735</v>
      </c>
      <c r="N3755" t="s">
        <v>2079</v>
      </c>
      <c r="O3755" t="s">
        <v>2179</v>
      </c>
      <c r="P3755" t="s">
        <v>3207</v>
      </c>
      <c r="Q3755">
        <v>1712.2</v>
      </c>
      <c r="R3755" s="1" t="s">
        <v>1463</v>
      </c>
      <c r="S3755">
        <v>673</v>
      </c>
      <c r="T3755">
        <v>1152311</v>
      </c>
    </row>
    <row r="3756" spans="1:20" hidden="1" x14ac:dyDescent="0.4">
      <c r="A3756" s="1" t="s">
        <v>1429</v>
      </c>
      <c r="B3756" s="1" t="s">
        <v>1453</v>
      </c>
      <c r="C3756" s="1" t="s">
        <v>1844</v>
      </c>
      <c r="D3756" s="1" t="s">
        <v>1462</v>
      </c>
      <c r="E3756">
        <v>20251224</v>
      </c>
      <c r="F3756" s="1" t="s">
        <v>1471</v>
      </c>
      <c r="G3756">
        <v>4</v>
      </c>
      <c r="H3756" s="1" t="s">
        <v>1529</v>
      </c>
      <c r="I3756" t="s">
        <v>1909</v>
      </c>
      <c r="J3756" s="1" t="s">
        <v>1460</v>
      </c>
      <c r="K3756" s="1" t="s">
        <v>1650</v>
      </c>
      <c r="L3756" s="1" t="s">
        <v>1733</v>
      </c>
      <c r="M3756" s="1" t="s">
        <v>1737</v>
      </c>
      <c r="N3756" t="s">
        <v>2032</v>
      </c>
      <c r="O3756" t="s">
        <v>2162</v>
      </c>
      <c r="P3756" t="s">
        <v>2157</v>
      </c>
      <c r="Q3756">
        <v>2016</v>
      </c>
      <c r="R3756" s="1" t="s">
        <v>1463</v>
      </c>
      <c r="S3756">
        <v>836</v>
      </c>
      <c r="T3756">
        <v>1685376</v>
      </c>
    </row>
    <row r="3757" spans="1:20" hidden="1" x14ac:dyDescent="0.4">
      <c r="A3757" s="1" t="s">
        <v>1430</v>
      </c>
      <c r="B3757" s="1" t="s">
        <v>1453</v>
      </c>
      <c r="C3757" s="1" t="s">
        <v>1844</v>
      </c>
      <c r="D3757" s="1" t="s">
        <v>1462</v>
      </c>
      <c r="E3757">
        <v>20251219</v>
      </c>
      <c r="F3757" s="1" t="s">
        <v>1473</v>
      </c>
      <c r="G3757">
        <v>4</v>
      </c>
      <c r="H3757" s="1" t="s">
        <v>1517</v>
      </c>
      <c r="I3757" t="s">
        <v>1897</v>
      </c>
      <c r="J3757" s="1" t="s">
        <v>1454</v>
      </c>
      <c r="K3757" s="1" t="s">
        <v>1614</v>
      </c>
      <c r="L3757" s="1" t="s">
        <v>1723</v>
      </c>
      <c r="M3757" s="1" t="s">
        <v>1737</v>
      </c>
      <c r="N3757" t="s">
        <v>1988</v>
      </c>
      <c r="O3757" t="s">
        <v>2169</v>
      </c>
      <c r="P3757" t="s">
        <v>3098</v>
      </c>
      <c r="Q3757">
        <v>32.18</v>
      </c>
      <c r="R3757" s="1" t="s">
        <v>1840</v>
      </c>
      <c r="S3757">
        <v>500</v>
      </c>
      <c r="T3757">
        <v>16090</v>
      </c>
    </row>
    <row r="3758" spans="1:20" hidden="1" x14ac:dyDescent="0.4">
      <c r="A3758" s="1" t="s">
        <v>1431</v>
      </c>
      <c r="B3758" s="1" t="s">
        <v>1453</v>
      </c>
      <c r="C3758" s="1" t="s">
        <v>1844</v>
      </c>
      <c r="D3758" s="1" t="s">
        <v>1462</v>
      </c>
      <c r="E3758">
        <v>20251224</v>
      </c>
      <c r="F3758" s="1" t="s">
        <v>1473</v>
      </c>
      <c r="G3758">
        <v>4</v>
      </c>
      <c r="H3758" s="1" t="s">
        <v>1493</v>
      </c>
      <c r="I3758" t="s">
        <v>1873</v>
      </c>
      <c r="J3758" s="1" t="s">
        <v>1453</v>
      </c>
      <c r="K3758" s="1" t="s">
        <v>1609</v>
      </c>
      <c r="L3758" s="1" t="s">
        <v>1718</v>
      </c>
      <c r="M3758" s="1" t="s">
        <v>1770</v>
      </c>
      <c r="N3758" t="s">
        <v>1983</v>
      </c>
      <c r="O3758" t="s">
        <v>2164</v>
      </c>
      <c r="P3758" t="s">
        <v>3094</v>
      </c>
      <c r="Q3758">
        <v>106.28</v>
      </c>
      <c r="R3758" s="1" t="s">
        <v>1839</v>
      </c>
      <c r="S3758">
        <v>1838</v>
      </c>
      <c r="T3758">
        <v>195342</v>
      </c>
    </row>
    <row r="3759" spans="1:20" hidden="1" x14ac:dyDescent="0.4">
      <c r="A3759" s="1" t="s">
        <v>1431</v>
      </c>
      <c r="B3759" s="1" t="s">
        <v>1454</v>
      </c>
      <c r="C3759" s="1" t="s">
        <v>1844</v>
      </c>
      <c r="D3759" s="1" t="s">
        <v>1462</v>
      </c>
      <c r="E3759">
        <v>20251224</v>
      </c>
      <c r="F3759" s="1" t="s">
        <v>1473</v>
      </c>
      <c r="G3759">
        <v>4</v>
      </c>
      <c r="H3759" s="1" t="s">
        <v>1493</v>
      </c>
      <c r="I3759" t="s">
        <v>1873</v>
      </c>
      <c r="J3759" s="1" t="s">
        <v>1453</v>
      </c>
      <c r="K3759" s="1" t="s">
        <v>1609</v>
      </c>
      <c r="L3759" s="1" t="s">
        <v>1718</v>
      </c>
      <c r="M3759" s="1" t="s">
        <v>1770</v>
      </c>
      <c r="N3759" t="s">
        <v>1983</v>
      </c>
      <c r="O3759" t="s">
        <v>2164</v>
      </c>
      <c r="P3759" t="s">
        <v>3094</v>
      </c>
      <c r="Q3759">
        <v>25.11</v>
      </c>
      <c r="R3759" s="1" t="s">
        <v>1839</v>
      </c>
      <c r="S3759">
        <v>1838</v>
      </c>
      <c r="T3759">
        <v>46152</v>
      </c>
    </row>
    <row r="3760" spans="1:20" hidden="1" x14ac:dyDescent="0.4">
      <c r="A3760" s="1" t="s">
        <v>1431</v>
      </c>
      <c r="B3760" s="1" t="s">
        <v>1455</v>
      </c>
      <c r="C3760" s="1" t="s">
        <v>1844</v>
      </c>
      <c r="D3760" s="1" t="s">
        <v>1462</v>
      </c>
      <c r="E3760">
        <v>20251224</v>
      </c>
      <c r="F3760" s="1" t="s">
        <v>1473</v>
      </c>
      <c r="G3760">
        <v>4</v>
      </c>
      <c r="H3760" s="1" t="s">
        <v>1493</v>
      </c>
      <c r="I3760" t="s">
        <v>1873</v>
      </c>
      <c r="J3760" s="1" t="s">
        <v>1453</v>
      </c>
      <c r="K3760" s="1" t="s">
        <v>1609</v>
      </c>
      <c r="L3760" s="1" t="s">
        <v>1718</v>
      </c>
      <c r="M3760" s="1" t="s">
        <v>1770</v>
      </c>
      <c r="N3760" t="s">
        <v>1983</v>
      </c>
      <c r="O3760" t="s">
        <v>2164</v>
      </c>
      <c r="P3760" t="s">
        <v>3094</v>
      </c>
      <c r="Q3760">
        <v>57.14</v>
      </c>
      <c r="R3760" s="1" t="s">
        <v>1839</v>
      </c>
      <c r="S3760">
        <v>1838</v>
      </c>
      <c r="T3760">
        <v>105023</v>
      </c>
    </row>
    <row r="3761" spans="1:20" hidden="1" x14ac:dyDescent="0.4">
      <c r="A3761" s="1" t="s">
        <v>1431</v>
      </c>
      <c r="B3761" s="1" t="s">
        <v>1456</v>
      </c>
      <c r="C3761" s="1" t="s">
        <v>1844</v>
      </c>
      <c r="D3761" s="1" t="s">
        <v>1462</v>
      </c>
      <c r="E3761">
        <v>20251224</v>
      </c>
      <c r="F3761" s="1" t="s">
        <v>1473</v>
      </c>
      <c r="G3761">
        <v>4</v>
      </c>
      <c r="H3761" s="1" t="s">
        <v>1493</v>
      </c>
      <c r="I3761" t="s">
        <v>1873</v>
      </c>
      <c r="J3761" s="1" t="s">
        <v>1453</v>
      </c>
      <c r="K3761" s="1" t="s">
        <v>1609</v>
      </c>
      <c r="L3761" s="1" t="s">
        <v>1718</v>
      </c>
      <c r="M3761" s="1" t="s">
        <v>1770</v>
      </c>
      <c r="N3761" t="s">
        <v>1983</v>
      </c>
      <c r="O3761" t="s">
        <v>2164</v>
      </c>
      <c r="P3761" t="s">
        <v>3094</v>
      </c>
      <c r="Q3761">
        <v>25.48</v>
      </c>
      <c r="R3761" s="1" t="s">
        <v>1839</v>
      </c>
      <c r="S3761">
        <v>1838</v>
      </c>
      <c r="T3761">
        <v>46832</v>
      </c>
    </row>
    <row r="3762" spans="1:20" hidden="1" x14ac:dyDescent="0.4">
      <c r="A3762" s="1" t="s">
        <v>1431</v>
      </c>
      <c r="B3762" s="1" t="s">
        <v>1457</v>
      </c>
      <c r="C3762" s="1" t="s">
        <v>1844</v>
      </c>
      <c r="D3762" s="1" t="s">
        <v>1462</v>
      </c>
      <c r="E3762">
        <v>20251224</v>
      </c>
      <c r="F3762" s="1" t="s">
        <v>1473</v>
      </c>
      <c r="G3762">
        <v>4</v>
      </c>
      <c r="H3762" s="1" t="s">
        <v>1493</v>
      </c>
      <c r="I3762" t="s">
        <v>1873</v>
      </c>
      <c r="J3762" s="1" t="s">
        <v>1453</v>
      </c>
      <c r="K3762" s="1" t="s">
        <v>1609</v>
      </c>
      <c r="L3762" s="1" t="s">
        <v>1724</v>
      </c>
      <c r="M3762" s="1" t="s">
        <v>1770</v>
      </c>
      <c r="N3762" t="s">
        <v>1983</v>
      </c>
      <c r="O3762" t="s">
        <v>2170</v>
      </c>
      <c r="P3762" t="s">
        <v>3094</v>
      </c>
      <c r="Q3762">
        <v>12.37</v>
      </c>
      <c r="R3762" s="1" t="s">
        <v>1839</v>
      </c>
      <c r="S3762">
        <v>1470</v>
      </c>
      <c r="T3762">
        <v>18183</v>
      </c>
    </row>
    <row r="3763" spans="1:20" hidden="1" x14ac:dyDescent="0.4">
      <c r="A3763" s="1" t="s">
        <v>1431</v>
      </c>
      <c r="B3763" s="1" t="s">
        <v>1458</v>
      </c>
      <c r="C3763" s="1" t="s">
        <v>1844</v>
      </c>
      <c r="D3763" s="1" t="s">
        <v>1462</v>
      </c>
      <c r="E3763">
        <v>20251224</v>
      </c>
      <c r="F3763" s="1" t="s">
        <v>1473</v>
      </c>
      <c r="G3763">
        <v>4</v>
      </c>
      <c r="H3763" s="1" t="s">
        <v>1493</v>
      </c>
      <c r="I3763" t="s">
        <v>1873</v>
      </c>
      <c r="J3763" s="1" t="s">
        <v>1453</v>
      </c>
      <c r="K3763" s="1" t="s">
        <v>1609</v>
      </c>
      <c r="L3763" s="1" t="s">
        <v>1718</v>
      </c>
      <c r="M3763" s="1" t="s">
        <v>1770</v>
      </c>
      <c r="N3763" t="s">
        <v>1983</v>
      </c>
      <c r="O3763" t="s">
        <v>2164</v>
      </c>
      <c r="P3763" t="s">
        <v>3094</v>
      </c>
      <c r="Q3763">
        <v>22.93</v>
      </c>
      <c r="R3763" s="1" t="s">
        <v>1839</v>
      </c>
      <c r="S3763">
        <v>1838</v>
      </c>
      <c r="T3763">
        <v>42145</v>
      </c>
    </row>
    <row r="3764" spans="1:20" hidden="1" x14ac:dyDescent="0.4">
      <c r="A3764" s="1" t="s">
        <v>1431</v>
      </c>
      <c r="B3764" s="1" t="s">
        <v>1459</v>
      </c>
      <c r="C3764" s="1" t="s">
        <v>1844</v>
      </c>
      <c r="D3764" s="1" t="s">
        <v>1462</v>
      </c>
      <c r="E3764">
        <v>20251224</v>
      </c>
      <c r="F3764" s="1" t="s">
        <v>1473</v>
      </c>
      <c r="G3764">
        <v>4</v>
      </c>
      <c r="H3764" s="1" t="s">
        <v>1493</v>
      </c>
      <c r="I3764" t="s">
        <v>1873</v>
      </c>
      <c r="J3764" s="1" t="s">
        <v>1453</v>
      </c>
      <c r="K3764" s="1" t="s">
        <v>1609</v>
      </c>
      <c r="L3764" s="1" t="s">
        <v>1718</v>
      </c>
      <c r="M3764" s="1" t="s">
        <v>1770</v>
      </c>
      <c r="N3764" t="s">
        <v>1983</v>
      </c>
      <c r="O3764" t="s">
        <v>2164</v>
      </c>
      <c r="P3764" t="s">
        <v>3094</v>
      </c>
      <c r="Q3764">
        <v>109.2</v>
      </c>
      <c r="R3764" s="1" t="s">
        <v>1839</v>
      </c>
      <c r="S3764">
        <v>1838</v>
      </c>
      <c r="T3764">
        <v>200709</v>
      </c>
    </row>
    <row r="3765" spans="1:20" hidden="1" x14ac:dyDescent="0.4">
      <c r="A3765" s="1" t="s">
        <v>1431</v>
      </c>
      <c r="B3765" s="1" t="s">
        <v>1460</v>
      </c>
      <c r="C3765" s="1" t="s">
        <v>1844</v>
      </c>
      <c r="D3765" s="1" t="s">
        <v>1462</v>
      </c>
      <c r="E3765">
        <v>20251224</v>
      </c>
      <c r="F3765" s="1" t="s">
        <v>1473</v>
      </c>
      <c r="G3765">
        <v>4</v>
      </c>
      <c r="H3765" s="1" t="s">
        <v>1493</v>
      </c>
      <c r="I3765" t="s">
        <v>1873</v>
      </c>
      <c r="J3765" s="1" t="s">
        <v>1453</v>
      </c>
      <c r="K3765" s="1" t="s">
        <v>1609</v>
      </c>
      <c r="L3765" s="1" t="s">
        <v>1718</v>
      </c>
      <c r="M3765" s="1" t="s">
        <v>1770</v>
      </c>
      <c r="N3765" t="s">
        <v>1983</v>
      </c>
      <c r="O3765" t="s">
        <v>2164</v>
      </c>
      <c r="P3765" t="s">
        <v>3094</v>
      </c>
      <c r="Q3765">
        <v>51.68</v>
      </c>
      <c r="R3765" s="1" t="s">
        <v>1839</v>
      </c>
      <c r="S3765">
        <v>1838</v>
      </c>
      <c r="T3765">
        <v>94987</v>
      </c>
    </row>
    <row r="3766" spans="1:20" hidden="1" x14ac:dyDescent="0.4">
      <c r="A3766" s="1" t="s">
        <v>1431</v>
      </c>
      <c r="B3766" s="1" t="s">
        <v>1461</v>
      </c>
      <c r="C3766" s="1" t="s">
        <v>1844</v>
      </c>
      <c r="D3766" s="1" t="s">
        <v>1462</v>
      </c>
      <c r="E3766">
        <v>20251224</v>
      </c>
      <c r="F3766" s="1" t="s">
        <v>1473</v>
      </c>
      <c r="G3766">
        <v>4</v>
      </c>
      <c r="H3766" s="1" t="s">
        <v>1493</v>
      </c>
      <c r="I3766" t="s">
        <v>1873</v>
      </c>
      <c r="J3766" s="1" t="s">
        <v>1453</v>
      </c>
      <c r="K3766" s="1" t="s">
        <v>1609</v>
      </c>
      <c r="L3766" s="1" t="s">
        <v>1718</v>
      </c>
      <c r="M3766" s="1" t="s">
        <v>1770</v>
      </c>
      <c r="N3766" t="s">
        <v>1983</v>
      </c>
      <c r="O3766" t="s">
        <v>2164</v>
      </c>
      <c r="P3766" t="s">
        <v>3094</v>
      </c>
      <c r="Q3766">
        <v>130.31</v>
      </c>
      <c r="R3766" s="1" t="s">
        <v>1839</v>
      </c>
      <c r="S3766">
        <v>1838</v>
      </c>
      <c r="T3766">
        <v>239509</v>
      </c>
    </row>
    <row r="3767" spans="1:20" hidden="1" x14ac:dyDescent="0.4">
      <c r="A3767" s="1" t="s">
        <v>1431</v>
      </c>
      <c r="B3767" s="1" t="s">
        <v>1462</v>
      </c>
      <c r="C3767" s="1" t="s">
        <v>1844</v>
      </c>
      <c r="D3767" s="1" t="s">
        <v>1462</v>
      </c>
      <c r="E3767">
        <v>20251224</v>
      </c>
      <c r="F3767" s="1" t="s">
        <v>1473</v>
      </c>
      <c r="G3767">
        <v>4</v>
      </c>
      <c r="H3767" s="1" t="s">
        <v>1493</v>
      </c>
      <c r="I3767" t="s">
        <v>1873</v>
      </c>
      <c r="J3767" s="1" t="s">
        <v>1453</v>
      </c>
      <c r="K3767" s="1" t="s">
        <v>1609</v>
      </c>
      <c r="L3767" s="1" t="s">
        <v>1718</v>
      </c>
      <c r="M3767" s="1" t="s">
        <v>1770</v>
      </c>
      <c r="N3767" t="s">
        <v>1983</v>
      </c>
      <c r="O3767" t="s">
        <v>2164</v>
      </c>
      <c r="P3767" t="s">
        <v>3094</v>
      </c>
      <c r="Q3767">
        <v>98.28</v>
      </c>
      <c r="R3767" s="1" t="s">
        <v>1839</v>
      </c>
      <c r="S3767">
        <v>1838</v>
      </c>
      <c r="T3767">
        <v>180638</v>
      </c>
    </row>
    <row r="3768" spans="1:20" hidden="1" x14ac:dyDescent="0.4">
      <c r="A3768" s="1" t="s">
        <v>1431</v>
      </c>
      <c r="B3768" s="1" t="s">
        <v>1463</v>
      </c>
      <c r="C3768" s="1" t="s">
        <v>1844</v>
      </c>
      <c r="D3768" s="1" t="s">
        <v>1462</v>
      </c>
      <c r="E3768">
        <v>20251224</v>
      </c>
      <c r="F3768" s="1" t="s">
        <v>1473</v>
      </c>
      <c r="G3768">
        <v>4</v>
      </c>
      <c r="H3768" s="1" t="s">
        <v>1493</v>
      </c>
      <c r="I3768" t="s">
        <v>1873</v>
      </c>
      <c r="J3768" s="1" t="s">
        <v>1453</v>
      </c>
      <c r="K3768" s="1" t="s">
        <v>1609</v>
      </c>
      <c r="L3768" s="1" t="s">
        <v>1718</v>
      </c>
      <c r="M3768" s="1" t="s">
        <v>1770</v>
      </c>
      <c r="N3768" t="s">
        <v>1983</v>
      </c>
      <c r="O3768" t="s">
        <v>2164</v>
      </c>
      <c r="P3768" t="s">
        <v>3094</v>
      </c>
      <c r="Q3768">
        <v>98.28</v>
      </c>
      <c r="R3768" s="1" t="s">
        <v>1839</v>
      </c>
      <c r="S3768">
        <v>1838</v>
      </c>
      <c r="T3768">
        <v>180638</v>
      </c>
    </row>
    <row r="3769" spans="1:20" hidden="1" x14ac:dyDescent="0.4">
      <c r="A3769" s="1" t="s">
        <v>1432</v>
      </c>
      <c r="B3769" s="1" t="s">
        <v>1453</v>
      </c>
      <c r="C3769" s="1" t="s">
        <v>1844</v>
      </c>
      <c r="D3769" s="1" t="s">
        <v>1462</v>
      </c>
      <c r="E3769">
        <v>20251224</v>
      </c>
      <c r="F3769" s="1" t="s">
        <v>1473</v>
      </c>
      <c r="G3769">
        <v>4</v>
      </c>
      <c r="H3769" s="1" t="s">
        <v>1493</v>
      </c>
      <c r="I3769" t="s">
        <v>1873</v>
      </c>
      <c r="J3769" s="1" t="s">
        <v>1453</v>
      </c>
      <c r="K3769" s="1" t="s">
        <v>1609</v>
      </c>
      <c r="L3769" s="1" t="s">
        <v>1718</v>
      </c>
      <c r="M3769" s="1" t="s">
        <v>1770</v>
      </c>
      <c r="N3769" t="s">
        <v>1983</v>
      </c>
      <c r="O3769" t="s">
        <v>2164</v>
      </c>
      <c r="P3769" t="s">
        <v>3094</v>
      </c>
      <c r="Q3769">
        <v>98.28</v>
      </c>
      <c r="R3769" s="1" t="s">
        <v>1839</v>
      </c>
      <c r="S3769">
        <v>1838</v>
      </c>
      <c r="T3769">
        <v>180638</v>
      </c>
    </row>
    <row r="3770" spans="1:20" hidden="1" x14ac:dyDescent="0.4">
      <c r="A3770" s="1" t="s">
        <v>1432</v>
      </c>
      <c r="B3770" s="1" t="s">
        <v>1454</v>
      </c>
      <c r="C3770" s="1" t="s">
        <v>1844</v>
      </c>
      <c r="D3770" s="1" t="s">
        <v>1462</v>
      </c>
      <c r="E3770">
        <v>20251224</v>
      </c>
      <c r="F3770" s="1" t="s">
        <v>1473</v>
      </c>
      <c r="G3770">
        <v>4</v>
      </c>
      <c r="H3770" s="1" t="s">
        <v>1493</v>
      </c>
      <c r="I3770" t="s">
        <v>1873</v>
      </c>
      <c r="J3770" s="1" t="s">
        <v>1453</v>
      </c>
      <c r="K3770" s="1" t="s">
        <v>1609</v>
      </c>
      <c r="L3770" s="1" t="s">
        <v>1718</v>
      </c>
      <c r="M3770" s="1" t="s">
        <v>1770</v>
      </c>
      <c r="N3770" t="s">
        <v>1983</v>
      </c>
      <c r="O3770" t="s">
        <v>2164</v>
      </c>
      <c r="P3770" t="s">
        <v>3094</v>
      </c>
      <c r="Q3770">
        <v>93.18</v>
      </c>
      <c r="R3770" s="1" t="s">
        <v>1839</v>
      </c>
      <c r="S3770">
        <v>1838</v>
      </c>
      <c r="T3770">
        <v>171264</v>
      </c>
    </row>
    <row r="3771" spans="1:20" hidden="1" x14ac:dyDescent="0.4">
      <c r="A3771" s="1" t="s">
        <v>1433</v>
      </c>
      <c r="B3771" s="1" t="s">
        <v>1453</v>
      </c>
      <c r="C3771" s="1" t="s">
        <v>1844</v>
      </c>
      <c r="D3771" s="1" t="s">
        <v>1462</v>
      </c>
      <c r="E3771">
        <v>20251224</v>
      </c>
      <c r="F3771" s="1" t="s">
        <v>1473</v>
      </c>
      <c r="G3771">
        <v>4</v>
      </c>
      <c r="H3771" s="1" t="s">
        <v>1493</v>
      </c>
      <c r="I3771" t="s">
        <v>1873</v>
      </c>
      <c r="J3771" s="1" t="s">
        <v>1453</v>
      </c>
      <c r="K3771" s="1" t="s">
        <v>1610</v>
      </c>
      <c r="L3771" s="1" t="s">
        <v>1718</v>
      </c>
      <c r="M3771" s="1" t="s">
        <v>1771</v>
      </c>
      <c r="N3771" t="s">
        <v>1984</v>
      </c>
      <c r="O3771" t="s">
        <v>2164</v>
      </c>
      <c r="P3771" t="s">
        <v>3095</v>
      </c>
      <c r="Q3771">
        <v>63.33</v>
      </c>
      <c r="R3771" s="1" t="s">
        <v>1839</v>
      </c>
      <c r="S3771">
        <v>2099</v>
      </c>
      <c r="T3771">
        <v>132929</v>
      </c>
    </row>
    <row r="3772" spans="1:20" hidden="1" x14ac:dyDescent="0.4">
      <c r="A3772" s="1" t="s">
        <v>1433</v>
      </c>
      <c r="B3772" s="1" t="s">
        <v>1454</v>
      </c>
      <c r="C3772" s="1" t="s">
        <v>1844</v>
      </c>
      <c r="D3772" s="1" t="s">
        <v>1462</v>
      </c>
      <c r="E3772">
        <v>20251224</v>
      </c>
      <c r="F3772" s="1" t="s">
        <v>1473</v>
      </c>
      <c r="G3772">
        <v>4</v>
      </c>
      <c r="H3772" s="1" t="s">
        <v>1493</v>
      </c>
      <c r="I3772" t="s">
        <v>1873</v>
      </c>
      <c r="J3772" s="1" t="s">
        <v>1453</v>
      </c>
      <c r="K3772" s="1" t="s">
        <v>1610</v>
      </c>
      <c r="L3772" s="1" t="s">
        <v>1718</v>
      </c>
      <c r="M3772" s="1" t="s">
        <v>1771</v>
      </c>
      <c r="N3772" t="s">
        <v>1984</v>
      </c>
      <c r="O3772" t="s">
        <v>2164</v>
      </c>
      <c r="P3772" t="s">
        <v>3095</v>
      </c>
      <c r="Q3772">
        <v>82.26</v>
      </c>
      <c r="R3772" s="1" t="s">
        <v>1839</v>
      </c>
      <c r="S3772">
        <v>2099</v>
      </c>
      <c r="T3772">
        <v>172663</v>
      </c>
    </row>
    <row r="3773" spans="1:20" hidden="1" x14ac:dyDescent="0.4">
      <c r="A3773" s="1" t="s">
        <v>1433</v>
      </c>
      <c r="B3773" s="1" t="s">
        <v>1455</v>
      </c>
      <c r="C3773" s="1" t="s">
        <v>1844</v>
      </c>
      <c r="D3773" s="1" t="s">
        <v>1462</v>
      </c>
      <c r="E3773">
        <v>20251224</v>
      </c>
      <c r="F3773" s="1" t="s">
        <v>1473</v>
      </c>
      <c r="G3773">
        <v>4</v>
      </c>
      <c r="H3773" s="1" t="s">
        <v>1493</v>
      </c>
      <c r="I3773" t="s">
        <v>1873</v>
      </c>
      <c r="J3773" s="1" t="s">
        <v>1453</v>
      </c>
      <c r="K3773" s="1" t="s">
        <v>1610</v>
      </c>
      <c r="L3773" s="1" t="s">
        <v>1718</v>
      </c>
      <c r="M3773" s="1" t="s">
        <v>1771</v>
      </c>
      <c r="N3773" t="s">
        <v>1984</v>
      </c>
      <c r="O3773" t="s">
        <v>2164</v>
      </c>
      <c r="P3773" t="s">
        <v>3095</v>
      </c>
      <c r="Q3773">
        <v>36.4</v>
      </c>
      <c r="R3773" s="1" t="s">
        <v>1839</v>
      </c>
      <c r="S3773">
        <v>2099</v>
      </c>
      <c r="T3773">
        <v>76403</v>
      </c>
    </row>
    <row r="3774" spans="1:20" hidden="1" x14ac:dyDescent="0.4">
      <c r="A3774" s="1" t="s">
        <v>1433</v>
      </c>
      <c r="B3774" s="1" t="s">
        <v>1456</v>
      </c>
      <c r="C3774" s="1" t="s">
        <v>1844</v>
      </c>
      <c r="D3774" s="1" t="s">
        <v>1462</v>
      </c>
      <c r="E3774">
        <v>20251224</v>
      </c>
      <c r="F3774" s="1" t="s">
        <v>1473</v>
      </c>
      <c r="G3774">
        <v>4</v>
      </c>
      <c r="H3774" s="1" t="s">
        <v>1493</v>
      </c>
      <c r="I3774" t="s">
        <v>1873</v>
      </c>
      <c r="J3774" s="1" t="s">
        <v>1453</v>
      </c>
      <c r="K3774" s="1" t="s">
        <v>1610</v>
      </c>
      <c r="L3774" s="1" t="s">
        <v>1718</v>
      </c>
      <c r="M3774" s="1" t="s">
        <v>1771</v>
      </c>
      <c r="N3774" t="s">
        <v>1984</v>
      </c>
      <c r="O3774" t="s">
        <v>2164</v>
      </c>
      <c r="P3774" t="s">
        <v>3095</v>
      </c>
      <c r="Q3774">
        <v>43.68</v>
      </c>
      <c r="R3774" s="1" t="s">
        <v>1839</v>
      </c>
      <c r="S3774">
        <v>2099</v>
      </c>
      <c r="T3774">
        <v>91684</v>
      </c>
    </row>
    <row r="3775" spans="1:20" hidden="1" x14ac:dyDescent="0.4">
      <c r="A3775" s="1" t="s">
        <v>1434</v>
      </c>
      <c r="B3775" s="1" t="s">
        <v>1453</v>
      </c>
      <c r="C3775" s="1" t="s">
        <v>1844</v>
      </c>
      <c r="D3775" s="1" t="s">
        <v>1462</v>
      </c>
      <c r="E3775">
        <v>20251224</v>
      </c>
      <c r="F3775" s="1" t="s">
        <v>1473</v>
      </c>
      <c r="G3775">
        <v>4</v>
      </c>
      <c r="H3775" s="1" t="s">
        <v>1493</v>
      </c>
      <c r="I3775" t="s">
        <v>1873</v>
      </c>
      <c r="J3775" s="1" t="s">
        <v>1453</v>
      </c>
      <c r="K3775" s="1" t="s">
        <v>1611</v>
      </c>
      <c r="L3775" s="1" t="s">
        <v>1718</v>
      </c>
      <c r="M3775" s="1" t="s">
        <v>1772</v>
      </c>
      <c r="N3775" t="s">
        <v>1985</v>
      </c>
      <c r="O3775" t="s">
        <v>2164</v>
      </c>
      <c r="P3775" t="s">
        <v>3096</v>
      </c>
      <c r="Q3775">
        <v>103.74</v>
      </c>
      <c r="R3775" s="1" t="s">
        <v>1839</v>
      </c>
      <c r="S3775">
        <v>2112</v>
      </c>
      <c r="T3775">
        <v>219098</v>
      </c>
    </row>
    <row r="3776" spans="1:20" hidden="1" x14ac:dyDescent="0.4">
      <c r="A3776" s="1" t="s">
        <v>1434</v>
      </c>
      <c r="B3776" s="1" t="s">
        <v>1454</v>
      </c>
      <c r="C3776" s="1" t="s">
        <v>1844</v>
      </c>
      <c r="D3776" s="1" t="s">
        <v>1462</v>
      </c>
      <c r="E3776">
        <v>20251224</v>
      </c>
      <c r="F3776" s="1" t="s">
        <v>1473</v>
      </c>
      <c r="G3776">
        <v>4</v>
      </c>
      <c r="H3776" s="1" t="s">
        <v>1493</v>
      </c>
      <c r="I3776" t="s">
        <v>1873</v>
      </c>
      <c r="J3776" s="1" t="s">
        <v>1453</v>
      </c>
      <c r="K3776" s="1" t="s">
        <v>1611</v>
      </c>
      <c r="L3776" s="1" t="s">
        <v>1718</v>
      </c>
      <c r="M3776" s="1" t="s">
        <v>1772</v>
      </c>
      <c r="N3776" t="s">
        <v>1985</v>
      </c>
      <c r="O3776" t="s">
        <v>2164</v>
      </c>
      <c r="P3776" t="s">
        <v>3096</v>
      </c>
      <c r="Q3776">
        <v>127.4</v>
      </c>
      <c r="R3776" s="1" t="s">
        <v>1839</v>
      </c>
      <c r="S3776">
        <v>2112</v>
      </c>
      <c r="T3776">
        <v>269068</v>
      </c>
    </row>
    <row r="3777" spans="1:20" hidden="1" x14ac:dyDescent="0.4">
      <c r="A3777" s="1" t="s">
        <v>1434</v>
      </c>
      <c r="B3777" s="1" t="s">
        <v>1455</v>
      </c>
      <c r="C3777" s="1" t="s">
        <v>1844</v>
      </c>
      <c r="D3777" s="1" t="s">
        <v>1462</v>
      </c>
      <c r="E3777">
        <v>20251224</v>
      </c>
      <c r="F3777" s="1" t="s">
        <v>1473</v>
      </c>
      <c r="G3777">
        <v>4</v>
      </c>
      <c r="H3777" s="1" t="s">
        <v>1493</v>
      </c>
      <c r="I3777" t="s">
        <v>1873</v>
      </c>
      <c r="J3777" s="1" t="s">
        <v>1453</v>
      </c>
      <c r="K3777" s="1" t="s">
        <v>1611</v>
      </c>
      <c r="L3777" s="1" t="s">
        <v>1718</v>
      </c>
      <c r="M3777" s="1" t="s">
        <v>1772</v>
      </c>
      <c r="N3777" t="s">
        <v>1985</v>
      </c>
      <c r="O3777" t="s">
        <v>2164</v>
      </c>
      <c r="P3777" t="s">
        <v>3096</v>
      </c>
      <c r="Q3777">
        <v>128.85</v>
      </c>
      <c r="R3777" s="1" t="s">
        <v>1839</v>
      </c>
      <c r="S3777">
        <v>2112</v>
      </c>
      <c r="T3777">
        <v>272131</v>
      </c>
    </row>
    <row r="3778" spans="1:20" hidden="1" x14ac:dyDescent="0.4">
      <c r="A3778" s="1" t="s">
        <v>1434</v>
      </c>
      <c r="B3778" s="1" t="s">
        <v>1456</v>
      </c>
      <c r="C3778" s="1" t="s">
        <v>1844</v>
      </c>
      <c r="D3778" s="1" t="s">
        <v>1462</v>
      </c>
      <c r="E3778">
        <v>20251224</v>
      </c>
      <c r="F3778" s="1" t="s">
        <v>1473</v>
      </c>
      <c r="G3778">
        <v>4</v>
      </c>
      <c r="H3778" s="1" t="s">
        <v>1493</v>
      </c>
      <c r="I3778" t="s">
        <v>1873</v>
      </c>
      <c r="J3778" s="1" t="s">
        <v>1453</v>
      </c>
      <c r="K3778" s="1" t="s">
        <v>1611</v>
      </c>
      <c r="L3778" s="1" t="s">
        <v>1718</v>
      </c>
      <c r="M3778" s="1" t="s">
        <v>1772</v>
      </c>
      <c r="N3778" t="s">
        <v>1985</v>
      </c>
      <c r="O3778" t="s">
        <v>2164</v>
      </c>
      <c r="P3778" t="s">
        <v>3096</v>
      </c>
      <c r="Q3778">
        <v>121.94</v>
      </c>
      <c r="R3778" s="1" t="s">
        <v>1839</v>
      </c>
      <c r="S3778">
        <v>2112</v>
      </c>
      <c r="T3778">
        <v>257537</v>
      </c>
    </row>
    <row r="3779" spans="1:20" hidden="1" x14ac:dyDescent="0.4">
      <c r="A3779" s="1" t="s">
        <v>1435</v>
      </c>
      <c r="B3779" s="1" t="s">
        <v>1453</v>
      </c>
      <c r="C3779" s="1" t="s">
        <v>1844</v>
      </c>
      <c r="D3779" s="1" t="s">
        <v>1462</v>
      </c>
      <c r="E3779">
        <v>20251224</v>
      </c>
      <c r="F3779" s="1" t="s">
        <v>1473</v>
      </c>
      <c r="G3779">
        <v>4</v>
      </c>
      <c r="H3779" s="1" t="s">
        <v>1493</v>
      </c>
      <c r="I3779" t="s">
        <v>1873</v>
      </c>
      <c r="J3779" s="1" t="s">
        <v>1453</v>
      </c>
      <c r="K3779" s="1" t="s">
        <v>1585</v>
      </c>
      <c r="L3779" s="1" t="s">
        <v>1718</v>
      </c>
      <c r="M3779" s="1" t="s">
        <v>1754</v>
      </c>
      <c r="N3779" t="s">
        <v>1960</v>
      </c>
      <c r="O3779" t="s">
        <v>2164</v>
      </c>
      <c r="P3779" t="s">
        <v>3067</v>
      </c>
      <c r="Q3779">
        <v>114.29</v>
      </c>
      <c r="R3779" s="1" t="s">
        <v>1839</v>
      </c>
      <c r="S3779">
        <v>3105</v>
      </c>
      <c r="T3779">
        <v>354870</v>
      </c>
    </row>
    <row r="3780" spans="1:20" hidden="1" x14ac:dyDescent="0.4">
      <c r="A3780" s="1" t="s">
        <v>1436</v>
      </c>
      <c r="B3780" s="1" t="s">
        <v>1453</v>
      </c>
      <c r="C3780" s="1" t="s">
        <v>1844</v>
      </c>
      <c r="D3780" s="1" t="s">
        <v>1462</v>
      </c>
      <c r="E3780">
        <v>20251224</v>
      </c>
      <c r="F3780" s="1" t="s">
        <v>1473</v>
      </c>
      <c r="G3780">
        <v>4</v>
      </c>
      <c r="H3780" s="1" t="s">
        <v>1493</v>
      </c>
      <c r="I3780" t="s">
        <v>1873</v>
      </c>
      <c r="J3780" s="1" t="s">
        <v>1453</v>
      </c>
      <c r="K3780" s="1" t="s">
        <v>1601</v>
      </c>
      <c r="L3780" s="1" t="s">
        <v>1718</v>
      </c>
      <c r="M3780" s="1" t="s">
        <v>1767</v>
      </c>
      <c r="N3780" t="s">
        <v>1976</v>
      </c>
      <c r="O3780" t="s">
        <v>2164</v>
      </c>
      <c r="P3780" t="s">
        <v>3085</v>
      </c>
      <c r="Q3780">
        <v>140.86000000000001</v>
      </c>
      <c r="R3780" s="1" t="s">
        <v>1839</v>
      </c>
      <c r="S3780">
        <v>954</v>
      </c>
      <c r="T3780">
        <v>134380</v>
      </c>
    </row>
    <row r="3781" spans="1:20" hidden="1" x14ac:dyDescent="0.4">
      <c r="A3781" s="1" t="s">
        <v>1436</v>
      </c>
      <c r="B3781" s="1" t="s">
        <v>1454</v>
      </c>
      <c r="C3781" s="1" t="s">
        <v>1844</v>
      </c>
      <c r="D3781" s="1" t="s">
        <v>1462</v>
      </c>
      <c r="E3781">
        <v>20251224</v>
      </c>
      <c r="F3781" s="1" t="s">
        <v>1473</v>
      </c>
      <c r="G3781">
        <v>4</v>
      </c>
      <c r="H3781" s="1" t="s">
        <v>1493</v>
      </c>
      <c r="I3781" t="s">
        <v>1873</v>
      </c>
      <c r="J3781" s="1" t="s">
        <v>1453</v>
      </c>
      <c r="K3781" s="1" t="s">
        <v>1601</v>
      </c>
      <c r="L3781" s="1" t="s">
        <v>1718</v>
      </c>
      <c r="M3781" s="1" t="s">
        <v>1767</v>
      </c>
      <c r="N3781" t="s">
        <v>1976</v>
      </c>
      <c r="O3781" t="s">
        <v>2164</v>
      </c>
      <c r="P3781" t="s">
        <v>3085</v>
      </c>
      <c r="Q3781">
        <v>134.68</v>
      </c>
      <c r="R3781" s="1" t="s">
        <v>1839</v>
      </c>
      <c r="S3781">
        <v>954</v>
      </c>
      <c r="T3781">
        <v>128484</v>
      </c>
    </row>
    <row r="3782" spans="1:20" hidden="1" x14ac:dyDescent="0.4">
      <c r="A3782" s="1" t="s">
        <v>1436</v>
      </c>
      <c r="B3782" s="1" t="s">
        <v>1455</v>
      </c>
      <c r="C3782" s="1" t="s">
        <v>1844</v>
      </c>
      <c r="D3782" s="1" t="s">
        <v>1462</v>
      </c>
      <c r="E3782">
        <v>20251224</v>
      </c>
      <c r="F3782" s="1" t="s">
        <v>1473</v>
      </c>
      <c r="G3782">
        <v>4</v>
      </c>
      <c r="H3782" s="1" t="s">
        <v>1493</v>
      </c>
      <c r="I3782" t="s">
        <v>1873</v>
      </c>
      <c r="J3782" s="1" t="s">
        <v>1453</v>
      </c>
      <c r="K3782" s="1" t="s">
        <v>1601</v>
      </c>
      <c r="L3782" s="1" t="s">
        <v>1718</v>
      </c>
      <c r="M3782" s="1" t="s">
        <v>1767</v>
      </c>
      <c r="N3782" t="s">
        <v>1976</v>
      </c>
      <c r="O3782" t="s">
        <v>2164</v>
      </c>
      <c r="P3782" t="s">
        <v>3085</v>
      </c>
      <c r="Q3782">
        <v>116.48</v>
      </c>
      <c r="R3782" s="1" t="s">
        <v>1839</v>
      </c>
      <c r="S3782">
        <v>954</v>
      </c>
      <c r="T3782">
        <v>111121</v>
      </c>
    </row>
    <row r="3783" spans="1:20" hidden="1" x14ac:dyDescent="0.4">
      <c r="A3783" s="1" t="s">
        <v>1436</v>
      </c>
      <c r="B3783" s="1" t="s">
        <v>1456</v>
      </c>
      <c r="C3783" s="1" t="s">
        <v>1844</v>
      </c>
      <c r="D3783" s="1" t="s">
        <v>1462</v>
      </c>
      <c r="E3783">
        <v>20251224</v>
      </c>
      <c r="F3783" s="1" t="s">
        <v>1473</v>
      </c>
      <c r="G3783">
        <v>4</v>
      </c>
      <c r="H3783" s="1" t="s">
        <v>1493</v>
      </c>
      <c r="I3783" t="s">
        <v>1873</v>
      </c>
      <c r="J3783" s="1" t="s">
        <v>1453</v>
      </c>
      <c r="K3783" s="1" t="s">
        <v>1601</v>
      </c>
      <c r="L3783" s="1" t="s">
        <v>1718</v>
      </c>
      <c r="M3783" s="1" t="s">
        <v>1767</v>
      </c>
      <c r="N3783" t="s">
        <v>1976</v>
      </c>
      <c r="O3783" t="s">
        <v>2164</v>
      </c>
      <c r="P3783" t="s">
        <v>3085</v>
      </c>
      <c r="Q3783">
        <v>116.48</v>
      </c>
      <c r="R3783" s="1" t="s">
        <v>1839</v>
      </c>
      <c r="S3783">
        <v>954</v>
      </c>
      <c r="T3783">
        <v>111121</v>
      </c>
    </row>
    <row r="3784" spans="1:20" hidden="1" x14ac:dyDescent="0.4">
      <c r="A3784" s="1" t="s">
        <v>1436</v>
      </c>
      <c r="B3784" s="1" t="s">
        <v>1457</v>
      </c>
      <c r="C3784" s="1" t="s">
        <v>1844</v>
      </c>
      <c r="D3784" s="1" t="s">
        <v>1462</v>
      </c>
      <c r="E3784">
        <v>20251224</v>
      </c>
      <c r="F3784" s="1" t="s">
        <v>1473</v>
      </c>
      <c r="G3784">
        <v>4</v>
      </c>
      <c r="H3784" s="1" t="s">
        <v>1493</v>
      </c>
      <c r="I3784" t="s">
        <v>1873</v>
      </c>
      <c r="J3784" s="1" t="s">
        <v>1453</v>
      </c>
      <c r="K3784" s="1" t="s">
        <v>1601</v>
      </c>
      <c r="L3784" s="1" t="s">
        <v>1718</v>
      </c>
      <c r="M3784" s="1" t="s">
        <v>1767</v>
      </c>
      <c r="N3784" t="s">
        <v>1976</v>
      </c>
      <c r="O3784" t="s">
        <v>2164</v>
      </c>
      <c r="P3784" t="s">
        <v>3085</v>
      </c>
      <c r="Q3784">
        <v>97.55</v>
      </c>
      <c r="R3784" s="1" t="s">
        <v>1839</v>
      </c>
      <c r="S3784">
        <v>954</v>
      </c>
      <c r="T3784">
        <v>93062</v>
      </c>
    </row>
    <row r="3785" spans="1:20" hidden="1" x14ac:dyDescent="0.4">
      <c r="A3785" s="1" t="s">
        <v>1436</v>
      </c>
      <c r="B3785" s="1" t="s">
        <v>1458</v>
      </c>
      <c r="C3785" s="1" t="s">
        <v>1844</v>
      </c>
      <c r="D3785" s="1" t="s">
        <v>1462</v>
      </c>
      <c r="E3785">
        <v>20251224</v>
      </c>
      <c r="F3785" s="1" t="s">
        <v>1473</v>
      </c>
      <c r="G3785">
        <v>4</v>
      </c>
      <c r="H3785" s="1" t="s">
        <v>1493</v>
      </c>
      <c r="I3785" t="s">
        <v>1873</v>
      </c>
      <c r="J3785" s="1" t="s">
        <v>1453</v>
      </c>
      <c r="K3785" s="1" t="s">
        <v>1601</v>
      </c>
      <c r="L3785" s="1" t="s">
        <v>1718</v>
      </c>
      <c r="M3785" s="1" t="s">
        <v>1767</v>
      </c>
      <c r="N3785" t="s">
        <v>1976</v>
      </c>
      <c r="O3785" t="s">
        <v>2164</v>
      </c>
      <c r="P3785" t="s">
        <v>3085</v>
      </c>
      <c r="Q3785">
        <v>141.96</v>
      </c>
      <c r="R3785" s="1" t="s">
        <v>1839</v>
      </c>
      <c r="S3785">
        <v>954</v>
      </c>
      <c r="T3785">
        <v>135429</v>
      </c>
    </row>
    <row r="3786" spans="1:20" hidden="1" x14ac:dyDescent="0.4">
      <c r="A3786" s="1" t="s">
        <v>1437</v>
      </c>
      <c r="B3786" s="1" t="s">
        <v>1453</v>
      </c>
      <c r="C3786" s="1" t="s">
        <v>1844</v>
      </c>
      <c r="D3786" s="1" t="s">
        <v>1462</v>
      </c>
      <c r="E3786">
        <v>20251224</v>
      </c>
      <c r="F3786" s="1" t="s">
        <v>1473</v>
      </c>
      <c r="G3786">
        <v>4</v>
      </c>
      <c r="H3786" s="1" t="s">
        <v>1493</v>
      </c>
      <c r="I3786" t="s">
        <v>1873</v>
      </c>
      <c r="J3786" s="1" t="s">
        <v>1453</v>
      </c>
      <c r="K3786" s="1" t="s">
        <v>1615</v>
      </c>
      <c r="L3786" s="1" t="s">
        <v>1718</v>
      </c>
      <c r="M3786" s="1" t="s">
        <v>1773</v>
      </c>
      <c r="N3786" t="s">
        <v>1989</v>
      </c>
      <c r="O3786" t="s">
        <v>2164</v>
      </c>
      <c r="P3786" t="s">
        <v>3099</v>
      </c>
      <c r="Q3786">
        <v>127.4</v>
      </c>
      <c r="R3786" s="1" t="s">
        <v>1839</v>
      </c>
      <c r="S3786">
        <v>2451</v>
      </c>
      <c r="T3786">
        <v>312257</v>
      </c>
    </row>
    <row r="3787" spans="1:20" hidden="1" x14ac:dyDescent="0.4">
      <c r="A3787" s="1" t="s">
        <v>1437</v>
      </c>
      <c r="B3787" s="1" t="s">
        <v>1454</v>
      </c>
      <c r="C3787" s="1" t="s">
        <v>1844</v>
      </c>
      <c r="D3787" s="1" t="s">
        <v>1462</v>
      </c>
      <c r="E3787">
        <v>20251224</v>
      </c>
      <c r="F3787" s="1" t="s">
        <v>1473</v>
      </c>
      <c r="G3787">
        <v>4</v>
      </c>
      <c r="H3787" s="1" t="s">
        <v>1493</v>
      </c>
      <c r="I3787" t="s">
        <v>1873</v>
      </c>
      <c r="J3787" s="1" t="s">
        <v>1453</v>
      </c>
      <c r="K3787" s="1" t="s">
        <v>1615</v>
      </c>
      <c r="L3787" s="1" t="s">
        <v>1718</v>
      </c>
      <c r="M3787" s="1" t="s">
        <v>1773</v>
      </c>
      <c r="N3787" t="s">
        <v>1989</v>
      </c>
      <c r="O3787" t="s">
        <v>2164</v>
      </c>
      <c r="P3787" t="s">
        <v>3099</v>
      </c>
      <c r="Q3787">
        <v>127.4</v>
      </c>
      <c r="R3787" s="1" t="s">
        <v>1839</v>
      </c>
      <c r="S3787">
        <v>2451</v>
      </c>
      <c r="T3787">
        <v>312257</v>
      </c>
    </row>
    <row r="3788" spans="1:20" hidden="1" x14ac:dyDescent="0.4">
      <c r="A3788" s="1" t="s">
        <v>1437</v>
      </c>
      <c r="B3788" s="1" t="s">
        <v>1455</v>
      </c>
      <c r="C3788" s="1" t="s">
        <v>1844</v>
      </c>
      <c r="D3788" s="1" t="s">
        <v>1462</v>
      </c>
      <c r="E3788">
        <v>20251224</v>
      </c>
      <c r="F3788" s="1" t="s">
        <v>1473</v>
      </c>
      <c r="G3788">
        <v>4</v>
      </c>
      <c r="H3788" s="1" t="s">
        <v>1493</v>
      </c>
      <c r="I3788" t="s">
        <v>1873</v>
      </c>
      <c r="J3788" s="1" t="s">
        <v>1453</v>
      </c>
      <c r="K3788" s="1" t="s">
        <v>1615</v>
      </c>
      <c r="L3788" s="1" t="s">
        <v>1718</v>
      </c>
      <c r="M3788" s="1" t="s">
        <v>1773</v>
      </c>
      <c r="N3788" t="s">
        <v>1989</v>
      </c>
      <c r="O3788" t="s">
        <v>2164</v>
      </c>
      <c r="P3788" t="s">
        <v>3099</v>
      </c>
      <c r="Q3788">
        <v>127.4</v>
      </c>
      <c r="R3788" s="1" t="s">
        <v>1839</v>
      </c>
      <c r="S3788">
        <v>2451</v>
      </c>
      <c r="T3788">
        <v>312257</v>
      </c>
    </row>
    <row r="3789" spans="1:20" hidden="1" x14ac:dyDescent="0.4">
      <c r="A3789" s="1" t="s">
        <v>1438</v>
      </c>
      <c r="B3789" s="1" t="s">
        <v>1453</v>
      </c>
      <c r="C3789" s="1" t="s">
        <v>1844</v>
      </c>
      <c r="D3789" s="1" t="s">
        <v>1731</v>
      </c>
      <c r="E3789">
        <v>20251225</v>
      </c>
      <c r="F3789" s="1" t="s">
        <v>1470</v>
      </c>
      <c r="G3789">
        <v>1</v>
      </c>
      <c r="H3789" s="1" t="s">
        <v>1490</v>
      </c>
      <c r="I3789" t="s">
        <v>1870</v>
      </c>
      <c r="J3789" s="1" t="s">
        <v>1456</v>
      </c>
      <c r="K3789" s="1" t="s">
        <v>1561</v>
      </c>
      <c r="L3789" s="1" t="s">
        <v>1716</v>
      </c>
      <c r="M3789" s="1" t="s">
        <v>1786</v>
      </c>
      <c r="N3789" t="s">
        <v>1954</v>
      </c>
      <c r="O3789" t="s">
        <v>2162</v>
      </c>
      <c r="P3789" t="s">
        <v>3061</v>
      </c>
      <c r="Q3789">
        <v>998</v>
      </c>
      <c r="R3789" s="1" t="s">
        <v>1463</v>
      </c>
      <c r="S3789">
        <v>1517</v>
      </c>
      <c r="T3789">
        <v>1513966</v>
      </c>
    </row>
    <row r="3790" spans="1:20" hidden="1" x14ac:dyDescent="0.4">
      <c r="A3790" s="1" t="s">
        <v>1438</v>
      </c>
      <c r="B3790" s="1" t="s">
        <v>1454</v>
      </c>
      <c r="C3790" s="1" t="s">
        <v>1844</v>
      </c>
      <c r="D3790" s="1" t="s">
        <v>1731</v>
      </c>
      <c r="E3790">
        <v>20251225</v>
      </c>
      <c r="F3790" s="1" t="s">
        <v>1470</v>
      </c>
      <c r="G3790">
        <v>1</v>
      </c>
      <c r="H3790" s="1" t="s">
        <v>1490</v>
      </c>
      <c r="I3790" t="s">
        <v>1870</v>
      </c>
      <c r="J3790" s="1" t="s">
        <v>1456</v>
      </c>
      <c r="K3790" s="1" t="s">
        <v>1561</v>
      </c>
      <c r="L3790" s="1" t="s">
        <v>1716</v>
      </c>
      <c r="M3790" s="1" t="s">
        <v>1817</v>
      </c>
      <c r="N3790" t="s">
        <v>1954</v>
      </c>
      <c r="O3790" t="s">
        <v>2162</v>
      </c>
      <c r="P3790" t="s">
        <v>3062</v>
      </c>
      <c r="Q3790">
        <v>520</v>
      </c>
      <c r="R3790" s="1" t="s">
        <v>1463</v>
      </c>
      <c r="S3790">
        <v>1517</v>
      </c>
      <c r="T3790">
        <v>788840</v>
      </c>
    </row>
    <row r="3791" spans="1:20" hidden="1" x14ac:dyDescent="0.4">
      <c r="A3791" s="1" t="s">
        <v>1439</v>
      </c>
      <c r="B3791" s="1" t="s">
        <v>1453</v>
      </c>
      <c r="C3791" s="1" t="s">
        <v>1844</v>
      </c>
      <c r="D3791" s="1" t="s">
        <v>1730</v>
      </c>
      <c r="E3791">
        <v>20251225</v>
      </c>
      <c r="F3791" s="1" t="s">
        <v>1473</v>
      </c>
      <c r="G3791">
        <v>4</v>
      </c>
      <c r="H3791" s="1" t="s">
        <v>1521</v>
      </c>
      <c r="I3791" t="s">
        <v>1901</v>
      </c>
      <c r="J3791" s="1" t="s">
        <v>1453</v>
      </c>
      <c r="K3791" s="1" t="s">
        <v>1596</v>
      </c>
      <c r="L3791" s="1" t="s">
        <v>1718</v>
      </c>
      <c r="M3791" s="1" t="s">
        <v>1836</v>
      </c>
      <c r="N3791" t="s">
        <v>1971</v>
      </c>
      <c r="O3791" t="s">
        <v>2164</v>
      </c>
      <c r="P3791" t="s">
        <v>3444</v>
      </c>
      <c r="Q3791">
        <v>131.04</v>
      </c>
      <c r="R3791" s="1" t="s">
        <v>1839</v>
      </c>
      <c r="S3791">
        <v>0</v>
      </c>
      <c r="T3791">
        <v>0</v>
      </c>
    </row>
    <row r="3792" spans="1:20" hidden="1" x14ac:dyDescent="0.4">
      <c r="A3792" s="1" t="s">
        <v>1440</v>
      </c>
      <c r="B3792" s="1" t="s">
        <v>1453</v>
      </c>
      <c r="C3792" s="1" t="s">
        <v>1844</v>
      </c>
      <c r="D3792" s="1" t="s">
        <v>1730</v>
      </c>
      <c r="E3792">
        <v>20251225</v>
      </c>
      <c r="F3792" s="1" t="s">
        <v>1470</v>
      </c>
      <c r="G3792">
        <v>4</v>
      </c>
      <c r="H3792" s="1" t="s">
        <v>1511</v>
      </c>
      <c r="I3792" t="s">
        <v>1891</v>
      </c>
      <c r="J3792" s="1" t="s">
        <v>1456</v>
      </c>
      <c r="K3792" s="1" t="s">
        <v>1573</v>
      </c>
      <c r="L3792" s="1" t="s">
        <v>1729</v>
      </c>
      <c r="M3792" s="1" t="s">
        <v>1741</v>
      </c>
      <c r="N3792" t="s">
        <v>2103</v>
      </c>
      <c r="O3792" t="s">
        <v>2573</v>
      </c>
      <c r="P3792" t="s">
        <v>3042</v>
      </c>
      <c r="Q3792">
        <v>30</v>
      </c>
      <c r="R3792" s="1" t="s">
        <v>1718</v>
      </c>
      <c r="S3792">
        <v>0</v>
      </c>
      <c r="T3792">
        <v>0</v>
      </c>
    </row>
    <row r="3793" spans="1:20" hidden="1" x14ac:dyDescent="0.4">
      <c r="A3793" s="1" t="s">
        <v>1441</v>
      </c>
      <c r="B3793" s="1" t="s">
        <v>1453</v>
      </c>
      <c r="C3793" s="1" t="s">
        <v>1844</v>
      </c>
      <c r="D3793" s="1" t="s">
        <v>1462</v>
      </c>
      <c r="E3793">
        <v>20251224</v>
      </c>
      <c r="F3793" s="1" t="s">
        <v>1471</v>
      </c>
      <c r="G3793">
        <v>4</v>
      </c>
      <c r="H3793" s="1" t="s">
        <v>1525</v>
      </c>
      <c r="I3793" t="s">
        <v>1905</v>
      </c>
      <c r="J3793" s="1" t="s">
        <v>1460</v>
      </c>
      <c r="K3793" s="1" t="s">
        <v>1647</v>
      </c>
      <c r="L3793" s="1" t="s">
        <v>1731</v>
      </c>
      <c r="M3793" s="1" t="s">
        <v>1798</v>
      </c>
      <c r="N3793" t="s">
        <v>2029</v>
      </c>
      <c r="O3793" t="s">
        <v>2178</v>
      </c>
      <c r="P3793" t="s">
        <v>3157</v>
      </c>
      <c r="Q3793">
        <v>750</v>
      </c>
      <c r="R3793" s="1" t="s">
        <v>1463</v>
      </c>
      <c r="S3793">
        <v>615</v>
      </c>
      <c r="T3793">
        <v>461250</v>
      </c>
    </row>
    <row r="3794" spans="1:20" hidden="1" x14ac:dyDescent="0.4">
      <c r="A3794" s="1" t="s">
        <v>1442</v>
      </c>
      <c r="B3794" s="1" t="s">
        <v>1453</v>
      </c>
      <c r="C3794" s="1" t="s">
        <v>1844</v>
      </c>
      <c r="D3794" s="1" t="s">
        <v>1462</v>
      </c>
      <c r="E3794">
        <v>20251201</v>
      </c>
      <c r="F3794" s="1" t="s">
        <v>1474</v>
      </c>
      <c r="G3794">
        <v>4</v>
      </c>
      <c r="H3794" s="1" t="s">
        <v>1543</v>
      </c>
      <c r="I3794" t="s">
        <v>1923</v>
      </c>
      <c r="J3794" s="1" t="s">
        <v>1455</v>
      </c>
      <c r="K3794" s="1" t="s">
        <v>1689</v>
      </c>
      <c r="L3794" s="1" t="s">
        <v>1734</v>
      </c>
      <c r="M3794" s="1" t="s">
        <v>1737</v>
      </c>
      <c r="N3794" t="s">
        <v>2082</v>
      </c>
      <c r="O3794" t="s">
        <v>2179</v>
      </c>
      <c r="P3794" t="s">
        <v>2157</v>
      </c>
      <c r="Q3794">
        <v>4725.76</v>
      </c>
      <c r="R3794" s="1" t="s">
        <v>1839</v>
      </c>
      <c r="S3794">
        <v>566</v>
      </c>
      <c r="T3794">
        <v>2674780</v>
      </c>
    </row>
    <row r="3795" spans="1:20" hidden="1" x14ac:dyDescent="0.4">
      <c r="A3795" s="1" t="s">
        <v>1443</v>
      </c>
      <c r="B3795" s="1" t="s">
        <v>1453</v>
      </c>
      <c r="C3795" s="1" t="s">
        <v>1844</v>
      </c>
      <c r="D3795" s="1" t="s">
        <v>1462</v>
      </c>
      <c r="E3795">
        <v>20251218</v>
      </c>
      <c r="F3795" s="1" t="s">
        <v>1472</v>
      </c>
      <c r="G3795">
        <v>4</v>
      </c>
      <c r="H3795" s="1" t="s">
        <v>1540</v>
      </c>
      <c r="I3795" t="s">
        <v>1920</v>
      </c>
      <c r="J3795" s="1" t="s">
        <v>1457</v>
      </c>
      <c r="K3795" s="1" t="s">
        <v>1592</v>
      </c>
      <c r="L3795" s="1" t="s">
        <v>1719</v>
      </c>
      <c r="M3795" s="1" t="s">
        <v>1761</v>
      </c>
      <c r="N3795" t="s">
        <v>2024</v>
      </c>
      <c r="O3795" t="s">
        <v>2997</v>
      </c>
      <c r="P3795" t="s">
        <v>3076</v>
      </c>
      <c r="Q3795">
        <v>376.48</v>
      </c>
      <c r="R3795" s="1" t="s">
        <v>1839</v>
      </c>
      <c r="S3795">
        <v>3770</v>
      </c>
      <c r="T3795">
        <v>1419330</v>
      </c>
    </row>
    <row r="3796" spans="1:20" hidden="1" x14ac:dyDescent="0.4">
      <c r="A3796" s="1" t="s">
        <v>1443</v>
      </c>
      <c r="B3796" s="1" t="s">
        <v>1454</v>
      </c>
      <c r="C3796" s="1" t="s">
        <v>1844</v>
      </c>
      <c r="D3796" s="1" t="s">
        <v>1462</v>
      </c>
      <c r="E3796">
        <v>20251218</v>
      </c>
      <c r="F3796" s="1" t="s">
        <v>1472</v>
      </c>
      <c r="G3796">
        <v>4</v>
      </c>
      <c r="H3796" s="1" t="s">
        <v>1540</v>
      </c>
      <c r="I3796" t="s">
        <v>1920</v>
      </c>
      <c r="J3796" s="1" t="s">
        <v>1457</v>
      </c>
      <c r="K3796" s="1" t="s">
        <v>1642</v>
      </c>
      <c r="L3796" s="1" t="s">
        <v>1725</v>
      </c>
      <c r="M3796" s="1" t="s">
        <v>1737</v>
      </c>
      <c r="N3796" t="s">
        <v>2023</v>
      </c>
      <c r="O3796" t="s">
        <v>2157</v>
      </c>
      <c r="P3796" t="s">
        <v>2157</v>
      </c>
      <c r="Q3796">
        <v>1</v>
      </c>
      <c r="R3796" s="1" t="s">
        <v>1843</v>
      </c>
      <c r="S3796">
        <v>75986</v>
      </c>
      <c r="T3796">
        <v>75986</v>
      </c>
    </row>
    <row r="3797" spans="1:20" hidden="1" x14ac:dyDescent="0.4">
      <c r="A3797" s="1" t="s">
        <v>1444</v>
      </c>
      <c r="B3797" s="1" t="s">
        <v>1453</v>
      </c>
      <c r="C3797" s="1" t="s">
        <v>1844</v>
      </c>
      <c r="D3797" s="1" t="s">
        <v>1854</v>
      </c>
      <c r="E3797">
        <v>20251225</v>
      </c>
      <c r="F3797" s="1" t="s">
        <v>1470</v>
      </c>
      <c r="G3797">
        <v>4</v>
      </c>
      <c r="H3797" s="1" t="s">
        <v>1503</v>
      </c>
      <c r="I3797" t="s">
        <v>1883</v>
      </c>
      <c r="J3797" s="1" t="s">
        <v>1456</v>
      </c>
      <c r="K3797" s="1" t="s">
        <v>1699</v>
      </c>
      <c r="L3797" s="1" t="s">
        <v>1729</v>
      </c>
      <c r="M3797" s="1" t="s">
        <v>1737</v>
      </c>
      <c r="N3797" t="s">
        <v>2122</v>
      </c>
      <c r="O3797" t="s">
        <v>2998</v>
      </c>
      <c r="P3797" t="s">
        <v>2157</v>
      </c>
      <c r="Q3797">
        <v>-4.5</v>
      </c>
      <c r="R3797" s="1" t="s">
        <v>1839</v>
      </c>
      <c r="S3797">
        <v>1088</v>
      </c>
      <c r="T3797">
        <v>-4896</v>
      </c>
    </row>
    <row r="3798" spans="1:20" hidden="1" x14ac:dyDescent="0.4">
      <c r="A3798" s="1" t="s">
        <v>1444</v>
      </c>
      <c r="B3798" s="1" t="s">
        <v>1454</v>
      </c>
      <c r="C3798" s="1" t="s">
        <v>1844</v>
      </c>
      <c r="D3798" s="1" t="s">
        <v>1854</v>
      </c>
      <c r="E3798">
        <v>20251225</v>
      </c>
      <c r="F3798" s="1" t="s">
        <v>1470</v>
      </c>
      <c r="G3798">
        <v>4</v>
      </c>
      <c r="H3798" s="1" t="s">
        <v>1503</v>
      </c>
      <c r="I3798" t="s">
        <v>1883</v>
      </c>
      <c r="J3798" s="1" t="s">
        <v>1456</v>
      </c>
      <c r="K3798" s="1" t="s">
        <v>1699</v>
      </c>
      <c r="L3798" s="1" t="s">
        <v>1729</v>
      </c>
      <c r="M3798" s="1" t="s">
        <v>1737</v>
      </c>
      <c r="N3798" t="s">
        <v>2122</v>
      </c>
      <c r="O3798" t="s">
        <v>2999</v>
      </c>
      <c r="P3798" t="s">
        <v>2157</v>
      </c>
      <c r="Q3798">
        <v>-4.5</v>
      </c>
      <c r="R3798" s="1" t="s">
        <v>1839</v>
      </c>
      <c r="S3798">
        <v>1088</v>
      </c>
      <c r="T3798">
        <v>-4896</v>
      </c>
    </row>
    <row r="3799" spans="1:20" hidden="1" x14ac:dyDescent="0.4">
      <c r="A3799" s="1" t="s">
        <v>1444</v>
      </c>
      <c r="B3799" s="1" t="s">
        <v>1455</v>
      </c>
      <c r="C3799" s="1" t="s">
        <v>1844</v>
      </c>
      <c r="D3799" s="1" t="s">
        <v>1854</v>
      </c>
      <c r="E3799">
        <v>20251225</v>
      </c>
      <c r="F3799" s="1" t="s">
        <v>1470</v>
      </c>
      <c r="G3799">
        <v>4</v>
      </c>
      <c r="H3799" s="1" t="s">
        <v>1503</v>
      </c>
      <c r="I3799" t="s">
        <v>1883</v>
      </c>
      <c r="J3799" s="1" t="s">
        <v>1456</v>
      </c>
      <c r="K3799" s="1" t="s">
        <v>1699</v>
      </c>
      <c r="L3799" s="1" t="s">
        <v>1729</v>
      </c>
      <c r="M3799" s="1" t="s">
        <v>1737</v>
      </c>
      <c r="N3799" t="s">
        <v>2122</v>
      </c>
      <c r="O3799" t="s">
        <v>3000</v>
      </c>
      <c r="P3799" t="s">
        <v>2157</v>
      </c>
      <c r="Q3799">
        <v>-5.4</v>
      </c>
      <c r="R3799" s="1" t="s">
        <v>1839</v>
      </c>
      <c r="S3799">
        <v>1088</v>
      </c>
      <c r="T3799">
        <v>-5875</v>
      </c>
    </row>
    <row r="3800" spans="1:20" hidden="1" x14ac:dyDescent="0.4">
      <c r="A3800" s="1" t="s">
        <v>1444</v>
      </c>
      <c r="B3800" s="1" t="s">
        <v>1456</v>
      </c>
      <c r="C3800" s="1" t="s">
        <v>1844</v>
      </c>
      <c r="D3800" s="1" t="s">
        <v>1854</v>
      </c>
      <c r="E3800">
        <v>20251225</v>
      </c>
      <c r="F3800" s="1" t="s">
        <v>1470</v>
      </c>
      <c r="G3800">
        <v>4</v>
      </c>
      <c r="H3800" s="1" t="s">
        <v>1503</v>
      </c>
      <c r="I3800" t="s">
        <v>1883</v>
      </c>
      <c r="J3800" s="1" t="s">
        <v>1456</v>
      </c>
      <c r="K3800" s="1" t="s">
        <v>1699</v>
      </c>
      <c r="L3800" s="1" t="s">
        <v>1729</v>
      </c>
      <c r="M3800" s="1" t="s">
        <v>1737</v>
      </c>
      <c r="N3800" t="s">
        <v>2122</v>
      </c>
      <c r="O3800" t="s">
        <v>3001</v>
      </c>
      <c r="P3800" t="s">
        <v>2157</v>
      </c>
      <c r="Q3800">
        <v>-5.4</v>
      </c>
      <c r="R3800" s="1" t="s">
        <v>1839</v>
      </c>
      <c r="S3800">
        <v>1088</v>
      </c>
      <c r="T3800">
        <v>-5875</v>
      </c>
    </row>
    <row r="3801" spans="1:20" hidden="1" x14ac:dyDescent="0.4">
      <c r="A3801" s="1" t="s">
        <v>1444</v>
      </c>
      <c r="B3801" s="1" t="s">
        <v>1457</v>
      </c>
      <c r="C3801" s="1" t="s">
        <v>1844</v>
      </c>
      <c r="D3801" s="1" t="s">
        <v>1854</v>
      </c>
      <c r="E3801">
        <v>20251225</v>
      </c>
      <c r="F3801" s="1" t="s">
        <v>1470</v>
      </c>
      <c r="G3801">
        <v>4</v>
      </c>
      <c r="H3801" s="1" t="s">
        <v>1503</v>
      </c>
      <c r="I3801" t="s">
        <v>1883</v>
      </c>
      <c r="J3801" s="1" t="s">
        <v>1456</v>
      </c>
      <c r="K3801" s="1" t="s">
        <v>1699</v>
      </c>
      <c r="L3801" s="1" t="s">
        <v>1729</v>
      </c>
      <c r="M3801" s="1" t="s">
        <v>1737</v>
      </c>
      <c r="N3801" t="s">
        <v>2122</v>
      </c>
      <c r="O3801" t="s">
        <v>3002</v>
      </c>
      <c r="P3801" t="s">
        <v>2157</v>
      </c>
      <c r="Q3801">
        <v>-5.4</v>
      </c>
      <c r="R3801" s="1" t="s">
        <v>1839</v>
      </c>
      <c r="S3801">
        <v>1088</v>
      </c>
      <c r="T3801">
        <v>-5875</v>
      </c>
    </row>
    <row r="3802" spans="1:20" hidden="1" x14ac:dyDescent="0.4">
      <c r="A3802" s="1" t="s">
        <v>1444</v>
      </c>
      <c r="B3802" s="1" t="s">
        <v>1458</v>
      </c>
      <c r="C3802" s="1" t="s">
        <v>1844</v>
      </c>
      <c r="D3802" s="1" t="s">
        <v>1854</v>
      </c>
      <c r="E3802">
        <v>20251225</v>
      </c>
      <c r="F3802" s="1" t="s">
        <v>1470</v>
      </c>
      <c r="G3802">
        <v>4</v>
      </c>
      <c r="H3802" s="1" t="s">
        <v>1503</v>
      </c>
      <c r="I3802" t="s">
        <v>1883</v>
      </c>
      <c r="J3802" s="1" t="s">
        <v>1456</v>
      </c>
      <c r="K3802" s="1" t="s">
        <v>1699</v>
      </c>
      <c r="L3802" s="1" t="s">
        <v>1729</v>
      </c>
      <c r="M3802" s="1" t="s">
        <v>1737</v>
      </c>
      <c r="N3802" t="s">
        <v>2122</v>
      </c>
      <c r="O3802" t="s">
        <v>3003</v>
      </c>
      <c r="P3802" t="s">
        <v>2157</v>
      </c>
      <c r="Q3802">
        <v>-12</v>
      </c>
      <c r="R3802" s="1" t="s">
        <v>1839</v>
      </c>
      <c r="S3802">
        <v>1088</v>
      </c>
      <c r="T3802">
        <v>-13056</v>
      </c>
    </row>
    <row r="3803" spans="1:20" hidden="1" x14ac:dyDescent="0.4">
      <c r="A3803" s="1" t="s">
        <v>1444</v>
      </c>
      <c r="B3803" s="1" t="s">
        <v>1459</v>
      </c>
      <c r="C3803" s="1" t="s">
        <v>1844</v>
      </c>
      <c r="D3803" s="1" t="s">
        <v>1854</v>
      </c>
      <c r="E3803">
        <v>20251225</v>
      </c>
      <c r="F3803" s="1" t="s">
        <v>1470</v>
      </c>
      <c r="G3803">
        <v>4</v>
      </c>
      <c r="H3803" s="1" t="s">
        <v>1503</v>
      </c>
      <c r="I3803" t="s">
        <v>1883</v>
      </c>
      <c r="J3803" s="1" t="s">
        <v>1456</v>
      </c>
      <c r="K3803" s="1" t="s">
        <v>1699</v>
      </c>
      <c r="L3803" s="1" t="s">
        <v>1729</v>
      </c>
      <c r="M3803" s="1" t="s">
        <v>1737</v>
      </c>
      <c r="N3803" t="s">
        <v>2122</v>
      </c>
      <c r="O3803" t="s">
        <v>3004</v>
      </c>
      <c r="P3803" t="s">
        <v>2157</v>
      </c>
      <c r="Q3803">
        <v>-11.8</v>
      </c>
      <c r="R3803" s="1" t="s">
        <v>1839</v>
      </c>
      <c r="S3803">
        <v>1088</v>
      </c>
      <c r="T3803">
        <v>-12838</v>
      </c>
    </row>
    <row r="3804" spans="1:20" hidden="1" x14ac:dyDescent="0.4">
      <c r="A3804" s="1" t="s">
        <v>1444</v>
      </c>
      <c r="B3804" s="1" t="s">
        <v>1460</v>
      </c>
      <c r="C3804" s="1" t="s">
        <v>1844</v>
      </c>
      <c r="D3804" s="1" t="s">
        <v>1854</v>
      </c>
      <c r="E3804">
        <v>20251225</v>
      </c>
      <c r="F3804" s="1" t="s">
        <v>1470</v>
      </c>
      <c r="G3804">
        <v>4</v>
      </c>
      <c r="H3804" s="1" t="s">
        <v>1503</v>
      </c>
      <c r="I3804" t="s">
        <v>1883</v>
      </c>
      <c r="J3804" s="1" t="s">
        <v>1456</v>
      </c>
      <c r="K3804" s="1" t="s">
        <v>1699</v>
      </c>
      <c r="L3804" s="1" t="s">
        <v>1729</v>
      </c>
      <c r="M3804" s="1" t="s">
        <v>1737</v>
      </c>
      <c r="N3804" t="s">
        <v>2122</v>
      </c>
      <c r="O3804" t="s">
        <v>3005</v>
      </c>
      <c r="P3804" t="s">
        <v>2157</v>
      </c>
      <c r="Q3804">
        <v>-11.8</v>
      </c>
      <c r="R3804" s="1" t="s">
        <v>1839</v>
      </c>
      <c r="S3804">
        <v>1088</v>
      </c>
      <c r="T3804">
        <v>-12838</v>
      </c>
    </row>
    <row r="3805" spans="1:20" hidden="1" x14ac:dyDescent="0.4">
      <c r="A3805" s="1" t="s">
        <v>1444</v>
      </c>
      <c r="B3805" s="1" t="s">
        <v>1461</v>
      </c>
      <c r="C3805" s="1" t="s">
        <v>1844</v>
      </c>
      <c r="D3805" s="1" t="s">
        <v>1854</v>
      </c>
      <c r="E3805">
        <v>20251225</v>
      </c>
      <c r="F3805" s="1" t="s">
        <v>1470</v>
      </c>
      <c r="G3805">
        <v>4</v>
      </c>
      <c r="H3805" s="1" t="s">
        <v>1503</v>
      </c>
      <c r="I3805" t="s">
        <v>1883</v>
      </c>
      <c r="J3805" s="1" t="s">
        <v>1456</v>
      </c>
      <c r="K3805" s="1" t="s">
        <v>1699</v>
      </c>
      <c r="L3805" s="1" t="s">
        <v>1729</v>
      </c>
      <c r="M3805" s="1" t="s">
        <v>1737</v>
      </c>
      <c r="N3805" t="s">
        <v>2122</v>
      </c>
      <c r="O3805" t="s">
        <v>3006</v>
      </c>
      <c r="P3805" t="s">
        <v>2157</v>
      </c>
      <c r="Q3805">
        <v>-11.2</v>
      </c>
      <c r="R3805" s="1" t="s">
        <v>1839</v>
      </c>
      <c r="S3805">
        <v>1088</v>
      </c>
      <c r="T3805">
        <v>-12185</v>
      </c>
    </row>
    <row r="3806" spans="1:20" hidden="1" x14ac:dyDescent="0.4">
      <c r="A3806" s="1" t="s">
        <v>1444</v>
      </c>
      <c r="B3806" s="1" t="s">
        <v>1462</v>
      </c>
      <c r="C3806" s="1" t="s">
        <v>1844</v>
      </c>
      <c r="D3806" s="1" t="s">
        <v>1854</v>
      </c>
      <c r="E3806">
        <v>20251225</v>
      </c>
      <c r="F3806" s="1" t="s">
        <v>1470</v>
      </c>
      <c r="G3806">
        <v>4</v>
      </c>
      <c r="H3806" s="1" t="s">
        <v>1503</v>
      </c>
      <c r="I3806" t="s">
        <v>1883</v>
      </c>
      <c r="J3806" s="1" t="s">
        <v>1456</v>
      </c>
      <c r="K3806" s="1" t="s">
        <v>1699</v>
      </c>
      <c r="L3806" s="1" t="s">
        <v>1729</v>
      </c>
      <c r="M3806" s="1" t="s">
        <v>1737</v>
      </c>
      <c r="N3806" t="s">
        <v>2122</v>
      </c>
      <c r="O3806" t="s">
        <v>3007</v>
      </c>
      <c r="P3806" t="s">
        <v>2157</v>
      </c>
      <c r="Q3806">
        <v>-11.2</v>
      </c>
      <c r="R3806" s="1" t="s">
        <v>1839</v>
      </c>
      <c r="S3806">
        <v>1088</v>
      </c>
      <c r="T3806">
        <v>-12185</v>
      </c>
    </row>
    <row r="3807" spans="1:20" hidden="1" x14ac:dyDescent="0.4">
      <c r="A3807" s="1" t="s">
        <v>1444</v>
      </c>
      <c r="B3807" s="1" t="s">
        <v>1463</v>
      </c>
      <c r="C3807" s="1" t="s">
        <v>1844</v>
      </c>
      <c r="D3807" s="1" t="s">
        <v>1854</v>
      </c>
      <c r="E3807">
        <v>20251225</v>
      </c>
      <c r="F3807" s="1" t="s">
        <v>1470</v>
      </c>
      <c r="G3807">
        <v>4</v>
      </c>
      <c r="H3807" s="1" t="s">
        <v>1503</v>
      </c>
      <c r="I3807" t="s">
        <v>1883</v>
      </c>
      <c r="J3807" s="1" t="s">
        <v>1456</v>
      </c>
      <c r="K3807" s="1" t="s">
        <v>1699</v>
      </c>
      <c r="L3807" s="1" t="s">
        <v>1729</v>
      </c>
      <c r="M3807" s="1" t="s">
        <v>1737</v>
      </c>
      <c r="N3807" t="s">
        <v>2122</v>
      </c>
      <c r="O3807" t="s">
        <v>3008</v>
      </c>
      <c r="P3807" t="s">
        <v>2157</v>
      </c>
      <c r="Q3807">
        <v>-10.1</v>
      </c>
      <c r="R3807" s="1" t="s">
        <v>1839</v>
      </c>
      <c r="S3807">
        <v>1088</v>
      </c>
      <c r="T3807">
        <v>-10988</v>
      </c>
    </row>
    <row r="3808" spans="1:20" hidden="1" x14ac:dyDescent="0.4">
      <c r="A3808" s="1" t="s">
        <v>1445</v>
      </c>
      <c r="B3808" s="1" t="s">
        <v>1453</v>
      </c>
      <c r="C3808" s="1" t="s">
        <v>1844</v>
      </c>
      <c r="D3808" s="1" t="s">
        <v>1854</v>
      </c>
      <c r="E3808">
        <v>20251225</v>
      </c>
      <c r="F3808" s="1" t="s">
        <v>1470</v>
      </c>
      <c r="G3808">
        <v>4</v>
      </c>
      <c r="H3808" s="1" t="s">
        <v>1503</v>
      </c>
      <c r="I3808" t="s">
        <v>1883</v>
      </c>
      <c r="J3808" s="1" t="s">
        <v>1456</v>
      </c>
      <c r="K3808" s="1" t="s">
        <v>1699</v>
      </c>
      <c r="L3808" s="1" t="s">
        <v>1729</v>
      </c>
      <c r="M3808" s="1" t="s">
        <v>1737</v>
      </c>
      <c r="N3808" t="s">
        <v>2122</v>
      </c>
      <c r="O3808" t="s">
        <v>3009</v>
      </c>
      <c r="P3808" t="s">
        <v>2157</v>
      </c>
      <c r="Q3808">
        <v>-10.1</v>
      </c>
      <c r="R3808" s="1" t="s">
        <v>1839</v>
      </c>
      <c r="S3808">
        <v>1088</v>
      </c>
      <c r="T3808">
        <v>-10988</v>
      </c>
    </row>
    <row r="3809" spans="1:20" hidden="1" x14ac:dyDescent="0.4">
      <c r="A3809" s="1" t="s">
        <v>1445</v>
      </c>
      <c r="B3809" s="1" t="s">
        <v>1454</v>
      </c>
      <c r="C3809" s="1" t="s">
        <v>1844</v>
      </c>
      <c r="D3809" s="1" t="s">
        <v>1854</v>
      </c>
      <c r="E3809">
        <v>20251225</v>
      </c>
      <c r="F3809" s="1" t="s">
        <v>1470</v>
      </c>
      <c r="G3809">
        <v>4</v>
      </c>
      <c r="H3809" s="1" t="s">
        <v>1503</v>
      </c>
      <c r="I3809" t="s">
        <v>1883</v>
      </c>
      <c r="J3809" s="1" t="s">
        <v>1456</v>
      </c>
      <c r="K3809" s="1" t="s">
        <v>1699</v>
      </c>
      <c r="L3809" s="1" t="s">
        <v>1729</v>
      </c>
      <c r="M3809" s="1" t="s">
        <v>1737</v>
      </c>
      <c r="N3809" t="s">
        <v>2122</v>
      </c>
      <c r="O3809" t="s">
        <v>3010</v>
      </c>
      <c r="P3809" t="s">
        <v>2157</v>
      </c>
      <c r="Q3809">
        <v>-10.1</v>
      </c>
      <c r="R3809" s="1" t="s">
        <v>1839</v>
      </c>
      <c r="S3809">
        <v>1088</v>
      </c>
      <c r="T3809">
        <v>-10988</v>
      </c>
    </row>
    <row r="3810" spans="1:20" hidden="1" x14ac:dyDescent="0.4">
      <c r="A3810" s="1" t="s">
        <v>1445</v>
      </c>
      <c r="B3810" s="1" t="s">
        <v>1455</v>
      </c>
      <c r="C3810" s="1" t="s">
        <v>1844</v>
      </c>
      <c r="D3810" s="1" t="s">
        <v>1854</v>
      </c>
      <c r="E3810">
        <v>20251225</v>
      </c>
      <c r="F3810" s="1" t="s">
        <v>1470</v>
      </c>
      <c r="G3810">
        <v>4</v>
      </c>
      <c r="H3810" s="1" t="s">
        <v>1503</v>
      </c>
      <c r="I3810" t="s">
        <v>1883</v>
      </c>
      <c r="J3810" s="1" t="s">
        <v>1456</v>
      </c>
      <c r="K3810" s="1" t="s">
        <v>1699</v>
      </c>
      <c r="L3810" s="1" t="s">
        <v>1729</v>
      </c>
      <c r="M3810" s="1" t="s">
        <v>1737</v>
      </c>
      <c r="N3810" t="s">
        <v>2122</v>
      </c>
      <c r="O3810" t="s">
        <v>3011</v>
      </c>
      <c r="P3810" t="s">
        <v>2157</v>
      </c>
      <c r="Q3810">
        <v>-8.6999999999999993</v>
      </c>
      <c r="R3810" s="1" t="s">
        <v>1839</v>
      </c>
      <c r="S3810">
        <v>1088</v>
      </c>
      <c r="T3810">
        <v>-9465</v>
      </c>
    </row>
    <row r="3811" spans="1:20" hidden="1" x14ac:dyDescent="0.4">
      <c r="A3811" s="1" t="s">
        <v>1445</v>
      </c>
      <c r="B3811" s="1" t="s">
        <v>1456</v>
      </c>
      <c r="C3811" s="1" t="s">
        <v>1844</v>
      </c>
      <c r="D3811" s="1" t="s">
        <v>1854</v>
      </c>
      <c r="E3811">
        <v>20251225</v>
      </c>
      <c r="F3811" s="1" t="s">
        <v>1470</v>
      </c>
      <c r="G3811">
        <v>4</v>
      </c>
      <c r="H3811" s="1" t="s">
        <v>1503</v>
      </c>
      <c r="I3811" t="s">
        <v>1883</v>
      </c>
      <c r="J3811" s="1" t="s">
        <v>1456</v>
      </c>
      <c r="K3811" s="1" t="s">
        <v>1699</v>
      </c>
      <c r="L3811" s="1" t="s">
        <v>1729</v>
      </c>
      <c r="M3811" s="1" t="s">
        <v>1737</v>
      </c>
      <c r="N3811" t="s">
        <v>2122</v>
      </c>
      <c r="O3811" t="s">
        <v>3012</v>
      </c>
      <c r="P3811" t="s">
        <v>2157</v>
      </c>
      <c r="Q3811">
        <v>-8.6999999999999993</v>
      </c>
      <c r="R3811" s="1" t="s">
        <v>1839</v>
      </c>
      <c r="S3811">
        <v>1088</v>
      </c>
      <c r="T3811">
        <v>-9465</v>
      </c>
    </row>
    <row r="3812" spans="1:20" hidden="1" x14ac:dyDescent="0.4">
      <c r="A3812" s="1" t="s">
        <v>1445</v>
      </c>
      <c r="B3812" s="1" t="s">
        <v>1457</v>
      </c>
      <c r="C3812" s="1" t="s">
        <v>1844</v>
      </c>
      <c r="D3812" s="1" t="s">
        <v>1854</v>
      </c>
      <c r="E3812">
        <v>20251225</v>
      </c>
      <c r="F3812" s="1" t="s">
        <v>1470</v>
      </c>
      <c r="G3812">
        <v>4</v>
      </c>
      <c r="H3812" s="1" t="s">
        <v>1503</v>
      </c>
      <c r="I3812" t="s">
        <v>1883</v>
      </c>
      <c r="J3812" s="1" t="s">
        <v>1456</v>
      </c>
      <c r="K3812" s="1" t="s">
        <v>1699</v>
      </c>
      <c r="L3812" s="1" t="s">
        <v>1729</v>
      </c>
      <c r="M3812" s="1" t="s">
        <v>1737</v>
      </c>
      <c r="N3812" t="s">
        <v>2122</v>
      </c>
      <c r="O3812" t="s">
        <v>3013</v>
      </c>
      <c r="P3812" t="s">
        <v>2157</v>
      </c>
      <c r="Q3812">
        <v>-8.6999999999999993</v>
      </c>
      <c r="R3812" s="1" t="s">
        <v>1839</v>
      </c>
      <c r="S3812">
        <v>1088</v>
      </c>
      <c r="T3812">
        <v>-9465</v>
      </c>
    </row>
    <row r="3813" spans="1:20" hidden="1" x14ac:dyDescent="0.4">
      <c r="A3813" s="1" t="s">
        <v>1445</v>
      </c>
      <c r="B3813" s="1" t="s">
        <v>1458</v>
      </c>
      <c r="C3813" s="1" t="s">
        <v>1844</v>
      </c>
      <c r="D3813" s="1" t="s">
        <v>1854</v>
      </c>
      <c r="E3813">
        <v>20251225</v>
      </c>
      <c r="F3813" s="1" t="s">
        <v>1470</v>
      </c>
      <c r="G3813">
        <v>4</v>
      </c>
      <c r="H3813" s="1" t="s">
        <v>1503</v>
      </c>
      <c r="I3813" t="s">
        <v>1883</v>
      </c>
      <c r="J3813" s="1" t="s">
        <v>1456</v>
      </c>
      <c r="K3813" s="1" t="s">
        <v>1699</v>
      </c>
      <c r="L3813" s="1" t="s">
        <v>1729</v>
      </c>
      <c r="M3813" s="1" t="s">
        <v>1737</v>
      </c>
      <c r="N3813" t="s">
        <v>2122</v>
      </c>
      <c r="O3813" t="s">
        <v>3014</v>
      </c>
      <c r="P3813" t="s">
        <v>2157</v>
      </c>
      <c r="Q3813">
        <v>-9.8000000000000007</v>
      </c>
      <c r="R3813" s="1" t="s">
        <v>1839</v>
      </c>
      <c r="S3813">
        <v>1088</v>
      </c>
      <c r="T3813">
        <v>-10662</v>
      </c>
    </row>
    <row r="3814" spans="1:20" hidden="1" x14ac:dyDescent="0.4">
      <c r="A3814" s="1" t="s">
        <v>1445</v>
      </c>
      <c r="B3814" s="1" t="s">
        <v>1459</v>
      </c>
      <c r="C3814" s="1" t="s">
        <v>1844</v>
      </c>
      <c r="D3814" s="1" t="s">
        <v>1854</v>
      </c>
      <c r="E3814">
        <v>20251225</v>
      </c>
      <c r="F3814" s="1" t="s">
        <v>1470</v>
      </c>
      <c r="G3814">
        <v>4</v>
      </c>
      <c r="H3814" s="1" t="s">
        <v>1503</v>
      </c>
      <c r="I3814" t="s">
        <v>1883</v>
      </c>
      <c r="J3814" s="1" t="s">
        <v>1456</v>
      </c>
      <c r="K3814" s="1" t="s">
        <v>1699</v>
      </c>
      <c r="L3814" s="1" t="s">
        <v>1729</v>
      </c>
      <c r="M3814" s="1" t="s">
        <v>1737</v>
      </c>
      <c r="N3814" t="s">
        <v>2122</v>
      </c>
      <c r="O3814" t="s">
        <v>3015</v>
      </c>
      <c r="P3814" t="s">
        <v>2157</v>
      </c>
      <c r="Q3814">
        <v>-9.8000000000000007</v>
      </c>
      <c r="R3814" s="1" t="s">
        <v>1839</v>
      </c>
      <c r="S3814">
        <v>1088</v>
      </c>
      <c r="T3814">
        <v>-10662</v>
      </c>
    </row>
    <row r="3815" spans="1:20" hidden="1" x14ac:dyDescent="0.4">
      <c r="A3815" s="1" t="s">
        <v>1445</v>
      </c>
      <c r="B3815" s="1" t="s">
        <v>1460</v>
      </c>
      <c r="C3815" s="1" t="s">
        <v>1844</v>
      </c>
      <c r="D3815" s="1" t="s">
        <v>1854</v>
      </c>
      <c r="E3815">
        <v>20251225</v>
      </c>
      <c r="F3815" s="1" t="s">
        <v>1470</v>
      </c>
      <c r="G3815">
        <v>4</v>
      </c>
      <c r="H3815" s="1" t="s">
        <v>1503</v>
      </c>
      <c r="I3815" t="s">
        <v>1883</v>
      </c>
      <c r="J3815" s="1" t="s">
        <v>1456</v>
      </c>
      <c r="K3815" s="1" t="s">
        <v>1699</v>
      </c>
      <c r="L3815" s="1" t="s">
        <v>1729</v>
      </c>
      <c r="M3815" s="1" t="s">
        <v>1737</v>
      </c>
      <c r="N3815" t="s">
        <v>2122</v>
      </c>
      <c r="O3815" t="s">
        <v>3016</v>
      </c>
      <c r="P3815" t="s">
        <v>2157</v>
      </c>
      <c r="Q3815">
        <v>-9.8000000000000007</v>
      </c>
      <c r="R3815" s="1" t="s">
        <v>1839</v>
      </c>
      <c r="S3815">
        <v>1088</v>
      </c>
      <c r="T3815">
        <v>-10662</v>
      </c>
    </row>
    <row r="3816" spans="1:20" hidden="1" x14ac:dyDescent="0.4">
      <c r="A3816" s="1" t="s">
        <v>1445</v>
      </c>
      <c r="B3816" s="1" t="s">
        <v>1461</v>
      </c>
      <c r="C3816" s="1" t="s">
        <v>1844</v>
      </c>
      <c r="D3816" s="1" t="s">
        <v>1854</v>
      </c>
      <c r="E3816">
        <v>20251225</v>
      </c>
      <c r="F3816" s="1" t="s">
        <v>1470</v>
      </c>
      <c r="G3816">
        <v>4</v>
      </c>
      <c r="H3816" s="1" t="s">
        <v>1503</v>
      </c>
      <c r="I3816" t="s">
        <v>1883</v>
      </c>
      <c r="J3816" s="1" t="s">
        <v>1456</v>
      </c>
      <c r="K3816" s="1" t="s">
        <v>1699</v>
      </c>
      <c r="L3816" s="1" t="s">
        <v>1729</v>
      </c>
      <c r="M3816" s="1" t="s">
        <v>1737</v>
      </c>
      <c r="N3816" t="s">
        <v>2122</v>
      </c>
      <c r="O3816" t="s">
        <v>3017</v>
      </c>
      <c r="P3816" t="s">
        <v>2157</v>
      </c>
      <c r="Q3816">
        <v>-9.6</v>
      </c>
      <c r="R3816" s="1" t="s">
        <v>1839</v>
      </c>
      <c r="S3816">
        <v>1088</v>
      </c>
      <c r="T3816">
        <v>-10444</v>
      </c>
    </row>
    <row r="3817" spans="1:20" hidden="1" x14ac:dyDescent="0.4">
      <c r="A3817" s="1" t="s">
        <v>1445</v>
      </c>
      <c r="B3817" s="1" t="s">
        <v>1462</v>
      </c>
      <c r="C3817" s="1" t="s">
        <v>1844</v>
      </c>
      <c r="D3817" s="1" t="s">
        <v>1854</v>
      </c>
      <c r="E3817">
        <v>20251225</v>
      </c>
      <c r="F3817" s="1" t="s">
        <v>1470</v>
      </c>
      <c r="G3817">
        <v>4</v>
      </c>
      <c r="H3817" s="1" t="s">
        <v>1503</v>
      </c>
      <c r="I3817" t="s">
        <v>1883</v>
      </c>
      <c r="J3817" s="1" t="s">
        <v>1456</v>
      </c>
      <c r="K3817" s="1" t="s">
        <v>1699</v>
      </c>
      <c r="L3817" s="1" t="s">
        <v>1729</v>
      </c>
      <c r="M3817" s="1" t="s">
        <v>1737</v>
      </c>
      <c r="N3817" t="s">
        <v>2122</v>
      </c>
      <c r="O3817" t="s">
        <v>3018</v>
      </c>
      <c r="P3817" t="s">
        <v>2157</v>
      </c>
      <c r="Q3817">
        <v>-9.6</v>
      </c>
      <c r="R3817" s="1" t="s">
        <v>1839</v>
      </c>
      <c r="S3817">
        <v>1088</v>
      </c>
      <c r="T3817">
        <v>-10444</v>
      </c>
    </row>
    <row r="3818" spans="1:20" hidden="1" x14ac:dyDescent="0.4">
      <c r="A3818" s="1" t="s">
        <v>1445</v>
      </c>
      <c r="B3818" s="1" t="s">
        <v>1463</v>
      </c>
      <c r="C3818" s="1" t="s">
        <v>1844</v>
      </c>
      <c r="D3818" s="1" t="s">
        <v>1854</v>
      </c>
      <c r="E3818">
        <v>20251225</v>
      </c>
      <c r="F3818" s="1" t="s">
        <v>1470</v>
      </c>
      <c r="G3818">
        <v>4</v>
      </c>
      <c r="H3818" s="1" t="s">
        <v>1503</v>
      </c>
      <c r="I3818" t="s">
        <v>1883</v>
      </c>
      <c r="J3818" s="1" t="s">
        <v>1456</v>
      </c>
      <c r="K3818" s="1" t="s">
        <v>1699</v>
      </c>
      <c r="L3818" s="1" t="s">
        <v>1729</v>
      </c>
      <c r="M3818" s="1" t="s">
        <v>1737</v>
      </c>
      <c r="N3818" t="s">
        <v>2122</v>
      </c>
      <c r="O3818" t="s">
        <v>3019</v>
      </c>
      <c r="P3818" t="s">
        <v>2157</v>
      </c>
      <c r="Q3818">
        <v>-9.6</v>
      </c>
      <c r="R3818" s="1" t="s">
        <v>1839</v>
      </c>
      <c r="S3818">
        <v>1088</v>
      </c>
      <c r="T3818">
        <v>-10444</v>
      </c>
    </row>
    <row r="3819" spans="1:20" hidden="1" x14ac:dyDescent="0.4">
      <c r="A3819" s="1" t="s">
        <v>1446</v>
      </c>
      <c r="B3819" s="1" t="s">
        <v>1453</v>
      </c>
      <c r="C3819" s="1" t="s">
        <v>1844</v>
      </c>
      <c r="D3819" s="1" t="s">
        <v>1467</v>
      </c>
      <c r="E3819">
        <v>20251225</v>
      </c>
      <c r="F3819" s="1" t="s">
        <v>1470</v>
      </c>
      <c r="G3819">
        <v>4</v>
      </c>
      <c r="H3819" s="1" t="s">
        <v>1503</v>
      </c>
      <c r="I3819" t="s">
        <v>1883</v>
      </c>
      <c r="J3819" s="1" t="s">
        <v>1456</v>
      </c>
      <c r="K3819" s="1" t="s">
        <v>1699</v>
      </c>
      <c r="L3819" s="1" t="s">
        <v>1729</v>
      </c>
      <c r="M3819" s="1" t="s">
        <v>1737</v>
      </c>
      <c r="N3819" t="s">
        <v>2122</v>
      </c>
      <c r="O3819" t="s">
        <v>3020</v>
      </c>
      <c r="P3819" t="s">
        <v>2157</v>
      </c>
      <c r="Q3819">
        <v>12.3</v>
      </c>
      <c r="R3819" s="1" t="s">
        <v>1839</v>
      </c>
      <c r="S3819">
        <v>1088</v>
      </c>
      <c r="T3819">
        <v>13382</v>
      </c>
    </row>
    <row r="3820" spans="1:20" hidden="1" x14ac:dyDescent="0.4">
      <c r="A3820" s="1" t="s">
        <v>1446</v>
      </c>
      <c r="B3820" s="1" t="s">
        <v>1454</v>
      </c>
      <c r="C3820" s="1" t="s">
        <v>1844</v>
      </c>
      <c r="D3820" s="1" t="s">
        <v>1467</v>
      </c>
      <c r="E3820">
        <v>20251225</v>
      </c>
      <c r="F3820" s="1" t="s">
        <v>1470</v>
      </c>
      <c r="G3820">
        <v>4</v>
      </c>
      <c r="H3820" s="1" t="s">
        <v>1503</v>
      </c>
      <c r="I3820" t="s">
        <v>1883</v>
      </c>
      <c r="J3820" s="1" t="s">
        <v>1456</v>
      </c>
      <c r="K3820" s="1" t="s">
        <v>1699</v>
      </c>
      <c r="L3820" s="1" t="s">
        <v>1729</v>
      </c>
      <c r="M3820" s="1" t="s">
        <v>1737</v>
      </c>
      <c r="N3820" t="s">
        <v>2122</v>
      </c>
      <c r="O3820" t="s">
        <v>3021</v>
      </c>
      <c r="P3820" t="s">
        <v>2157</v>
      </c>
      <c r="Q3820">
        <v>12.3</v>
      </c>
      <c r="R3820" s="1" t="s">
        <v>1839</v>
      </c>
      <c r="S3820">
        <v>1088</v>
      </c>
      <c r="T3820">
        <v>13382</v>
      </c>
    </row>
    <row r="3821" spans="1:20" hidden="1" x14ac:dyDescent="0.4">
      <c r="A3821" s="1" t="s">
        <v>1446</v>
      </c>
      <c r="B3821" s="1" t="s">
        <v>1455</v>
      </c>
      <c r="C3821" s="1" t="s">
        <v>1844</v>
      </c>
      <c r="D3821" s="1" t="s">
        <v>1467</v>
      </c>
      <c r="E3821">
        <v>20251225</v>
      </c>
      <c r="F3821" s="1" t="s">
        <v>1470</v>
      </c>
      <c r="G3821">
        <v>4</v>
      </c>
      <c r="H3821" s="1" t="s">
        <v>1503</v>
      </c>
      <c r="I3821" t="s">
        <v>1883</v>
      </c>
      <c r="J3821" s="1" t="s">
        <v>1456</v>
      </c>
      <c r="K3821" s="1" t="s">
        <v>1699</v>
      </c>
      <c r="L3821" s="1" t="s">
        <v>1729</v>
      </c>
      <c r="M3821" s="1" t="s">
        <v>1737</v>
      </c>
      <c r="N3821" t="s">
        <v>2122</v>
      </c>
      <c r="O3821" t="s">
        <v>3022</v>
      </c>
      <c r="P3821" t="s">
        <v>2157</v>
      </c>
      <c r="Q3821">
        <v>12.5</v>
      </c>
      <c r="R3821" s="1" t="s">
        <v>1839</v>
      </c>
      <c r="S3821">
        <v>1088</v>
      </c>
      <c r="T3821">
        <v>13600</v>
      </c>
    </row>
    <row r="3822" spans="1:20" hidden="1" x14ac:dyDescent="0.4">
      <c r="A3822" s="1" t="s">
        <v>1446</v>
      </c>
      <c r="B3822" s="1" t="s">
        <v>1456</v>
      </c>
      <c r="C3822" s="1" t="s">
        <v>1844</v>
      </c>
      <c r="D3822" s="1" t="s">
        <v>1467</v>
      </c>
      <c r="E3822">
        <v>20251225</v>
      </c>
      <c r="F3822" s="1" t="s">
        <v>1470</v>
      </c>
      <c r="G3822">
        <v>4</v>
      </c>
      <c r="H3822" s="1" t="s">
        <v>1503</v>
      </c>
      <c r="I3822" t="s">
        <v>1883</v>
      </c>
      <c r="J3822" s="1" t="s">
        <v>1456</v>
      </c>
      <c r="K3822" s="1" t="s">
        <v>1699</v>
      </c>
      <c r="L3822" s="1" t="s">
        <v>1729</v>
      </c>
      <c r="M3822" s="1" t="s">
        <v>1737</v>
      </c>
      <c r="N3822" t="s">
        <v>2122</v>
      </c>
      <c r="O3822" t="s">
        <v>3023</v>
      </c>
      <c r="P3822" t="s">
        <v>2157</v>
      </c>
      <c r="Q3822">
        <v>12.3</v>
      </c>
      <c r="R3822" s="1" t="s">
        <v>1839</v>
      </c>
      <c r="S3822">
        <v>1088</v>
      </c>
      <c r="T3822">
        <v>13382</v>
      </c>
    </row>
    <row r="3823" spans="1:20" hidden="1" x14ac:dyDescent="0.4">
      <c r="A3823" s="1" t="s">
        <v>1446</v>
      </c>
      <c r="B3823" s="1" t="s">
        <v>1457</v>
      </c>
      <c r="C3823" s="1" t="s">
        <v>1844</v>
      </c>
      <c r="D3823" s="1" t="s">
        <v>1467</v>
      </c>
      <c r="E3823">
        <v>20251225</v>
      </c>
      <c r="F3823" s="1" t="s">
        <v>1470</v>
      </c>
      <c r="G3823">
        <v>4</v>
      </c>
      <c r="H3823" s="1" t="s">
        <v>1503</v>
      </c>
      <c r="I3823" t="s">
        <v>1883</v>
      </c>
      <c r="J3823" s="1" t="s">
        <v>1456</v>
      </c>
      <c r="K3823" s="1" t="s">
        <v>1699</v>
      </c>
      <c r="L3823" s="1" t="s">
        <v>1729</v>
      </c>
      <c r="M3823" s="1" t="s">
        <v>1737</v>
      </c>
      <c r="N3823" t="s">
        <v>2122</v>
      </c>
      <c r="O3823" t="s">
        <v>3024</v>
      </c>
      <c r="P3823" t="s">
        <v>2157</v>
      </c>
      <c r="Q3823">
        <v>13.1</v>
      </c>
      <c r="R3823" s="1" t="s">
        <v>1839</v>
      </c>
      <c r="S3823">
        <v>1088</v>
      </c>
      <c r="T3823">
        <v>14252</v>
      </c>
    </row>
    <row r="3824" spans="1:20" hidden="1" x14ac:dyDescent="0.4">
      <c r="A3824" s="1" t="s">
        <v>1446</v>
      </c>
      <c r="B3824" s="1" t="s">
        <v>1458</v>
      </c>
      <c r="C3824" s="1" t="s">
        <v>1844</v>
      </c>
      <c r="D3824" s="1" t="s">
        <v>1467</v>
      </c>
      <c r="E3824">
        <v>20251225</v>
      </c>
      <c r="F3824" s="1" t="s">
        <v>1470</v>
      </c>
      <c r="G3824">
        <v>4</v>
      </c>
      <c r="H3824" s="1" t="s">
        <v>1503</v>
      </c>
      <c r="I3824" t="s">
        <v>1883</v>
      </c>
      <c r="J3824" s="1" t="s">
        <v>1456</v>
      </c>
      <c r="K3824" s="1" t="s">
        <v>1699</v>
      </c>
      <c r="L3824" s="1" t="s">
        <v>1729</v>
      </c>
      <c r="M3824" s="1" t="s">
        <v>1737</v>
      </c>
      <c r="N3824" t="s">
        <v>2122</v>
      </c>
      <c r="O3824" t="s">
        <v>3025</v>
      </c>
      <c r="P3824" t="s">
        <v>2157</v>
      </c>
      <c r="Q3824">
        <v>13.1</v>
      </c>
      <c r="R3824" s="1" t="s">
        <v>1839</v>
      </c>
      <c r="S3824">
        <v>1088</v>
      </c>
      <c r="T3824">
        <v>14252</v>
      </c>
    </row>
    <row r="3825" spans="1:20" hidden="1" x14ac:dyDescent="0.4">
      <c r="A3825" s="1" t="s">
        <v>1446</v>
      </c>
      <c r="B3825" s="1" t="s">
        <v>1459</v>
      </c>
      <c r="C3825" s="1" t="s">
        <v>1844</v>
      </c>
      <c r="D3825" s="1" t="s">
        <v>1467</v>
      </c>
      <c r="E3825">
        <v>20251225</v>
      </c>
      <c r="F3825" s="1" t="s">
        <v>1470</v>
      </c>
      <c r="G3825">
        <v>4</v>
      </c>
      <c r="H3825" s="1" t="s">
        <v>1503</v>
      </c>
      <c r="I3825" t="s">
        <v>1883</v>
      </c>
      <c r="J3825" s="1" t="s">
        <v>1456</v>
      </c>
      <c r="K3825" s="1" t="s">
        <v>1699</v>
      </c>
      <c r="L3825" s="1" t="s">
        <v>1729</v>
      </c>
      <c r="M3825" s="1" t="s">
        <v>1737</v>
      </c>
      <c r="N3825" t="s">
        <v>2122</v>
      </c>
      <c r="O3825" t="s">
        <v>3026</v>
      </c>
      <c r="P3825" t="s">
        <v>2157</v>
      </c>
      <c r="Q3825">
        <v>13.2</v>
      </c>
      <c r="R3825" s="1" t="s">
        <v>1839</v>
      </c>
      <c r="S3825">
        <v>1088</v>
      </c>
      <c r="T3825">
        <v>14361</v>
      </c>
    </row>
    <row r="3826" spans="1:20" hidden="1" x14ac:dyDescent="0.4">
      <c r="A3826" s="1" t="s">
        <v>1446</v>
      </c>
      <c r="B3826" s="1" t="s">
        <v>1460</v>
      </c>
      <c r="C3826" s="1" t="s">
        <v>1844</v>
      </c>
      <c r="D3826" s="1" t="s">
        <v>1467</v>
      </c>
      <c r="E3826">
        <v>20251225</v>
      </c>
      <c r="F3826" s="1" t="s">
        <v>1470</v>
      </c>
      <c r="G3826">
        <v>4</v>
      </c>
      <c r="H3826" s="1" t="s">
        <v>1503</v>
      </c>
      <c r="I3826" t="s">
        <v>1883</v>
      </c>
      <c r="J3826" s="1" t="s">
        <v>1456</v>
      </c>
      <c r="K3826" s="1" t="s">
        <v>1699</v>
      </c>
      <c r="L3826" s="1" t="s">
        <v>1729</v>
      </c>
      <c r="M3826" s="1" t="s">
        <v>1737</v>
      </c>
      <c r="N3826" t="s">
        <v>2122</v>
      </c>
      <c r="O3826" t="s">
        <v>3027</v>
      </c>
      <c r="P3826" t="s">
        <v>2157</v>
      </c>
      <c r="Q3826">
        <v>13.2</v>
      </c>
      <c r="R3826" s="1" t="s">
        <v>1839</v>
      </c>
      <c r="S3826">
        <v>1088</v>
      </c>
      <c r="T3826">
        <v>14361</v>
      </c>
    </row>
    <row r="3827" spans="1:20" hidden="1" x14ac:dyDescent="0.4">
      <c r="A3827" s="1" t="s">
        <v>1446</v>
      </c>
      <c r="B3827" s="1" t="s">
        <v>1461</v>
      </c>
      <c r="C3827" s="1" t="s">
        <v>1844</v>
      </c>
      <c r="D3827" s="1" t="s">
        <v>1467</v>
      </c>
      <c r="E3827">
        <v>20251225</v>
      </c>
      <c r="F3827" s="1" t="s">
        <v>1470</v>
      </c>
      <c r="G3827">
        <v>4</v>
      </c>
      <c r="H3827" s="1" t="s">
        <v>1503</v>
      </c>
      <c r="I3827" t="s">
        <v>1883</v>
      </c>
      <c r="J3827" s="1" t="s">
        <v>1456</v>
      </c>
      <c r="K3827" s="1" t="s">
        <v>1699</v>
      </c>
      <c r="L3827" s="1" t="s">
        <v>1729</v>
      </c>
      <c r="M3827" s="1" t="s">
        <v>1737</v>
      </c>
      <c r="N3827" t="s">
        <v>2122</v>
      </c>
      <c r="O3827" t="s">
        <v>3028</v>
      </c>
      <c r="P3827" t="s">
        <v>2157</v>
      </c>
      <c r="Q3827">
        <v>12.3</v>
      </c>
      <c r="R3827" s="1" t="s">
        <v>1839</v>
      </c>
      <c r="S3827">
        <v>1088</v>
      </c>
      <c r="T3827">
        <v>13382</v>
      </c>
    </row>
    <row r="3828" spans="1:20" hidden="1" x14ac:dyDescent="0.4">
      <c r="A3828" s="1" t="s">
        <v>1446</v>
      </c>
      <c r="B3828" s="1" t="s">
        <v>1462</v>
      </c>
      <c r="C3828" s="1" t="s">
        <v>1844</v>
      </c>
      <c r="D3828" s="1" t="s">
        <v>1467</v>
      </c>
      <c r="E3828">
        <v>20251225</v>
      </c>
      <c r="F3828" s="1" t="s">
        <v>1470</v>
      </c>
      <c r="G3828">
        <v>4</v>
      </c>
      <c r="H3828" s="1" t="s">
        <v>1503</v>
      </c>
      <c r="I3828" t="s">
        <v>1883</v>
      </c>
      <c r="J3828" s="1" t="s">
        <v>1456</v>
      </c>
      <c r="K3828" s="1" t="s">
        <v>1699</v>
      </c>
      <c r="L3828" s="1" t="s">
        <v>1729</v>
      </c>
      <c r="M3828" s="1" t="s">
        <v>1737</v>
      </c>
      <c r="N3828" t="s">
        <v>2122</v>
      </c>
      <c r="O3828" t="s">
        <v>3029</v>
      </c>
      <c r="P3828" t="s">
        <v>2157</v>
      </c>
      <c r="Q3828">
        <v>12.3</v>
      </c>
      <c r="R3828" s="1" t="s">
        <v>1839</v>
      </c>
      <c r="S3828">
        <v>1088</v>
      </c>
      <c r="T3828">
        <v>13382</v>
      </c>
    </row>
    <row r="3829" spans="1:20" hidden="1" x14ac:dyDescent="0.4">
      <c r="A3829" s="1" t="s">
        <v>1446</v>
      </c>
      <c r="B3829" s="1" t="s">
        <v>1463</v>
      </c>
      <c r="C3829" s="1" t="s">
        <v>1844</v>
      </c>
      <c r="D3829" s="1" t="s">
        <v>1467</v>
      </c>
      <c r="E3829">
        <v>20251225</v>
      </c>
      <c r="F3829" s="1" t="s">
        <v>1470</v>
      </c>
      <c r="G3829">
        <v>4</v>
      </c>
      <c r="H3829" s="1" t="s">
        <v>1503</v>
      </c>
      <c r="I3829" t="s">
        <v>1883</v>
      </c>
      <c r="J3829" s="1" t="s">
        <v>1456</v>
      </c>
      <c r="K3829" s="1" t="s">
        <v>1699</v>
      </c>
      <c r="L3829" s="1" t="s">
        <v>1729</v>
      </c>
      <c r="M3829" s="1" t="s">
        <v>1737</v>
      </c>
      <c r="N3829" t="s">
        <v>2122</v>
      </c>
      <c r="O3829" t="s">
        <v>3030</v>
      </c>
      <c r="P3829" t="s">
        <v>2157</v>
      </c>
      <c r="Q3829">
        <v>12.6</v>
      </c>
      <c r="R3829" s="1" t="s">
        <v>1839</v>
      </c>
      <c r="S3829">
        <v>1088</v>
      </c>
      <c r="T3829">
        <v>13708</v>
      </c>
    </row>
    <row r="3830" spans="1:20" hidden="1" x14ac:dyDescent="0.4">
      <c r="A3830" s="1" t="s">
        <v>1447</v>
      </c>
      <c r="B3830" s="1" t="s">
        <v>1453</v>
      </c>
      <c r="C3830" s="1" t="s">
        <v>1844</v>
      </c>
      <c r="D3830" s="1" t="s">
        <v>1467</v>
      </c>
      <c r="E3830">
        <v>20251225</v>
      </c>
      <c r="F3830" s="1" t="s">
        <v>1470</v>
      </c>
      <c r="G3830">
        <v>4</v>
      </c>
      <c r="H3830" s="1" t="s">
        <v>1503</v>
      </c>
      <c r="I3830" t="s">
        <v>1883</v>
      </c>
      <c r="J3830" s="1" t="s">
        <v>1456</v>
      </c>
      <c r="K3830" s="1" t="s">
        <v>1699</v>
      </c>
      <c r="L3830" s="1" t="s">
        <v>1729</v>
      </c>
      <c r="M3830" s="1" t="s">
        <v>1737</v>
      </c>
      <c r="N3830" t="s">
        <v>2122</v>
      </c>
      <c r="O3830" t="s">
        <v>3031</v>
      </c>
      <c r="P3830" t="s">
        <v>2157</v>
      </c>
      <c r="Q3830">
        <v>12.6</v>
      </c>
      <c r="R3830" s="1" t="s">
        <v>1839</v>
      </c>
      <c r="S3830">
        <v>1088</v>
      </c>
      <c r="T3830">
        <v>13708</v>
      </c>
    </row>
    <row r="3831" spans="1:20" hidden="1" x14ac:dyDescent="0.4">
      <c r="A3831" s="1" t="s">
        <v>1447</v>
      </c>
      <c r="B3831" s="1" t="s">
        <v>1454</v>
      </c>
      <c r="C3831" s="1" t="s">
        <v>1844</v>
      </c>
      <c r="D3831" s="1" t="s">
        <v>1467</v>
      </c>
      <c r="E3831">
        <v>20251225</v>
      </c>
      <c r="F3831" s="1" t="s">
        <v>1470</v>
      </c>
      <c r="G3831">
        <v>4</v>
      </c>
      <c r="H3831" s="1" t="s">
        <v>1503</v>
      </c>
      <c r="I3831" t="s">
        <v>1883</v>
      </c>
      <c r="J3831" s="1" t="s">
        <v>1456</v>
      </c>
      <c r="K3831" s="1" t="s">
        <v>1699</v>
      </c>
      <c r="L3831" s="1" t="s">
        <v>1729</v>
      </c>
      <c r="M3831" s="1" t="s">
        <v>1737</v>
      </c>
      <c r="N3831" t="s">
        <v>2122</v>
      </c>
      <c r="O3831" t="s">
        <v>3032</v>
      </c>
      <c r="P3831" t="s">
        <v>2157</v>
      </c>
      <c r="Q3831">
        <v>12.6</v>
      </c>
      <c r="R3831" s="1" t="s">
        <v>1839</v>
      </c>
      <c r="S3831">
        <v>1088</v>
      </c>
      <c r="T3831">
        <v>13708</v>
      </c>
    </row>
    <row r="3832" spans="1:20" hidden="1" x14ac:dyDescent="0.4">
      <c r="A3832" s="1" t="s">
        <v>1447</v>
      </c>
      <c r="B3832" s="1" t="s">
        <v>1455</v>
      </c>
      <c r="C3832" s="1" t="s">
        <v>1844</v>
      </c>
      <c r="D3832" s="1" t="s">
        <v>1467</v>
      </c>
      <c r="E3832">
        <v>20251225</v>
      </c>
      <c r="F3832" s="1" t="s">
        <v>1470</v>
      </c>
      <c r="G3832">
        <v>4</v>
      </c>
      <c r="H3832" s="1" t="s">
        <v>1503</v>
      </c>
      <c r="I3832" t="s">
        <v>1883</v>
      </c>
      <c r="J3832" s="1" t="s">
        <v>1456</v>
      </c>
      <c r="K3832" s="1" t="s">
        <v>1699</v>
      </c>
      <c r="L3832" s="1" t="s">
        <v>1729</v>
      </c>
      <c r="M3832" s="1" t="s">
        <v>1737</v>
      </c>
      <c r="N3832" t="s">
        <v>2122</v>
      </c>
      <c r="O3832" t="s">
        <v>3033</v>
      </c>
      <c r="P3832" t="s">
        <v>2157</v>
      </c>
      <c r="Q3832">
        <v>12.3</v>
      </c>
      <c r="R3832" s="1" t="s">
        <v>1839</v>
      </c>
      <c r="S3832">
        <v>1088</v>
      </c>
      <c r="T3832">
        <v>13382</v>
      </c>
    </row>
    <row r="3833" spans="1:20" hidden="1" x14ac:dyDescent="0.4">
      <c r="A3833" s="1" t="s">
        <v>1447</v>
      </c>
      <c r="B3833" s="1" t="s">
        <v>1456</v>
      </c>
      <c r="C3833" s="1" t="s">
        <v>1844</v>
      </c>
      <c r="D3833" s="1" t="s">
        <v>1467</v>
      </c>
      <c r="E3833">
        <v>20251225</v>
      </c>
      <c r="F3833" s="1" t="s">
        <v>1470</v>
      </c>
      <c r="G3833">
        <v>4</v>
      </c>
      <c r="H3833" s="1" t="s">
        <v>1503</v>
      </c>
      <c r="I3833" t="s">
        <v>1883</v>
      </c>
      <c r="J3833" s="1" t="s">
        <v>1456</v>
      </c>
      <c r="K3833" s="1" t="s">
        <v>1699</v>
      </c>
      <c r="L3833" s="1" t="s">
        <v>1729</v>
      </c>
      <c r="M3833" s="1" t="s">
        <v>1737</v>
      </c>
      <c r="N3833" t="s">
        <v>2122</v>
      </c>
      <c r="O3833" t="s">
        <v>3034</v>
      </c>
      <c r="P3833" t="s">
        <v>2157</v>
      </c>
      <c r="Q3833">
        <v>13.7</v>
      </c>
      <c r="R3833" s="1" t="s">
        <v>1839</v>
      </c>
      <c r="S3833">
        <v>1088</v>
      </c>
      <c r="T3833">
        <v>14905</v>
      </c>
    </row>
    <row r="3834" spans="1:20" hidden="1" x14ac:dyDescent="0.4">
      <c r="A3834" s="1" t="s">
        <v>1447</v>
      </c>
      <c r="B3834" s="1" t="s">
        <v>1457</v>
      </c>
      <c r="C3834" s="1" t="s">
        <v>1844</v>
      </c>
      <c r="D3834" s="1" t="s">
        <v>1467</v>
      </c>
      <c r="E3834">
        <v>20251225</v>
      </c>
      <c r="F3834" s="1" t="s">
        <v>1470</v>
      </c>
      <c r="G3834">
        <v>4</v>
      </c>
      <c r="H3834" s="1" t="s">
        <v>1503</v>
      </c>
      <c r="I3834" t="s">
        <v>1883</v>
      </c>
      <c r="J3834" s="1" t="s">
        <v>1456</v>
      </c>
      <c r="K3834" s="1" t="s">
        <v>1699</v>
      </c>
      <c r="L3834" s="1" t="s">
        <v>1729</v>
      </c>
      <c r="M3834" s="1" t="s">
        <v>1737</v>
      </c>
      <c r="N3834" t="s">
        <v>2122</v>
      </c>
      <c r="O3834" t="s">
        <v>3035</v>
      </c>
      <c r="P3834" t="s">
        <v>2157</v>
      </c>
      <c r="Q3834">
        <v>4.3</v>
      </c>
      <c r="R3834" s="1" t="s">
        <v>1839</v>
      </c>
      <c r="S3834">
        <v>1088</v>
      </c>
      <c r="T3834">
        <v>4678</v>
      </c>
    </row>
    <row r="3835" spans="1:20" hidden="1" x14ac:dyDescent="0.4">
      <c r="A3835" s="1" t="s">
        <v>1448</v>
      </c>
      <c r="B3835" s="1" t="s">
        <v>1453</v>
      </c>
      <c r="C3835" s="1" t="s">
        <v>1844</v>
      </c>
      <c r="D3835" s="1" t="s">
        <v>1462</v>
      </c>
      <c r="E3835">
        <v>20251225</v>
      </c>
      <c r="F3835" s="1" t="s">
        <v>1474</v>
      </c>
      <c r="G3835">
        <v>4</v>
      </c>
      <c r="H3835" s="1" t="s">
        <v>1534</v>
      </c>
      <c r="I3835" t="s">
        <v>1914</v>
      </c>
      <c r="J3835" s="1" t="s">
        <v>1455</v>
      </c>
      <c r="K3835" s="1" t="s">
        <v>1665</v>
      </c>
      <c r="L3835" s="1" t="s">
        <v>1720</v>
      </c>
      <c r="M3835" s="1" t="s">
        <v>1762</v>
      </c>
      <c r="N3835" t="s">
        <v>2053</v>
      </c>
      <c r="O3835" t="s">
        <v>2166</v>
      </c>
      <c r="P3835" t="s">
        <v>3172</v>
      </c>
      <c r="Q3835">
        <v>2693.14</v>
      </c>
      <c r="R3835" s="1" t="s">
        <v>1839</v>
      </c>
      <c r="S3835">
        <v>1504.77</v>
      </c>
      <c r="T3835">
        <v>4052556</v>
      </c>
    </row>
    <row r="3836" spans="1:20" hidden="1" x14ac:dyDescent="0.4">
      <c r="A3836" s="1" t="s">
        <v>1448</v>
      </c>
      <c r="B3836" s="1" t="s">
        <v>1454</v>
      </c>
      <c r="C3836" s="1" t="s">
        <v>1844</v>
      </c>
      <c r="D3836" s="1" t="s">
        <v>1462</v>
      </c>
      <c r="E3836">
        <v>20251225</v>
      </c>
      <c r="F3836" s="1" t="s">
        <v>1474</v>
      </c>
      <c r="G3836">
        <v>4</v>
      </c>
      <c r="H3836" s="1" t="s">
        <v>1534</v>
      </c>
      <c r="I3836" t="s">
        <v>1914</v>
      </c>
      <c r="J3836" s="1" t="s">
        <v>1455</v>
      </c>
      <c r="K3836" s="1" t="s">
        <v>1665</v>
      </c>
      <c r="L3836" s="1" t="s">
        <v>1720</v>
      </c>
      <c r="M3836" s="1" t="s">
        <v>1762</v>
      </c>
      <c r="N3836" t="s">
        <v>2053</v>
      </c>
      <c r="O3836" t="s">
        <v>2166</v>
      </c>
      <c r="P3836" t="s">
        <v>3172</v>
      </c>
      <c r="Q3836">
        <v>729</v>
      </c>
      <c r="R3836" s="1" t="s">
        <v>1839</v>
      </c>
      <c r="S3836">
        <v>1504.77</v>
      </c>
      <c r="T3836">
        <v>1096977</v>
      </c>
    </row>
    <row r="3837" spans="1:20" hidden="1" x14ac:dyDescent="0.4">
      <c r="A3837" s="1" t="s">
        <v>1448</v>
      </c>
      <c r="B3837" s="1" t="s">
        <v>1455</v>
      </c>
      <c r="C3837" s="1" t="s">
        <v>1844</v>
      </c>
      <c r="D3837" s="1" t="s">
        <v>1462</v>
      </c>
      <c r="E3837">
        <v>20251225</v>
      </c>
      <c r="F3837" s="1" t="s">
        <v>1474</v>
      </c>
      <c r="G3837">
        <v>4</v>
      </c>
      <c r="H3837" s="1" t="s">
        <v>1534</v>
      </c>
      <c r="I3837" t="s">
        <v>1914</v>
      </c>
      <c r="J3837" s="1" t="s">
        <v>1455</v>
      </c>
      <c r="K3837" s="1" t="s">
        <v>1665</v>
      </c>
      <c r="L3837" s="1" t="s">
        <v>1720</v>
      </c>
      <c r="M3837" s="1" t="s">
        <v>1762</v>
      </c>
      <c r="N3837" t="s">
        <v>2053</v>
      </c>
      <c r="O3837" t="s">
        <v>2166</v>
      </c>
      <c r="P3837" t="s">
        <v>3172</v>
      </c>
      <c r="Q3837">
        <v>491.03</v>
      </c>
      <c r="R3837" s="1" t="s">
        <v>1839</v>
      </c>
      <c r="S3837">
        <v>1504.92</v>
      </c>
      <c r="T3837">
        <v>738961</v>
      </c>
    </row>
    <row r="3838" spans="1:20" hidden="1" x14ac:dyDescent="0.4">
      <c r="A3838" s="1" t="s">
        <v>1448</v>
      </c>
      <c r="B3838" s="1" t="s">
        <v>1456</v>
      </c>
      <c r="C3838" s="1" t="s">
        <v>1844</v>
      </c>
      <c r="D3838" s="1" t="s">
        <v>1462</v>
      </c>
      <c r="E3838">
        <v>20251225</v>
      </c>
      <c r="F3838" s="1" t="s">
        <v>1474</v>
      </c>
      <c r="G3838">
        <v>4</v>
      </c>
      <c r="H3838" s="1" t="s">
        <v>1534</v>
      </c>
      <c r="I3838" t="s">
        <v>1914</v>
      </c>
      <c r="J3838" s="1" t="s">
        <v>1455</v>
      </c>
      <c r="K3838" s="1" t="s">
        <v>1665</v>
      </c>
      <c r="L3838" s="1" t="s">
        <v>1720</v>
      </c>
      <c r="M3838" s="1" t="s">
        <v>1762</v>
      </c>
      <c r="N3838" t="s">
        <v>2053</v>
      </c>
      <c r="O3838" t="s">
        <v>2166</v>
      </c>
      <c r="P3838" t="s">
        <v>3172</v>
      </c>
      <c r="Q3838">
        <v>800.94</v>
      </c>
      <c r="R3838" s="1" t="s">
        <v>1839</v>
      </c>
      <c r="S3838">
        <v>1504.77</v>
      </c>
      <c r="T3838">
        <v>1205230</v>
      </c>
    </row>
    <row r="3839" spans="1:20" hidden="1" x14ac:dyDescent="0.4">
      <c r="A3839" s="1" t="s">
        <v>1448</v>
      </c>
      <c r="B3839" s="1" t="s">
        <v>1457</v>
      </c>
      <c r="C3839" s="1" t="s">
        <v>1844</v>
      </c>
      <c r="D3839" s="1" t="s">
        <v>1462</v>
      </c>
      <c r="E3839">
        <v>20251225</v>
      </c>
      <c r="F3839" s="1" t="s">
        <v>1474</v>
      </c>
      <c r="G3839">
        <v>4</v>
      </c>
      <c r="H3839" s="1" t="s">
        <v>1534</v>
      </c>
      <c r="I3839" t="s">
        <v>1914</v>
      </c>
      <c r="J3839" s="1" t="s">
        <v>1455</v>
      </c>
      <c r="K3839" s="1" t="s">
        <v>1665</v>
      </c>
      <c r="L3839" s="1" t="s">
        <v>1720</v>
      </c>
      <c r="M3839" s="1" t="s">
        <v>1762</v>
      </c>
      <c r="N3839" t="s">
        <v>2053</v>
      </c>
      <c r="O3839" t="s">
        <v>2166</v>
      </c>
      <c r="P3839" t="s">
        <v>3172</v>
      </c>
      <c r="Q3839">
        <v>586.82000000000005</v>
      </c>
      <c r="R3839" s="1" t="s">
        <v>1841</v>
      </c>
      <c r="S3839">
        <v>1504.77</v>
      </c>
      <c r="T3839">
        <v>883029</v>
      </c>
    </row>
    <row r="3840" spans="1:20" hidden="1" x14ac:dyDescent="0.4">
      <c r="A3840" s="1" t="s">
        <v>1448</v>
      </c>
      <c r="B3840" s="1" t="s">
        <v>1458</v>
      </c>
      <c r="C3840" s="1" t="s">
        <v>1844</v>
      </c>
      <c r="D3840" s="1" t="s">
        <v>1462</v>
      </c>
      <c r="E3840">
        <v>20251225</v>
      </c>
      <c r="F3840" s="1" t="s">
        <v>1474</v>
      </c>
      <c r="G3840">
        <v>4</v>
      </c>
      <c r="H3840" s="1" t="s">
        <v>1534</v>
      </c>
      <c r="I3840" t="s">
        <v>1914</v>
      </c>
      <c r="J3840" s="1" t="s">
        <v>1455</v>
      </c>
      <c r="K3840" s="1" t="s">
        <v>1665</v>
      </c>
      <c r="L3840" s="1" t="s">
        <v>1720</v>
      </c>
      <c r="M3840" s="1" t="s">
        <v>1762</v>
      </c>
      <c r="N3840" t="s">
        <v>2053</v>
      </c>
      <c r="O3840" t="s">
        <v>2166</v>
      </c>
      <c r="P3840" t="s">
        <v>3172</v>
      </c>
      <c r="Q3840">
        <v>746.69</v>
      </c>
      <c r="R3840" s="1" t="s">
        <v>1839</v>
      </c>
      <c r="S3840">
        <v>1504.77</v>
      </c>
      <c r="T3840">
        <v>1123597</v>
      </c>
    </row>
    <row r="3841" spans="1:20" hidden="1" x14ac:dyDescent="0.4">
      <c r="A3841" s="1" t="s">
        <v>1449</v>
      </c>
      <c r="B3841" s="1" t="s">
        <v>1453</v>
      </c>
      <c r="C3841" s="1" t="s">
        <v>1844</v>
      </c>
      <c r="D3841" s="1" t="s">
        <v>1462</v>
      </c>
      <c r="E3841">
        <v>20251225</v>
      </c>
      <c r="F3841" s="1" t="s">
        <v>1471</v>
      </c>
      <c r="G3841">
        <v>4</v>
      </c>
      <c r="H3841" s="1" t="s">
        <v>1529</v>
      </c>
      <c r="I3841" t="s">
        <v>1909</v>
      </c>
      <c r="J3841" s="1" t="s">
        <v>1460</v>
      </c>
      <c r="K3841" s="1" t="s">
        <v>1650</v>
      </c>
      <c r="L3841" s="1" t="s">
        <v>1731</v>
      </c>
      <c r="M3841" s="1" t="s">
        <v>1747</v>
      </c>
      <c r="N3841" t="s">
        <v>2032</v>
      </c>
      <c r="O3841" t="s">
        <v>2178</v>
      </c>
      <c r="P3841" t="s">
        <v>3186</v>
      </c>
      <c r="Q3841">
        <v>1500</v>
      </c>
      <c r="R3841" s="1" t="s">
        <v>1463</v>
      </c>
      <c r="S3841">
        <v>565</v>
      </c>
      <c r="T3841">
        <v>847500</v>
      </c>
    </row>
    <row r="3842" spans="1:20" hidden="1" x14ac:dyDescent="0.4">
      <c r="A3842" s="1" t="s">
        <v>1450</v>
      </c>
      <c r="B3842" s="1" t="s">
        <v>1453</v>
      </c>
      <c r="C3842" s="1" t="s">
        <v>1844</v>
      </c>
      <c r="D3842" s="1" t="s">
        <v>1462</v>
      </c>
      <c r="E3842">
        <v>20251225</v>
      </c>
      <c r="F3842" s="1" t="s">
        <v>1471</v>
      </c>
      <c r="G3842">
        <v>4</v>
      </c>
      <c r="H3842" s="1" t="s">
        <v>1529</v>
      </c>
      <c r="I3842" t="s">
        <v>1909</v>
      </c>
      <c r="J3842" s="1" t="s">
        <v>1460</v>
      </c>
      <c r="K3842" s="1" t="s">
        <v>1690</v>
      </c>
      <c r="L3842" s="1" t="s">
        <v>1731</v>
      </c>
      <c r="M3842" s="1" t="s">
        <v>1818</v>
      </c>
      <c r="N3842" t="s">
        <v>2083</v>
      </c>
      <c r="O3842" t="s">
        <v>2178</v>
      </c>
      <c r="P3842" t="s">
        <v>3186</v>
      </c>
      <c r="Q3842">
        <v>2000</v>
      </c>
      <c r="R3842" s="1" t="s">
        <v>1463</v>
      </c>
      <c r="S3842">
        <v>625</v>
      </c>
      <c r="T3842">
        <v>1250000</v>
      </c>
    </row>
    <row r="3843" spans="1:20" hidden="1" x14ac:dyDescent="0.4">
      <c r="A3843" s="1" t="s">
        <v>1451</v>
      </c>
      <c r="B3843" s="1" t="s">
        <v>1453</v>
      </c>
      <c r="C3843" s="1" t="s">
        <v>1844</v>
      </c>
      <c r="D3843" s="1" t="s">
        <v>1467</v>
      </c>
      <c r="E3843">
        <v>20251226</v>
      </c>
      <c r="F3843" s="1" t="s">
        <v>1473</v>
      </c>
      <c r="G3843">
        <v>4</v>
      </c>
      <c r="H3843" s="1" t="s">
        <v>1521</v>
      </c>
      <c r="I3843" t="s">
        <v>1901</v>
      </c>
      <c r="J3843" s="1" t="s">
        <v>1453</v>
      </c>
      <c r="K3843" s="1" t="s">
        <v>1618</v>
      </c>
      <c r="L3843" s="1" t="s">
        <v>1718</v>
      </c>
      <c r="M3843" s="1" t="s">
        <v>1775</v>
      </c>
      <c r="N3843" t="s">
        <v>1992</v>
      </c>
      <c r="O3843" t="s">
        <v>2164</v>
      </c>
      <c r="P3843" t="s">
        <v>3103</v>
      </c>
      <c r="Q3843">
        <v>88.08</v>
      </c>
      <c r="R3843" s="1" t="s">
        <v>1839</v>
      </c>
      <c r="S3843">
        <v>3712</v>
      </c>
      <c r="T3843">
        <v>326953</v>
      </c>
    </row>
    <row r="3844" spans="1:20" hidden="1" x14ac:dyDescent="0.4">
      <c r="A3844" s="1" t="s">
        <v>1451</v>
      </c>
      <c r="B3844" s="1" t="s">
        <v>1454</v>
      </c>
      <c r="C3844" s="1" t="s">
        <v>1844</v>
      </c>
      <c r="D3844" s="1" t="s">
        <v>1467</v>
      </c>
      <c r="E3844">
        <v>20251226</v>
      </c>
      <c r="F3844" s="1" t="s">
        <v>1473</v>
      </c>
      <c r="G3844">
        <v>4</v>
      </c>
      <c r="H3844" s="1" t="s">
        <v>1521</v>
      </c>
      <c r="I3844" t="s">
        <v>1901</v>
      </c>
      <c r="J3844" s="1" t="s">
        <v>1453</v>
      </c>
      <c r="K3844" s="1" t="s">
        <v>1618</v>
      </c>
      <c r="L3844" s="1" t="s">
        <v>1718</v>
      </c>
      <c r="M3844" s="1" t="s">
        <v>1775</v>
      </c>
      <c r="N3844" t="s">
        <v>1992</v>
      </c>
      <c r="O3844" t="s">
        <v>2164</v>
      </c>
      <c r="P3844" t="s">
        <v>3103</v>
      </c>
      <c r="Q3844">
        <v>112.84</v>
      </c>
      <c r="R3844" s="1" t="s">
        <v>1839</v>
      </c>
      <c r="S3844">
        <v>3712</v>
      </c>
      <c r="T3844">
        <v>418862</v>
      </c>
    </row>
    <row r="3845" spans="1:20" hidden="1" x14ac:dyDescent="0.4">
      <c r="A3845" s="1" t="s">
        <v>1451</v>
      </c>
      <c r="B3845" s="1" t="s">
        <v>1455</v>
      </c>
      <c r="C3845" s="1" t="s">
        <v>1844</v>
      </c>
      <c r="D3845" s="1" t="s">
        <v>1467</v>
      </c>
      <c r="E3845">
        <v>20251226</v>
      </c>
      <c r="F3845" s="1" t="s">
        <v>1473</v>
      </c>
      <c r="G3845">
        <v>4</v>
      </c>
      <c r="H3845" s="1" t="s">
        <v>1521</v>
      </c>
      <c r="I3845" t="s">
        <v>1901</v>
      </c>
      <c r="J3845" s="1" t="s">
        <v>1453</v>
      </c>
      <c r="K3845" s="1" t="s">
        <v>1618</v>
      </c>
      <c r="L3845" s="1" t="s">
        <v>1718</v>
      </c>
      <c r="M3845" s="1" t="s">
        <v>1775</v>
      </c>
      <c r="N3845" t="s">
        <v>1992</v>
      </c>
      <c r="O3845" t="s">
        <v>2164</v>
      </c>
      <c r="P3845" t="s">
        <v>3103</v>
      </c>
      <c r="Q3845">
        <v>98.64</v>
      </c>
      <c r="R3845" s="1" t="s">
        <v>1839</v>
      </c>
      <c r="S3845">
        <v>3712</v>
      </c>
      <c r="T3845">
        <v>366152</v>
      </c>
    </row>
    <row r="3846" spans="1:20" hidden="1" x14ac:dyDescent="0.4">
      <c r="A3846" s="1" t="s">
        <v>1451</v>
      </c>
      <c r="B3846" s="1" t="s">
        <v>1456</v>
      </c>
      <c r="C3846" s="1" t="s">
        <v>1844</v>
      </c>
      <c r="D3846" s="1" t="s">
        <v>1467</v>
      </c>
      <c r="E3846">
        <v>20251226</v>
      </c>
      <c r="F3846" s="1" t="s">
        <v>1473</v>
      </c>
      <c r="G3846">
        <v>4</v>
      </c>
      <c r="H3846" s="1" t="s">
        <v>1521</v>
      </c>
      <c r="I3846" t="s">
        <v>1901</v>
      </c>
      <c r="J3846" s="1" t="s">
        <v>1453</v>
      </c>
      <c r="K3846" s="1" t="s">
        <v>1618</v>
      </c>
      <c r="L3846" s="1" t="s">
        <v>1718</v>
      </c>
      <c r="M3846" s="1" t="s">
        <v>1775</v>
      </c>
      <c r="N3846" t="s">
        <v>1992</v>
      </c>
      <c r="O3846" t="s">
        <v>2164</v>
      </c>
      <c r="P3846" t="s">
        <v>3103</v>
      </c>
      <c r="Q3846">
        <v>112.84</v>
      </c>
      <c r="R3846" s="1" t="s">
        <v>1839</v>
      </c>
      <c r="S3846">
        <v>3712</v>
      </c>
      <c r="T3846">
        <v>418862</v>
      </c>
    </row>
    <row r="3847" spans="1:20" hidden="1" x14ac:dyDescent="0.4">
      <c r="A3847" s="1" t="s">
        <v>1451</v>
      </c>
      <c r="B3847" s="1" t="s">
        <v>1457</v>
      </c>
      <c r="C3847" s="1" t="s">
        <v>1844</v>
      </c>
      <c r="D3847" s="1" t="s">
        <v>1467</v>
      </c>
      <c r="E3847">
        <v>20251226</v>
      </c>
      <c r="F3847" s="1" t="s">
        <v>1473</v>
      </c>
      <c r="G3847">
        <v>4</v>
      </c>
      <c r="H3847" s="1" t="s">
        <v>1521</v>
      </c>
      <c r="I3847" t="s">
        <v>1901</v>
      </c>
      <c r="J3847" s="1" t="s">
        <v>1453</v>
      </c>
      <c r="K3847" s="1" t="s">
        <v>1618</v>
      </c>
      <c r="L3847" s="1" t="s">
        <v>1718</v>
      </c>
      <c r="M3847" s="1" t="s">
        <v>1775</v>
      </c>
      <c r="N3847" t="s">
        <v>1992</v>
      </c>
      <c r="O3847" t="s">
        <v>2164</v>
      </c>
      <c r="P3847" t="s">
        <v>3103</v>
      </c>
      <c r="Q3847">
        <v>112.84</v>
      </c>
      <c r="R3847" s="1" t="s">
        <v>1839</v>
      </c>
      <c r="S3847">
        <v>3712</v>
      </c>
      <c r="T3847">
        <v>418862</v>
      </c>
    </row>
    <row r="3848" spans="1:20" hidden="1" x14ac:dyDescent="0.4">
      <c r="A3848" s="1" t="s">
        <v>1451</v>
      </c>
      <c r="B3848" s="1" t="s">
        <v>1458</v>
      </c>
      <c r="C3848" s="1" t="s">
        <v>1844</v>
      </c>
      <c r="D3848" s="1" t="s">
        <v>1467</v>
      </c>
      <c r="E3848">
        <v>20251226</v>
      </c>
      <c r="F3848" s="1" t="s">
        <v>1473</v>
      </c>
      <c r="G3848">
        <v>4</v>
      </c>
      <c r="H3848" s="1" t="s">
        <v>1521</v>
      </c>
      <c r="I3848" t="s">
        <v>1901</v>
      </c>
      <c r="J3848" s="1" t="s">
        <v>1453</v>
      </c>
      <c r="K3848" s="1" t="s">
        <v>1618</v>
      </c>
      <c r="L3848" s="1" t="s">
        <v>1718</v>
      </c>
      <c r="M3848" s="1" t="s">
        <v>1775</v>
      </c>
      <c r="N3848" t="s">
        <v>1992</v>
      </c>
      <c r="O3848" t="s">
        <v>2164</v>
      </c>
      <c r="P3848" t="s">
        <v>3103</v>
      </c>
      <c r="Q3848">
        <v>112.47</v>
      </c>
      <c r="R3848" s="1" t="s">
        <v>1839</v>
      </c>
      <c r="S3848">
        <v>3712</v>
      </c>
      <c r="T3848">
        <v>417489</v>
      </c>
    </row>
    <row r="3849" spans="1:20" hidden="1" x14ac:dyDescent="0.4">
      <c r="A3849" s="1" t="s">
        <v>1452</v>
      </c>
      <c r="B3849" s="1" t="s">
        <v>1453</v>
      </c>
      <c r="C3849" s="1" t="s">
        <v>1844</v>
      </c>
      <c r="D3849" s="1" t="s">
        <v>1462</v>
      </c>
      <c r="E3849">
        <v>20251226</v>
      </c>
      <c r="F3849" s="1" t="s">
        <v>1472</v>
      </c>
      <c r="G3849">
        <v>4</v>
      </c>
      <c r="H3849" s="1" t="s">
        <v>1540</v>
      </c>
      <c r="I3849" t="s">
        <v>1920</v>
      </c>
      <c r="J3849" s="1" t="s">
        <v>1457</v>
      </c>
      <c r="K3849" s="1" t="s">
        <v>1603</v>
      </c>
      <c r="L3849" s="1" t="s">
        <v>1719</v>
      </c>
      <c r="M3849" s="1" t="s">
        <v>1762</v>
      </c>
      <c r="N3849" t="s">
        <v>2156</v>
      </c>
      <c r="O3849" t="s">
        <v>3036</v>
      </c>
      <c r="P3849" t="s">
        <v>3108</v>
      </c>
      <c r="Q3849">
        <v>231.5</v>
      </c>
      <c r="R3849" s="1" t="s">
        <v>1839</v>
      </c>
      <c r="S3849">
        <v>7310</v>
      </c>
      <c r="T3849">
        <v>1692265</v>
      </c>
    </row>
    <row r="3850" spans="1:20" hidden="1" x14ac:dyDescent="0.4">
      <c r="A3850" s="1" t="s">
        <v>1452</v>
      </c>
      <c r="B3850" s="1" t="s">
        <v>1454</v>
      </c>
      <c r="C3850" s="1" t="s">
        <v>1844</v>
      </c>
      <c r="D3850" s="1" t="s">
        <v>1462</v>
      </c>
      <c r="E3850">
        <v>20251226</v>
      </c>
      <c r="F3850" s="1" t="s">
        <v>1472</v>
      </c>
      <c r="G3850">
        <v>4</v>
      </c>
      <c r="H3850" s="1" t="s">
        <v>1540</v>
      </c>
      <c r="I3850" t="s">
        <v>1920</v>
      </c>
      <c r="J3850" s="1" t="s">
        <v>1457</v>
      </c>
      <c r="K3850" s="1" t="s">
        <v>1642</v>
      </c>
      <c r="L3850" s="1" t="s">
        <v>1725</v>
      </c>
      <c r="M3850" s="1" t="s">
        <v>1737</v>
      </c>
      <c r="N3850" t="s">
        <v>2023</v>
      </c>
      <c r="O3850" t="s">
        <v>2157</v>
      </c>
      <c r="P3850" t="s">
        <v>2157</v>
      </c>
      <c r="Q3850">
        <v>1</v>
      </c>
      <c r="R3850" s="1" t="s">
        <v>1843</v>
      </c>
      <c r="S3850">
        <v>37709</v>
      </c>
      <c r="T3850">
        <v>37709</v>
      </c>
    </row>
  </sheetData>
  <autoFilter ref="A1:T3850" xr:uid="{054C3829-1BAB-4C65-ACD8-B536142C73C7}">
    <filterColumn colId="2">
      <filters>
        <filter val="SL"/>
      </filters>
    </filterColumn>
    <filterColumn colId="5">
      <filters>
        <filter val="950"/>
      </filters>
    </filterColumn>
  </autoFilter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5D706-0F55-4D0D-8BC7-91C3E3FDCB05}">
  <sheetPr filterMode="1"/>
  <dimension ref="A1:H366"/>
  <sheetViews>
    <sheetView workbookViewId="0">
      <selection activeCell="A250" sqref="A250:XFD303"/>
    </sheetView>
  </sheetViews>
  <sheetFormatPr defaultRowHeight="18.75" x14ac:dyDescent="0.4"/>
  <cols>
    <col min="1" max="1" width="7.5" style="1" bestFit="1" customWidth="1"/>
    <col min="2" max="2" width="7.875" style="1" bestFit="1" customWidth="1"/>
    <col min="3" max="3" width="15.5" style="1" bestFit="1" customWidth="1"/>
    <col min="4" max="4" width="9" style="1"/>
    <col min="5" max="5" width="8.375" bestFit="1" customWidth="1"/>
    <col min="6" max="6" width="27.375" bestFit="1" customWidth="1"/>
    <col min="7" max="8" width="11" bestFit="1" customWidth="1"/>
  </cols>
  <sheetData>
    <row r="1" spans="1:8" x14ac:dyDescent="0.4">
      <c r="A1" s="2" t="s">
        <v>3663</v>
      </c>
      <c r="B1" s="2" t="s">
        <v>4</v>
      </c>
      <c r="C1" s="2" t="s">
        <v>3664</v>
      </c>
      <c r="D1" s="2" t="s">
        <v>2</v>
      </c>
      <c r="E1" s="3" t="s">
        <v>3665</v>
      </c>
      <c r="F1" s="3" t="s">
        <v>11</v>
      </c>
      <c r="G1" s="3" t="s">
        <v>3666</v>
      </c>
      <c r="H1" s="3" t="s">
        <v>3667</v>
      </c>
    </row>
    <row r="2" spans="1:8" x14ac:dyDescent="0.4">
      <c r="A2" s="93" t="s">
        <v>3668</v>
      </c>
      <c r="B2" s="1" t="s">
        <v>4170</v>
      </c>
      <c r="C2" s="1" t="s">
        <v>4175</v>
      </c>
      <c r="D2" s="1" t="s">
        <v>3669</v>
      </c>
      <c r="E2" t="s">
        <v>3670</v>
      </c>
      <c r="F2" t="s">
        <v>2027</v>
      </c>
      <c r="G2">
        <v>0</v>
      </c>
      <c r="H2">
        <v>0</v>
      </c>
    </row>
    <row r="3" spans="1:8" x14ac:dyDescent="0.4">
      <c r="A3" s="93" t="s">
        <v>3668</v>
      </c>
      <c r="B3" s="1" t="s">
        <v>1473</v>
      </c>
      <c r="C3" s="1" t="s">
        <v>4175</v>
      </c>
      <c r="D3" s="1" t="s">
        <v>3669</v>
      </c>
      <c r="E3" t="s">
        <v>3671</v>
      </c>
      <c r="F3" t="s">
        <v>3672</v>
      </c>
      <c r="G3">
        <v>1638.22</v>
      </c>
      <c r="H3">
        <v>1949449</v>
      </c>
    </row>
    <row r="4" spans="1:8" x14ac:dyDescent="0.4">
      <c r="A4" s="93" t="s">
        <v>3668</v>
      </c>
      <c r="B4" s="1" t="s">
        <v>1473</v>
      </c>
      <c r="C4" s="1" t="s">
        <v>4175</v>
      </c>
      <c r="D4" s="1" t="s">
        <v>3669</v>
      </c>
      <c r="E4" t="s">
        <v>3673</v>
      </c>
      <c r="F4" t="s">
        <v>3674</v>
      </c>
      <c r="G4">
        <v>8816.5</v>
      </c>
      <c r="H4">
        <v>0</v>
      </c>
    </row>
    <row r="5" spans="1:8" x14ac:dyDescent="0.4">
      <c r="A5" s="93" t="s">
        <v>3668</v>
      </c>
      <c r="B5" s="1" t="s">
        <v>1473</v>
      </c>
      <c r="C5" s="1" t="s">
        <v>4175</v>
      </c>
      <c r="D5" s="1" t="s">
        <v>3669</v>
      </c>
      <c r="E5" t="s">
        <v>3675</v>
      </c>
      <c r="F5" t="s">
        <v>1983</v>
      </c>
      <c r="G5">
        <v>0</v>
      </c>
      <c r="H5">
        <v>0</v>
      </c>
    </row>
    <row r="6" spans="1:8" x14ac:dyDescent="0.4">
      <c r="A6" s="93" t="s">
        <v>3668</v>
      </c>
      <c r="B6" s="1" t="s">
        <v>1473</v>
      </c>
      <c r="C6" s="1" t="s">
        <v>4175</v>
      </c>
      <c r="D6" s="1" t="s">
        <v>3669</v>
      </c>
      <c r="E6" t="s">
        <v>3676</v>
      </c>
      <c r="F6" t="s">
        <v>1982</v>
      </c>
      <c r="G6">
        <v>0</v>
      </c>
      <c r="H6">
        <v>0</v>
      </c>
    </row>
    <row r="7" spans="1:8" x14ac:dyDescent="0.4">
      <c r="A7" s="93" t="s">
        <v>3668</v>
      </c>
      <c r="B7" s="1" t="s">
        <v>1473</v>
      </c>
      <c r="C7" s="1" t="s">
        <v>4175</v>
      </c>
      <c r="D7" s="1" t="s">
        <v>3669</v>
      </c>
      <c r="E7" t="s">
        <v>3677</v>
      </c>
      <c r="F7" t="s">
        <v>1957</v>
      </c>
      <c r="G7">
        <v>0</v>
      </c>
      <c r="H7">
        <v>0</v>
      </c>
    </row>
    <row r="8" spans="1:8" x14ac:dyDescent="0.4">
      <c r="A8" s="93" t="s">
        <v>3668</v>
      </c>
      <c r="B8" s="1" t="s">
        <v>1473</v>
      </c>
      <c r="C8" s="1" t="s">
        <v>4175</v>
      </c>
      <c r="D8" s="1" t="s">
        <v>3669</v>
      </c>
      <c r="E8" t="s">
        <v>3678</v>
      </c>
      <c r="F8" t="s">
        <v>1985</v>
      </c>
      <c r="G8">
        <v>0</v>
      </c>
      <c r="H8">
        <v>0</v>
      </c>
    </row>
    <row r="9" spans="1:8" x14ac:dyDescent="0.4">
      <c r="A9" s="93" t="s">
        <v>3668</v>
      </c>
      <c r="B9" s="1" t="s">
        <v>1473</v>
      </c>
      <c r="C9" s="1" t="s">
        <v>4175</v>
      </c>
      <c r="D9" s="1" t="s">
        <v>3669</v>
      </c>
      <c r="E9" t="s">
        <v>3679</v>
      </c>
      <c r="F9" t="s">
        <v>1973</v>
      </c>
      <c r="G9">
        <v>0</v>
      </c>
      <c r="H9">
        <v>0</v>
      </c>
    </row>
    <row r="10" spans="1:8" x14ac:dyDescent="0.4">
      <c r="A10" s="93" t="s">
        <v>3668</v>
      </c>
      <c r="B10" s="1" t="s">
        <v>1473</v>
      </c>
      <c r="C10" s="1" t="s">
        <v>4175</v>
      </c>
      <c r="D10" s="1" t="s">
        <v>3669</v>
      </c>
      <c r="E10" t="s">
        <v>3680</v>
      </c>
      <c r="F10" t="s">
        <v>1976</v>
      </c>
      <c r="G10">
        <v>0</v>
      </c>
      <c r="H10">
        <v>0</v>
      </c>
    </row>
    <row r="11" spans="1:8" x14ac:dyDescent="0.4">
      <c r="A11" s="93" t="s">
        <v>3668</v>
      </c>
      <c r="B11" s="1" t="s">
        <v>1473</v>
      </c>
      <c r="C11" s="1" t="s">
        <v>4175</v>
      </c>
      <c r="D11" s="1" t="s">
        <v>3669</v>
      </c>
      <c r="E11" t="s">
        <v>3681</v>
      </c>
      <c r="F11" t="s">
        <v>1989</v>
      </c>
      <c r="G11">
        <v>0</v>
      </c>
      <c r="H11">
        <v>0</v>
      </c>
    </row>
    <row r="12" spans="1:8" x14ac:dyDescent="0.4">
      <c r="A12" s="93" t="s">
        <v>3668</v>
      </c>
      <c r="B12" s="1" t="s">
        <v>1473</v>
      </c>
      <c r="C12" s="1" t="s">
        <v>4175</v>
      </c>
      <c r="D12" s="1" t="s">
        <v>3669</v>
      </c>
      <c r="E12" t="s">
        <v>3682</v>
      </c>
      <c r="F12" t="s">
        <v>2026</v>
      </c>
      <c r="G12">
        <v>0</v>
      </c>
      <c r="H12">
        <v>0</v>
      </c>
    </row>
    <row r="13" spans="1:8" hidden="1" x14ac:dyDescent="0.4">
      <c r="A13" s="93" t="s">
        <v>3668</v>
      </c>
      <c r="B13" s="1" t="s">
        <v>1473</v>
      </c>
      <c r="C13" s="1" t="s">
        <v>4171</v>
      </c>
      <c r="D13" s="1" t="s">
        <v>3669</v>
      </c>
      <c r="E13" t="s">
        <v>3683</v>
      </c>
      <c r="F13" t="s">
        <v>1988</v>
      </c>
      <c r="G13">
        <v>0</v>
      </c>
      <c r="H13">
        <v>0</v>
      </c>
    </row>
    <row r="14" spans="1:8" hidden="1" x14ac:dyDescent="0.4">
      <c r="A14" s="93" t="s">
        <v>3668</v>
      </c>
      <c r="B14" s="1" t="s">
        <v>1473</v>
      </c>
      <c r="C14" s="1" t="s">
        <v>4171</v>
      </c>
      <c r="D14" s="1" t="s">
        <v>3669</v>
      </c>
      <c r="E14" t="s">
        <v>3684</v>
      </c>
      <c r="F14" t="s">
        <v>1977</v>
      </c>
      <c r="G14">
        <v>0</v>
      </c>
      <c r="H14">
        <v>0</v>
      </c>
    </row>
    <row r="15" spans="1:8" hidden="1" x14ac:dyDescent="0.4">
      <c r="A15" s="93" t="s">
        <v>3668</v>
      </c>
      <c r="B15" s="1" t="s">
        <v>1473</v>
      </c>
      <c r="C15" s="1" t="s">
        <v>4171</v>
      </c>
      <c r="D15" s="1" t="s">
        <v>3669</v>
      </c>
      <c r="E15" t="s">
        <v>3685</v>
      </c>
      <c r="F15" t="s">
        <v>3672</v>
      </c>
      <c r="G15">
        <v>3</v>
      </c>
      <c r="H15">
        <v>3570</v>
      </c>
    </row>
    <row r="16" spans="1:8" hidden="1" x14ac:dyDescent="0.4">
      <c r="A16" s="93" t="s">
        <v>3668</v>
      </c>
      <c r="B16" s="1" t="s">
        <v>1473</v>
      </c>
      <c r="C16" s="1" t="s">
        <v>4171</v>
      </c>
      <c r="D16" s="1" t="s">
        <v>3669</v>
      </c>
      <c r="E16" t="s">
        <v>3686</v>
      </c>
      <c r="F16" t="s">
        <v>1962</v>
      </c>
      <c r="G16">
        <v>848.02</v>
      </c>
      <c r="H16">
        <v>2128975</v>
      </c>
    </row>
    <row r="17" spans="1:8" hidden="1" x14ac:dyDescent="0.4">
      <c r="A17" s="93" t="s">
        <v>3668</v>
      </c>
      <c r="B17" s="1" t="s">
        <v>1473</v>
      </c>
      <c r="C17" s="1" t="s">
        <v>4171</v>
      </c>
      <c r="D17" s="1" t="s">
        <v>3669</v>
      </c>
      <c r="E17" t="s">
        <v>3687</v>
      </c>
      <c r="F17" t="s">
        <v>2098</v>
      </c>
      <c r="G17">
        <v>0</v>
      </c>
      <c r="H17">
        <v>0</v>
      </c>
    </row>
    <row r="18" spans="1:8" hidden="1" x14ac:dyDescent="0.4">
      <c r="A18" s="93" t="s">
        <v>3668</v>
      </c>
      <c r="B18" s="1" t="s">
        <v>1473</v>
      </c>
      <c r="C18" s="1" t="s">
        <v>4171</v>
      </c>
      <c r="D18" s="1" t="s">
        <v>3669</v>
      </c>
      <c r="E18" t="s">
        <v>3688</v>
      </c>
      <c r="F18" t="s">
        <v>2099</v>
      </c>
      <c r="G18">
        <v>683.31</v>
      </c>
      <c r="H18">
        <v>867312</v>
      </c>
    </row>
    <row r="19" spans="1:8" hidden="1" x14ac:dyDescent="0.4">
      <c r="A19" s="93" t="s">
        <v>3668</v>
      </c>
      <c r="B19" s="1" t="s">
        <v>1473</v>
      </c>
      <c r="C19" s="1" t="s">
        <v>4171</v>
      </c>
      <c r="D19" s="1" t="s">
        <v>3669</v>
      </c>
      <c r="E19" t="s">
        <v>3689</v>
      </c>
      <c r="F19" t="s">
        <v>2124</v>
      </c>
      <c r="G19">
        <v>557.63</v>
      </c>
      <c r="H19">
        <v>1434193</v>
      </c>
    </row>
    <row r="20" spans="1:8" hidden="1" x14ac:dyDescent="0.4">
      <c r="A20" s="93" t="s">
        <v>3668</v>
      </c>
      <c r="B20" s="1" t="s">
        <v>1473</v>
      </c>
      <c r="C20" s="1" t="s">
        <v>4171</v>
      </c>
      <c r="D20" s="1" t="s">
        <v>3669</v>
      </c>
      <c r="E20" t="s">
        <v>3690</v>
      </c>
      <c r="F20" t="s">
        <v>1961</v>
      </c>
      <c r="G20">
        <v>1476.37</v>
      </c>
      <c r="H20">
        <v>2924646</v>
      </c>
    </row>
    <row r="21" spans="1:8" hidden="1" x14ac:dyDescent="0.4">
      <c r="A21" s="93" t="s">
        <v>3668</v>
      </c>
      <c r="B21" s="1" t="s">
        <v>1473</v>
      </c>
      <c r="C21" s="1" t="s">
        <v>4171</v>
      </c>
      <c r="D21" s="1" t="s">
        <v>3669</v>
      </c>
      <c r="E21" t="s">
        <v>3691</v>
      </c>
      <c r="F21" t="s">
        <v>1959</v>
      </c>
      <c r="G21">
        <v>776.76</v>
      </c>
      <c r="H21">
        <v>1849457</v>
      </c>
    </row>
    <row r="22" spans="1:8" hidden="1" x14ac:dyDescent="0.4">
      <c r="A22" s="93" t="s">
        <v>3668</v>
      </c>
      <c r="B22" s="1" t="s">
        <v>1473</v>
      </c>
      <c r="C22" s="1" t="s">
        <v>4171</v>
      </c>
      <c r="D22" s="1" t="s">
        <v>3669</v>
      </c>
      <c r="E22" t="s">
        <v>3692</v>
      </c>
      <c r="F22" t="s">
        <v>2100</v>
      </c>
      <c r="G22">
        <v>-0.09</v>
      </c>
      <c r="H22">
        <v>-199</v>
      </c>
    </row>
    <row r="23" spans="1:8" hidden="1" x14ac:dyDescent="0.4">
      <c r="A23" s="93" t="s">
        <v>3668</v>
      </c>
      <c r="B23" s="1" t="s">
        <v>1473</v>
      </c>
      <c r="C23" s="1" t="s">
        <v>4171</v>
      </c>
      <c r="D23" s="1" t="s">
        <v>3669</v>
      </c>
      <c r="E23" t="s">
        <v>3693</v>
      </c>
      <c r="F23" t="s">
        <v>2100</v>
      </c>
      <c r="G23">
        <v>0</v>
      </c>
      <c r="H23">
        <v>0</v>
      </c>
    </row>
    <row r="24" spans="1:8" hidden="1" x14ac:dyDescent="0.4">
      <c r="A24" s="93" t="s">
        <v>3668</v>
      </c>
      <c r="B24" s="1" t="s">
        <v>1473</v>
      </c>
      <c r="C24" s="1" t="s">
        <v>4171</v>
      </c>
      <c r="D24" s="1" t="s">
        <v>3669</v>
      </c>
      <c r="E24" t="s">
        <v>3694</v>
      </c>
      <c r="F24" t="s">
        <v>1963</v>
      </c>
      <c r="G24">
        <v>752.02</v>
      </c>
      <c r="H24">
        <v>1807089</v>
      </c>
    </row>
    <row r="25" spans="1:8" hidden="1" x14ac:dyDescent="0.4">
      <c r="A25" s="93" t="s">
        <v>3668</v>
      </c>
      <c r="B25" s="1" t="s">
        <v>1473</v>
      </c>
      <c r="C25" s="1" t="s">
        <v>4171</v>
      </c>
      <c r="D25" s="1" t="s">
        <v>3669</v>
      </c>
      <c r="E25" t="s">
        <v>3695</v>
      </c>
      <c r="F25" t="s">
        <v>3696</v>
      </c>
      <c r="G25">
        <v>2257.0300000000002</v>
      </c>
      <c r="H25">
        <v>1954414</v>
      </c>
    </row>
    <row r="26" spans="1:8" hidden="1" x14ac:dyDescent="0.4">
      <c r="A26" s="93" t="s">
        <v>3668</v>
      </c>
      <c r="B26" s="1" t="s">
        <v>1473</v>
      </c>
      <c r="C26" s="1" t="s">
        <v>4171</v>
      </c>
      <c r="D26" s="1" t="s">
        <v>3669</v>
      </c>
      <c r="E26" t="s">
        <v>3697</v>
      </c>
      <c r="F26" t="s">
        <v>3696</v>
      </c>
      <c r="G26">
        <v>69.16</v>
      </c>
      <c r="H26">
        <v>47919</v>
      </c>
    </row>
    <row r="27" spans="1:8" hidden="1" x14ac:dyDescent="0.4">
      <c r="A27" s="93" t="s">
        <v>3668</v>
      </c>
      <c r="B27" s="1" t="s">
        <v>1473</v>
      </c>
      <c r="C27" s="1" t="s">
        <v>4171</v>
      </c>
      <c r="D27" s="1" t="s">
        <v>3669</v>
      </c>
      <c r="E27" t="s">
        <v>3698</v>
      </c>
      <c r="F27" t="s">
        <v>3699</v>
      </c>
      <c r="G27">
        <v>422.1</v>
      </c>
      <c r="H27">
        <v>1244316</v>
      </c>
    </row>
    <row r="28" spans="1:8" hidden="1" x14ac:dyDescent="0.4">
      <c r="A28" s="93" t="s">
        <v>3668</v>
      </c>
      <c r="B28" s="1" t="s">
        <v>1473</v>
      </c>
      <c r="C28" s="1" t="s">
        <v>4171</v>
      </c>
      <c r="D28" s="1" t="s">
        <v>3669</v>
      </c>
      <c r="E28" t="s">
        <v>3700</v>
      </c>
      <c r="F28" t="s">
        <v>2061</v>
      </c>
      <c r="G28">
        <v>0</v>
      </c>
      <c r="H28">
        <v>0</v>
      </c>
    </row>
    <row r="29" spans="1:8" hidden="1" x14ac:dyDescent="0.4">
      <c r="A29" s="93" t="s">
        <v>3668</v>
      </c>
      <c r="B29" s="1" t="s">
        <v>1473</v>
      </c>
      <c r="C29" s="1" t="s">
        <v>4171</v>
      </c>
      <c r="D29" s="1" t="s">
        <v>3669</v>
      </c>
      <c r="E29" t="s">
        <v>3701</v>
      </c>
      <c r="F29" t="s">
        <v>1964</v>
      </c>
      <c r="G29">
        <v>0</v>
      </c>
      <c r="H29">
        <v>0</v>
      </c>
    </row>
    <row r="30" spans="1:8" hidden="1" x14ac:dyDescent="0.4">
      <c r="A30" s="93" t="s">
        <v>3668</v>
      </c>
      <c r="B30" s="1" t="s">
        <v>1473</v>
      </c>
      <c r="C30" s="1" t="s">
        <v>4171</v>
      </c>
      <c r="D30" s="1" t="s">
        <v>3669</v>
      </c>
      <c r="E30" t="s">
        <v>3702</v>
      </c>
      <c r="F30" t="s">
        <v>2128</v>
      </c>
      <c r="G30">
        <v>0</v>
      </c>
      <c r="H30">
        <v>0</v>
      </c>
    </row>
    <row r="31" spans="1:8" hidden="1" x14ac:dyDescent="0.4">
      <c r="A31" s="93" t="s">
        <v>3668</v>
      </c>
      <c r="B31" s="1" t="s">
        <v>1473</v>
      </c>
      <c r="C31" s="1" t="s">
        <v>4171</v>
      </c>
      <c r="D31" s="1" t="s">
        <v>3669</v>
      </c>
      <c r="E31" t="s">
        <v>3703</v>
      </c>
      <c r="F31" t="s">
        <v>1983</v>
      </c>
      <c r="G31">
        <v>0</v>
      </c>
      <c r="H31">
        <v>0</v>
      </c>
    </row>
    <row r="32" spans="1:8" hidden="1" x14ac:dyDescent="0.4">
      <c r="A32" s="93" t="s">
        <v>3668</v>
      </c>
      <c r="B32" s="1" t="s">
        <v>1473</v>
      </c>
      <c r="C32" s="1" t="s">
        <v>4171</v>
      </c>
      <c r="D32" s="1" t="s">
        <v>3669</v>
      </c>
      <c r="E32" t="s">
        <v>3704</v>
      </c>
      <c r="F32" t="s">
        <v>1983</v>
      </c>
      <c r="G32">
        <v>0</v>
      </c>
      <c r="H32">
        <v>0</v>
      </c>
    </row>
    <row r="33" spans="1:8" hidden="1" x14ac:dyDescent="0.4">
      <c r="A33" s="93" t="s">
        <v>3668</v>
      </c>
      <c r="B33" s="1" t="s">
        <v>1473</v>
      </c>
      <c r="C33" s="1" t="s">
        <v>4171</v>
      </c>
      <c r="D33" s="1" t="s">
        <v>3669</v>
      </c>
      <c r="E33" t="s">
        <v>3705</v>
      </c>
      <c r="F33" t="s">
        <v>1982</v>
      </c>
      <c r="G33">
        <v>0</v>
      </c>
      <c r="H33">
        <v>0</v>
      </c>
    </row>
    <row r="34" spans="1:8" hidden="1" x14ac:dyDescent="0.4">
      <c r="A34" s="93" t="s">
        <v>3668</v>
      </c>
      <c r="B34" s="1" t="s">
        <v>1473</v>
      </c>
      <c r="C34" s="1" t="s">
        <v>4171</v>
      </c>
      <c r="D34" s="1" t="s">
        <v>3669</v>
      </c>
      <c r="E34" t="s">
        <v>3706</v>
      </c>
      <c r="F34" t="s">
        <v>1957</v>
      </c>
      <c r="G34">
        <v>0</v>
      </c>
      <c r="H34">
        <v>0</v>
      </c>
    </row>
    <row r="35" spans="1:8" hidden="1" x14ac:dyDescent="0.4">
      <c r="A35" s="93" t="s">
        <v>3668</v>
      </c>
      <c r="B35" s="1" t="s">
        <v>1473</v>
      </c>
      <c r="C35" s="1" t="s">
        <v>4171</v>
      </c>
      <c r="D35" s="1" t="s">
        <v>3669</v>
      </c>
      <c r="E35" t="s">
        <v>3707</v>
      </c>
      <c r="F35" t="s">
        <v>1985</v>
      </c>
      <c r="G35">
        <v>0</v>
      </c>
      <c r="H35">
        <v>0</v>
      </c>
    </row>
    <row r="36" spans="1:8" hidden="1" x14ac:dyDescent="0.4">
      <c r="A36" s="93" t="s">
        <v>3668</v>
      </c>
      <c r="B36" s="1" t="s">
        <v>1473</v>
      </c>
      <c r="C36" s="1" t="s">
        <v>4171</v>
      </c>
      <c r="D36" s="1" t="s">
        <v>3669</v>
      </c>
      <c r="E36" t="s">
        <v>3708</v>
      </c>
      <c r="F36" t="s">
        <v>1973</v>
      </c>
      <c r="G36">
        <v>0</v>
      </c>
      <c r="H36">
        <v>0</v>
      </c>
    </row>
    <row r="37" spans="1:8" hidden="1" x14ac:dyDescent="0.4">
      <c r="A37" s="93" t="s">
        <v>3668</v>
      </c>
      <c r="B37" s="1" t="s">
        <v>1473</v>
      </c>
      <c r="C37" s="1" t="s">
        <v>4171</v>
      </c>
      <c r="D37" s="1" t="s">
        <v>3669</v>
      </c>
      <c r="E37" t="s">
        <v>3709</v>
      </c>
      <c r="F37" t="s">
        <v>2127</v>
      </c>
      <c r="G37">
        <v>0</v>
      </c>
      <c r="H37">
        <v>0</v>
      </c>
    </row>
    <row r="38" spans="1:8" hidden="1" x14ac:dyDescent="0.4">
      <c r="A38" s="93" t="s">
        <v>3668</v>
      </c>
      <c r="B38" s="1" t="s">
        <v>1473</v>
      </c>
      <c r="C38" s="1" t="s">
        <v>4171</v>
      </c>
      <c r="D38" s="1" t="s">
        <v>3669</v>
      </c>
      <c r="E38" t="s">
        <v>3710</v>
      </c>
      <c r="F38" t="s">
        <v>1984</v>
      </c>
      <c r="G38">
        <v>0</v>
      </c>
      <c r="H38">
        <v>0</v>
      </c>
    </row>
    <row r="39" spans="1:8" hidden="1" x14ac:dyDescent="0.4">
      <c r="A39" s="93" t="s">
        <v>3668</v>
      </c>
      <c r="B39" s="1" t="s">
        <v>1473</v>
      </c>
      <c r="C39" s="1" t="s">
        <v>4171</v>
      </c>
      <c r="D39" s="1" t="s">
        <v>3669</v>
      </c>
      <c r="E39" t="s">
        <v>3711</v>
      </c>
      <c r="F39" t="s">
        <v>2129</v>
      </c>
      <c r="G39">
        <v>0</v>
      </c>
      <c r="H39">
        <v>0</v>
      </c>
    </row>
    <row r="40" spans="1:8" hidden="1" x14ac:dyDescent="0.4">
      <c r="A40" s="93" t="s">
        <v>3668</v>
      </c>
      <c r="B40" s="1" t="s">
        <v>1473</v>
      </c>
      <c r="C40" s="1" t="s">
        <v>4171</v>
      </c>
      <c r="D40" s="1" t="s">
        <v>3669</v>
      </c>
      <c r="E40" t="s">
        <v>3712</v>
      </c>
      <c r="F40" t="s">
        <v>1976</v>
      </c>
      <c r="G40">
        <v>5642.01</v>
      </c>
      <c r="H40">
        <v>4835146</v>
      </c>
    </row>
    <row r="41" spans="1:8" hidden="1" x14ac:dyDescent="0.4">
      <c r="A41" s="93" t="s">
        <v>3668</v>
      </c>
      <c r="B41" s="1" t="s">
        <v>1473</v>
      </c>
      <c r="C41" s="1" t="s">
        <v>4171</v>
      </c>
      <c r="D41" s="1" t="s">
        <v>3669</v>
      </c>
      <c r="E41" t="s">
        <v>3713</v>
      </c>
      <c r="F41" t="s">
        <v>1989</v>
      </c>
      <c r="G41">
        <v>1595.76</v>
      </c>
      <c r="H41">
        <v>3587252</v>
      </c>
    </row>
    <row r="42" spans="1:8" hidden="1" x14ac:dyDescent="0.4">
      <c r="A42" s="93" t="s">
        <v>3668</v>
      </c>
      <c r="B42" s="1" t="s">
        <v>1473</v>
      </c>
      <c r="C42" s="1" t="s">
        <v>4171</v>
      </c>
      <c r="D42" s="1" t="s">
        <v>3669</v>
      </c>
      <c r="E42" t="s">
        <v>3714</v>
      </c>
      <c r="F42" t="s">
        <v>1960</v>
      </c>
      <c r="G42">
        <v>0.01</v>
      </c>
      <c r="H42">
        <v>28</v>
      </c>
    </row>
    <row r="43" spans="1:8" hidden="1" x14ac:dyDescent="0.4">
      <c r="A43" s="93" t="s">
        <v>3668</v>
      </c>
      <c r="B43" s="1" t="s">
        <v>1473</v>
      </c>
      <c r="C43" s="1" t="s">
        <v>4171</v>
      </c>
      <c r="D43" s="1" t="s">
        <v>3669</v>
      </c>
      <c r="E43" t="s">
        <v>3715</v>
      </c>
      <c r="F43" t="s">
        <v>2026</v>
      </c>
      <c r="G43">
        <v>0</v>
      </c>
      <c r="H43">
        <v>0</v>
      </c>
    </row>
    <row r="44" spans="1:8" hidden="1" x14ac:dyDescent="0.4">
      <c r="A44" s="93" t="s">
        <v>3668</v>
      </c>
      <c r="B44" s="1" t="s">
        <v>1473</v>
      </c>
      <c r="C44" s="1" t="s">
        <v>4171</v>
      </c>
      <c r="D44" s="1" t="s">
        <v>3669</v>
      </c>
      <c r="E44" t="s">
        <v>3716</v>
      </c>
      <c r="F44" t="s">
        <v>1958</v>
      </c>
      <c r="G44">
        <v>0</v>
      </c>
      <c r="H44">
        <v>0</v>
      </c>
    </row>
    <row r="45" spans="1:8" hidden="1" x14ac:dyDescent="0.4">
      <c r="A45" s="93" t="s">
        <v>3668</v>
      </c>
      <c r="B45" s="1" t="s">
        <v>1473</v>
      </c>
      <c r="C45" s="1" t="s">
        <v>4171</v>
      </c>
      <c r="D45" s="1" t="s">
        <v>3669</v>
      </c>
      <c r="E45" t="s">
        <v>3717</v>
      </c>
      <c r="F45" t="s">
        <v>1992</v>
      </c>
      <c r="G45">
        <v>0</v>
      </c>
      <c r="H45">
        <v>0</v>
      </c>
    </row>
    <row r="46" spans="1:8" hidden="1" x14ac:dyDescent="0.4">
      <c r="A46" s="93" t="s">
        <v>3668</v>
      </c>
      <c r="B46" s="1" t="s">
        <v>1473</v>
      </c>
      <c r="C46" s="1" t="s">
        <v>4171</v>
      </c>
      <c r="D46" s="1" t="s">
        <v>3669</v>
      </c>
      <c r="E46" t="s">
        <v>3718</v>
      </c>
      <c r="F46" t="s">
        <v>1970</v>
      </c>
      <c r="G46">
        <v>0</v>
      </c>
      <c r="H46">
        <v>0</v>
      </c>
    </row>
    <row r="47" spans="1:8" hidden="1" x14ac:dyDescent="0.4">
      <c r="A47" s="93" t="s">
        <v>3668</v>
      </c>
      <c r="B47" s="1" t="s">
        <v>1473</v>
      </c>
      <c r="C47" s="1" t="s">
        <v>4171</v>
      </c>
      <c r="D47" s="1" t="s">
        <v>3669</v>
      </c>
      <c r="E47" t="s">
        <v>3719</v>
      </c>
      <c r="F47" t="s">
        <v>2059</v>
      </c>
      <c r="G47">
        <v>0</v>
      </c>
      <c r="H47">
        <v>0</v>
      </c>
    </row>
    <row r="48" spans="1:8" hidden="1" x14ac:dyDescent="0.4">
      <c r="A48" s="93" t="s">
        <v>3668</v>
      </c>
      <c r="B48" s="1" t="s">
        <v>1473</v>
      </c>
      <c r="C48" s="1" t="s">
        <v>4171</v>
      </c>
      <c r="D48" s="1" t="s">
        <v>3669</v>
      </c>
      <c r="E48" t="s">
        <v>3720</v>
      </c>
      <c r="F48" t="s">
        <v>1971</v>
      </c>
      <c r="G48">
        <v>0</v>
      </c>
      <c r="H48">
        <v>0</v>
      </c>
    </row>
    <row r="49" spans="1:8" hidden="1" x14ac:dyDescent="0.4">
      <c r="A49" s="93" t="s">
        <v>3668</v>
      </c>
      <c r="B49" s="1" t="s">
        <v>1473</v>
      </c>
      <c r="C49" s="1" t="s">
        <v>4171</v>
      </c>
      <c r="D49" s="1" t="s">
        <v>3669</v>
      </c>
      <c r="E49" t="s">
        <v>3721</v>
      </c>
      <c r="F49" t="s">
        <v>2061</v>
      </c>
      <c r="G49">
        <v>0</v>
      </c>
      <c r="H49">
        <v>0</v>
      </c>
    </row>
    <row r="50" spans="1:8" hidden="1" x14ac:dyDescent="0.4">
      <c r="A50" s="93" t="s">
        <v>3668</v>
      </c>
      <c r="B50" s="1" t="s">
        <v>1473</v>
      </c>
      <c r="C50" s="1" t="s">
        <v>4171</v>
      </c>
      <c r="D50" s="1" t="s">
        <v>3669</v>
      </c>
      <c r="E50" t="s">
        <v>3722</v>
      </c>
      <c r="F50" t="s">
        <v>2085</v>
      </c>
      <c r="G50">
        <v>31.2</v>
      </c>
      <c r="H50">
        <v>31200</v>
      </c>
    </row>
    <row r="51" spans="1:8" hidden="1" x14ac:dyDescent="0.4">
      <c r="A51" s="93" t="s">
        <v>3668</v>
      </c>
      <c r="B51" s="1" t="s">
        <v>1473</v>
      </c>
      <c r="C51" s="1" t="s">
        <v>4176</v>
      </c>
      <c r="D51" s="1" t="s">
        <v>3669</v>
      </c>
      <c r="E51" t="s">
        <v>3685</v>
      </c>
      <c r="F51" t="s">
        <v>3672</v>
      </c>
      <c r="G51">
        <v>3</v>
      </c>
      <c r="H51">
        <v>3570</v>
      </c>
    </row>
    <row r="52" spans="1:8" hidden="1" x14ac:dyDescent="0.4">
      <c r="A52" s="93" t="s">
        <v>3668</v>
      </c>
      <c r="B52" s="1" t="s">
        <v>1473</v>
      </c>
      <c r="C52" s="1" t="s">
        <v>4176</v>
      </c>
      <c r="D52" s="1" t="s">
        <v>3669</v>
      </c>
      <c r="E52" t="s">
        <v>3671</v>
      </c>
      <c r="F52" t="s">
        <v>3672</v>
      </c>
      <c r="G52">
        <v>1638.22</v>
      </c>
      <c r="H52">
        <v>1949449</v>
      </c>
    </row>
    <row r="53" spans="1:8" hidden="1" x14ac:dyDescent="0.4">
      <c r="A53" s="93" t="s">
        <v>3668</v>
      </c>
      <c r="B53" s="1" t="s">
        <v>1473</v>
      </c>
      <c r="C53" s="1" t="s">
        <v>4176</v>
      </c>
      <c r="D53" s="1" t="s">
        <v>3669</v>
      </c>
      <c r="E53" t="s">
        <v>3694</v>
      </c>
      <c r="F53" t="s">
        <v>1963</v>
      </c>
      <c r="G53">
        <v>752.02</v>
      </c>
      <c r="H53">
        <v>1807089</v>
      </c>
    </row>
    <row r="54" spans="1:8" hidden="1" x14ac:dyDescent="0.4">
      <c r="A54" s="93" t="s">
        <v>3668</v>
      </c>
      <c r="B54" s="1" t="s">
        <v>1473</v>
      </c>
      <c r="C54" s="1" t="s">
        <v>4176</v>
      </c>
      <c r="D54" s="1" t="s">
        <v>3669</v>
      </c>
      <c r="E54" t="s">
        <v>3698</v>
      </c>
      <c r="F54" t="s">
        <v>3699</v>
      </c>
      <c r="G54">
        <v>422.1</v>
      </c>
      <c r="H54">
        <v>1244316</v>
      </c>
    </row>
    <row r="55" spans="1:8" hidden="1" x14ac:dyDescent="0.4">
      <c r="A55" s="93" t="s">
        <v>3668</v>
      </c>
      <c r="B55" s="1" t="s">
        <v>1473</v>
      </c>
      <c r="C55" s="1" t="s">
        <v>4176</v>
      </c>
      <c r="D55" s="1" t="s">
        <v>3669</v>
      </c>
      <c r="E55" t="s">
        <v>3687</v>
      </c>
      <c r="F55" t="s">
        <v>2098</v>
      </c>
      <c r="G55">
        <v>0</v>
      </c>
      <c r="H55">
        <v>0</v>
      </c>
    </row>
    <row r="56" spans="1:8" hidden="1" x14ac:dyDescent="0.4">
      <c r="A56" s="93" t="s">
        <v>3668</v>
      </c>
      <c r="B56" s="1" t="s">
        <v>1473</v>
      </c>
      <c r="C56" s="1" t="s">
        <v>4176</v>
      </c>
      <c r="D56" s="1" t="s">
        <v>3669</v>
      </c>
      <c r="E56" t="s">
        <v>3695</v>
      </c>
      <c r="F56" t="s">
        <v>3696</v>
      </c>
      <c r="G56">
        <v>2257.0300000000002</v>
      </c>
      <c r="H56">
        <v>1954414</v>
      </c>
    </row>
    <row r="57" spans="1:8" hidden="1" x14ac:dyDescent="0.4">
      <c r="A57" s="93" t="s">
        <v>3668</v>
      </c>
      <c r="B57" s="1" t="s">
        <v>1473</v>
      </c>
      <c r="C57" s="1" t="s">
        <v>4176</v>
      </c>
      <c r="D57" s="1" t="s">
        <v>3669</v>
      </c>
      <c r="E57" t="s">
        <v>3697</v>
      </c>
      <c r="F57" t="s">
        <v>3696</v>
      </c>
      <c r="G57">
        <v>69.16</v>
      </c>
      <c r="H57">
        <v>47919</v>
      </c>
    </row>
    <row r="58" spans="1:8" hidden="1" x14ac:dyDescent="0.4">
      <c r="A58" s="93" t="s">
        <v>3668</v>
      </c>
      <c r="B58" s="1" t="s">
        <v>1473</v>
      </c>
      <c r="C58" s="1" t="s">
        <v>4176</v>
      </c>
      <c r="D58" s="1" t="s">
        <v>3669</v>
      </c>
      <c r="E58" t="s">
        <v>3705</v>
      </c>
      <c r="F58" t="s">
        <v>1982</v>
      </c>
      <c r="G58">
        <v>0</v>
      </c>
      <c r="H58">
        <v>0</v>
      </c>
    </row>
    <row r="59" spans="1:8" hidden="1" x14ac:dyDescent="0.4">
      <c r="A59" s="93" t="s">
        <v>3668</v>
      </c>
      <c r="B59" s="1" t="s">
        <v>1473</v>
      </c>
      <c r="C59" s="1" t="s">
        <v>4176</v>
      </c>
      <c r="D59" s="1" t="s">
        <v>3669</v>
      </c>
      <c r="E59" t="s">
        <v>3676</v>
      </c>
      <c r="F59" t="s">
        <v>1982</v>
      </c>
      <c r="G59">
        <v>0</v>
      </c>
      <c r="H59">
        <v>0</v>
      </c>
    </row>
    <row r="60" spans="1:8" hidden="1" x14ac:dyDescent="0.4">
      <c r="A60" s="93" t="s">
        <v>3668</v>
      </c>
      <c r="B60" s="1" t="s">
        <v>1473</v>
      </c>
      <c r="C60" s="1" t="s">
        <v>4176</v>
      </c>
      <c r="D60" s="1" t="s">
        <v>3669</v>
      </c>
      <c r="E60" t="s">
        <v>3686</v>
      </c>
      <c r="F60" t="s">
        <v>1962</v>
      </c>
      <c r="G60">
        <v>848.02</v>
      </c>
      <c r="H60">
        <v>2128975</v>
      </c>
    </row>
    <row r="61" spans="1:8" hidden="1" x14ac:dyDescent="0.4">
      <c r="A61" s="93" t="s">
        <v>3668</v>
      </c>
      <c r="B61" s="1" t="s">
        <v>1473</v>
      </c>
      <c r="C61" s="1" t="s">
        <v>4176</v>
      </c>
      <c r="D61" s="1" t="s">
        <v>3669</v>
      </c>
      <c r="E61" t="s">
        <v>3709</v>
      </c>
      <c r="F61" t="s">
        <v>2127</v>
      </c>
      <c r="G61">
        <v>0</v>
      </c>
      <c r="H61">
        <v>0</v>
      </c>
    </row>
    <row r="62" spans="1:8" hidden="1" x14ac:dyDescent="0.4">
      <c r="A62" s="93" t="s">
        <v>3668</v>
      </c>
      <c r="B62" s="1" t="s">
        <v>1473</v>
      </c>
      <c r="C62" s="1" t="s">
        <v>4176</v>
      </c>
      <c r="D62" s="1" t="s">
        <v>3669</v>
      </c>
      <c r="E62" t="s">
        <v>3713</v>
      </c>
      <c r="F62" t="s">
        <v>1989</v>
      </c>
      <c r="G62">
        <v>1595.76</v>
      </c>
      <c r="H62">
        <v>3587252</v>
      </c>
    </row>
    <row r="63" spans="1:8" hidden="1" x14ac:dyDescent="0.4">
      <c r="A63" s="93" t="s">
        <v>3668</v>
      </c>
      <c r="B63" s="1" t="s">
        <v>1473</v>
      </c>
      <c r="C63" s="1" t="s">
        <v>4176</v>
      </c>
      <c r="D63" s="1" t="s">
        <v>3669</v>
      </c>
      <c r="E63" t="s">
        <v>3681</v>
      </c>
      <c r="F63" t="s">
        <v>1989</v>
      </c>
      <c r="G63">
        <v>0</v>
      </c>
      <c r="H63">
        <v>0</v>
      </c>
    </row>
    <row r="64" spans="1:8" hidden="1" x14ac:dyDescent="0.4">
      <c r="A64" s="93" t="s">
        <v>3668</v>
      </c>
      <c r="B64" s="1" t="s">
        <v>1473</v>
      </c>
      <c r="C64" s="1" t="s">
        <v>4176</v>
      </c>
      <c r="D64" s="1" t="s">
        <v>3669</v>
      </c>
      <c r="E64" t="s">
        <v>3716</v>
      </c>
      <c r="F64" t="s">
        <v>1958</v>
      </c>
      <c r="G64">
        <v>0</v>
      </c>
      <c r="H64">
        <v>0</v>
      </c>
    </row>
    <row r="65" spans="1:8" hidden="1" x14ac:dyDescent="0.4">
      <c r="A65" s="93" t="s">
        <v>3668</v>
      </c>
      <c r="B65" s="1" t="s">
        <v>1473</v>
      </c>
      <c r="C65" s="1" t="s">
        <v>4176</v>
      </c>
      <c r="D65" s="1" t="s">
        <v>3669</v>
      </c>
      <c r="E65" t="s">
        <v>3720</v>
      </c>
      <c r="F65" t="s">
        <v>1971</v>
      </c>
      <c r="G65">
        <v>0</v>
      </c>
      <c r="H65">
        <v>0</v>
      </c>
    </row>
    <row r="66" spans="1:8" hidden="1" x14ac:dyDescent="0.4">
      <c r="A66" s="93" t="s">
        <v>3668</v>
      </c>
      <c r="B66" s="1" t="s">
        <v>1473</v>
      </c>
      <c r="C66" s="1" t="s">
        <v>4176</v>
      </c>
      <c r="D66" s="1" t="s">
        <v>3669</v>
      </c>
      <c r="E66" t="s">
        <v>3717</v>
      </c>
      <c r="F66" t="s">
        <v>1992</v>
      </c>
      <c r="G66">
        <v>0</v>
      </c>
      <c r="H66">
        <v>0</v>
      </c>
    </row>
    <row r="67" spans="1:8" hidden="1" x14ac:dyDescent="0.4">
      <c r="A67" s="93" t="s">
        <v>3668</v>
      </c>
      <c r="B67" s="1" t="s">
        <v>1473</v>
      </c>
      <c r="C67" s="1" t="s">
        <v>4176</v>
      </c>
      <c r="D67" s="1" t="s">
        <v>3669</v>
      </c>
      <c r="E67" t="s">
        <v>3701</v>
      </c>
      <c r="F67" t="s">
        <v>1964</v>
      </c>
      <c r="G67">
        <v>0</v>
      </c>
      <c r="H67">
        <v>0</v>
      </c>
    </row>
    <row r="68" spans="1:8" hidden="1" x14ac:dyDescent="0.4">
      <c r="A68" s="93" t="s">
        <v>3668</v>
      </c>
      <c r="B68" s="1" t="s">
        <v>1473</v>
      </c>
      <c r="C68" s="1" t="s">
        <v>4176</v>
      </c>
      <c r="D68" s="1" t="s">
        <v>3669</v>
      </c>
      <c r="E68" t="s">
        <v>3703</v>
      </c>
      <c r="F68" t="s">
        <v>1983</v>
      </c>
      <c r="G68">
        <v>0</v>
      </c>
      <c r="H68">
        <v>0</v>
      </c>
    </row>
    <row r="69" spans="1:8" hidden="1" x14ac:dyDescent="0.4">
      <c r="A69" s="93" t="s">
        <v>3668</v>
      </c>
      <c r="B69" s="1" t="s">
        <v>1473</v>
      </c>
      <c r="C69" s="1" t="s">
        <v>4176</v>
      </c>
      <c r="D69" s="1" t="s">
        <v>3669</v>
      </c>
      <c r="E69" t="s">
        <v>3704</v>
      </c>
      <c r="F69" t="s">
        <v>1983</v>
      </c>
      <c r="G69">
        <v>0</v>
      </c>
      <c r="H69">
        <v>0</v>
      </c>
    </row>
    <row r="70" spans="1:8" hidden="1" x14ac:dyDescent="0.4">
      <c r="A70" s="93" t="s">
        <v>3668</v>
      </c>
      <c r="B70" s="1" t="s">
        <v>1473</v>
      </c>
      <c r="C70" s="1" t="s">
        <v>4176</v>
      </c>
      <c r="D70" s="1" t="s">
        <v>3669</v>
      </c>
      <c r="E70" t="s">
        <v>3675</v>
      </c>
      <c r="F70" t="s">
        <v>1983</v>
      </c>
      <c r="G70">
        <v>0</v>
      </c>
      <c r="H70">
        <v>0</v>
      </c>
    </row>
    <row r="71" spans="1:8" hidden="1" x14ac:dyDescent="0.4">
      <c r="A71" s="93" t="s">
        <v>3668</v>
      </c>
      <c r="B71" s="1" t="s">
        <v>1473</v>
      </c>
      <c r="C71" s="1" t="s">
        <v>4176</v>
      </c>
      <c r="D71" s="1" t="s">
        <v>3669</v>
      </c>
      <c r="E71" t="s">
        <v>3714</v>
      </c>
      <c r="F71" t="s">
        <v>1960</v>
      </c>
      <c r="G71">
        <v>0.01</v>
      </c>
      <c r="H71">
        <v>28</v>
      </c>
    </row>
    <row r="72" spans="1:8" hidden="1" x14ac:dyDescent="0.4">
      <c r="A72" s="93" t="s">
        <v>3668</v>
      </c>
      <c r="B72" s="1" t="s">
        <v>1473</v>
      </c>
      <c r="C72" s="1" t="s">
        <v>4176</v>
      </c>
      <c r="D72" s="1" t="s">
        <v>3669</v>
      </c>
      <c r="E72" t="s">
        <v>3689</v>
      </c>
      <c r="F72" t="s">
        <v>2124</v>
      </c>
      <c r="G72">
        <v>557.63</v>
      </c>
      <c r="H72">
        <v>1434193</v>
      </c>
    </row>
    <row r="73" spans="1:8" hidden="1" x14ac:dyDescent="0.4">
      <c r="A73" s="93" t="s">
        <v>3668</v>
      </c>
      <c r="B73" s="1" t="s">
        <v>1473</v>
      </c>
      <c r="C73" s="1" t="s">
        <v>4176</v>
      </c>
      <c r="D73" s="1" t="s">
        <v>3669</v>
      </c>
      <c r="E73" t="s">
        <v>3688</v>
      </c>
      <c r="F73" t="s">
        <v>2099</v>
      </c>
      <c r="G73">
        <v>683.31</v>
      </c>
      <c r="H73">
        <v>867312</v>
      </c>
    </row>
    <row r="74" spans="1:8" hidden="1" x14ac:dyDescent="0.4">
      <c r="A74" s="93" t="s">
        <v>3668</v>
      </c>
      <c r="B74" s="1" t="s">
        <v>1473</v>
      </c>
      <c r="C74" s="1" t="s">
        <v>4176</v>
      </c>
      <c r="D74" s="1" t="s">
        <v>3669</v>
      </c>
      <c r="E74" t="s">
        <v>3690</v>
      </c>
      <c r="F74" t="s">
        <v>1961</v>
      </c>
      <c r="G74">
        <v>1476.37</v>
      </c>
      <c r="H74">
        <v>2924646</v>
      </c>
    </row>
    <row r="75" spans="1:8" hidden="1" x14ac:dyDescent="0.4">
      <c r="A75" s="93" t="s">
        <v>3668</v>
      </c>
      <c r="B75" s="1" t="s">
        <v>1473</v>
      </c>
      <c r="C75" s="1" t="s">
        <v>4176</v>
      </c>
      <c r="D75" s="1" t="s">
        <v>3669</v>
      </c>
      <c r="E75" t="s">
        <v>3715</v>
      </c>
      <c r="F75" t="s">
        <v>2026</v>
      </c>
      <c r="G75">
        <v>0</v>
      </c>
      <c r="H75">
        <v>0</v>
      </c>
    </row>
    <row r="76" spans="1:8" hidden="1" x14ac:dyDescent="0.4">
      <c r="A76" s="93" t="s">
        <v>3668</v>
      </c>
      <c r="B76" s="1" t="s">
        <v>1473</v>
      </c>
      <c r="C76" s="1" t="s">
        <v>4176</v>
      </c>
      <c r="D76" s="1" t="s">
        <v>3669</v>
      </c>
      <c r="E76" t="s">
        <v>3682</v>
      </c>
      <c r="F76" t="s">
        <v>2026</v>
      </c>
      <c r="G76">
        <v>0</v>
      </c>
      <c r="H76">
        <v>0</v>
      </c>
    </row>
    <row r="77" spans="1:8" hidden="1" x14ac:dyDescent="0.4">
      <c r="A77" s="93" t="s">
        <v>3668</v>
      </c>
      <c r="B77" s="1" t="s">
        <v>1473</v>
      </c>
      <c r="C77" s="1" t="s">
        <v>4176</v>
      </c>
      <c r="D77" s="1" t="s">
        <v>3669</v>
      </c>
      <c r="E77" t="s">
        <v>3702</v>
      </c>
      <c r="F77" t="s">
        <v>2128</v>
      </c>
      <c r="G77">
        <v>0</v>
      </c>
      <c r="H77">
        <v>0</v>
      </c>
    </row>
    <row r="78" spans="1:8" hidden="1" x14ac:dyDescent="0.4">
      <c r="A78" s="93" t="s">
        <v>3668</v>
      </c>
      <c r="B78" s="1" t="s">
        <v>1473</v>
      </c>
      <c r="C78" s="1" t="s">
        <v>4176</v>
      </c>
      <c r="D78" s="1" t="s">
        <v>3669</v>
      </c>
      <c r="E78" t="s">
        <v>3712</v>
      </c>
      <c r="F78" t="s">
        <v>1976</v>
      </c>
      <c r="G78">
        <v>5642.01</v>
      </c>
      <c r="H78">
        <v>4835146</v>
      </c>
    </row>
    <row r="79" spans="1:8" hidden="1" x14ac:dyDescent="0.4">
      <c r="A79" s="93" t="s">
        <v>3668</v>
      </c>
      <c r="B79" s="1" t="s">
        <v>1473</v>
      </c>
      <c r="C79" s="1" t="s">
        <v>4176</v>
      </c>
      <c r="D79" s="1" t="s">
        <v>3669</v>
      </c>
      <c r="E79" t="s">
        <v>3680</v>
      </c>
      <c r="F79" t="s">
        <v>1976</v>
      </c>
      <c r="G79">
        <v>0</v>
      </c>
      <c r="H79">
        <v>0</v>
      </c>
    </row>
    <row r="80" spans="1:8" hidden="1" x14ac:dyDescent="0.4">
      <c r="A80" s="93" t="s">
        <v>3668</v>
      </c>
      <c r="B80" s="1" t="s">
        <v>1473</v>
      </c>
      <c r="C80" s="1" t="s">
        <v>4176</v>
      </c>
      <c r="D80" s="1" t="s">
        <v>3669</v>
      </c>
      <c r="E80" t="s">
        <v>3691</v>
      </c>
      <c r="F80" t="s">
        <v>1959</v>
      </c>
      <c r="G80">
        <v>776.76</v>
      </c>
      <c r="H80">
        <v>1849457</v>
      </c>
    </row>
    <row r="81" spans="1:8" hidden="1" x14ac:dyDescent="0.4">
      <c r="A81" s="93" t="s">
        <v>3668</v>
      </c>
      <c r="B81" s="1" t="s">
        <v>1473</v>
      </c>
      <c r="C81" s="1" t="s">
        <v>4176</v>
      </c>
      <c r="D81" s="1" t="s">
        <v>3669</v>
      </c>
      <c r="E81" t="s">
        <v>3700</v>
      </c>
      <c r="F81" t="s">
        <v>2061</v>
      </c>
      <c r="G81">
        <v>0</v>
      </c>
      <c r="H81">
        <v>0</v>
      </c>
    </row>
    <row r="82" spans="1:8" hidden="1" x14ac:dyDescent="0.4">
      <c r="A82" s="93" t="s">
        <v>3668</v>
      </c>
      <c r="B82" s="1" t="s">
        <v>1473</v>
      </c>
      <c r="C82" s="1" t="s">
        <v>4176</v>
      </c>
      <c r="D82" s="1" t="s">
        <v>3669</v>
      </c>
      <c r="E82" t="s">
        <v>3721</v>
      </c>
      <c r="F82" t="s">
        <v>2061</v>
      </c>
      <c r="G82">
        <v>0</v>
      </c>
      <c r="H82">
        <v>0</v>
      </c>
    </row>
    <row r="83" spans="1:8" hidden="1" x14ac:dyDescent="0.4">
      <c r="A83" s="93" t="s">
        <v>3668</v>
      </c>
      <c r="B83" s="1" t="s">
        <v>1473</v>
      </c>
      <c r="C83" s="1" t="s">
        <v>4176</v>
      </c>
      <c r="D83" s="1" t="s">
        <v>3669</v>
      </c>
      <c r="E83" t="s">
        <v>3710</v>
      </c>
      <c r="F83" t="s">
        <v>1984</v>
      </c>
      <c r="G83">
        <v>0</v>
      </c>
      <c r="H83">
        <v>0</v>
      </c>
    </row>
    <row r="84" spans="1:8" hidden="1" x14ac:dyDescent="0.4">
      <c r="A84" s="93" t="s">
        <v>3668</v>
      </c>
      <c r="B84" s="1" t="s">
        <v>1473</v>
      </c>
      <c r="C84" s="1" t="s">
        <v>4176</v>
      </c>
      <c r="D84" s="1" t="s">
        <v>3669</v>
      </c>
      <c r="E84" t="s">
        <v>3711</v>
      </c>
      <c r="F84" t="s">
        <v>2129</v>
      </c>
      <c r="G84">
        <v>0</v>
      </c>
      <c r="H84">
        <v>0</v>
      </c>
    </row>
    <row r="85" spans="1:8" hidden="1" x14ac:dyDescent="0.4">
      <c r="A85" s="93" t="s">
        <v>3668</v>
      </c>
      <c r="B85" s="1" t="s">
        <v>1473</v>
      </c>
      <c r="C85" s="1" t="s">
        <v>4176</v>
      </c>
      <c r="D85" s="1" t="s">
        <v>3669</v>
      </c>
      <c r="E85" t="s">
        <v>3706</v>
      </c>
      <c r="F85" t="s">
        <v>1957</v>
      </c>
      <c r="G85">
        <v>0</v>
      </c>
      <c r="H85">
        <v>0</v>
      </c>
    </row>
    <row r="86" spans="1:8" hidden="1" x14ac:dyDescent="0.4">
      <c r="A86" s="93" t="s">
        <v>3668</v>
      </c>
      <c r="B86" s="1" t="s">
        <v>1473</v>
      </c>
      <c r="C86" s="1" t="s">
        <v>4176</v>
      </c>
      <c r="D86" s="1" t="s">
        <v>3669</v>
      </c>
      <c r="E86" t="s">
        <v>3677</v>
      </c>
      <c r="F86" t="s">
        <v>1957</v>
      </c>
      <c r="G86">
        <v>0</v>
      </c>
      <c r="H86">
        <v>0</v>
      </c>
    </row>
    <row r="87" spans="1:8" hidden="1" x14ac:dyDescent="0.4">
      <c r="A87" s="93" t="s">
        <v>3668</v>
      </c>
      <c r="B87" s="1" t="s">
        <v>1473</v>
      </c>
      <c r="C87" s="1" t="s">
        <v>4176</v>
      </c>
      <c r="D87" s="1" t="s">
        <v>3669</v>
      </c>
      <c r="E87" t="s">
        <v>3707</v>
      </c>
      <c r="F87" t="s">
        <v>1985</v>
      </c>
      <c r="G87">
        <v>0</v>
      </c>
      <c r="H87">
        <v>0</v>
      </c>
    </row>
    <row r="88" spans="1:8" hidden="1" x14ac:dyDescent="0.4">
      <c r="A88" s="93" t="s">
        <v>3668</v>
      </c>
      <c r="B88" s="1" t="s">
        <v>1473</v>
      </c>
      <c r="C88" s="1" t="s">
        <v>4176</v>
      </c>
      <c r="D88" s="1" t="s">
        <v>3669</v>
      </c>
      <c r="E88" t="s">
        <v>3678</v>
      </c>
      <c r="F88" t="s">
        <v>1985</v>
      </c>
      <c r="G88">
        <v>0</v>
      </c>
      <c r="H88">
        <v>0</v>
      </c>
    </row>
    <row r="89" spans="1:8" hidden="1" x14ac:dyDescent="0.4">
      <c r="A89" s="93" t="s">
        <v>3668</v>
      </c>
      <c r="B89" s="1" t="s">
        <v>1473</v>
      </c>
      <c r="C89" s="1" t="s">
        <v>4176</v>
      </c>
      <c r="D89" s="1" t="s">
        <v>3669</v>
      </c>
      <c r="E89" t="s">
        <v>3708</v>
      </c>
      <c r="F89" t="s">
        <v>1973</v>
      </c>
      <c r="G89">
        <v>0</v>
      </c>
      <c r="H89">
        <v>0</v>
      </c>
    </row>
    <row r="90" spans="1:8" hidden="1" x14ac:dyDescent="0.4">
      <c r="A90" s="93" t="s">
        <v>3668</v>
      </c>
      <c r="B90" s="1" t="s">
        <v>1473</v>
      </c>
      <c r="C90" s="1" t="s">
        <v>4176</v>
      </c>
      <c r="D90" s="1" t="s">
        <v>3669</v>
      </c>
      <c r="E90" t="s">
        <v>3679</v>
      </c>
      <c r="F90" t="s">
        <v>1973</v>
      </c>
      <c r="G90">
        <v>0</v>
      </c>
      <c r="H90">
        <v>0</v>
      </c>
    </row>
    <row r="91" spans="1:8" hidden="1" x14ac:dyDescent="0.4">
      <c r="A91" s="93" t="s">
        <v>3668</v>
      </c>
      <c r="B91" s="1" t="s">
        <v>1473</v>
      </c>
      <c r="C91" s="1" t="s">
        <v>4176</v>
      </c>
      <c r="D91" s="1" t="s">
        <v>3669</v>
      </c>
      <c r="E91" t="s">
        <v>3718</v>
      </c>
      <c r="F91" t="s">
        <v>1970</v>
      </c>
      <c r="G91">
        <v>0</v>
      </c>
      <c r="H91">
        <v>0</v>
      </c>
    </row>
    <row r="92" spans="1:8" hidden="1" x14ac:dyDescent="0.4">
      <c r="A92" s="93" t="s">
        <v>3668</v>
      </c>
      <c r="B92" s="1" t="s">
        <v>1473</v>
      </c>
      <c r="C92" s="1" t="s">
        <v>4176</v>
      </c>
      <c r="D92" s="1" t="s">
        <v>3669</v>
      </c>
      <c r="E92" t="s">
        <v>3722</v>
      </c>
      <c r="F92" t="s">
        <v>2085</v>
      </c>
      <c r="G92">
        <v>31.2</v>
      </c>
      <c r="H92">
        <v>31200</v>
      </c>
    </row>
    <row r="93" spans="1:8" hidden="1" x14ac:dyDescent="0.4">
      <c r="A93" s="93" t="s">
        <v>3668</v>
      </c>
      <c r="B93" s="1" t="s">
        <v>1473</v>
      </c>
      <c r="C93" s="1" t="s">
        <v>4176</v>
      </c>
      <c r="D93" s="1" t="s">
        <v>3669</v>
      </c>
      <c r="E93" t="s">
        <v>3684</v>
      </c>
      <c r="F93" t="s">
        <v>1977</v>
      </c>
      <c r="G93">
        <v>0</v>
      </c>
      <c r="H93">
        <v>0</v>
      </c>
    </row>
    <row r="94" spans="1:8" hidden="1" x14ac:dyDescent="0.4">
      <c r="A94" s="93" t="s">
        <v>3668</v>
      </c>
      <c r="B94" s="1" t="s">
        <v>1473</v>
      </c>
      <c r="C94" s="1" t="s">
        <v>4176</v>
      </c>
      <c r="D94" s="1" t="s">
        <v>3669</v>
      </c>
      <c r="E94" t="s">
        <v>3673</v>
      </c>
      <c r="F94" t="s">
        <v>3674</v>
      </c>
      <c r="G94">
        <v>8816.5</v>
      </c>
      <c r="H94">
        <v>0</v>
      </c>
    </row>
    <row r="95" spans="1:8" hidden="1" x14ac:dyDescent="0.4">
      <c r="A95" s="93" t="s">
        <v>3668</v>
      </c>
      <c r="B95" s="1" t="s">
        <v>1473</v>
      </c>
      <c r="C95" s="1" t="s">
        <v>4176</v>
      </c>
      <c r="D95" s="1" t="s">
        <v>3669</v>
      </c>
      <c r="E95" t="s">
        <v>3692</v>
      </c>
      <c r="F95" t="s">
        <v>2100</v>
      </c>
      <c r="G95">
        <v>-0.09</v>
      </c>
      <c r="H95">
        <v>-199</v>
      </c>
    </row>
    <row r="96" spans="1:8" hidden="1" x14ac:dyDescent="0.4">
      <c r="A96" s="93" t="s">
        <v>3668</v>
      </c>
      <c r="B96" s="1" t="s">
        <v>1473</v>
      </c>
      <c r="C96" s="1" t="s">
        <v>4176</v>
      </c>
      <c r="D96" s="1" t="s">
        <v>3669</v>
      </c>
      <c r="E96" t="s">
        <v>3693</v>
      </c>
      <c r="F96" t="s">
        <v>2100</v>
      </c>
      <c r="G96">
        <v>0</v>
      </c>
      <c r="H96">
        <v>0</v>
      </c>
    </row>
    <row r="97" spans="1:8" hidden="1" x14ac:dyDescent="0.4">
      <c r="A97" s="93" t="s">
        <v>3668</v>
      </c>
      <c r="B97" s="1" t="s">
        <v>1473</v>
      </c>
      <c r="C97" s="1" t="s">
        <v>4176</v>
      </c>
      <c r="D97" s="1" t="s">
        <v>3669</v>
      </c>
      <c r="E97" t="s">
        <v>3670</v>
      </c>
      <c r="F97" t="s">
        <v>2027</v>
      </c>
      <c r="G97">
        <v>0</v>
      </c>
      <c r="H97">
        <v>0</v>
      </c>
    </row>
    <row r="98" spans="1:8" hidden="1" x14ac:dyDescent="0.4">
      <c r="A98" s="93" t="s">
        <v>3668</v>
      </c>
      <c r="B98" s="1" t="s">
        <v>1473</v>
      </c>
      <c r="C98" s="1" t="s">
        <v>4176</v>
      </c>
      <c r="D98" s="1" t="s">
        <v>3669</v>
      </c>
      <c r="E98" t="s">
        <v>3719</v>
      </c>
      <c r="F98" t="s">
        <v>2059</v>
      </c>
      <c r="G98">
        <v>0</v>
      </c>
      <c r="H98">
        <v>0</v>
      </c>
    </row>
    <row r="99" spans="1:8" hidden="1" x14ac:dyDescent="0.4">
      <c r="A99" s="93" t="s">
        <v>3668</v>
      </c>
      <c r="B99" s="1" t="s">
        <v>1473</v>
      </c>
      <c r="C99" s="1" t="s">
        <v>4176</v>
      </c>
      <c r="D99" s="1" t="s">
        <v>3669</v>
      </c>
      <c r="E99" t="s">
        <v>3683</v>
      </c>
      <c r="F99" t="s">
        <v>1988</v>
      </c>
      <c r="G99">
        <v>0</v>
      </c>
      <c r="H99">
        <v>0</v>
      </c>
    </row>
    <row r="100" spans="1:8" hidden="1" x14ac:dyDescent="0.4">
      <c r="A100" s="93" t="s">
        <v>3668</v>
      </c>
      <c r="B100" s="1" t="s">
        <v>1473</v>
      </c>
      <c r="C100" s="1" t="s">
        <v>4179</v>
      </c>
      <c r="D100" s="1" t="s">
        <v>3669</v>
      </c>
      <c r="E100" t="s">
        <v>3716</v>
      </c>
      <c r="F100" t="s">
        <v>1958</v>
      </c>
      <c r="G100">
        <v>5470.14</v>
      </c>
      <c r="H100">
        <v>12827477</v>
      </c>
    </row>
    <row r="101" spans="1:8" hidden="1" x14ac:dyDescent="0.4">
      <c r="A101" s="93" t="s">
        <v>3668</v>
      </c>
      <c r="B101" s="1" t="s">
        <v>1473</v>
      </c>
      <c r="C101" s="1" t="s">
        <v>4179</v>
      </c>
      <c r="D101" s="1" t="s">
        <v>3669</v>
      </c>
      <c r="E101" t="s">
        <v>3723</v>
      </c>
      <c r="F101" t="s">
        <v>2121</v>
      </c>
      <c r="G101">
        <v>327.60000000000002</v>
      </c>
      <c r="H101">
        <v>1323832</v>
      </c>
    </row>
    <row r="102" spans="1:8" hidden="1" x14ac:dyDescent="0.4">
      <c r="A102" s="93" t="s">
        <v>3668</v>
      </c>
      <c r="B102" s="1" t="s">
        <v>1473</v>
      </c>
      <c r="C102" s="1" t="s">
        <v>4179</v>
      </c>
      <c r="D102" s="1" t="s">
        <v>3669</v>
      </c>
      <c r="E102" t="s">
        <v>3720</v>
      </c>
      <c r="F102" t="s">
        <v>1971</v>
      </c>
      <c r="G102">
        <v>6206.13</v>
      </c>
      <c r="H102">
        <v>8806499</v>
      </c>
    </row>
    <row r="103" spans="1:8" hidden="1" x14ac:dyDescent="0.4">
      <c r="A103" s="93" t="s">
        <v>3668</v>
      </c>
      <c r="B103" s="1" t="s">
        <v>1473</v>
      </c>
      <c r="C103" s="1" t="s">
        <v>4179</v>
      </c>
      <c r="D103" s="1" t="s">
        <v>3669</v>
      </c>
      <c r="E103" t="s">
        <v>3717</v>
      </c>
      <c r="F103" t="s">
        <v>1992</v>
      </c>
      <c r="G103">
        <v>1772.65</v>
      </c>
      <c r="H103">
        <v>6580076</v>
      </c>
    </row>
    <row r="104" spans="1:8" hidden="1" x14ac:dyDescent="0.4">
      <c r="A104" s="93" t="s">
        <v>3668</v>
      </c>
      <c r="B104" s="1" t="s">
        <v>1473</v>
      </c>
      <c r="C104" s="1" t="s">
        <v>4179</v>
      </c>
      <c r="D104" s="1" t="s">
        <v>3669</v>
      </c>
      <c r="E104" t="s">
        <v>3701</v>
      </c>
      <c r="F104" t="s">
        <v>1964</v>
      </c>
      <c r="G104">
        <v>4573.6099999999997</v>
      </c>
      <c r="H104">
        <v>7135170</v>
      </c>
    </row>
    <row r="105" spans="1:8" hidden="1" x14ac:dyDescent="0.4">
      <c r="A105" s="93" t="s">
        <v>3668</v>
      </c>
      <c r="B105" s="1" t="s">
        <v>1473</v>
      </c>
      <c r="C105" s="1" t="s">
        <v>4179</v>
      </c>
      <c r="D105" s="1" t="s">
        <v>3669</v>
      </c>
      <c r="E105" t="s">
        <v>3718</v>
      </c>
      <c r="F105" t="s">
        <v>1970</v>
      </c>
      <c r="G105">
        <v>1484.75</v>
      </c>
      <c r="H105">
        <v>3335931</v>
      </c>
    </row>
    <row r="106" spans="1:8" hidden="1" x14ac:dyDescent="0.4">
      <c r="A106" s="93" t="s">
        <v>3668</v>
      </c>
      <c r="B106" s="1" t="s">
        <v>1473</v>
      </c>
      <c r="C106" s="1" t="s">
        <v>4179</v>
      </c>
      <c r="D106" s="1" t="s">
        <v>3669</v>
      </c>
      <c r="E106" t="s">
        <v>3719</v>
      </c>
      <c r="F106" t="s">
        <v>2059</v>
      </c>
      <c r="G106">
        <v>2555</v>
      </c>
      <c r="H106">
        <v>5960815</v>
      </c>
    </row>
    <row r="107" spans="1:8" hidden="1" x14ac:dyDescent="0.4">
      <c r="A107" s="93" t="s">
        <v>3668</v>
      </c>
      <c r="B107" s="1" t="s">
        <v>1474</v>
      </c>
      <c r="C107" s="1" t="s">
        <v>4171</v>
      </c>
      <c r="D107" s="1" t="s">
        <v>3669</v>
      </c>
      <c r="E107" t="s">
        <v>3724</v>
      </c>
      <c r="F107" t="s">
        <v>2077</v>
      </c>
      <c r="G107">
        <v>0</v>
      </c>
      <c r="H107">
        <v>0</v>
      </c>
    </row>
    <row r="108" spans="1:8" hidden="1" x14ac:dyDescent="0.4">
      <c r="A108" s="93" t="s">
        <v>3668</v>
      </c>
      <c r="B108" s="1" t="s">
        <v>1474</v>
      </c>
      <c r="C108" s="1" t="s">
        <v>4171</v>
      </c>
      <c r="D108" s="1" t="s">
        <v>3669</v>
      </c>
      <c r="E108" t="s">
        <v>3725</v>
      </c>
      <c r="F108" t="s">
        <v>2057</v>
      </c>
      <c r="G108">
        <v>0</v>
      </c>
      <c r="H108">
        <v>0</v>
      </c>
    </row>
    <row r="109" spans="1:8" hidden="1" x14ac:dyDescent="0.4">
      <c r="A109" s="93" t="s">
        <v>3668</v>
      </c>
      <c r="B109" s="1" t="s">
        <v>1474</v>
      </c>
      <c r="C109" s="1" t="s">
        <v>4171</v>
      </c>
      <c r="D109" s="1" t="s">
        <v>3669</v>
      </c>
      <c r="E109" t="s">
        <v>3726</v>
      </c>
      <c r="F109" t="s">
        <v>2070</v>
      </c>
      <c r="G109">
        <v>0</v>
      </c>
      <c r="H109">
        <v>0</v>
      </c>
    </row>
    <row r="110" spans="1:8" hidden="1" x14ac:dyDescent="0.4">
      <c r="A110" s="93" t="s">
        <v>3668</v>
      </c>
      <c r="B110" s="1" t="s">
        <v>1474</v>
      </c>
      <c r="C110" s="1" t="s">
        <v>4171</v>
      </c>
      <c r="D110" s="1" t="s">
        <v>3669</v>
      </c>
      <c r="E110" t="s">
        <v>3727</v>
      </c>
      <c r="F110" t="s">
        <v>2053</v>
      </c>
      <c r="G110">
        <v>0</v>
      </c>
      <c r="H110">
        <v>0</v>
      </c>
    </row>
    <row r="111" spans="1:8" hidden="1" x14ac:dyDescent="0.4">
      <c r="A111" s="93" t="s">
        <v>3668</v>
      </c>
      <c r="B111" s="1" t="s">
        <v>1474</v>
      </c>
      <c r="C111" s="1" t="s">
        <v>4171</v>
      </c>
      <c r="D111" s="1" t="s">
        <v>3669</v>
      </c>
      <c r="E111" t="s">
        <v>3728</v>
      </c>
      <c r="F111" t="s">
        <v>2054</v>
      </c>
      <c r="G111">
        <v>0</v>
      </c>
      <c r="H111">
        <v>0</v>
      </c>
    </row>
    <row r="112" spans="1:8" hidden="1" x14ac:dyDescent="0.4">
      <c r="A112" s="93" t="s">
        <v>3668</v>
      </c>
      <c r="B112" s="1" t="s">
        <v>1474</v>
      </c>
      <c r="C112" s="1" t="s">
        <v>4171</v>
      </c>
      <c r="D112" s="1" t="s">
        <v>3669</v>
      </c>
      <c r="E112" t="s">
        <v>3729</v>
      </c>
      <c r="F112" t="s">
        <v>2058</v>
      </c>
      <c r="G112">
        <v>0</v>
      </c>
      <c r="H112">
        <v>0</v>
      </c>
    </row>
    <row r="113" spans="1:8" hidden="1" x14ac:dyDescent="0.4">
      <c r="A113" s="93" t="s">
        <v>3668</v>
      </c>
      <c r="B113" s="1" t="s">
        <v>1474</v>
      </c>
      <c r="C113" s="1" t="s">
        <v>4171</v>
      </c>
      <c r="D113" s="1" t="s">
        <v>3669</v>
      </c>
      <c r="E113" t="s">
        <v>3730</v>
      </c>
      <c r="F113" t="s">
        <v>2056</v>
      </c>
      <c r="G113">
        <v>0</v>
      </c>
      <c r="H113">
        <v>0</v>
      </c>
    </row>
    <row r="114" spans="1:8" hidden="1" x14ac:dyDescent="0.4">
      <c r="A114" s="93" t="s">
        <v>3668</v>
      </c>
      <c r="B114" s="1" t="s">
        <v>1474</v>
      </c>
      <c r="C114" s="1" t="s">
        <v>4171</v>
      </c>
      <c r="D114" s="1" t="s">
        <v>3669</v>
      </c>
      <c r="E114" t="s">
        <v>3731</v>
      </c>
      <c r="F114" t="s">
        <v>2051</v>
      </c>
      <c r="G114">
        <v>0</v>
      </c>
      <c r="H114">
        <v>0</v>
      </c>
    </row>
    <row r="115" spans="1:8" hidden="1" x14ac:dyDescent="0.4">
      <c r="A115" s="93" t="s">
        <v>3668</v>
      </c>
      <c r="B115" s="1" t="s">
        <v>1474</v>
      </c>
      <c r="C115" s="1" t="s">
        <v>4171</v>
      </c>
      <c r="D115" s="1" t="s">
        <v>3669</v>
      </c>
      <c r="E115" t="s">
        <v>3732</v>
      </c>
      <c r="F115" t="s">
        <v>2071</v>
      </c>
      <c r="G115">
        <v>0</v>
      </c>
      <c r="H115">
        <v>0</v>
      </c>
    </row>
    <row r="116" spans="1:8" hidden="1" x14ac:dyDescent="0.4">
      <c r="A116" s="93" t="s">
        <v>3668</v>
      </c>
      <c r="B116" s="1" t="s">
        <v>1474</v>
      </c>
      <c r="C116" s="1" t="s">
        <v>4171</v>
      </c>
      <c r="D116" s="1" t="s">
        <v>3669</v>
      </c>
      <c r="E116" t="s">
        <v>3733</v>
      </c>
      <c r="F116" t="s">
        <v>2055</v>
      </c>
      <c r="G116">
        <v>0</v>
      </c>
      <c r="H116">
        <v>0</v>
      </c>
    </row>
    <row r="117" spans="1:8" hidden="1" x14ac:dyDescent="0.4">
      <c r="A117" s="93" t="s">
        <v>3668</v>
      </c>
      <c r="B117" s="1" t="s">
        <v>1474</v>
      </c>
      <c r="C117" s="1" t="s">
        <v>4171</v>
      </c>
      <c r="D117" s="1" t="s">
        <v>3669</v>
      </c>
      <c r="E117" t="s">
        <v>3734</v>
      </c>
      <c r="F117" t="s">
        <v>2074</v>
      </c>
      <c r="G117">
        <v>0</v>
      </c>
      <c r="H117">
        <v>0</v>
      </c>
    </row>
    <row r="118" spans="1:8" hidden="1" x14ac:dyDescent="0.4">
      <c r="A118" s="93" t="s">
        <v>3668</v>
      </c>
      <c r="B118" s="1" t="s">
        <v>1474</v>
      </c>
      <c r="C118" s="1" t="s">
        <v>4171</v>
      </c>
      <c r="D118" s="1" t="s">
        <v>3669</v>
      </c>
      <c r="E118" t="s">
        <v>3735</v>
      </c>
      <c r="F118" t="s">
        <v>2069</v>
      </c>
      <c r="G118">
        <v>0</v>
      </c>
      <c r="H118">
        <v>0</v>
      </c>
    </row>
    <row r="119" spans="1:8" hidden="1" x14ac:dyDescent="0.4">
      <c r="A119" s="93" t="s">
        <v>3668</v>
      </c>
      <c r="B119" s="1" t="s">
        <v>1474</v>
      </c>
      <c r="C119" s="1" t="s">
        <v>4171</v>
      </c>
      <c r="D119" s="1" t="s">
        <v>3669</v>
      </c>
      <c r="E119" t="s">
        <v>3736</v>
      </c>
      <c r="F119" t="s">
        <v>2050</v>
      </c>
      <c r="G119">
        <v>0</v>
      </c>
      <c r="H119">
        <v>0</v>
      </c>
    </row>
    <row r="120" spans="1:8" hidden="1" x14ac:dyDescent="0.4">
      <c r="A120" s="93" t="s">
        <v>3668</v>
      </c>
      <c r="B120" s="1" t="s">
        <v>1474</v>
      </c>
      <c r="C120" s="1" t="s">
        <v>4171</v>
      </c>
      <c r="D120" s="1" t="s">
        <v>3669</v>
      </c>
      <c r="E120" t="s">
        <v>3737</v>
      </c>
      <c r="F120" t="s">
        <v>2049</v>
      </c>
      <c r="G120">
        <v>0</v>
      </c>
      <c r="H120">
        <v>0</v>
      </c>
    </row>
    <row r="121" spans="1:8" hidden="1" x14ac:dyDescent="0.4">
      <c r="A121" s="93" t="s">
        <v>3668</v>
      </c>
      <c r="B121" s="1" t="s">
        <v>1474</v>
      </c>
      <c r="C121" s="1" t="s">
        <v>4171</v>
      </c>
      <c r="D121" s="1" t="s">
        <v>3669</v>
      </c>
      <c r="E121" t="s">
        <v>3738</v>
      </c>
      <c r="F121" t="s">
        <v>2052</v>
      </c>
      <c r="G121">
        <v>0</v>
      </c>
      <c r="H121">
        <v>0</v>
      </c>
    </row>
    <row r="122" spans="1:8" hidden="1" x14ac:dyDescent="0.4">
      <c r="A122" s="93" t="s">
        <v>3668</v>
      </c>
      <c r="B122" s="1" t="s">
        <v>1474</v>
      </c>
      <c r="C122" s="1" t="s">
        <v>4171</v>
      </c>
      <c r="D122" s="1" t="s">
        <v>3669</v>
      </c>
      <c r="E122" t="s">
        <v>3739</v>
      </c>
      <c r="F122" t="s">
        <v>2086</v>
      </c>
      <c r="G122">
        <v>50</v>
      </c>
      <c r="H122">
        <v>50000</v>
      </c>
    </row>
    <row r="123" spans="1:8" hidden="1" x14ac:dyDescent="0.4">
      <c r="A123" s="93" t="s">
        <v>3668</v>
      </c>
      <c r="B123" s="1" t="s">
        <v>1474</v>
      </c>
      <c r="C123" s="1" t="s">
        <v>4171</v>
      </c>
      <c r="D123" s="1" t="s">
        <v>3669</v>
      </c>
      <c r="E123" t="s">
        <v>3740</v>
      </c>
      <c r="F123" t="s">
        <v>2044</v>
      </c>
      <c r="G123">
        <v>0</v>
      </c>
      <c r="H123">
        <v>0</v>
      </c>
    </row>
    <row r="124" spans="1:8" hidden="1" x14ac:dyDescent="0.4">
      <c r="A124" s="93" t="s">
        <v>3668</v>
      </c>
      <c r="B124" s="1" t="s">
        <v>1474</v>
      </c>
      <c r="C124" s="1" t="s">
        <v>4171</v>
      </c>
      <c r="D124" s="1" t="s">
        <v>3669</v>
      </c>
      <c r="E124" t="s">
        <v>3741</v>
      </c>
      <c r="F124" t="s">
        <v>2043</v>
      </c>
      <c r="G124">
        <v>0</v>
      </c>
      <c r="H124">
        <v>0</v>
      </c>
    </row>
    <row r="125" spans="1:8" hidden="1" x14ac:dyDescent="0.4">
      <c r="A125" s="93" t="s">
        <v>3668</v>
      </c>
      <c r="B125" s="1" t="s">
        <v>1474</v>
      </c>
      <c r="C125" s="1" t="s">
        <v>4171</v>
      </c>
      <c r="D125" s="1" t="s">
        <v>3669</v>
      </c>
      <c r="E125" t="s">
        <v>3742</v>
      </c>
      <c r="F125" t="s">
        <v>2079</v>
      </c>
      <c r="G125">
        <v>0</v>
      </c>
      <c r="H125">
        <v>0</v>
      </c>
    </row>
    <row r="126" spans="1:8" hidden="1" x14ac:dyDescent="0.4">
      <c r="A126" s="93" t="s">
        <v>3668</v>
      </c>
      <c r="B126" s="1" t="s">
        <v>1474</v>
      </c>
      <c r="C126" s="1" t="s">
        <v>4171</v>
      </c>
      <c r="D126" s="1" t="s">
        <v>3669</v>
      </c>
      <c r="E126" t="s">
        <v>3743</v>
      </c>
      <c r="F126" t="s">
        <v>2078</v>
      </c>
      <c r="G126">
        <v>0</v>
      </c>
      <c r="H126">
        <v>0</v>
      </c>
    </row>
    <row r="127" spans="1:8" hidden="1" x14ac:dyDescent="0.4">
      <c r="A127" s="93" t="s">
        <v>3668</v>
      </c>
      <c r="B127" s="1" t="s">
        <v>1474</v>
      </c>
      <c r="C127" s="1" t="s">
        <v>4171</v>
      </c>
      <c r="D127" s="1" t="s">
        <v>3669</v>
      </c>
      <c r="E127" t="s">
        <v>3744</v>
      </c>
      <c r="F127" t="s">
        <v>2075</v>
      </c>
      <c r="G127">
        <v>0</v>
      </c>
      <c r="H127">
        <v>0</v>
      </c>
    </row>
    <row r="128" spans="1:8" hidden="1" x14ac:dyDescent="0.4">
      <c r="A128" s="93" t="s">
        <v>3668</v>
      </c>
      <c r="B128" s="1" t="s">
        <v>1474</v>
      </c>
      <c r="C128" s="1" t="s">
        <v>4171</v>
      </c>
      <c r="D128" s="1" t="s">
        <v>3669</v>
      </c>
      <c r="E128" t="s">
        <v>3745</v>
      </c>
      <c r="F128" t="s">
        <v>2076</v>
      </c>
      <c r="G128">
        <v>0</v>
      </c>
      <c r="H128">
        <v>0</v>
      </c>
    </row>
    <row r="129" spans="1:8" hidden="1" x14ac:dyDescent="0.4">
      <c r="A129" s="93" t="s">
        <v>3668</v>
      </c>
      <c r="B129" s="1" t="s">
        <v>1474</v>
      </c>
      <c r="C129" s="1" t="s">
        <v>4171</v>
      </c>
      <c r="D129" s="1" t="s">
        <v>3669</v>
      </c>
      <c r="E129" t="s">
        <v>3746</v>
      </c>
      <c r="F129" t="s">
        <v>2082</v>
      </c>
      <c r="G129">
        <v>0</v>
      </c>
      <c r="H129">
        <v>0</v>
      </c>
    </row>
    <row r="130" spans="1:8" hidden="1" x14ac:dyDescent="0.4">
      <c r="A130" s="93" t="s">
        <v>3668</v>
      </c>
      <c r="B130" s="1" t="s">
        <v>1474</v>
      </c>
      <c r="C130" s="1" t="s">
        <v>4176</v>
      </c>
      <c r="D130" s="1" t="s">
        <v>3669</v>
      </c>
      <c r="E130" t="s">
        <v>3739</v>
      </c>
      <c r="F130" t="s">
        <v>2086</v>
      </c>
      <c r="G130">
        <v>50</v>
      </c>
      <c r="H130">
        <v>50000</v>
      </c>
    </row>
    <row r="131" spans="1:8" hidden="1" x14ac:dyDescent="0.4">
      <c r="A131" s="93" t="s">
        <v>3668</v>
      </c>
      <c r="B131" s="1" t="s">
        <v>1470</v>
      </c>
      <c r="C131" s="1" t="s">
        <v>4175</v>
      </c>
      <c r="D131" s="1" t="s">
        <v>3669</v>
      </c>
      <c r="E131" t="s">
        <v>3747</v>
      </c>
      <c r="F131" t="s">
        <v>2033</v>
      </c>
      <c r="G131">
        <v>2025</v>
      </c>
      <c r="H131">
        <v>2862533</v>
      </c>
    </row>
    <row r="132" spans="1:8" hidden="1" x14ac:dyDescent="0.4">
      <c r="A132" s="93" t="s">
        <v>3668</v>
      </c>
      <c r="B132" s="1" t="s">
        <v>1470</v>
      </c>
      <c r="C132" s="1" t="s">
        <v>4175</v>
      </c>
      <c r="D132" s="1" t="s">
        <v>3669</v>
      </c>
      <c r="E132" t="s">
        <v>3748</v>
      </c>
      <c r="F132" t="s">
        <v>2034</v>
      </c>
      <c r="G132">
        <v>510.4</v>
      </c>
      <c r="H132">
        <v>941688</v>
      </c>
    </row>
    <row r="133" spans="1:8" hidden="1" x14ac:dyDescent="0.4">
      <c r="A133" s="93" t="s">
        <v>3668</v>
      </c>
      <c r="B133" s="1" t="s">
        <v>1470</v>
      </c>
      <c r="C133" s="1" t="s">
        <v>4175</v>
      </c>
      <c r="D133" s="1" t="s">
        <v>3669</v>
      </c>
      <c r="E133" t="s">
        <v>3749</v>
      </c>
      <c r="F133" t="s">
        <v>2010</v>
      </c>
      <c r="G133">
        <v>0</v>
      </c>
      <c r="H133">
        <v>0</v>
      </c>
    </row>
    <row r="134" spans="1:8" hidden="1" x14ac:dyDescent="0.4">
      <c r="A134" s="93" t="s">
        <v>3668</v>
      </c>
      <c r="B134" s="1" t="s">
        <v>1470</v>
      </c>
      <c r="C134" s="1" t="s">
        <v>4175</v>
      </c>
      <c r="D134" s="1" t="s">
        <v>3669</v>
      </c>
      <c r="E134" t="s">
        <v>3750</v>
      </c>
      <c r="F134" t="s">
        <v>3751</v>
      </c>
      <c r="G134">
        <v>889.38</v>
      </c>
      <c r="H134">
        <v>346395</v>
      </c>
    </row>
    <row r="135" spans="1:8" hidden="1" x14ac:dyDescent="0.4">
      <c r="A135" s="93" t="s">
        <v>3668</v>
      </c>
      <c r="B135" s="1" t="s">
        <v>1470</v>
      </c>
      <c r="C135" s="1" t="s">
        <v>4175</v>
      </c>
      <c r="D135" s="1" t="s">
        <v>3669</v>
      </c>
      <c r="E135" t="s">
        <v>3752</v>
      </c>
      <c r="F135" t="s">
        <v>1981</v>
      </c>
      <c r="G135">
        <v>0</v>
      </c>
      <c r="H135">
        <v>0</v>
      </c>
    </row>
    <row r="136" spans="1:8" hidden="1" x14ac:dyDescent="0.4">
      <c r="A136" s="93" t="s">
        <v>3668</v>
      </c>
      <c r="B136" s="1" t="s">
        <v>1470</v>
      </c>
      <c r="C136" s="1" t="s">
        <v>4175</v>
      </c>
      <c r="D136" s="1" t="s">
        <v>3669</v>
      </c>
      <c r="E136" t="s">
        <v>3753</v>
      </c>
      <c r="F136" t="s">
        <v>1954</v>
      </c>
      <c r="G136">
        <v>0</v>
      </c>
      <c r="H136">
        <v>0</v>
      </c>
    </row>
    <row r="137" spans="1:8" hidden="1" x14ac:dyDescent="0.4">
      <c r="A137" s="93" t="s">
        <v>3668</v>
      </c>
      <c r="B137" s="1" t="s">
        <v>1470</v>
      </c>
      <c r="C137" s="1" t="s">
        <v>4175</v>
      </c>
      <c r="D137" s="1" t="s">
        <v>3669</v>
      </c>
      <c r="E137" t="s">
        <v>3754</v>
      </c>
      <c r="F137" t="s">
        <v>2004</v>
      </c>
      <c r="G137">
        <v>1033</v>
      </c>
      <c r="H137">
        <v>0</v>
      </c>
    </row>
    <row r="138" spans="1:8" hidden="1" x14ac:dyDescent="0.4">
      <c r="A138" s="93" t="s">
        <v>3668</v>
      </c>
      <c r="B138" s="1" t="s">
        <v>1470</v>
      </c>
      <c r="C138" s="1" t="s">
        <v>4175</v>
      </c>
      <c r="D138" s="1" t="s">
        <v>3669</v>
      </c>
      <c r="E138" t="s">
        <v>3755</v>
      </c>
      <c r="F138" t="s">
        <v>2003</v>
      </c>
      <c r="G138">
        <v>0</v>
      </c>
      <c r="H138">
        <v>0</v>
      </c>
    </row>
    <row r="139" spans="1:8" hidden="1" x14ac:dyDescent="0.4">
      <c r="A139" s="93" t="s">
        <v>3668</v>
      </c>
      <c r="B139" s="1" t="s">
        <v>1470</v>
      </c>
      <c r="C139" s="1" t="s">
        <v>4175</v>
      </c>
      <c r="D139" s="1" t="s">
        <v>3669</v>
      </c>
      <c r="E139" t="s">
        <v>3756</v>
      </c>
      <c r="F139" t="s">
        <v>3757</v>
      </c>
      <c r="G139">
        <v>1000</v>
      </c>
      <c r="H139">
        <v>158200</v>
      </c>
    </row>
    <row r="140" spans="1:8" hidden="1" x14ac:dyDescent="0.4">
      <c r="A140" s="93" t="s">
        <v>3668</v>
      </c>
      <c r="B140" s="1" t="s">
        <v>1470</v>
      </c>
      <c r="C140" s="1" t="s">
        <v>4175</v>
      </c>
      <c r="D140" s="1" t="s">
        <v>3669</v>
      </c>
      <c r="E140" t="s">
        <v>3758</v>
      </c>
      <c r="F140" t="s">
        <v>2018</v>
      </c>
      <c r="G140">
        <v>0</v>
      </c>
      <c r="H140">
        <v>0</v>
      </c>
    </row>
    <row r="141" spans="1:8" hidden="1" x14ac:dyDescent="0.4">
      <c r="A141" s="93" t="s">
        <v>3668</v>
      </c>
      <c r="B141" s="1" t="s">
        <v>1470</v>
      </c>
      <c r="C141" s="1" t="s">
        <v>4175</v>
      </c>
      <c r="D141" s="1" t="s">
        <v>3669</v>
      </c>
      <c r="E141" t="s">
        <v>3759</v>
      </c>
      <c r="F141" t="s">
        <v>1953</v>
      </c>
      <c r="G141">
        <v>0</v>
      </c>
      <c r="H141">
        <v>0</v>
      </c>
    </row>
    <row r="142" spans="1:8" hidden="1" x14ac:dyDescent="0.4">
      <c r="A142" s="93" t="s">
        <v>3668</v>
      </c>
      <c r="B142" s="1" t="s">
        <v>1470</v>
      </c>
      <c r="C142" s="1" t="s">
        <v>4175</v>
      </c>
      <c r="D142" s="1" t="s">
        <v>3669</v>
      </c>
      <c r="E142" t="s">
        <v>3760</v>
      </c>
      <c r="F142" t="s">
        <v>1956</v>
      </c>
      <c r="G142">
        <v>0</v>
      </c>
      <c r="H142">
        <v>0</v>
      </c>
    </row>
    <row r="143" spans="1:8" hidden="1" x14ac:dyDescent="0.4">
      <c r="A143" s="93" t="s">
        <v>3668</v>
      </c>
      <c r="B143" s="1" t="s">
        <v>1470</v>
      </c>
      <c r="C143" s="1" t="s">
        <v>4175</v>
      </c>
      <c r="D143" s="1" t="s">
        <v>3669</v>
      </c>
      <c r="E143" t="s">
        <v>3761</v>
      </c>
      <c r="F143" t="s">
        <v>2081</v>
      </c>
      <c r="G143">
        <v>0</v>
      </c>
      <c r="H143">
        <v>0</v>
      </c>
    </row>
    <row r="144" spans="1:8" hidden="1" x14ac:dyDescent="0.4">
      <c r="A144" s="93" t="s">
        <v>3668</v>
      </c>
      <c r="B144" s="1" t="s">
        <v>1470</v>
      </c>
      <c r="C144" s="1" t="s">
        <v>4175</v>
      </c>
      <c r="D144" s="1" t="s">
        <v>3669</v>
      </c>
      <c r="E144" t="s">
        <v>3762</v>
      </c>
      <c r="F144" t="s">
        <v>2125</v>
      </c>
      <c r="G144">
        <v>0</v>
      </c>
      <c r="H144">
        <v>0</v>
      </c>
    </row>
    <row r="145" spans="1:8" hidden="1" x14ac:dyDescent="0.4">
      <c r="A145" s="93" t="s">
        <v>3668</v>
      </c>
      <c r="B145" s="1" t="s">
        <v>1470</v>
      </c>
      <c r="C145" s="1" t="s">
        <v>4175</v>
      </c>
      <c r="D145" s="1" t="s">
        <v>3669</v>
      </c>
      <c r="E145" t="s">
        <v>3763</v>
      </c>
      <c r="F145" t="s">
        <v>3764</v>
      </c>
      <c r="G145">
        <v>10</v>
      </c>
      <c r="H145">
        <v>105500</v>
      </c>
    </row>
    <row r="146" spans="1:8" hidden="1" x14ac:dyDescent="0.4">
      <c r="A146" s="93" t="s">
        <v>3668</v>
      </c>
      <c r="B146" s="1" t="s">
        <v>1470</v>
      </c>
      <c r="C146" s="1" t="s">
        <v>4175</v>
      </c>
      <c r="D146" s="1" t="s">
        <v>3669</v>
      </c>
      <c r="E146" t="s">
        <v>3765</v>
      </c>
      <c r="F146" t="s">
        <v>1955</v>
      </c>
      <c r="G146">
        <v>0</v>
      </c>
      <c r="H146">
        <v>0</v>
      </c>
    </row>
    <row r="147" spans="1:8" hidden="1" x14ac:dyDescent="0.4">
      <c r="A147" s="93" t="s">
        <v>3668</v>
      </c>
      <c r="B147" s="1" t="s">
        <v>1470</v>
      </c>
      <c r="C147" s="1" t="s">
        <v>4171</v>
      </c>
      <c r="D147" s="1" t="s">
        <v>3669</v>
      </c>
      <c r="E147" t="s">
        <v>3766</v>
      </c>
      <c r="F147" t="s">
        <v>1986</v>
      </c>
      <c r="G147">
        <v>11</v>
      </c>
      <c r="H147">
        <v>11908</v>
      </c>
    </row>
    <row r="148" spans="1:8" hidden="1" x14ac:dyDescent="0.4">
      <c r="A148" s="93" t="s">
        <v>3668</v>
      </c>
      <c r="B148" s="1" t="s">
        <v>1470</v>
      </c>
      <c r="C148" s="1" t="s">
        <v>4171</v>
      </c>
      <c r="D148" s="1" t="s">
        <v>3669</v>
      </c>
      <c r="E148" t="s">
        <v>3767</v>
      </c>
      <c r="F148" t="s">
        <v>1975</v>
      </c>
      <c r="G148">
        <v>0</v>
      </c>
      <c r="H148">
        <v>0</v>
      </c>
    </row>
    <row r="149" spans="1:8" hidden="1" x14ac:dyDescent="0.4">
      <c r="A149" s="93" t="s">
        <v>3668</v>
      </c>
      <c r="B149" s="1" t="s">
        <v>1470</v>
      </c>
      <c r="C149" s="1" t="s">
        <v>4171</v>
      </c>
      <c r="D149" s="1" t="s">
        <v>3669</v>
      </c>
      <c r="E149" t="s">
        <v>3768</v>
      </c>
      <c r="F149" t="s">
        <v>1924</v>
      </c>
      <c r="G149">
        <v>55</v>
      </c>
      <c r="H149">
        <v>82995</v>
      </c>
    </row>
    <row r="150" spans="1:8" hidden="1" x14ac:dyDescent="0.4">
      <c r="A150" s="93" t="s">
        <v>3668</v>
      </c>
      <c r="B150" s="1" t="s">
        <v>1470</v>
      </c>
      <c r="C150" s="1" t="s">
        <v>4171</v>
      </c>
      <c r="D150" s="1" t="s">
        <v>3669</v>
      </c>
      <c r="E150" t="s">
        <v>3769</v>
      </c>
      <c r="F150" t="s">
        <v>2114</v>
      </c>
      <c r="G150">
        <v>8.6999999999999993</v>
      </c>
      <c r="H150">
        <v>26368</v>
      </c>
    </row>
    <row r="151" spans="1:8" hidden="1" x14ac:dyDescent="0.4">
      <c r="A151" s="93" t="s">
        <v>3668</v>
      </c>
      <c r="B151" s="1" t="s">
        <v>1470</v>
      </c>
      <c r="C151" s="1" t="s">
        <v>4171</v>
      </c>
      <c r="D151" s="1" t="s">
        <v>3669</v>
      </c>
      <c r="E151" t="s">
        <v>3770</v>
      </c>
      <c r="F151" t="s">
        <v>3751</v>
      </c>
      <c r="G151">
        <v>15.46</v>
      </c>
      <c r="H151">
        <v>13567</v>
      </c>
    </row>
    <row r="152" spans="1:8" hidden="1" x14ac:dyDescent="0.4">
      <c r="A152" s="93" t="s">
        <v>3668</v>
      </c>
      <c r="B152" s="1" t="s">
        <v>1470</v>
      </c>
      <c r="C152" s="1" t="s">
        <v>4171</v>
      </c>
      <c r="D152" s="1" t="s">
        <v>3669</v>
      </c>
      <c r="E152" t="s">
        <v>3771</v>
      </c>
      <c r="F152" t="s">
        <v>1981</v>
      </c>
      <c r="G152">
        <v>-0.02</v>
      </c>
      <c r="H152">
        <v>-50</v>
      </c>
    </row>
    <row r="153" spans="1:8" hidden="1" x14ac:dyDescent="0.4">
      <c r="A153" s="93" t="s">
        <v>3668</v>
      </c>
      <c r="B153" s="1" t="s">
        <v>1470</v>
      </c>
      <c r="C153" s="1" t="s">
        <v>4171</v>
      </c>
      <c r="D153" s="1" t="s">
        <v>3669</v>
      </c>
      <c r="E153" t="s">
        <v>3772</v>
      </c>
      <c r="F153" t="s">
        <v>1932</v>
      </c>
      <c r="G153">
        <v>0</v>
      </c>
      <c r="H153">
        <v>0</v>
      </c>
    </row>
    <row r="154" spans="1:8" hidden="1" x14ac:dyDescent="0.4">
      <c r="A154" s="93" t="s">
        <v>3668</v>
      </c>
      <c r="B154" s="1" t="s">
        <v>1470</v>
      </c>
      <c r="C154" s="1" t="s">
        <v>4171</v>
      </c>
      <c r="D154" s="1" t="s">
        <v>3669</v>
      </c>
      <c r="E154" t="s">
        <v>3773</v>
      </c>
      <c r="F154" t="s">
        <v>1927</v>
      </c>
      <c r="G154">
        <v>0</v>
      </c>
      <c r="H154">
        <v>0</v>
      </c>
    </row>
    <row r="155" spans="1:8" hidden="1" x14ac:dyDescent="0.4">
      <c r="A155" s="93" t="s">
        <v>3668</v>
      </c>
      <c r="B155" s="1" t="s">
        <v>1470</v>
      </c>
      <c r="C155" s="1" t="s">
        <v>4171</v>
      </c>
      <c r="D155" s="1" t="s">
        <v>3669</v>
      </c>
      <c r="E155" t="s">
        <v>3774</v>
      </c>
      <c r="F155" t="s">
        <v>1954</v>
      </c>
      <c r="G155">
        <v>0</v>
      </c>
      <c r="H155">
        <v>0</v>
      </c>
    </row>
    <row r="156" spans="1:8" hidden="1" x14ac:dyDescent="0.4">
      <c r="A156" s="93" t="s">
        <v>3668</v>
      </c>
      <c r="B156" s="1" t="s">
        <v>1470</v>
      </c>
      <c r="C156" s="1" t="s">
        <v>4171</v>
      </c>
      <c r="D156" s="1" t="s">
        <v>3669</v>
      </c>
      <c r="E156" t="s">
        <v>3775</v>
      </c>
      <c r="F156" t="s">
        <v>1938</v>
      </c>
      <c r="G156">
        <v>0</v>
      </c>
      <c r="H156">
        <v>0</v>
      </c>
    </row>
    <row r="157" spans="1:8" hidden="1" x14ac:dyDescent="0.4">
      <c r="A157" s="93" t="s">
        <v>3668</v>
      </c>
      <c r="B157" s="1" t="s">
        <v>1470</v>
      </c>
      <c r="C157" s="1" t="s">
        <v>4171</v>
      </c>
      <c r="D157" s="1" t="s">
        <v>3669</v>
      </c>
      <c r="E157" t="s">
        <v>3776</v>
      </c>
      <c r="F157" t="s">
        <v>1939</v>
      </c>
      <c r="G157">
        <v>800</v>
      </c>
      <c r="H157">
        <v>3566080</v>
      </c>
    </row>
    <row r="158" spans="1:8" hidden="1" x14ac:dyDescent="0.4">
      <c r="A158" s="93" t="s">
        <v>3668</v>
      </c>
      <c r="B158" s="1" t="s">
        <v>1470</v>
      </c>
      <c r="C158" s="1" t="s">
        <v>4171</v>
      </c>
      <c r="D158" s="1" t="s">
        <v>3669</v>
      </c>
      <c r="E158" t="s">
        <v>3776</v>
      </c>
      <c r="F158" t="s">
        <v>1939</v>
      </c>
      <c r="G158">
        <v>0</v>
      </c>
      <c r="H158">
        <v>0</v>
      </c>
    </row>
    <row r="159" spans="1:8" hidden="1" x14ac:dyDescent="0.4">
      <c r="A159" s="93" t="s">
        <v>3668</v>
      </c>
      <c r="B159" s="1" t="s">
        <v>1470</v>
      </c>
      <c r="C159" s="1" t="s">
        <v>4171</v>
      </c>
      <c r="D159" s="1" t="s">
        <v>3669</v>
      </c>
      <c r="E159" t="s">
        <v>3777</v>
      </c>
      <c r="F159" t="s">
        <v>3778</v>
      </c>
      <c r="G159">
        <v>0</v>
      </c>
      <c r="H159">
        <v>0</v>
      </c>
    </row>
    <row r="160" spans="1:8" hidden="1" x14ac:dyDescent="0.4">
      <c r="A160" s="93" t="s">
        <v>3668</v>
      </c>
      <c r="B160" s="1" t="s">
        <v>1470</v>
      </c>
      <c r="C160" s="1" t="s">
        <v>4171</v>
      </c>
      <c r="D160" s="1" t="s">
        <v>3669</v>
      </c>
      <c r="E160" t="s">
        <v>3779</v>
      </c>
      <c r="F160" t="s">
        <v>1928</v>
      </c>
      <c r="G160">
        <v>0</v>
      </c>
      <c r="H160">
        <v>0</v>
      </c>
    </row>
    <row r="161" spans="1:8" hidden="1" x14ac:dyDescent="0.4">
      <c r="A161" s="93" t="s">
        <v>3668</v>
      </c>
      <c r="B161" s="1" t="s">
        <v>1470</v>
      </c>
      <c r="C161" s="1" t="s">
        <v>4171</v>
      </c>
      <c r="D161" s="1" t="s">
        <v>3669</v>
      </c>
      <c r="E161" t="s">
        <v>3780</v>
      </c>
      <c r="F161" t="s">
        <v>1937</v>
      </c>
      <c r="G161">
        <v>0</v>
      </c>
      <c r="H161">
        <v>0</v>
      </c>
    </row>
    <row r="162" spans="1:8" hidden="1" x14ac:dyDescent="0.4">
      <c r="A162" s="93" t="s">
        <v>3668</v>
      </c>
      <c r="B162" s="1" t="s">
        <v>1470</v>
      </c>
      <c r="C162" s="1" t="s">
        <v>4171</v>
      </c>
      <c r="D162" s="1" t="s">
        <v>3669</v>
      </c>
      <c r="E162" t="s">
        <v>3781</v>
      </c>
      <c r="F162" t="s">
        <v>1946</v>
      </c>
      <c r="G162">
        <v>1234</v>
      </c>
      <c r="H162">
        <v>6761694</v>
      </c>
    </row>
    <row r="163" spans="1:8" hidden="1" x14ac:dyDescent="0.4">
      <c r="A163" s="93" t="s">
        <v>3668</v>
      </c>
      <c r="B163" s="1" t="s">
        <v>1470</v>
      </c>
      <c r="C163" s="1" t="s">
        <v>4171</v>
      </c>
      <c r="D163" s="1" t="s">
        <v>3669</v>
      </c>
      <c r="E163" t="s">
        <v>3782</v>
      </c>
      <c r="F163" t="s">
        <v>1942</v>
      </c>
      <c r="G163">
        <v>961</v>
      </c>
      <c r="H163">
        <v>7344721</v>
      </c>
    </row>
    <row r="164" spans="1:8" hidden="1" x14ac:dyDescent="0.4">
      <c r="A164" s="93" t="s">
        <v>3668</v>
      </c>
      <c r="B164" s="1" t="s">
        <v>1470</v>
      </c>
      <c r="C164" s="1" t="s">
        <v>4171</v>
      </c>
      <c r="D164" s="1" t="s">
        <v>3669</v>
      </c>
      <c r="E164" t="s">
        <v>3783</v>
      </c>
      <c r="F164" t="s">
        <v>1935</v>
      </c>
      <c r="G164">
        <v>0</v>
      </c>
      <c r="H164">
        <v>0</v>
      </c>
    </row>
    <row r="165" spans="1:8" hidden="1" x14ac:dyDescent="0.4">
      <c r="A165" s="93" t="s">
        <v>3668</v>
      </c>
      <c r="B165" s="1" t="s">
        <v>1470</v>
      </c>
      <c r="C165" s="1" t="s">
        <v>4171</v>
      </c>
      <c r="D165" s="1" t="s">
        <v>3669</v>
      </c>
      <c r="E165" t="s">
        <v>3784</v>
      </c>
      <c r="F165" t="s">
        <v>1930</v>
      </c>
      <c r="G165">
        <v>0</v>
      </c>
      <c r="H165">
        <v>0</v>
      </c>
    </row>
    <row r="166" spans="1:8" hidden="1" x14ac:dyDescent="0.4">
      <c r="A166" s="93" t="s">
        <v>3668</v>
      </c>
      <c r="B166" s="1" t="s">
        <v>1470</v>
      </c>
      <c r="C166" s="1" t="s">
        <v>4171</v>
      </c>
      <c r="D166" s="1" t="s">
        <v>3669</v>
      </c>
      <c r="E166" t="s">
        <v>3785</v>
      </c>
      <c r="F166" t="s">
        <v>1945</v>
      </c>
      <c r="G166">
        <v>0</v>
      </c>
      <c r="H166">
        <v>0</v>
      </c>
    </row>
    <row r="167" spans="1:8" hidden="1" x14ac:dyDescent="0.4">
      <c r="A167" s="93" t="s">
        <v>3668</v>
      </c>
      <c r="B167" s="1" t="s">
        <v>1470</v>
      </c>
      <c r="C167" s="1" t="s">
        <v>4171</v>
      </c>
      <c r="D167" s="1" t="s">
        <v>3669</v>
      </c>
      <c r="E167" t="s">
        <v>3786</v>
      </c>
      <c r="F167" t="s">
        <v>1941</v>
      </c>
      <c r="G167">
        <v>0</v>
      </c>
      <c r="H167">
        <v>0</v>
      </c>
    </row>
    <row r="168" spans="1:8" hidden="1" x14ac:dyDescent="0.4">
      <c r="A168" s="93" t="s">
        <v>3668</v>
      </c>
      <c r="B168" s="1" t="s">
        <v>1470</v>
      </c>
      <c r="C168" s="1" t="s">
        <v>4171</v>
      </c>
      <c r="D168" s="1" t="s">
        <v>3669</v>
      </c>
      <c r="E168" t="s">
        <v>3787</v>
      </c>
      <c r="F168" t="s">
        <v>1949</v>
      </c>
      <c r="G168">
        <v>0</v>
      </c>
      <c r="H168">
        <v>0</v>
      </c>
    </row>
    <row r="169" spans="1:8" hidden="1" x14ac:dyDescent="0.4">
      <c r="A169" s="93" t="s">
        <v>3668</v>
      </c>
      <c r="B169" s="1" t="s">
        <v>1470</v>
      </c>
      <c r="C169" s="1" t="s">
        <v>4171</v>
      </c>
      <c r="D169" s="1" t="s">
        <v>3669</v>
      </c>
      <c r="E169" t="s">
        <v>3788</v>
      </c>
      <c r="F169" t="s">
        <v>1936</v>
      </c>
      <c r="G169">
        <v>998</v>
      </c>
      <c r="H169">
        <v>6015266</v>
      </c>
    </row>
    <row r="170" spans="1:8" hidden="1" x14ac:dyDescent="0.4">
      <c r="A170" s="93" t="s">
        <v>3668</v>
      </c>
      <c r="B170" s="1" t="s">
        <v>1470</v>
      </c>
      <c r="C170" s="1" t="s">
        <v>4171</v>
      </c>
      <c r="D170" s="1" t="s">
        <v>3669</v>
      </c>
      <c r="E170" t="s">
        <v>3789</v>
      </c>
      <c r="F170" t="s">
        <v>2104</v>
      </c>
      <c r="G170">
        <v>100</v>
      </c>
      <c r="H170">
        <v>657700</v>
      </c>
    </row>
    <row r="171" spans="1:8" hidden="1" x14ac:dyDescent="0.4">
      <c r="A171" s="93" t="s">
        <v>3668</v>
      </c>
      <c r="B171" s="1" t="s">
        <v>1470</v>
      </c>
      <c r="C171" s="1" t="s">
        <v>4171</v>
      </c>
      <c r="D171" s="1" t="s">
        <v>3669</v>
      </c>
      <c r="E171" t="s">
        <v>3790</v>
      </c>
      <c r="F171" t="s">
        <v>1940</v>
      </c>
      <c r="G171">
        <v>80</v>
      </c>
      <c r="H171">
        <v>441040</v>
      </c>
    </row>
    <row r="172" spans="1:8" hidden="1" x14ac:dyDescent="0.4">
      <c r="A172" s="93" t="s">
        <v>3668</v>
      </c>
      <c r="B172" s="1" t="s">
        <v>1470</v>
      </c>
      <c r="C172" s="1" t="s">
        <v>4171</v>
      </c>
      <c r="D172" s="1" t="s">
        <v>3669</v>
      </c>
      <c r="E172" t="s">
        <v>3791</v>
      </c>
      <c r="F172" t="s">
        <v>1944</v>
      </c>
      <c r="G172">
        <v>948</v>
      </c>
      <c r="H172">
        <v>5497258</v>
      </c>
    </row>
    <row r="173" spans="1:8" hidden="1" x14ac:dyDescent="0.4">
      <c r="A173" s="93" t="s">
        <v>3668</v>
      </c>
      <c r="B173" s="1" t="s">
        <v>1470</v>
      </c>
      <c r="C173" s="1" t="s">
        <v>4171</v>
      </c>
      <c r="D173" s="1" t="s">
        <v>3669</v>
      </c>
      <c r="E173" t="s">
        <v>3792</v>
      </c>
      <c r="F173" t="s">
        <v>1929</v>
      </c>
      <c r="G173">
        <v>0</v>
      </c>
      <c r="H173">
        <v>0</v>
      </c>
    </row>
    <row r="174" spans="1:8" hidden="1" x14ac:dyDescent="0.4">
      <c r="A174" s="93" t="s">
        <v>3668</v>
      </c>
      <c r="B174" s="1" t="s">
        <v>1470</v>
      </c>
      <c r="C174" s="1" t="s">
        <v>4171</v>
      </c>
      <c r="D174" s="1" t="s">
        <v>3669</v>
      </c>
      <c r="E174" t="s">
        <v>3793</v>
      </c>
      <c r="F174" t="s">
        <v>1931</v>
      </c>
      <c r="G174">
        <v>0</v>
      </c>
      <c r="H174">
        <v>0</v>
      </c>
    </row>
    <row r="175" spans="1:8" hidden="1" x14ac:dyDescent="0.4">
      <c r="A175" s="93" t="s">
        <v>3668</v>
      </c>
      <c r="B175" s="1" t="s">
        <v>1470</v>
      </c>
      <c r="C175" s="1" t="s">
        <v>4171</v>
      </c>
      <c r="D175" s="1" t="s">
        <v>3669</v>
      </c>
      <c r="E175" t="s">
        <v>3794</v>
      </c>
      <c r="F175" t="s">
        <v>3795</v>
      </c>
      <c r="G175">
        <v>551.88</v>
      </c>
      <c r="H175">
        <v>211574</v>
      </c>
    </row>
    <row r="176" spans="1:8" hidden="1" x14ac:dyDescent="0.4">
      <c r="A176" s="93" t="s">
        <v>3668</v>
      </c>
      <c r="B176" s="1" t="s">
        <v>1470</v>
      </c>
      <c r="C176" s="1" t="s">
        <v>4171</v>
      </c>
      <c r="D176" s="1" t="s">
        <v>3669</v>
      </c>
      <c r="E176" t="s">
        <v>3796</v>
      </c>
      <c r="F176" t="s">
        <v>1925</v>
      </c>
      <c r="G176">
        <v>0</v>
      </c>
      <c r="H176">
        <v>0</v>
      </c>
    </row>
    <row r="177" spans="1:8" hidden="1" x14ac:dyDescent="0.4">
      <c r="A177" s="93" t="s">
        <v>3668</v>
      </c>
      <c r="B177" s="1" t="s">
        <v>1470</v>
      </c>
      <c r="C177" s="1" t="s">
        <v>4171</v>
      </c>
      <c r="D177" s="1" t="s">
        <v>3669</v>
      </c>
      <c r="E177" t="s">
        <v>3797</v>
      </c>
      <c r="F177" t="s">
        <v>1926</v>
      </c>
      <c r="G177">
        <v>0</v>
      </c>
      <c r="H177">
        <v>0</v>
      </c>
    </row>
    <row r="178" spans="1:8" hidden="1" x14ac:dyDescent="0.4">
      <c r="A178" s="93" t="s">
        <v>3668</v>
      </c>
      <c r="B178" s="1" t="s">
        <v>1470</v>
      </c>
      <c r="C178" s="1" t="s">
        <v>4171</v>
      </c>
      <c r="D178" s="1" t="s">
        <v>3669</v>
      </c>
      <c r="E178" t="s">
        <v>3798</v>
      </c>
      <c r="F178" t="s">
        <v>1943</v>
      </c>
      <c r="G178">
        <v>209</v>
      </c>
      <c r="H178">
        <v>985684</v>
      </c>
    </row>
    <row r="179" spans="1:8" hidden="1" x14ac:dyDescent="0.4">
      <c r="A179" s="93" t="s">
        <v>3668</v>
      </c>
      <c r="B179" s="1" t="s">
        <v>1470</v>
      </c>
      <c r="C179" s="1" t="s">
        <v>4171</v>
      </c>
      <c r="D179" s="1" t="s">
        <v>3669</v>
      </c>
      <c r="E179" t="s">
        <v>3799</v>
      </c>
      <c r="F179" t="s">
        <v>1947</v>
      </c>
      <c r="G179">
        <v>0</v>
      </c>
      <c r="H179">
        <v>0</v>
      </c>
    </row>
    <row r="180" spans="1:8" hidden="1" x14ac:dyDescent="0.4">
      <c r="A180" s="93" t="s">
        <v>3668</v>
      </c>
      <c r="B180" s="1" t="s">
        <v>1470</v>
      </c>
      <c r="C180" s="1" t="s">
        <v>4171</v>
      </c>
      <c r="D180" s="1" t="s">
        <v>3669</v>
      </c>
      <c r="E180" t="s">
        <v>3800</v>
      </c>
      <c r="F180" t="s">
        <v>3801</v>
      </c>
      <c r="G180">
        <v>281.94</v>
      </c>
      <c r="H180">
        <v>302062</v>
      </c>
    </row>
    <row r="181" spans="1:8" hidden="1" x14ac:dyDescent="0.4">
      <c r="A181" s="93" t="s">
        <v>3668</v>
      </c>
      <c r="B181" s="1" t="s">
        <v>1470</v>
      </c>
      <c r="C181" s="1" t="s">
        <v>4171</v>
      </c>
      <c r="D181" s="1" t="s">
        <v>3669</v>
      </c>
      <c r="E181" t="s">
        <v>3802</v>
      </c>
      <c r="F181" t="s">
        <v>2131</v>
      </c>
      <c r="G181">
        <v>0</v>
      </c>
      <c r="H181">
        <v>0</v>
      </c>
    </row>
    <row r="182" spans="1:8" hidden="1" x14ac:dyDescent="0.4">
      <c r="A182" s="93" t="s">
        <v>3668</v>
      </c>
      <c r="B182" s="1" t="s">
        <v>1470</v>
      </c>
      <c r="C182" s="1" t="s">
        <v>4171</v>
      </c>
      <c r="D182" s="1" t="s">
        <v>3669</v>
      </c>
      <c r="E182" t="s">
        <v>3803</v>
      </c>
      <c r="F182" t="s">
        <v>1950</v>
      </c>
      <c r="G182">
        <v>0</v>
      </c>
      <c r="H182">
        <v>0</v>
      </c>
    </row>
    <row r="183" spans="1:8" hidden="1" x14ac:dyDescent="0.4">
      <c r="A183" s="93" t="s">
        <v>3668</v>
      </c>
      <c r="B183" s="1" t="s">
        <v>1470</v>
      </c>
      <c r="C183" s="1" t="s">
        <v>4171</v>
      </c>
      <c r="D183" s="1" t="s">
        <v>3669</v>
      </c>
      <c r="E183" t="s">
        <v>3804</v>
      </c>
      <c r="F183" t="s">
        <v>3805</v>
      </c>
      <c r="G183">
        <v>0</v>
      </c>
      <c r="H183">
        <v>0</v>
      </c>
    </row>
    <row r="184" spans="1:8" hidden="1" x14ac:dyDescent="0.4">
      <c r="A184" s="93" t="s">
        <v>3668</v>
      </c>
      <c r="B184" s="1" t="s">
        <v>1470</v>
      </c>
      <c r="C184" s="1" t="s">
        <v>4171</v>
      </c>
      <c r="D184" s="1" t="s">
        <v>3669</v>
      </c>
      <c r="E184" t="s">
        <v>3806</v>
      </c>
      <c r="F184" t="s">
        <v>2086</v>
      </c>
      <c r="G184">
        <v>0</v>
      </c>
      <c r="H184">
        <v>0</v>
      </c>
    </row>
    <row r="185" spans="1:8" hidden="1" x14ac:dyDescent="0.4">
      <c r="A185" s="93" t="s">
        <v>3668</v>
      </c>
      <c r="B185" s="1" t="s">
        <v>1470</v>
      </c>
      <c r="C185" s="1" t="s">
        <v>4171</v>
      </c>
      <c r="D185" s="1" t="s">
        <v>3669</v>
      </c>
      <c r="E185" t="s">
        <v>3807</v>
      </c>
      <c r="F185" t="s">
        <v>1979</v>
      </c>
      <c r="G185">
        <v>3278.07</v>
      </c>
      <c r="H185">
        <v>1199740</v>
      </c>
    </row>
    <row r="186" spans="1:8" hidden="1" x14ac:dyDescent="0.4">
      <c r="A186" s="93" t="s">
        <v>3668</v>
      </c>
      <c r="B186" s="1" t="s">
        <v>1470</v>
      </c>
      <c r="C186" s="1" t="s">
        <v>4176</v>
      </c>
      <c r="D186" s="1" t="s">
        <v>3669</v>
      </c>
      <c r="E186" t="s">
        <v>3762</v>
      </c>
      <c r="F186" t="s">
        <v>2125</v>
      </c>
      <c r="G186">
        <v>0</v>
      </c>
      <c r="H186">
        <v>0</v>
      </c>
    </row>
    <row r="187" spans="1:8" hidden="1" x14ac:dyDescent="0.4">
      <c r="A187" s="93" t="s">
        <v>3668</v>
      </c>
      <c r="B187" s="1" t="s">
        <v>1470</v>
      </c>
      <c r="C187" s="1" t="s">
        <v>4176</v>
      </c>
      <c r="D187" s="1" t="s">
        <v>3669</v>
      </c>
      <c r="E187" t="s">
        <v>3780</v>
      </c>
      <c r="F187" t="s">
        <v>1937</v>
      </c>
      <c r="G187">
        <v>0</v>
      </c>
      <c r="H187">
        <v>0</v>
      </c>
    </row>
    <row r="188" spans="1:8" hidden="1" x14ac:dyDescent="0.4">
      <c r="A188" s="93" t="s">
        <v>3668</v>
      </c>
      <c r="B188" s="1" t="s">
        <v>1470</v>
      </c>
      <c r="C188" s="1" t="s">
        <v>4176</v>
      </c>
      <c r="D188" s="1" t="s">
        <v>3669</v>
      </c>
      <c r="E188" t="s">
        <v>3779</v>
      </c>
      <c r="F188" t="s">
        <v>1928</v>
      </c>
      <c r="G188">
        <v>0</v>
      </c>
      <c r="H188">
        <v>0</v>
      </c>
    </row>
    <row r="189" spans="1:8" hidden="1" x14ac:dyDescent="0.4">
      <c r="A189" s="93" t="s">
        <v>3668</v>
      </c>
      <c r="B189" s="1" t="s">
        <v>1470</v>
      </c>
      <c r="C189" s="1" t="s">
        <v>4176</v>
      </c>
      <c r="D189" s="1" t="s">
        <v>3669</v>
      </c>
      <c r="E189" t="s">
        <v>3798</v>
      </c>
      <c r="F189" t="s">
        <v>1943</v>
      </c>
      <c r="G189">
        <v>209</v>
      </c>
      <c r="H189">
        <v>985684</v>
      </c>
    </row>
    <row r="190" spans="1:8" hidden="1" x14ac:dyDescent="0.4">
      <c r="A190" s="93" t="s">
        <v>3668</v>
      </c>
      <c r="B190" s="1" t="s">
        <v>1470</v>
      </c>
      <c r="C190" s="1" t="s">
        <v>4176</v>
      </c>
      <c r="D190" s="1" t="s">
        <v>3669</v>
      </c>
      <c r="E190" t="s">
        <v>3760</v>
      </c>
      <c r="F190" t="s">
        <v>1956</v>
      </c>
      <c r="G190">
        <v>0</v>
      </c>
      <c r="H190">
        <v>0</v>
      </c>
    </row>
    <row r="191" spans="1:8" hidden="1" x14ac:dyDescent="0.4">
      <c r="A191" s="93" t="s">
        <v>3668</v>
      </c>
      <c r="B191" s="1" t="s">
        <v>1470</v>
      </c>
      <c r="C191" s="1" t="s">
        <v>4176</v>
      </c>
      <c r="D191" s="1" t="s">
        <v>3669</v>
      </c>
      <c r="E191" t="s">
        <v>3807</v>
      </c>
      <c r="F191" t="s">
        <v>1979</v>
      </c>
      <c r="G191">
        <v>3278.07</v>
      </c>
      <c r="H191">
        <v>1199740</v>
      </c>
    </row>
    <row r="192" spans="1:8" hidden="1" x14ac:dyDescent="0.4">
      <c r="A192" s="93" t="s">
        <v>3668</v>
      </c>
      <c r="B192" s="1" t="s">
        <v>1470</v>
      </c>
      <c r="C192" s="1" t="s">
        <v>4176</v>
      </c>
      <c r="D192" s="1" t="s">
        <v>3669</v>
      </c>
      <c r="E192" t="s">
        <v>3785</v>
      </c>
      <c r="F192" t="s">
        <v>1945</v>
      </c>
      <c r="G192">
        <v>0</v>
      </c>
      <c r="H192">
        <v>0</v>
      </c>
    </row>
    <row r="193" spans="1:8" hidden="1" x14ac:dyDescent="0.4">
      <c r="A193" s="93" t="s">
        <v>3668</v>
      </c>
      <c r="B193" s="1" t="s">
        <v>1470</v>
      </c>
      <c r="C193" s="1" t="s">
        <v>4176</v>
      </c>
      <c r="D193" s="1" t="s">
        <v>3669</v>
      </c>
      <c r="E193" t="s">
        <v>3786</v>
      </c>
      <c r="F193" t="s">
        <v>1941</v>
      </c>
      <c r="G193">
        <v>0</v>
      </c>
      <c r="H193">
        <v>0</v>
      </c>
    </row>
    <row r="194" spans="1:8" hidden="1" x14ac:dyDescent="0.4">
      <c r="A194" s="93" t="s">
        <v>3668</v>
      </c>
      <c r="B194" s="1" t="s">
        <v>1470</v>
      </c>
      <c r="C194" s="1" t="s">
        <v>4176</v>
      </c>
      <c r="D194" s="1" t="s">
        <v>3669</v>
      </c>
      <c r="E194" t="s">
        <v>3749</v>
      </c>
      <c r="F194" t="s">
        <v>2010</v>
      </c>
      <c r="G194">
        <v>0</v>
      </c>
      <c r="H194">
        <v>0</v>
      </c>
    </row>
    <row r="195" spans="1:8" hidden="1" x14ac:dyDescent="0.4">
      <c r="A195" s="93" t="s">
        <v>3668</v>
      </c>
      <c r="B195" s="1" t="s">
        <v>1470</v>
      </c>
      <c r="C195" s="1" t="s">
        <v>4176</v>
      </c>
      <c r="D195" s="1" t="s">
        <v>3669</v>
      </c>
      <c r="E195" t="s">
        <v>3782</v>
      </c>
      <c r="F195" t="s">
        <v>1942</v>
      </c>
      <c r="G195">
        <v>961</v>
      </c>
      <c r="H195">
        <v>7344721</v>
      </c>
    </row>
    <row r="196" spans="1:8" hidden="1" x14ac:dyDescent="0.4">
      <c r="A196" s="93" t="s">
        <v>3668</v>
      </c>
      <c r="B196" s="1" t="s">
        <v>1470</v>
      </c>
      <c r="C196" s="1" t="s">
        <v>4176</v>
      </c>
      <c r="D196" s="1" t="s">
        <v>3669</v>
      </c>
      <c r="E196" t="s">
        <v>3781</v>
      </c>
      <c r="F196" t="s">
        <v>1946</v>
      </c>
      <c r="G196">
        <v>1234</v>
      </c>
      <c r="H196">
        <v>6761694</v>
      </c>
    </row>
    <row r="197" spans="1:8" hidden="1" x14ac:dyDescent="0.4">
      <c r="A197" s="93" t="s">
        <v>3668</v>
      </c>
      <c r="B197" s="1" t="s">
        <v>1470</v>
      </c>
      <c r="C197" s="1" t="s">
        <v>4176</v>
      </c>
      <c r="D197" s="1" t="s">
        <v>3669</v>
      </c>
      <c r="E197" t="s">
        <v>3783</v>
      </c>
      <c r="F197" t="s">
        <v>1935</v>
      </c>
      <c r="G197">
        <v>0</v>
      </c>
      <c r="H197">
        <v>0</v>
      </c>
    </row>
    <row r="198" spans="1:8" hidden="1" x14ac:dyDescent="0.4">
      <c r="A198" s="93" t="s">
        <v>3668</v>
      </c>
      <c r="B198" s="1" t="s">
        <v>1470</v>
      </c>
      <c r="C198" s="1" t="s">
        <v>4176</v>
      </c>
      <c r="D198" s="1" t="s">
        <v>3669</v>
      </c>
      <c r="E198" t="s">
        <v>3784</v>
      </c>
      <c r="F198" t="s">
        <v>1930</v>
      </c>
      <c r="G198">
        <v>0</v>
      </c>
      <c r="H198">
        <v>0</v>
      </c>
    </row>
    <row r="199" spans="1:8" hidden="1" x14ac:dyDescent="0.4">
      <c r="A199" s="93" t="s">
        <v>3668</v>
      </c>
      <c r="B199" s="1" t="s">
        <v>1470</v>
      </c>
      <c r="C199" s="1" t="s">
        <v>4176</v>
      </c>
      <c r="D199" s="1" t="s">
        <v>3669</v>
      </c>
      <c r="E199" t="s">
        <v>3767</v>
      </c>
      <c r="F199" t="s">
        <v>1975</v>
      </c>
      <c r="G199">
        <v>0</v>
      </c>
      <c r="H199">
        <v>0</v>
      </c>
    </row>
    <row r="200" spans="1:8" hidden="1" x14ac:dyDescent="0.4">
      <c r="A200" s="93" t="s">
        <v>3668</v>
      </c>
      <c r="B200" s="1" t="s">
        <v>1470</v>
      </c>
      <c r="C200" s="1" t="s">
        <v>4176</v>
      </c>
      <c r="D200" s="1" t="s">
        <v>3669</v>
      </c>
      <c r="E200" t="s">
        <v>3806</v>
      </c>
      <c r="F200" t="s">
        <v>2086</v>
      </c>
      <c r="G200">
        <v>0</v>
      </c>
      <c r="H200">
        <v>0</v>
      </c>
    </row>
    <row r="201" spans="1:8" hidden="1" x14ac:dyDescent="0.4">
      <c r="A201" s="93" t="s">
        <v>3668</v>
      </c>
      <c r="B201" s="1" t="s">
        <v>1470</v>
      </c>
      <c r="C201" s="1" t="s">
        <v>4176</v>
      </c>
      <c r="D201" s="1" t="s">
        <v>3669</v>
      </c>
      <c r="E201" t="s">
        <v>3777</v>
      </c>
      <c r="F201" t="s">
        <v>3778</v>
      </c>
      <c r="G201">
        <v>0</v>
      </c>
      <c r="H201">
        <v>0</v>
      </c>
    </row>
    <row r="202" spans="1:8" hidden="1" x14ac:dyDescent="0.4">
      <c r="A202" s="93" t="s">
        <v>3668</v>
      </c>
      <c r="B202" s="1" t="s">
        <v>1470</v>
      </c>
      <c r="C202" s="1" t="s">
        <v>4176</v>
      </c>
      <c r="D202" s="1" t="s">
        <v>3669</v>
      </c>
      <c r="E202" t="s">
        <v>3791</v>
      </c>
      <c r="F202" t="s">
        <v>1944</v>
      </c>
      <c r="G202">
        <v>948</v>
      </c>
      <c r="H202">
        <v>5497258</v>
      </c>
    </row>
    <row r="203" spans="1:8" hidden="1" x14ac:dyDescent="0.4">
      <c r="A203" s="93" t="s">
        <v>3668</v>
      </c>
      <c r="B203" s="1" t="s">
        <v>1470</v>
      </c>
      <c r="C203" s="1" t="s">
        <v>4176</v>
      </c>
      <c r="D203" s="1" t="s">
        <v>3669</v>
      </c>
      <c r="E203" t="s">
        <v>3766</v>
      </c>
      <c r="F203" t="s">
        <v>1986</v>
      </c>
      <c r="G203">
        <v>11</v>
      </c>
      <c r="H203">
        <v>11908</v>
      </c>
    </row>
    <row r="204" spans="1:8" hidden="1" x14ac:dyDescent="0.4">
      <c r="A204" s="93" t="s">
        <v>3668</v>
      </c>
      <c r="B204" s="1" t="s">
        <v>1470</v>
      </c>
      <c r="C204" s="1" t="s">
        <v>4176</v>
      </c>
      <c r="D204" s="1" t="s">
        <v>3669</v>
      </c>
      <c r="E204" t="s">
        <v>3793</v>
      </c>
      <c r="F204" t="s">
        <v>1931</v>
      </c>
      <c r="G204">
        <v>0</v>
      </c>
      <c r="H204">
        <v>0</v>
      </c>
    </row>
    <row r="205" spans="1:8" hidden="1" x14ac:dyDescent="0.4">
      <c r="A205" s="93" t="s">
        <v>3668</v>
      </c>
      <c r="B205" s="1" t="s">
        <v>1470</v>
      </c>
      <c r="C205" s="1" t="s">
        <v>4176</v>
      </c>
      <c r="D205" s="1" t="s">
        <v>3669</v>
      </c>
      <c r="E205" t="s">
        <v>3768</v>
      </c>
      <c r="F205" t="s">
        <v>1924</v>
      </c>
      <c r="G205">
        <v>55</v>
      </c>
      <c r="H205">
        <v>82995</v>
      </c>
    </row>
    <row r="206" spans="1:8" hidden="1" x14ac:dyDescent="0.4">
      <c r="A206" s="93" t="s">
        <v>3668</v>
      </c>
      <c r="B206" s="1" t="s">
        <v>1470</v>
      </c>
      <c r="C206" s="1" t="s">
        <v>4176</v>
      </c>
      <c r="D206" s="1" t="s">
        <v>3669</v>
      </c>
      <c r="E206" t="s">
        <v>3787</v>
      </c>
      <c r="F206" t="s">
        <v>1949</v>
      </c>
      <c r="G206">
        <v>0</v>
      </c>
      <c r="H206">
        <v>0</v>
      </c>
    </row>
    <row r="207" spans="1:8" hidden="1" x14ac:dyDescent="0.4">
      <c r="A207" s="93" t="s">
        <v>3668</v>
      </c>
      <c r="B207" s="1" t="s">
        <v>1470</v>
      </c>
      <c r="C207" s="1" t="s">
        <v>4176</v>
      </c>
      <c r="D207" s="1" t="s">
        <v>3669</v>
      </c>
      <c r="E207" t="s">
        <v>3770</v>
      </c>
      <c r="F207" t="s">
        <v>3751</v>
      </c>
      <c r="G207">
        <v>15.46</v>
      </c>
      <c r="H207">
        <v>13567</v>
      </c>
    </row>
    <row r="208" spans="1:8" hidden="1" x14ac:dyDescent="0.4">
      <c r="A208" s="93" t="s">
        <v>3668</v>
      </c>
      <c r="B208" s="1" t="s">
        <v>1470</v>
      </c>
      <c r="C208" s="1" t="s">
        <v>4176</v>
      </c>
      <c r="D208" s="1" t="s">
        <v>3669</v>
      </c>
      <c r="E208" t="s">
        <v>3750</v>
      </c>
      <c r="F208" t="s">
        <v>3751</v>
      </c>
      <c r="G208">
        <v>889.38</v>
      </c>
      <c r="H208">
        <v>346395</v>
      </c>
    </row>
    <row r="209" spans="1:8" hidden="1" x14ac:dyDescent="0.4">
      <c r="A209" s="93" t="s">
        <v>3668</v>
      </c>
      <c r="B209" s="1" t="s">
        <v>1470</v>
      </c>
      <c r="C209" s="1" t="s">
        <v>4176</v>
      </c>
      <c r="D209" s="1" t="s">
        <v>3669</v>
      </c>
      <c r="E209" t="s">
        <v>3794</v>
      </c>
      <c r="F209" t="s">
        <v>3795</v>
      </c>
      <c r="G209">
        <v>551.88</v>
      </c>
      <c r="H209">
        <v>211574</v>
      </c>
    </row>
    <row r="210" spans="1:8" hidden="1" x14ac:dyDescent="0.4">
      <c r="A210" s="93" t="s">
        <v>3668</v>
      </c>
      <c r="B210" s="1" t="s">
        <v>1470</v>
      </c>
      <c r="C210" s="1" t="s">
        <v>4176</v>
      </c>
      <c r="D210" s="1" t="s">
        <v>3669</v>
      </c>
      <c r="E210" t="s">
        <v>3776</v>
      </c>
      <c r="F210" t="s">
        <v>1939</v>
      </c>
      <c r="G210">
        <v>800</v>
      </c>
      <c r="H210">
        <v>3566080</v>
      </c>
    </row>
    <row r="211" spans="1:8" hidden="1" x14ac:dyDescent="0.4">
      <c r="A211" s="93" t="s">
        <v>3668</v>
      </c>
      <c r="B211" s="1" t="s">
        <v>1470</v>
      </c>
      <c r="C211" s="1" t="s">
        <v>4176</v>
      </c>
      <c r="D211" s="1" t="s">
        <v>3669</v>
      </c>
      <c r="E211" t="s">
        <v>3776</v>
      </c>
      <c r="F211" t="s">
        <v>1939</v>
      </c>
      <c r="G211">
        <v>0</v>
      </c>
      <c r="H211">
        <v>0</v>
      </c>
    </row>
    <row r="212" spans="1:8" hidden="1" x14ac:dyDescent="0.4">
      <c r="A212" s="93" t="s">
        <v>3668</v>
      </c>
      <c r="B212" s="1" t="s">
        <v>1470</v>
      </c>
      <c r="C212" s="1" t="s">
        <v>4176</v>
      </c>
      <c r="D212" s="1" t="s">
        <v>3669</v>
      </c>
      <c r="E212" t="s">
        <v>3775</v>
      </c>
      <c r="F212" t="s">
        <v>1938</v>
      </c>
      <c r="G212">
        <v>0</v>
      </c>
      <c r="H212">
        <v>0</v>
      </c>
    </row>
    <row r="213" spans="1:8" hidden="1" x14ac:dyDescent="0.4">
      <c r="A213" s="93" t="s">
        <v>3668</v>
      </c>
      <c r="B213" s="1" t="s">
        <v>1470</v>
      </c>
      <c r="C213" s="1" t="s">
        <v>4176</v>
      </c>
      <c r="D213" s="1" t="s">
        <v>3669</v>
      </c>
      <c r="E213" t="s">
        <v>3755</v>
      </c>
      <c r="F213" t="s">
        <v>2003</v>
      </c>
      <c r="G213">
        <v>0</v>
      </c>
      <c r="H213">
        <v>0</v>
      </c>
    </row>
    <row r="214" spans="1:8" hidden="1" x14ac:dyDescent="0.4">
      <c r="A214" s="93" t="s">
        <v>3668</v>
      </c>
      <c r="B214" s="1" t="s">
        <v>1470</v>
      </c>
      <c r="C214" s="1" t="s">
        <v>4176</v>
      </c>
      <c r="D214" s="1" t="s">
        <v>3669</v>
      </c>
      <c r="E214" t="s">
        <v>3774</v>
      </c>
      <c r="F214" t="s">
        <v>1954</v>
      </c>
      <c r="G214">
        <v>0</v>
      </c>
      <c r="H214">
        <v>0</v>
      </c>
    </row>
    <row r="215" spans="1:8" hidden="1" x14ac:dyDescent="0.4">
      <c r="A215" s="93" t="s">
        <v>3668</v>
      </c>
      <c r="B215" s="1" t="s">
        <v>1470</v>
      </c>
      <c r="C215" s="1" t="s">
        <v>4176</v>
      </c>
      <c r="D215" s="1" t="s">
        <v>3669</v>
      </c>
      <c r="E215" t="s">
        <v>3753</v>
      </c>
      <c r="F215" t="s">
        <v>1954</v>
      </c>
      <c r="G215">
        <v>0</v>
      </c>
      <c r="H215">
        <v>0</v>
      </c>
    </row>
    <row r="216" spans="1:8" hidden="1" x14ac:dyDescent="0.4">
      <c r="A216" s="93" t="s">
        <v>3668</v>
      </c>
      <c r="B216" s="1" t="s">
        <v>1470</v>
      </c>
      <c r="C216" s="1" t="s">
        <v>4176</v>
      </c>
      <c r="D216" s="1" t="s">
        <v>3669</v>
      </c>
      <c r="E216" t="s">
        <v>3799</v>
      </c>
      <c r="F216" t="s">
        <v>1947</v>
      </c>
      <c r="G216">
        <v>0</v>
      </c>
      <c r="H216">
        <v>0</v>
      </c>
    </row>
    <row r="217" spans="1:8" hidden="1" x14ac:dyDescent="0.4">
      <c r="A217" s="93" t="s">
        <v>3668</v>
      </c>
      <c r="B217" s="1" t="s">
        <v>1470</v>
      </c>
      <c r="C217" s="1" t="s">
        <v>4176</v>
      </c>
      <c r="D217" s="1" t="s">
        <v>3669</v>
      </c>
      <c r="E217" t="s">
        <v>3792</v>
      </c>
      <c r="F217" t="s">
        <v>1929</v>
      </c>
      <c r="G217">
        <v>0</v>
      </c>
      <c r="H217">
        <v>0</v>
      </c>
    </row>
    <row r="218" spans="1:8" hidden="1" x14ac:dyDescent="0.4">
      <c r="A218" s="93" t="s">
        <v>3668</v>
      </c>
      <c r="B218" s="1" t="s">
        <v>1470</v>
      </c>
      <c r="C218" s="1" t="s">
        <v>4176</v>
      </c>
      <c r="D218" s="1" t="s">
        <v>3669</v>
      </c>
      <c r="E218" t="s">
        <v>3765</v>
      </c>
      <c r="F218" t="s">
        <v>1955</v>
      </c>
      <c r="G218">
        <v>0</v>
      </c>
      <c r="H218">
        <v>0</v>
      </c>
    </row>
    <row r="219" spans="1:8" hidden="1" x14ac:dyDescent="0.4">
      <c r="A219" s="93" t="s">
        <v>3668</v>
      </c>
      <c r="B219" s="1" t="s">
        <v>1470</v>
      </c>
      <c r="C219" s="1" t="s">
        <v>4176</v>
      </c>
      <c r="D219" s="1" t="s">
        <v>3669</v>
      </c>
      <c r="E219" t="s">
        <v>3763</v>
      </c>
      <c r="F219" t="s">
        <v>3764</v>
      </c>
      <c r="G219">
        <v>10</v>
      </c>
      <c r="H219">
        <v>105500</v>
      </c>
    </row>
    <row r="220" spans="1:8" hidden="1" x14ac:dyDescent="0.4">
      <c r="A220" s="93" t="s">
        <v>3668</v>
      </c>
      <c r="B220" s="1" t="s">
        <v>1470</v>
      </c>
      <c r="C220" s="1" t="s">
        <v>4176</v>
      </c>
      <c r="D220" s="1" t="s">
        <v>3669</v>
      </c>
      <c r="E220" t="s">
        <v>3754</v>
      </c>
      <c r="F220" t="s">
        <v>2004</v>
      </c>
      <c r="G220">
        <v>1033</v>
      </c>
      <c r="H220">
        <v>0</v>
      </c>
    </row>
    <row r="221" spans="1:8" hidden="1" x14ac:dyDescent="0.4">
      <c r="A221" s="93" t="s">
        <v>3668</v>
      </c>
      <c r="B221" s="1" t="s">
        <v>1470</v>
      </c>
      <c r="C221" s="1" t="s">
        <v>4176</v>
      </c>
      <c r="D221" s="1" t="s">
        <v>3669</v>
      </c>
      <c r="E221" t="s">
        <v>3759</v>
      </c>
      <c r="F221" t="s">
        <v>1953</v>
      </c>
      <c r="G221">
        <v>0</v>
      </c>
      <c r="H221">
        <v>0</v>
      </c>
    </row>
    <row r="222" spans="1:8" hidden="1" x14ac:dyDescent="0.4">
      <c r="A222" s="93" t="s">
        <v>3668</v>
      </c>
      <c r="B222" s="1" t="s">
        <v>1470</v>
      </c>
      <c r="C222" s="1" t="s">
        <v>4176</v>
      </c>
      <c r="D222" s="1" t="s">
        <v>3669</v>
      </c>
      <c r="E222" t="s">
        <v>3769</v>
      </c>
      <c r="F222" t="s">
        <v>2114</v>
      </c>
      <c r="G222">
        <v>8.6999999999999993</v>
      </c>
      <c r="H222">
        <v>26368</v>
      </c>
    </row>
    <row r="223" spans="1:8" hidden="1" x14ac:dyDescent="0.4">
      <c r="A223" s="93" t="s">
        <v>3668</v>
      </c>
      <c r="B223" s="1" t="s">
        <v>1470</v>
      </c>
      <c r="C223" s="1" t="s">
        <v>4176</v>
      </c>
      <c r="D223" s="1" t="s">
        <v>3669</v>
      </c>
      <c r="E223" t="s">
        <v>3803</v>
      </c>
      <c r="F223" t="s">
        <v>1950</v>
      </c>
      <c r="G223">
        <v>0</v>
      </c>
      <c r="H223">
        <v>0</v>
      </c>
    </row>
    <row r="224" spans="1:8" hidden="1" x14ac:dyDescent="0.4">
      <c r="A224" s="93" t="s">
        <v>3668</v>
      </c>
      <c r="B224" s="1" t="s">
        <v>1470</v>
      </c>
      <c r="C224" s="1" t="s">
        <v>4176</v>
      </c>
      <c r="D224" s="1" t="s">
        <v>3669</v>
      </c>
      <c r="E224" t="s">
        <v>3771</v>
      </c>
      <c r="F224" t="s">
        <v>1981</v>
      </c>
      <c r="G224">
        <v>-0.02</v>
      </c>
      <c r="H224">
        <v>-50</v>
      </c>
    </row>
    <row r="225" spans="1:8" hidden="1" x14ac:dyDescent="0.4">
      <c r="A225" s="93" t="s">
        <v>3668</v>
      </c>
      <c r="B225" s="1" t="s">
        <v>1470</v>
      </c>
      <c r="C225" s="1" t="s">
        <v>4176</v>
      </c>
      <c r="D225" s="1" t="s">
        <v>3669</v>
      </c>
      <c r="E225" t="s">
        <v>3752</v>
      </c>
      <c r="F225" t="s">
        <v>1981</v>
      </c>
      <c r="G225">
        <v>0</v>
      </c>
      <c r="H225">
        <v>0</v>
      </c>
    </row>
    <row r="226" spans="1:8" hidden="1" x14ac:dyDescent="0.4">
      <c r="A226" s="93" t="s">
        <v>3668</v>
      </c>
      <c r="B226" s="1" t="s">
        <v>1470</v>
      </c>
      <c r="C226" s="1" t="s">
        <v>4176</v>
      </c>
      <c r="D226" s="1" t="s">
        <v>3669</v>
      </c>
      <c r="E226" t="s">
        <v>3747</v>
      </c>
      <c r="F226" t="s">
        <v>2033</v>
      </c>
      <c r="G226">
        <v>2025</v>
      </c>
      <c r="H226">
        <v>2862533</v>
      </c>
    </row>
    <row r="227" spans="1:8" hidden="1" x14ac:dyDescent="0.4">
      <c r="A227" s="93" t="s">
        <v>3668</v>
      </c>
      <c r="B227" s="1" t="s">
        <v>1470</v>
      </c>
      <c r="C227" s="1" t="s">
        <v>4176</v>
      </c>
      <c r="D227" s="1" t="s">
        <v>3669</v>
      </c>
      <c r="E227" t="s">
        <v>3748</v>
      </c>
      <c r="F227" t="s">
        <v>2034</v>
      </c>
      <c r="G227">
        <v>510.4</v>
      </c>
      <c r="H227">
        <v>941688</v>
      </c>
    </row>
    <row r="228" spans="1:8" hidden="1" x14ac:dyDescent="0.4">
      <c r="A228" s="93" t="s">
        <v>3668</v>
      </c>
      <c r="B228" s="1" t="s">
        <v>1470</v>
      </c>
      <c r="C228" s="1" t="s">
        <v>4176</v>
      </c>
      <c r="D228" s="1" t="s">
        <v>3669</v>
      </c>
      <c r="E228" t="s">
        <v>3788</v>
      </c>
      <c r="F228" t="s">
        <v>1936</v>
      </c>
      <c r="G228">
        <v>998</v>
      </c>
      <c r="H228">
        <v>6015266</v>
      </c>
    </row>
    <row r="229" spans="1:8" hidden="1" x14ac:dyDescent="0.4">
      <c r="A229" s="93" t="s">
        <v>3668</v>
      </c>
      <c r="B229" s="1" t="s">
        <v>1470</v>
      </c>
      <c r="C229" s="1" t="s">
        <v>4176</v>
      </c>
      <c r="D229" s="1" t="s">
        <v>3669</v>
      </c>
      <c r="E229" t="s">
        <v>3790</v>
      </c>
      <c r="F229" t="s">
        <v>1940</v>
      </c>
      <c r="G229">
        <v>80</v>
      </c>
      <c r="H229">
        <v>441040</v>
      </c>
    </row>
    <row r="230" spans="1:8" hidden="1" x14ac:dyDescent="0.4">
      <c r="A230" s="93" t="s">
        <v>3668</v>
      </c>
      <c r="B230" s="1" t="s">
        <v>1470</v>
      </c>
      <c r="C230" s="1" t="s">
        <v>4176</v>
      </c>
      <c r="D230" s="1" t="s">
        <v>3669</v>
      </c>
      <c r="E230" t="s">
        <v>3804</v>
      </c>
      <c r="F230" t="s">
        <v>3805</v>
      </c>
      <c r="G230">
        <v>0</v>
      </c>
      <c r="H230">
        <v>0</v>
      </c>
    </row>
    <row r="231" spans="1:8" hidden="1" x14ac:dyDescent="0.4">
      <c r="A231" s="93" t="s">
        <v>3668</v>
      </c>
      <c r="B231" s="1" t="s">
        <v>1470</v>
      </c>
      <c r="C231" s="1" t="s">
        <v>4176</v>
      </c>
      <c r="D231" s="1" t="s">
        <v>3669</v>
      </c>
      <c r="E231" t="s">
        <v>3802</v>
      </c>
      <c r="F231" t="s">
        <v>2131</v>
      </c>
      <c r="G231">
        <v>0</v>
      </c>
      <c r="H231">
        <v>0</v>
      </c>
    </row>
    <row r="232" spans="1:8" hidden="1" x14ac:dyDescent="0.4">
      <c r="A232" s="93" t="s">
        <v>3668</v>
      </c>
      <c r="B232" s="1" t="s">
        <v>1470</v>
      </c>
      <c r="C232" s="1" t="s">
        <v>4176</v>
      </c>
      <c r="D232" s="1" t="s">
        <v>3669</v>
      </c>
      <c r="E232" t="s">
        <v>3772</v>
      </c>
      <c r="F232" t="s">
        <v>1932</v>
      </c>
      <c r="G232">
        <v>0</v>
      </c>
      <c r="H232">
        <v>0</v>
      </c>
    </row>
    <row r="233" spans="1:8" hidden="1" x14ac:dyDescent="0.4">
      <c r="A233" s="93" t="s">
        <v>3668</v>
      </c>
      <c r="B233" s="1" t="s">
        <v>1470</v>
      </c>
      <c r="C233" s="1" t="s">
        <v>4176</v>
      </c>
      <c r="D233" s="1" t="s">
        <v>3669</v>
      </c>
      <c r="E233" t="s">
        <v>3773</v>
      </c>
      <c r="F233" t="s">
        <v>1927</v>
      </c>
      <c r="G233">
        <v>0</v>
      </c>
      <c r="H233">
        <v>0</v>
      </c>
    </row>
    <row r="234" spans="1:8" hidden="1" x14ac:dyDescent="0.4">
      <c r="A234" s="93" t="s">
        <v>3668</v>
      </c>
      <c r="B234" s="1" t="s">
        <v>1470</v>
      </c>
      <c r="C234" s="1" t="s">
        <v>4176</v>
      </c>
      <c r="D234" s="1" t="s">
        <v>3669</v>
      </c>
      <c r="E234" t="s">
        <v>3800</v>
      </c>
      <c r="F234" t="s">
        <v>3801</v>
      </c>
      <c r="G234">
        <v>281.94</v>
      </c>
      <c r="H234">
        <v>302062</v>
      </c>
    </row>
    <row r="235" spans="1:8" hidden="1" x14ac:dyDescent="0.4">
      <c r="A235" s="93" t="s">
        <v>3668</v>
      </c>
      <c r="B235" s="1" t="s">
        <v>1470</v>
      </c>
      <c r="C235" s="1" t="s">
        <v>4176</v>
      </c>
      <c r="D235" s="1" t="s">
        <v>3669</v>
      </c>
      <c r="E235" t="s">
        <v>3756</v>
      </c>
      <c r="F235" t="s">
        <v>3757</v>
      </c>
      <c r="G235">
        <v>1000</v>
      </c>
      <c r="H235">
        <v>158200</v>
      </c>
    </row>
    <row r="236" spans="1:8" hidden="1" x14ac:dyDescent="0.4">
      <c r="A236" s="93" t="s">
        <v>3668</v>
      </c>
      <c r="B236" s="1" t="s">
        <v>1470</v>
      </c>
      <c r="C236" s="1" t="s">
        <v>4176</v>
      </c>
      <c r="D236" s="1" t="s">
        <v>3669</v>
      </c>
      <c r="E236" t="s">
        <v>3789</v>
      </c>
      <c r="F236" t="s">
        <v>2104</v>
      </c>
      <c r="G236">
        <v>100</v>
      </c>
      <c r="H236">
        <v>657700</v>
      </c>
    </row>
    <row r="237" spans="1:8" hidden="1" x14ac:dyDescent="0.4">
      <c r="A237" s="93" t="s">
        <v>3668</v>
      </c>
      <c r="B237" s="1" t="s">
        <v>1470</v>
      </c>
      <c r="C237" s="1" t="s">
        <v>4176</v>
      </c>
      <c r="D237" s="1" t="s">
        <v>3669</v>
      </c>
      <c r="E237" t="s">
        <v>3796</v>
      </c>
      <c r="F237" t="s">
        <v>1925</v>
      </c>
      <c r="G237">
        <v>0</v>
      </c>
      <c r="H237">
        <v>0</v>
      </c>
    </row>
    <row r="238" spans="1:8" hidden="1" x14ac:dyDescent="0.4">
      <c r="A238" s="93" t="s">
        <v>3668</v>
      </c>
      <c r="B238" s="1" t="s">
        <v>1470</v>
      </c>
      <c r="C238" s="1" t="s">
        <v>4176</v>
      </c>
      <c r="D238" s="1" t="s">
        <v>3669</v>
      </c>
      <c r="E238" t="s">
        <v>3797</v>
      </c>
      <c r="F238" t="s">
        <v>1926</v>
      </c>
      <c r="G238">
        <v>0</v>
      </c>
      <c r="H238">
        <v>0</v>
      </c>
    </row>
    <row r="239" spans="1:8" hidden="1" x14ac:dyDescent="0.4">
      <c r="A239" s="93" t="s">
        <v>3668</v>
      </c>
      <c r="B239" s="1" t="s">
        <v>1470</v>
      </c>
      <c r="C239" s="1" t="s">
        <v>4176</v>
      </c>
      <c r="D239" s="1" t="s">
        <v>3669</v>
      </c>
      <c r="E239" t="s">
        <v>3758</v>
      </c>
      <c r="F239" t="s">
        <v>2018</v>
      </c>
      <c r="G239">
        <v>0</v>
      </c>
      <c r="H239">
        <v>0</v>
      </c>
    </row>
    <row r="240" spans="1:8" hidden="1" x14ac:dyDescent="0.4">
      <c r="A240" s="93" t="s">
        <v>3668</v>
      </c>
      <c r="B240" s="1" t="s">
        <v>1470</v>
      </c>
      <c r="C240" s="1" t="s">
        <v>4179</v>
      </c>
      <c r="D240" s="1" t="s">
        <v>3669</v>
      </c>
      <c r="E240" t="s">
        <v>3798</v>
      </c>
      <c r="F240" t="s">
        <v>1943</v>
      </c>
      <c r="G240">
        <v>2375</v>
      </c>
      <c r="H240">
        <v>0</v>
      </c>
    </row>
    <row r="241" spans="1:8" hidden="1" x14ac:dyDescent="0.4">
      <c r="A241" s="93" t="s">
        <v>3668</v>
      </c>
      <c r="B241" s="1" t="s">
        <v>1470</v>
      </c>
      <c r="C241" s="1" t="s">
        <v>4179</v>
      </c>
      <c r="D241" s="1" t="s">
        <v>3669</v>
      </c>
      <c r="E241" t="s">
        <v>3782</v>
      </c>
      <c r="F241" t="s">
        <v>1942</v>
      </c>
      <c r="G241">
        <v>345</v>
      </c>
      <c r="H241">
        <v>1454970</v>
      </c>
    </row>
    <row r="242" spans="1:8" hidden="1" x14ac:dyDescent="0.4">
      <c r="A242" s="93" t="s">
        <v>3668</v>
      </c>
      <c r="B242" s="1" t="s">
        <v>1470</v>
      </c>
      <c r="C242" s="1" t="s">
        <v>4179</v>
      </c>
      <c r="D242" s="1" t="s">
        <v>3669</v>
      </c>
      <c r="E242" t="s">
        <v>3781</v>
      </c>
      <c r="F242" t="s">
        <v>1946</v>
      </c>
      <c r="G242">
        <v>534</v>
      </c>
      <c r="H242">
        <v>4082940</v>
      </c>
    </row>
    <row r="243" spans="1:8" hidden="1" x14ac:dyDescent="0.4">
      <c r="A243" s="93" t="s">
        <v>3668</v>
      </c>
      <c r="B243" s="1" t="s">
        <v>1470</v>
      </c>
      <c r="C243" s="1" t="s">
        <v>4179</v>
      </c>
      <c r="D243" s="1" t="s">
        <v>3669</v>
      </c>
      <c r="E243" t="s">
        <v>3777</v>
      </c>
      <c r="F243" t="s">
        <v>3778</v>
      </c>
      <c r="G243">
        <v>420</v>
      </c>
      <c r="H243">
        <v>3668700</v>
      </c>
    </row>
    <row r="244" spans="1:8" hidden="1" x14ac:dyDescent="0.4">
      <c r="A244" s="93" t="s">
        <v>3668</v>
      </c>
      <c r="B244" s="1" t="s">
        <v>1470</v>
      </c>
      <c r="C244" s="1" t="s">
        <v>4179</v>
      </c>
      <c r="D244" s="1" t="s">
        <v>3669</v>
      </c>
      <c r="E244" t="s">
        <v>3766</v>
      </c>
      <c r="F244" t="s">
        <v>1986</v>
      </c>
      <c r="G244">
        <v>553.79999999999995</v>
      </c>
      <c r="H244">
        <v>692803</v>
      </c>
    </row>
    <row r="245" spans="1:8" hidden="1" x14ac:dyDescent="0.4">
      <c r="A245" s="93" t="s">
        <v>3668</v>
      </c>
      <c r="B245" s="1" t="s">
        <v>1470</v>
      </c>
      <c r="C245" s="1" t="s">
        <v>4179</v>
      </c>
      <c r="D245" s="1" t="s">
        <v>3669</v>
      </c>
      <c r="E245" t="s">
        <v>3768</v>
      </c>
      <c r="F245" t="s">
        <v>1924</v>
      </c>
      <c r="G245">
        <v>2971</v>
      </c>
      <c r="H245">
        <v>0</v>
      </c>
    </row>
    <row r="246" spans="1:8" hidden="1" x14ac:dyDescent="0.4">
      <c r="A246" s="93" t="s">
        <v>3668</v>
      </c>
      <c r="B246" s="1" t="s">
        <v>1470</v>
      </c>
      <c r="C246" s="1" t="s">
        <v>4179</v>
      </c>
      <c r="D246" s="1" t="s">
        <v>3669</v>
      </c>
      <c r="E246" t="s">
        <v>3770</v>
      </c>
      <c r="F246" t="s">
        <v>3751</v>
      </c>
      <c r="G246">
        <v>332.7</v>
      </c>
      <c r="H246">
        <v>361977</v>
      </c>
    </row>
    <row r="247" spans="1:8" hidden="1" x14ac:dyDescent="0.4">
      <c r="A247" s="93" t="s">
        <v>3668</v>
      </c>
      <c r="B247" s="1" t="s">
        <v>1470</v>
      </c>
      <c r="C247" s="1" t="s">
        <v>4179</v>
      </c>
      <c r="D247" s="1" t="s">
        <v>3669</v>
      </c>
      <c r="E247" t="s">
        <v>3776</v>
      </c>
      <c r="F247" t="s">
        <v>1939</v>
      </c>
      <c r="G247">
        <v>300</v>
      </c>
      <c r="H247">
        <v>1074900</v>
      </c>
    </row>
    <row r="248" spans="1:8" hidden="1" x14ac:dyDescent="0.4">
      <c r="A248" s="93" t="s">
        <v>3668</v>
      </c>
      <c r="B248" s="1" t="s">
        <v>1470</v>
      </c>
      <c r="C248" s="1" t="s">
        <v>4179</v>
      </c>
      <c r="D248" s="1" t="s">
        <v>3669</v>
      </c>
      <c r="E248" t="s">
        <v>3775</v>
      </c>
      <c r="F248" t="s">
        <v>1938</v>
      </c>
      <c r="G248">
        <v>256</v>
      </c>
      <c r="H248">
        <v>2218496</v>
      </c>
    </row>
    <row r="249" spans="1:8" hidden="1" x14ac:dyDescent="0.4">
      <c r="A249" s="93" t="s">
        <v>3668</v>
      </c>
      <c r="B249" s="1" t="s">
        <v>1470</v>
      </c>
      <c r="C249" s="1" t="s">
        <v>4179</v>
      </c>
      <c r="D249" s="1" t="s">
        <v>3669</v>
      </c>
      <c r="E249" t="s">
        <v>3769</v>
      </c>
      <c r="F249" t="s">
        <v>2114</v>
      </c>
      <c r="G249">
        <v>3002</v>
      </c>
      <c r="H249">
        <v>0</v>
      </c>
    </row>
    <row r="250" spans="1:8" hidden="1" x14ac:dyDescent="0.4">
      <c r="A250" s="93" t="s">
        <v>3668</v>
      </c>
      <c r="B250" s="1" t="s">
        <v>1472</v>
      </c>
      <c r="C250" s="1" t="s">
        <v>4175</v>
      </c>
      <c r="D250" s="1" t="s">
        <v>3669</v>
      </c>
      <c r="E250" t="s">
        <v>3808</v>
      </c>
      <c r="F250" t="s">
        <v>2046</v>
      </c>
      <c r="G250">
        <v>0</v>
      </c>
      <c r="H250">
        <v>0</v>
      </c>
    </row>
    <row r="251" spans="1:8" hidden="1" x14ac:dyDescent="0.4">
      <c r="A251" s="93" t="s">
        <v>3668</v>
      </c>
      <c r="B251" s="1" t="s">
        <v>1472</v>
      </c>
      <c r="C251" s="1" t="s">
        <v>4175</v>
      </c>
      <c r="D251" s="1" t="s">
        <v>3669</v>
      </c>
      <c r="E251" t="s">
        <v>3809</v>
      </c>
      <c r="F251" t="s">
        <v>1991</v>
      </c>
      <c r="G251">
        <v>0</v>
      </c>
      <c r="H251">
        <v>0</v>
      </c>
    </row>
    <row r="252" spans="1:8" hidden="1" x14ac:dyDescent="0.4">
      <c r="A252" s="93" t="s">
        <v>3668</v>
      </c>
      <c r="B252" s="1" t="s">
        <v>1472</v>
      </c>
      <c r="C252" s="1" t="s">
        <v>4175</v>
      </c>
      <c r="D252" s="1" t="s">
        <v>3669</v>
      </c>
      <c r="E252" t="s">
        <v>3810</v>
      </c>
      <c r="F252" t="s">
        <v>2080</v>
      </c>
      <c r="G252">
        <v>0</v>
      </c>
      <c r="H252">
        <v>0</v>
      </c>
    </row>
    <row r="253" spans="1:8" hidden="1" x14ac:dyDescent="0.4">
      <c r="A253" s="93" t="s">
        <v>3668</v>
      </c>
      <c r="B253" s="1" t="s">
        <v>1472</v>
      </c>
      <c r="C253" s="1" t="s">
        <v>4175</v>
      </c>
      <c r="D253" s="1" t="s">
        <v>3669</v>
      </c>
      <c r="E253" t="s">
        <v>3811</v>
      </c>
      <c r="F253" t="s">
        <v>1972</v>
      </c>
      <c r="G253">
        <v>0</v>
      </c>
      <c r="H253">
        <v>0</v>
      </c>
    </row>
    <row r="254" spans="1:8" hidden="1" x14ac:dyDescent="0.4">
      <c r="A254" s="93" t="s">
        <v>3668</v>
      </c>
      <c r="B254" s="1" t="s">
        <v>1472</v>
      </c>
      <c r="C254" s="1" t="s">
        <v>4175</v>
      </c>
      <c r="D254" s="1" t="s">
        <v>3669</v>
      </c>
      <c r="E254" t="s">
        <v>3812</v>
      </c>
      <c r="F254" t="s">
        <v>3813</v>
      </c>
      <c r="G254">
        <v>154</v>
      </c>
      <c r="H254">
        <v>0</v>
      </c>
    </row>
    <row r="255" spans="1:8" hidden="1" x14ac:dyDescent="0.4">
      <c r="A255" s="93" t="s">
        <v>3668</v>
      </c>
      <c r="B255" s="1" t="s">
        <v>1472</v>
      </c>
      <c r="C255" s="1" t="s">
        <v>4175</v>
      </c>
      <c r="D255" s="1" t="s">
        <v>3669</v>
      </c>
      <c r="E255" t="s">
        <v>3814</v>
      </c>
      <c r="F255" t="s">
        <v>3815</v>
      </c>
      <c r="G255">
        <v>1697.4</v>
      </c>
      <c r="H255">
        <v>0</v>
      </c>
    </row>
    <row r="256" spans="1:8" hidden="1" x14ac:dyDescent="0.4">
      <c r="A256" s="93" t="s">
        <v>3668</v>
      </c>
      <c r="B256" s="1" t="s">
        <v>1472</v>
      </c>
      <c r="C256" s="1" t="s">
        <v>4171</v>
      </c>
      <c r="D256" s="1" t="s">
        <v>3669</v>
      </c>
      <c r="E256" t="s">
        <v>3816</v>
      </c>
      <c r="F256" t="s">
        <v>3817</v>
      </c>
      <c r="G256">
        <v>249.66</v>
      </c>
      <c r="H256">
        <v>1086747</v>
      </c>
    </row>
    <row r="257" spans="1:8" hidden="1" x14ac:dyDescent="0.4">
      <c r="A257" s="93" t="s">
        <v>3668</v>
      </c>
      <c r="B257" s="1" t="s">
        <v>1472</v>
      </c>
      <c r="C257" s="1" t="s">
        <v>4171</v>
      </c>
      <c r="D257" s="1" t="s">
        <v>3669</v>
      </c>
      <c r="E257" t="s">
        <v>3818</v>
      </c>
      <c r="F257" t="s">
        <v>3819</v>
      </c>
      <c r="G257">
        <v>868.69</v>
      </c>
      <c r="H257">
        <v>1739586</v>
      </c>
    </row>
    <row r="258" spans="1:8" hidden="1" x14ac:dyDescent="0.4">
      <c r="A258" s="93" t="s">
        <v>3668</v>
      </c>
      <c r="B258" s="1" t="s">
        <v>1472</v>
      </c>
      <c r="C258" s="1" t="s">
        <v>4171</v>
      </c>
      <c r="D258" s="1" t="s">
        <v>3669</v>
      </c>
      <c r="E258" t="s">
        <v>3820</v>
      </c>
      <c r="F258" t="s">
        <v>2068</v>
      </c>
      <c r="G258">
        <v>608</v>
      </c>
      <c r="H258">
        <v>2262197</v>
      </c>
    </row>
    <row r="259" spans="1:8" hidden="1" x14ac:dyDescent="0.4">
      <c r="A259" s="93" t="s">
        <v>3668</v>
      </c>
      <c r="B259" s="1" t="s">
        <v>1472</v>
      </c>
      <c r="C259" s="1" t="s">
        <v>4171</v>
      </c>
      <c r="D259" s="1" t="s">
        <v>3669</v>
      </c>
      <c r="E259" t="s">
        <v>3821</v>
      </c>
      <c r="F259" t="s">
        <v>1965</v>
      </c>
      <c r="G259">
        <v>3218.82</v>
      </c>
      <c r="H259">
        <v>14925622</v>
      </c>
    </row>
    <row r="260" spans="1:8" hidden="1" x14ac:dyDescent="0.4">
      <c r="A260" s="93" t="s">
        <v>3668</v>
      </c>
      <c r="B260" s="1" t="s">
        <v>1472</v>
      </c>
      <c r="C260" s="1" t="s">
        <v>4171</v>
      </c>
      <c r="D260" s="1" t="s">
        <v>3669</v>
      </c>
      <c r="E260" t="s">
        <v>3822</v>
      </c>
      <c r="F260" t="s">
        <v>1987</v>
      </c>
      <c r="G260">
        <v>631.54999999999995</v>
      </c>
      <c r="H260">
        <v>3335206</v>
      </c>
    </row>
    <row r="261" spans="1:8" hidden="1" x14ac:dyDescent="0.4">
      <c r="A261" s="93" t="s">
        <v>3668</v>
      </c>
      <c r="B261" s="1" t="s">
        <v>1472</v>
      </c>
      <c r="C261" s="1" t="s">
        <v>4171</v>
      </c>
      <c r="D261" s="1" t="s">
        <v>3669</v>
      </c>
      <c r="E261" t="s">
        <v>3823</v>
      </c>
      <c r="F261" t="s">
        <v>3824</v>
      </c>
      <c r="G261">
        <v>2146.14</v>
      </c>
      <c r="H261">
        <v>6256598</v>
      </c>
    </row>
    <row r="262" spans="1:8" hidden="1" x14ac:dyDescent="0.4">
      <c r="A262" s="93" t="s">
        <v>3668</v>
      </c>
      <c r="B262" s="1" t="s">
        <v>1472</v>
      </c>
      <c r="C262" s="1" t="s">
        <v>4171</v>
      </c>
      <c r="D262" s="1" t="s">
        <v>3669</v>
      </c>
      <c r="E262" t="s">
        <v>3825</v>
      </c>
      <c r="F262" t="s">
        <v>1967</v>
      </c>
      <c r="G262">
        <v>1129.44</v>
      </c>
      <c r="H262">
        <v>3172585</v>
      </c>
    </row>
    <row r="263" spans="1:8" hidden="1" x14ac:dyDescent="0.4">
      <c r="A263" s="93" t="s">
        <v>3668</v>
      </c>
      <c r="B263" s="1" t="s">
        <v>1472</v>
      </c>
      <c r="C263" s="1" t="s">
        <v>4171</v>
      </c>
      <c r="D263" s="1" t="s">
        <v>3669</v>
      </c>
      <c r="E263" t="s">
        <v>3826</v>
      </c>
      <c r="F263" t="s">
        <v>1978</v>
      </c>
      <c r="G263">
        <v>0</v>
      </c>
      <c r="H263">
        <v>0</v>
      </c>
    </row>
    <row r="264" spans="1:8" hidden="1" x14ac:dyDescent="0.4">
      <c r="A264" s="93" t="s">
        <v>3668</v>
      </c>
      <c r="B264" s="1" t="s">
        <v>1472</v>
      </c>
      <c r="C264" s="1" t="s">
        <v>4171</v>
      </c>
      <c r="D264" s="1" t="s">
        <v>3669</v>
      </c>
      <c r="E264" t="s">
        <v>3827</v>
      </c>
      <c r="F264" t="s">
        <v>2153</v>
      </c>
      <c r="G264">
        <v>0</v>
      </c>
      <c r="H264">
        <v>0</v>
      </c>
    </row>
    <row r="265" spans="1:8" hidden="1" x14ac:dyDescent="0.4">
      <c r="A265" s="93" t="s">
        <v>3668</v>
      </c>
      <c r="B265" s="1" t="s">
        <v>1472</v>
      </c>
      <c r="C265" s="1" t="s">
        <v>4171</v>
      </c>
      <c r="D265" s="1" t="s">
        <v>3669</v>
      </c>
      <c r="E265" t="s">
        <v>3828</v>
      </c>
      <c r="F265" t="s">
        <v>2046</v>
      </c>
      <c r="G265">
        <v>359.26</v>
      </c>
      <c r="H265">
        <v>1014941</v>
      </c>
    </row>
    <row r="266" spans="1:8" hidden="1" x14ac:dyDescent="0.4">
      <c r="A266" s="93" t="s">
        <v>3668</v>
      </c>
      <c r="B266" s="1" t="s">
        <v>1472</v>
      </c>
      <c r="C266" s="1" t="s">
        <v>4171</v>
      </c>
      <c r="D266" s="1" t="s">
        <v>3669</v>
      </c>
      <c r="E266" t="s">
        <v>3829</v>
      </c>
      <c r="F266" t="s">
        <v>1991</v>
      </c>
      <c r="G266">
        <v>364</v>
      </c>
      <c r="H266">
        <v>1742832</v>
      </c>
    </row>
    <row r="267" spans="1:8" hidden="1" x14ac:dyDescent="0.4">
      <c r="A267" s="93" t="s">
        <v>3668</v>
      </c>
      <c r="B267" s="1" t="s">
        <v>1472</v>
      </c>
      <c r="C267" s="1" t="s">
        <v>4171</v>
      </c>
      <c r="D267" s="1" t="s">
        <v>3669</v>
      </c>
      <c r="E267" t="s">
        <v>3830</v>
      </c>
      <c r="F267" t="s">
        <v>2080</v>
      </c>
      <c r="G267">
        <v>463.2</v>
      </c>
      <c r="H267">
        <v>1358560</v>
      </c>
    </row>
    <row r="268" spans="1:8" hidden="1" x14ac:dyDescent="0.4">
      <c r="A268" s="93" t="s">
        <v>3668</v>
      </c>
      <c r="B268" s="1" t="s">
        <v>1472</v>
      </c>
      <c r="C268" s="1" t="s">
        <v>4171</v>
      </c>
      <c r="D268" s="1" t="s">
        <v>3669</v>
      </c>
      <c r="E268" t="s">
        <v>3831</v>
      </c>
      <c r="F268" t="s">
        <v>1972</v>
      </c>
      <c r="G268">
        <v>977.85</v>
      </c>
      <c r="H268">
        <v>2572713</v>
      </c>
    </row>
    <row r="269" spans="1:8" hidden="1" x14ac:dyDescent="0.4">
      <c r="A269" s="93" t="s">
        <v>3668</v>
      </c>
      <c r="B269" s="1" t="s">
        <v>1472</v>
      </c>
      <c r="C269" s="1" t="s">
        <v>4171</v>
      </c>
      <c r="D269" s="1" t="s">
        <v>3669</v>
      </c>
      <c r="E269" t="s">
        <v>3722</v>
      </c>
      <c r="F269" t="s">
        <v>2086</v>
      </c>
      <c r="G269">
        <v>0</v>
      </c>
      <c r="H269">
        <v>0</v>
      </c>
    </row>
    <row r="270" spans="1:8" hidden="1" x14ac:dyDescent="0.4">
      <c r="A270" s="93" t="s">
        <v>3668</v>
      </c>
      <c r="B270" s="1" t="s">
        <v>1472</v>
      </c>
      <c r="C270" s="1" t="s">
        <v>4171</v>
      </c>
      <c r="D270" s="1" t="s">
        <v>3669</v>
      </c>
      <c r="E270" t="s">
        <v>3832</v>
      </c>
      <c r="F270" t="s">
        <v>2023</v>
      </c>
      <c r="G270">
        <v>0</v>
      </c>
      <c r="H270">
        <v>0</v>
      </c>
    </row>
    <row r="271" spans="1:8" hidden="1" x14ac:dyDescent="0.4">
      <c r="A271" s="93" t="s">
        <v>3668</v>
      </c>
      <c r="B271" s="1" t="s">
        <v>1472</v>
      </c>
      <c r="C271" s="1" t="s">
        <v>4176</v>
      </c>
      <c r="D271" s="1" t="s">
        <v>3669</v>
      </c>
      <c r="E271" t="s">
        <v>3722</v>
      </c>
      <c r="F271" t="s">
        <v>2086</v>
      </c>
      <c r="G271">
        <v>0</v>
      </c>
      <c r="H271">
        <v>0</v>
      </c>
    </row>
    <row r="272" spans="1:8" hidden="1" x14ac:dyDescent="0.4">
      <c r="A272" s="93" t="s">
        <v>3668</v>
      </c>
      <c r="B272" s="1" t="s">
        <v>1472</v>
      </c>
      <c r="C272" s="1" t="s">
        <v>4176</v>
      </c>
      <c r="D272" s="1" t="s">
        <v>3669</v>
      </c>
      <c r="E272" t="s">
        <v>3830</v>
      </c>
      <c r="F272" t="s">
        <v>2080</v>
      </c>
      <c r="G272">
        <v>463.2</v>
      </c>
      <c r="H272">
        <v>1358560</v>
      </c>
    </row>
    <row r="273" spans="1:8" hidden="1" x14ac:dyDescent="0.4">
      <c r="A273" s="93" t="s">
        <v>3668</v>
      </c>
      <c r="B273" s="1" t="s">
        <v>1472</v>
      </c>
      <c r="C273" s="1" t="s">
        <v>4176</v>
      </c>
      <c r="D273" s="1" t="s">
        <v>3669</v>
      </c>
      <c r="E273" t="s">
        <v>3810</v>
      </c>
      <c r="F273" t="s">
        <v>2080</v>
      </c>
      <c r="G273">
        <v>0</v>
      </c>
      <c r="H273">
        <v>0</v>
      </c>
    </row>
    <row r="274" spans="1:8" hidden="1" x14ac:dyDescent="0.4">
      <c r="A274" s="93" t="s">
        <v>3668</v>
      </c>
      <c r="B274" s="1" t="s">
        <v>1472</v>
      </c>
      <c r="C274" s="1" t="s">
        <v>4176</v>
      </c>
      <c r="D274" s="1" t="s">
        <v>3669</v>
      </c>
      <c r="E274" t="s">
        <v>3823</v>
      </c>
      <c r="F274" t="s">
        <v>3824</v>
      </c>
      <c r="G274">
        <v>2146.14</v>
      </c>
      <c r="H274">
        <v>6256598</v>
      </c>
    </row>
    <row r="275" spans="1:8" hidden="1" x14ac:dyDescent="0.4">
      <c r="A275" s="93" t="s">
        <v>3668</v>
      </c>
      <c r="B275" s="1" t="s">
        <v>1472</v>
      </c>
      <c r="C275" s="1" t="s">
        <v>4176</v>
      </c>
      <c r="D275" s="1" t="s">
        <v>3669</v>
      </c>
      <c r="E275" t="s">
        <v>3825</v>
      </c>
      <c r="F275" t="s">
        <v>1967</v>
      </c>
      <c r="G275">
        <v>1129.44</v>
      </c>
      <c r="H275">
        <v>3172585</v>
      </c>
    </row>
    <row r="276" spans="1:8" hidden="1" x14ac:dyDescent="0.4">
      <c r="A276" s="93" t="s">
        <v>3668</v>
      </c>
      <c r="B276" s="1" t="s">
        <v>1472</v>
      </c>
      <c r="C276" s="1" t="s">
        <v>4176</v>
      </c>
      <c r="D276" s="1" t="s">
        <v>3669</v>
      </c>
      <c r="E276" t="s">
        <v>3818</v>
      </c>
      <c r="F276" t="s">
        <v>3819</v>
      </c>
      <c r="G276">
        <v>868.69</v>
      </c>
      <c r="H276">
        <v>1739586</v>
      </c>
    </row>
    <row r="277" spans="1:8" hidden="1" x14ac:dyDescent="0.4">
      <c r="A277" s="93" t="s">
        <v>3668</v>
      </c>
      <c r="B277" s="1" t="s">
        <v>1472</v>
      </c>
      <c r="C277" s="1" t="s">
        <v>4176</v>
      </c>
      <c r="D277" s="1" t="s">
        <v>3669</v>
      </c>
      <c r="E277" t="s">
        <v>3816</v>
      </c>
      <c r="F277" t="s">
        <v>3817</v>
      </c>
      <c r="G277">
        <v>249.66</v>
      </c>
      <c r="H277">
        <v>1086747</v>
      </c>
    </row>
    <row r="278" spans="1:8" hidden="1" x14ac:dyDescent="0.4">
      <c r="A278" s="93" t="s">
        <v>3668</v>
      </c>
      <c r="B278" s="1" t="s">
        <v>1472</v>
      </c>
      <c r="C278" s="1" t="s">
        <v>4176</v>
      </c>
      <c r="D278" s="1" t="s">
        <v>3669</v>
      </c>
      <c r="E278" t="s">
        <v>3827</v>
      </c>
      <c r="F278" t="s">
        <v>2153</v>
      </c>
      <c r="G278">
        <v>0</v>
      </c>
      <c r="H278">
        <v>0</v>
      </c>
    </row>
    <row r="279" spans="1:8" hidden="1" x14ac:dyDescent="0.4">
      <c r="A279" s="93" t="s">
        <v>3668</v>
      </c>
      <c r="B279" s="1" t="s">
        <v>1472</v>
      </c>
      <c r="C279" s="1" t="s">
        <v>4176</v>
      </c>
      <c r="D279" s="1" t="s">
        <v>3669</v>
      </c>
      <c r="E279" t="s">
        <v>3829</v>
      </c>
      <c r="F279" t="s">
        <v>1991</v>
      </c>
      <c r="G279">
        <v>364</v>
      </c>
      <c r="H279">
        <v>1742832</v>
      </c>
    </row>
    <row r="280" spans="1:8" hidden="1" x14ac:dyDescent="0.4">
      <c r="A280" s="93" t="s">
        <v>3668</v>
      </c>
      <c r="B280" s="1" t="s">
        <v>1472</v>
      </c>
      <c r="C280" s="1" t="s">
        <v>4176</v>
      </c>
      <c r="D280" s="1" t="s">
        <v>3669</v>
      </c>
      <c r="E280" t="s">
        <v>3809</v>
      </c>
      <c r="F280" t="s">
        <v>1991</v>
      </c>
      <c r="G280">
        <v>0</v>
      </c>
      <c r="H280">
        <v>0</v>
      </c>
    </row>
    <row r="281" spans="1:8" hidden="1" x14ac:dyDescent="0.4">
      <c r="A281" s="93" t="s">
        <v>3668</v>
      </c>
      <c r="B281" s="1" t="s">
        <v>1472</v>
      </c>
      <c r="C281" s="1" t="s">
        <v>4176</v>
      </c>
      <c r="D281" s="1" t="s">
        <v>3669</v>
      </c>
      <c r="E281" t="s">
        <v>3820</v>
      </c>
      <c r="F281" t="s">
        <v>2068</v>
      </c>
      <c r="G281">
        <v>608</v>
      </c>
      <c r="H281">
        <v>2262197</v>
      </c>
    </row>
    <row r="282" spans="1:8" hidden="1" x14ac:dyDescent="0.4">
      <c r="A282" s="93" t="s">
        <v>3668</v>
      </c>
      <c r="B282" s="1" t="s">
        <v>1472</v>
      </c>
      <c r="C282" s="1" t="s">
        <v>4176</v>
      </c>
      <c r="D282" s="1" t="s">
        <v>3669</v>
      </c>
      <c r="E282" t="s">
        <v>3826</v>
      </c>
      <c r="F282" t="s">
        <v>1978</v>
      </c>
      <c r="G282">
        <v>0</v>
      </c>
      <c r="H282">
        <v>0</v>
      </c>
    </row>
    <row r="283" spans="1:8" hidden="1" x14ac:dyDescent="0.4">
      <c r="A283" s="93" t="s">
        <v>3668</v>
      </c>
      <c r="B283" s="1" t="s">
        <v>1472</v>
      </c>
      <c r="C283" s="1" t="s">
        <v>4176</v>
      </c>
      <c r="D283" s="1" t="s">
        <v>3669</v>
      </c>
      <c r="E283" t="s">
        <v>3831</v>
      </c>
      <c r="F283" t="s">
        <v>1972</v>
      </c>
      <c r="G283">
        <v>977.85</v>
      </c>
      <c r="H283">
        <v>2572713</v>
      </c>
    </row>
    <row r="284" spans="1:8" hidden="1" x14ac:dyDescent="0.4">
      <c r="A284" s="93" t="s">
        <v>3668</v>
      </c>
      <c r="B284" s="1" t="s">
        <v>1472</v>
      </c>
      <c r="C284" s="1" t="s">
        <v>4176</v>
      </c>
      <c r="D284" s="1" t="s">
        <v>3669</v>
      </c>
      <c r="E284" t="s">
        <v>3811</v>
      </c>
      <c r="F284" t="s">
        <v>1972</v>
      </c>
      <c r="G284">
        <v>0</v>
      </c>
      <c r="H284">
        <v>0</v>
      </c>
    </row>
    <row r="285" spans="1:8" hidden="1" x14ac:dyDescent="0.4">
      <c r="A285" s="93" t="s">
        <v>3668</v>
      </c>
      <c r="B285" s="1" t="s">
        <v>1472</v>
      </c>
      <c r="C285" s="1" t="s">
        <v>4176</v>
      </c>
      <c r="D285" s="1" t="s">
        <v>3669</v>
      </c>
      <c r="E285" t="s">
        <v>3821</v>
      </c>
      <c r="F285" t="s">
        <v>1965</v>
      </c>
      <c r="G285">
        <v>3218.82</v>
      </c>
      <c r="H285">
        <v>14925622</v>
      </c>
    </row>
    <row r="286" spans="1:8" hidden="1" x14ac:dyDescent="0.4">
      <c r="A286" s="93" t="s">
        <v>3668</v>
      </c>
      <c r="B286" s="1" t="s">
        <v>1472</v>
      </c>
      <c r="C286" s="1" t="s">
        <v>4176</v>
      </c>
      <c r="D286" s="1" t="s">
        <v>3669</v>
      </c>
      <c r="E286" t="s">
        <v>3822</v>
      </c>
      <c r="F286" t="s">
        <v>1987</v>
      </c>
      <c r="G286">
        <v>631.54999999999995</v>
      </c>
      <c r="H286">
        <v>3335206</v>
      </c>
    </row>
    <row r="287" spans="1:8" hidden="1" x14ac:dyDescent="0.4">
      <c r="A287" s="93" t="s">
        <v>3668</v>
      </c>
      <c r="B287" s="1" t="s">
        <v>1472</v>
      </c>
      <c r="C287" s="1" t="s">
        <v>4176</v>
      </c>
      <c r="D287" s="1" t="s">
        <v>3669</v>
      </c>
      <c r="E287" t="s">
        <v>3828</v>
      </c>
      <c r="F287" t="s">
        <v>2046</v>
      </c>
      <c r="G287">
        <v>359.26</v>
      </c>
      <c r="H287">
        <v>1014941</v>
      </c>
    </row>
    <row r="288" spans="1:8" hidden="1" x14ac:dyDescent="0.4">
      <c r="A288" s="93" t="s">
        <v>3668</v>
      </c>
      <c r="B288" s="1" t="s">
        <v>1472</v>
      </c>
      <c r="C288" s="1" t="s">
        <v>4176</v>
      </c>
      <c r="D288" s="1" t="s">
        <v>3669</v>
      </c>
      <c r="E288" t="s">
        <v>3808</v>
      </c>
      <c r="F288" t="s">
        <v>2046</v>
      </c>
      <c r="G288">
        <v>0</v>
      </c>
      <c r="H288">
        <v>0</v>
      </c>
    </row>
    <row r="289" spans="1:8" hidden="1" x14ac:dyDescent="0.4">
      <c r="A289" s="93" t="s">
        <v>3668</v>
      </c>
      <c r="B289" s="1" t="s">
        <v>1472</v>
      </c>
      <c r="C289" s="1" t="s">
        <v>4179</v>
      </c>
      <c r="D289" s="1" t="s">
        <v>3669</v>
      </c>
      <c r="E289" t="s">
        <v>3833</v>
      </c>
      <c r="F289" t="s">
        <v>3834</v>
      </c>
      <c r="G289">
        <v>0</v>
      </c>
      <c r="H289">
        <v>0</v>
      </c>
    </row>
    <row r="290" spans="1:8" hidden="1" x14ac:dyDescent="0.4">
      <c r="A290" s="93" t="s">
        <v>3668</v>
      </c>
      <c r="B290" s="1" t="s">
        <v>1472</v>
      </c>
      <c r="C290" s="1" t="s">
        <v>4179</v>
      </c>
      <c r="D290" s="1" t="s">
        <v>3669</v>
      </c>
      <c r="E290" t="s">
        <v>3835</v>
      </c>
      <c r="F290" t="s">
        <v>3836</v>
      </c>
      <c r="G290">
        <v>574.30999999999995</v>
      </c>
      <c r="H290">
        <v>2136433</v>
      </c>
    </row>
    <row r="291" spans="1:8" hidden="1" x14ac:dyDescent="0.4">
      <c r="A291" s="93" t="s">
        <v>3668</v>
      </c>
      <c r="B291" s="1" t="s">
        <v>1472</v>
      </c>
      <c r="C291" s="1" t="s">
        <v>4179</v>
      </c>
      <c r="D291" s="1" t="s">
        <v>3669</v>
      </c>
      <c r="E291" t="s">
        <v>3837</v>
      </c>
      <c r="F291" t="s">
        <v>3838</v>
      </c>
      <c r="G291">
        <v>257.07</v>
      </c>
      <c r="H291">
        <v>1395890</v>
      </c>
    </row>
    <row r="292" spans="1:8" hidden="1" x14ac:dyDescent="0.4">
      <c r="A292" s="93" t="s">
        <v>3668</v>
      </c>
      <c r="B292" s="1" t="s">
        <v>1472</v>
      </c>
      <c r="C292" s="1" t="s">
        <v>4179</v>
      </c>
      <c r="D292" s="1" t="s">
        <v>3669</v>
      </c>
      <c r="E292" t="s">
        <v>3839</v>
      </c>
      <c r="F292" t="s">
        <v>3840</v>
      </c>
      <c r="G292">
        <v>127.4</v>
      </c>
      <c r="H292">
        <v>1271452</v>
      </c>
    </row>
    <row r="293" spans="1:8" hidden="1" x14ac:dyDescent="0.4">
      <c r="A293" s="93" t="s">
        <v>3668</v>
      </c>
      <c r="B293" s="1" t="s">
        <v>1472</v>
      </c>
      <c r="C293" s="1" t="s">
        <v>4179</v>
      </c>
      <c r="D293" s="1" t="s">
        <v>3669</v>
      </c>
      <c r="E293" t="s">
        <v>3841</v>
      </c>
      <c r="F293" t="s">
        <v>3842</v>
      </c>
      <c r="G293">
        <v>6.84</v>
      </c>
      <c r="H293">
        <v>30712</v>
      </c>
    </row>
    <row r="294" spans="1:8" hidden="1" x14ac:dyDescent="0.4">
      <c r="A294" s="93" t="s">
        <v>3668</v>
      </c>
      <c r="B294" s="1" t="s">
        <v>1472</v>
      </c>
      <c r="C294" s="1" t="s">
        <v>4179</v>
      </c>
      <c r="D294" s="1" t="s">
        <v>3669</v>
      </c>
      <c r="E294" t="s">
        <v>3843</v>
      </c>
      <c r="F294" t="s">
        <v>3844</v>
      </c>
      <c r="G294">
        <v>6.84</v>
      </c>
      <c r="H294">
        <v>30712</v>
      </c>
    </row>
    <row r="295" spans="1:8" hidden="1" x14ac:dyDescent="0.4">
      <c r="A295" s="93" t="s">
        <v>3668</v>
      </c>
      <c r="B295" s="1" t="s">
        <v>1472</v>
      </c>
      <c r="C295" s="1" t="s">
        <v>4179</v>
      </c>
      <c r="D295" s="1" t="s">
        <v>3669</v>
      </c>
      <c r="E295" t="s">
        <v>3845</v>
      </c>
      <c r="F295" t="s">
        <v>3846</v>
      </c>
      <c r="G295">
        <v>65.31</v>
      </c>
      <c r="H295">
        <v>200109</v>
      </c>
    </row>
    <row r="296" spans="1:8" hidden="1" x14ac:dyDescent="0.4">
      <c r="A296" s="93" t="s">
        <v>3668</v>
      </c>
      <c r="B296" s="1" t="s">
        <v>1472</v>
      </c>
      <c r="C296" s="1" t="s">
        <v>4179</v>
      </c>
      <c r="D296" s="1" t="s">
        <v>3669</v>
      </c>
      <c r="E296" t="s">
        <v>3847</v>
      </c>
      <c r="F296" t="s">
        <v>3848</v>
      </c>
      <c r="G296">
        <v>9.41</v>
      </c>
      <c r="H296">
        <v>58060</v>
      </c>
    </row>
    <row r="297" spans="1:8" hidden="1" x14ac:dyDescent="0.4">
      <c r="A297" s="93" t="s">
        <v>3668</v>
      </c>
      <c r="B297" s="1" t="s">
        <v>1472</v>
      </c>
      <c r="C297" s="1" t="s">
        <v>4179</v>
      </c>
      <c r="D297" s="1" t="s">
        <v>3669</v>
      </c>
      <c r="E297" t="s">
        <v>3849</v>
      </c>
      <c r="F297" t="s">
        <v>3850</v>
      </c>
      <c r="G297">
        <v>4.25</v>
      </c>
      <c r="H297">
        <v>29580</v>
      </c>
    </row>
    <row r="298" spans="1:8" hidden="1" x14ac:dyDescent="0.4">
      <c r="A298" s="93" t="s">
        <v>3668</v>
      </c>
      <c r="B298" s="1" t="s">
        <v>1472</v>
      </c>
      <c r="C298" s="1" t="s">
        <v>4179</v>
      </c>
      <c r="D298" s="1" t="s">
        <v>3669</v>
      </c>
      <c r="E298" t="s">
        <v>3851</v>
      </c>
      <c r="F298" t="s">
        <v>3852</v>
      </c>
      <c r="G298">
        <v>114.35</v>
      </c>
      <c r="H298">
        <v>672378</v>
      </c>
    </row>
    <row r="299" spans="1:8" hidden="1" x14ac:dyDescent="0.4">
      <c r="A299" s="93" t="s">
        <v>3668</v>
      </c>
      <c r="B299" s="1" t="s">
        <v>1472</v>
      </c>
      <c r="C299" s="1" t="s">
        <v>4179</v>
      </c>
      <c r="D299" s="1" t="s">
        <v>3669</v>
      </c>
      <c r="E299" t="s">
        <v>3853</v>
      </c>
      <c r="F299" t="s">
        <v>3854</v>
      </c>
      <c r="G299">
        <v>100</v>
      </c>
      <c r="H299">
        <v>337000</v>
      </c>
    </row>
    <row r="300" spans="1:8" hidden="1" x14ac:dyDescent="0.4">
      <c r="A300" s="93" t="s">
        <v>3668</v>
      </c>
      <c r="B300" s="1" t="s">
        <v>1472</v>
      </c>
      <c r="C300" s="1" t="s">
        <v>4179</v>
      </c>
      <c r="D300" s="1" t="s">
        <v>3669</v>
      </c>
      <c r="E300" t="s">
        <v>3855</v>
      </c>
      <c r="F300" t="s">
        <v>3856</v>
      </c>
      <c r="G300">
        <v>68.53</v>
      </c>
      <c r="H300">
        <v>181330</v>
      </c>
    </row>
    <row r="301" spans="1:8" hidden="1" x14ac:dyDescent="0.4">
      <c r="A301" s="93" t="s">
        <v>3668</v>
      </c>
      <c r="B301" s="1" t="s">
        <v>1472</v>
      </c>
      <c r="C301" s="1" t="s">
        <v>4179</v>
      </c>
      <c r="D301" s="1" t="s">
        <v>3669</v>
      </c>
      <c r="E301" t="s">
        <v>3857</v>
      </c>
      <c r="F301" t="s">
        <v>3858</v>
      </c>
      <c r="G301">
        <v>71.2</v>
      </c>
      <c r="H301">
        <v>186971</v>
      </c>
    </row>
    <row r="302" spans="1:8" hidden="1" x14ac:dyDescent="0.4">
      <c r="A302" s="93" t="s">
        <v>3668</v>
      </c>
      <c r="B302" s="1" t="s">
        <v>1472</v>
      </c>
      <c r="C302" s="1" t="s">
        <v>4179</v>
      </c>
      <c r="D302" s="1" t="s">
        <v>3669</v>
      </c>
      <c r="E302" t="s">
        <v>3859</v>
      </c>
      <c r="F302" t="s">
        <v>3860</v>
      </c>
      <c r="G302">
        <v>33.28</v>
      </c>
      <c r="H302">
        <v>96046</v>
      </c>
    </row>
    <row r="303" spans="1:8" hidden="1" x14ac:dyDescent="0.4">
      <c r="A303" s="93" t="s">
        <v>3668</v>
      </c>
      <c r="B303" s="1" t="s">
        <v>1471</v>
      </c>
      <c r="C303" s="1" t="s">
        <v>4175</v>
      </c>
      <c r="D303" s="1" t="s">
        <v>3669</v>
      </c>
      <c r="E303" t="s">
        <v>3861</v>
      </c>
      <c r="F303" t="s">
        <v>2066</v>
      </c>
      <c r="G303">
        <v>0</v>
      </c>
      <c r="H303">
        <v>0</v>
      </c>
    </row>
    <row r="304" spans="1:8" hidden="1" x14ac:dyDescent="0.4">
      <c r="A304" s="93" t="s">
        <v>3668</v>
      </c>
      <c r="B304" s="1" t="s">
        <v>1471</v>
      </c>
      <c r="C304" s="1" t="s">
        <v>4171</v>
      </c>
      <c r="D304" s="1" t="s">
        <v>3669</v>
      </c>
      <c r="E304" t="s">
        <v>3862</v>
      </c>
      <c r="F304" t="s">
        <v>2062</v>
      </c>
      <c r="G304">
        <v>0</v>
      </c>
      <c r="H304">
        <v>0</v>
      </c>
    </row>
    <row r="305" spans="1:8" hidden="1" x14ac:dyDescent="0.4">
      <c r="A305" s="93" t="s">
        <v>3668</v>
      </c>
      <c r="B305" s="1" t="s">
        <v>1471</v>
      </c>
      <c r="C305" s="1" t="s">
        <v>4171</v>
      </c>
      <c r="D305" s="1" t="s">
        <v>3669</v>
      </c>
      <c r="E305" t="s">
        <v>3863</v>
      </c>
      <c r="F305" t="s">
        <v>2031</v>
      </c>
      <c r="G305">
        <v>0</v>
      </c>
      <c r="H305">
        <v>0</v>
      </c>
    </row>
    <row r="306" spans="1:8" hidden="1" x14ac:dyDescent="0.4">
      <c r="A306" s="93" t="s">
        <v>3668</v>
      </c>
      <c r="B306" s="1" t="s">
        <v>1471</v>
      </c>
      <c r="C306" s="1" t="s">
        <v>4171</v>
      </c>
      <c r="D306" s="1" t="s">
        <v>3669</v>
      </c>
      <c r="E306" t="s">
        <v>3864</v>
      </c>
      <c r="F306" t="s">
        <v>2038</v>
      </c>
      <c r="G306">
        <v>0</v>
      </c>
      <c r="H306">
        <v>0</v>
      </c>
    </row>
    <row r="307" spans="1:8" hidden="1" x14ac:dyDescent="0.4">
      <c r="A307" s="93" t="s">
        <v>3668</v>
      </c>
      <c r="B307" s="1" t="s">
        <v>1471</v>
      </c>
      <c r="C307" s="1" t="s">
        <v>4171</v>
      </c>
      <c r="D307" s="1" t="s">
        <v>3669</v>
      </c>
      <c r="E307" t="s">
        <v>3865</v>
      </c>
      <c r="F307" t="s">
        <v>2047</v>
      </c>
      <c r="G307">
        <v>0</v>
      </c>
      <c r="H307">
        <v>0</v>
      </c>
    </row>
    <row r="308" spans="1:8" hidden="1" x14ac:dyDescent="0.4">
      <c r="A308" s="93" t="s">
        <v>3668</v>
      </c>
      <c r="B308" s="1" t="s">
        <v>1471</v>
      </c>
      <c r="C308" s="1" t="s">
        <v>4171</v>
      </c>
      <c r="D308" s="1" t="s">
        <v>3669</v>
      </c>
      <c r="E308" t="s">
        <v>3866</v>
      </c>
      <c r="F308" t="s">
        <v>2047</v>
      </c>
      <c r="G308">
        <v>1549</v>
      </c>
      <c r="H308">
        <v>1363155</v>
      </c>
    </row>
    <row r="309" spans="1:8" hidden="1" x14ac:dyDescent="0.4">
      <c r="A309" s="93" t="s">
        <v>3668</v>
      </c>
      <c r="B309" s="1" t="s">
        <v>1471</v>
      </c>
      <c r="C309" s="1" t="s">
        <v>4171</v>
      </c>
      <c r="D309" s="1" t="s">
        <v>3669</v>
      </c>
      <c r="E309" t="s">
        <v>3867</v>
      </c>
      <c r="F309" t="s">
        <v>2039</v>
      </c>
      <c r="G309">
        <v>0</v>
      </c>
      <c r="H309">
        <v>0</v>
      </c>
    </row>
    <row r="310" spans="1:8" hidden="1" x14ac:dyDescent="0.4">
      <c r="A310" s="93" t="s">
        <v>3668</v>
      </c>
      <c r="B310" s="1" t="s">
        <v>1471</v>
      </c>
      <c r="C310" s="1" t="s">
        <v>4171</v>
      </c>
      <c r="D310" s="1" t="s">
        <v>3669</v>
      </c>
      <c r="E310" t="s">
        <v>3868</v>
      </c>
      <c r="F310" t="s">
        <v>2032</v>
      </c>
      <c r="G310">
        <v>0</v>
      </c>
      <c r="H310">
        <v>0</v>
      </c>
    </row>
    <row r="311" spans="1:8" hidden="1" x14ac:dyDescent="0.4">
      <c r="A311" s="93" t="s">
        <v>3668</v>
      </c>
      <c r="B311" s="1" t="s">
        <v>1471</v>
      </c>
      <c r="C311" s="1" t="s">
        <v>4171</v>
      </c>
      <c r="D311" s="1" t="s">
        <v>3669</v>
      </c>
      <c r="E311" t="s">
        <v>3869</v>
      </c>
      <c r="F311" t="s">
        <v>2032</v>
      </c>
      <c r="G311">
        <v>1680</v>
      </c>
      <c r="H311">
        <v>1167180</v>
      </c>
    </row>
    <row r="312" spans="1:8" hidden="1" x14ac:dyDescent="0.4">
      <c r="A312" s="93" t="s">
        <v>3668</v>
      </c>
      <c r="B312" s="1" t="s">
        <v>1471</v>
      </c>
      <c r="C312" s="1" t="s">
        <v>4171</v>
      </c>
      <c r="D312" s="1" t="s">
        <v>3669</v>
      </c>
      <c r="E312" t="s">
        <v>3870</v>
      </c>
      <c r="F312" t="s">
        <v>2035</v>
      </c>
      <c r="G312">
        <v>0</v>
      </c>
      <c r="H312">
        <v>0</v>
      </c>
    </row>
    <row r="313" spans="1:8" hidden="1" x14ac:dyDescent="0.4">
      <c r="A313" s="93" t="s">
        <v>3668</v>
      </c>
      <c r="B313" s="1" t="s">
        <v>1471</v>
      </c>
      <c r="C313" s="1" t="s">
        <v>4171</v>
      </c>
      <c r="D313" s="1" t="s">
        <v>3669</v>
      </c>
      <c r="E313" t="s">
        <v>3871</v>
      </c>
      <c r="F313" t="s">
        <v>3872</v>
      </c>
      <c r="G313">
        <v>1500</v>
      </c>
      <c r="H313">
        <v>775500</v>
      </c>
    </row>
    <row r="314" spans="1:8" hidden="1" x14ac:dyDescent="0.4">
      <c r="A314" s="93" t="s">
        <v>3668</v>
      </c>
      <c r="B314" s="1" t="s">
        <v>1471</v>
      </c>
      <c r="C314" s="1" t="s">
        <v>4171</v>
      </c>
      <c r="D314" s="1" t="s">
        <v>3669</v>
      </c>
      <c r="E314" t="s">
        <v>3873</v>
      </c>
      <c r="F314" t="s">
        <v>3874</v>
      </c>
      <c r="G314">
        <v>-1500</v>
      </c>
      <c r="H314">
        <v>-1083000</v>
      </c>
    </row>
    <row r="315" spans="1:8" hidden="1" x14ac:dyDescent="0.4">
      <c r="A315" s="93" t="s">
        <v>3668</v>
      </c>
      <c r="B315" s="1" t="s">
        <v>1471</v>
      </c>
      <c r="C315" s="1" t="s">
        <v>4171</v>
      </c>
      <c r="D315" s="1" t="s">
        <v>3669</v>
      </c>
      <c r="E315" t="s">
        <v>3875</v>
      </c>
      <c r="F315" t="s">
        <v>2029</v>
      </c>
      <c r="G315">
        <v>0</v>
      </c>
      <c r="H315">
        <v>0</v>
      </c>
    </row>
    <row r="316" spans="1:8" hidden="1" x14ac:dyDescent="0.4">
      <c r="A316" s="93" t="s">
        <v>3668</v>
      </c>
      <c r="B316" s="1" t="s">
        <v>1471</v>
      </c>
      <c r="C316" s="1" t="s">
        <v>4171</v>
      </c>
      <c r="D316" s="1" t="s">
        <v>3669</v>
      </c>
      <c r="E316" t="s">
        <v>3876</v>
      </c>
      <c r="F316" t="s">
        <v>2036</v>
      </c>
      <c r="G316">
        <v>0</v>
      </c>
      <c r="H316">
        <v>0</v>
      </c>
    </row>
    <row r="317" spans="1:8" hidden="1" x14ac:dyDescent="0.4">
      <c r="A317" s="93" t="s">
        <v>3668</v>
      </c>
      <c r="B317" s="1" t="s">
        <v>1471</v>
      </c>
      <c r="C317" s="1" t="s">
        <v>4171</v>
      </c>
      <c r="D317" s="1" t="s">
        <v>3669</v>
      </c>
      <c r="E317" t="s">
        <v>3877</v>
      </c>
      <c r="F317" t="s">
        <v>2030</v>
      </c>
      <c r="G317">
        <v>0</v>
      </c>
      <c r="H317">
        <v>0</v>
      </c>
    </row>
    <row r="318" spans="1:8" hidden="1" x14ac:dyDescent="0.4">
      <c r="A318" s="93" t="s">
        <v>3668</v>
      </c>
      <c r="B318" s="1" t="s">
        <v>1471</v>
      </c>
      <c r="C318" s="1" t="s">
        <v>4171</v>
      </c>
      <c r="D318" s="1" t="s">
        <v>3669</v>
      </c>
      <c r="E318" t="s">
        <v>3878</v>
      </c>
      <c r="F318" t="s">
        <v>2083</v>
      </c>
      <c r="G318">
        <v>0</v>
      </c>
      <c r="H318">
        <v>0</v>
      </c>
    </row>
    <row r="319" spans="1:8" hidden="1" x14ac:dyDescent="0.4">
      <c r="A319" s="93" t="s">
        <v>3668</v>
      </c>
      <c r="B319" s="1" t="s">
        <v>1471</v>
      </c>
      <c r="C319" s="1" t="s">
        <v>4171</v>
      </c>
      <c r="D319" s="1" t="s">
        <v>3669</v>
      </c>
      <c r="E319" t="s">
        <v>3879</v>
      </c>
      <c r="F319" t="s">
        <v>2060</v>
      </c>
      <c r="G319">
        <v>0</v>
      </c>
      <c r="H319">
        <v>0</v>
      </c>
    </row>
    <row r="320" spans="1:8" hidden="1" x14ac:dyDescent="0.4">
      <c r="A320" s="93" t="s">
        <v>3668</v>
      </c>
      <c r="B320" s="1" t="s">
        <v>1471</v>
      </c>
      <c r="C320" s="1" t="s">
        <v>4171</v>
      </c>
      <c r="D320" s="1" t="s">
        <v>3669</v>
      </c>
      <c r="E320" t="s">
        <v>3880</v>
      </c>
      <c r="F320" t="s">
        <v>2040</v>
      </c>
      <c r="G320">
        <v>0</v>
      </c>
      <c r="H320">
        <v>0</v>
      </c>
    </row>
    <row r="321" spans="1:8" hidden="1" x14ac:dyDescent="0.4">
      <c r="A321" s="93" t="s">
        <v>3668</v>
      </c>
      <c r="B321" s="1" t="s">
        <v>1471</v>
      </c>
      <c r="C321" s="1" t="s">
        <v>4171</v>
      </c>
      <c r="D321" s="1" t="s">
        <v>3669</v>
      </c>
      <c r="E321" t="s">
        <v>3881</v>
      </c>
      <c r="F321" t="s">
        <v>2067</v>
      </c>
      <c r="G321">
        <v>0</v>
      </c>
      <c r="H321">
        <v>0</v>
      </c>
    </row>
    <row r="322" spans="1:8" hidden="1" x14ac:dyDescent="0.4">
      <c r="A322" s="93" t="s">
        <v>3668</v>
      </c>
      <c r="B322" s="1" t="s">
        <v>1471</v>
      </c>
      <c r="C322" s="1" t="s">
        <v>4171</v>
      </c>
      <c r="D322" s="1" t="s">
        <v>3669</v>
      </c>
      <c r="E322" t="s">
        <v>3882</v>
      </c>
      <c r="F322" t="s">
        <v>2028</v>
      </c>
      <c r="G322">
        <v>0</v>
      </c>
      <c r="H322">
        <v>0</v>
      </c>
    </row>
    <row r="323" spans="1:8" hidden="1" x14ac:dyDescent="0.4">
      <c r="A323" s="93" t="s">
        <v>3668</v>
      </c>
      <c r="B323" s="1" t="s">
        <v>1471</v>
      </c>
      <c r="C323" s="1" t="s">
        <v>4171</v>
      </c>
      <c r="D323" s="1" t="s">
        <v>3669</v>
      </c>
      <c r="E323" t="s">
        <v>3883</v>
      </c>
      <c r="F323" t="s">
        <v>3884</v>
      </c>
      <c r="G323">
        <v>2</v>
      </c>
      <c r="H323">
        <v>6000</v>
      </c>
    </row>
    <row r="324" spans="1:8" hidden="1" x14ac:dyDescent="0.4">
      <c r="A324" s="93" t="s">
        <v>3668</v>
      </c>
      <c r="B324" s="1" t="s">
        <v>1471</v>
      </c>
      <c r="C324" s="1" t="s">
        <v>4171</v>
      </c>
      <c r="D324" s="1" t="s">
        <v>3669</v>
      </c>
      <c r="E324" t="s">
        <v>3885</v>
      </c>
      <c r="F324" t="s">
        <v>2064</v>
      </c>
      <c r="G324">
        <v>3037.5</v>
      </c>
      <c r="H324">
        <v>3212724</v>
      </c>
    </row>
    <row r="325" spans="1:8" hidden="1" x14ac:dyDescent="0.4">
      <c r="A325" s="93" t="s">
        <v>3668</v>
      </c>
      <c r="B325" s="1" t="s">
        <v>1471</v>
      </c>
      <c r="C325" s="1" t="s">
        <v>4171</v>
      </c>
      <c r="D325" s="1" t="s">
        <v>3669</v>
      </c>
      <c r="E325" t="s">
        <v>3886</v>
      </c>
      <c r="F325" t="s">
        <v>2037</v>
      </c>
      <c r="G325">
        <v>5000</v>
      </c>
      <c r="H325">
        <v>3530000</v>
      </c>
    </row>
    <row r="326" spans="1:8" hidden="1" x14ac:dyDescent="0.4">
      <c r="A326" s="93" t="s">
        <v>3668</v>
      </c>
      <c r="B326" s="1" t="s">
        <v>1471</v>
      </c>
      <c r="C326" s="1" t="s">
        <v>4171</v>
      </c>
      <c r="D326" s="1" t="s">
        <v>3669</v>
      </c>
      <c r="E326" t="s">
        <v>3887</v>
      </c>
      <c r="F326" t="s">
        <v>2037</v>
      </c>
      <c r="G326">
        <v>5167</v>
      </c>
      <c r="H326">
        <v>4944405</v>
      </c>
    </row>
    <row r="327" spans="1:8" hidden="1" x14ac:dyDescent="0.4">
      <c r="A327" s="93" t="s">
        <v>3668</v>
      </c>
      <c r="B327" s="1" t="s">
        <v>1471</v>
      </c>
      <c r="C327" s="1" t="s">
        <v>4171</v>
      </c>
      <c r="D327" s="1" t="s">
        <v>3669</v>
      </c>
      <c r="E327" t="s">
        <v>3888</v>
      </c>
      <c r="F327" t="s">
        <v>3889</v>
      </c>
      <c r="G327">
        <v>358</v>
      </c>
      <c r="H327">
        <v>446183</v>
      </c>
    </row>
    <row r="328" spans="1:8" hidden="1" x14ac:dyDescent="0.4">
      <c r="A328" s="93" t="s">
        <v>3668</v>
      </c>
      <c r="B328" s="1" t="s">
        <v>1471</v>
      </c>
      <c r="C328" s="1" t="s">
        <v>4171</v>
      </c>
      <c r="D328" s="1" t="s">
        <v>3669</v>
      </c>
      <c r="E328" t="s">
        <v>3890</v>
      </c>
      <c r="F328" t="s">
        <v>2045</v>
      </c>
      <c r="G328">
        <v>0</v>
      </c>
      <c r="H328">
        <v>0</v>
      </c>
    </row>
    <row r="329" spans="1:8" hidden="1" x14ac:dyDescent="0.4">
      <c r="A329" s="93" t="s">
        <v>3668</v>
      </c>
      <c r="B329" s="1" t="s">
        <v>1471</v>
      </c>
      <c r="C329" s="1" t="s">
        <v>4171</v>
      </c>
      <c r="D329" s="1" t="s">
        <v>3669</v>
      </c>
      <c r="E329" t="s">
        <v>3891</v>
      </c>
      <c r="F329" t="s">
        <v>3892</v>
      </c>
      <c r="G329">
        <v>0</v>
      </c>
      <c r="H329">
        <v>0</v>
      </c>
    </row>
    <row r="330" spans="1:8" hidden="1" x14ac:dyDescent="0.4">
      <c r="A330" s="93" t="s">
        <v>3668</v>
      </c>
      <c r="B330" s="1" t="s">
        <v>1471</v>
      </c>
      <c r="C330" s="1" t="s">
        <v>4171</v>
      </c>
      <c r="D330" s="1" t="s">
        <v>3669</v>
      </c>
      <c r="E330" t="s">
        <v>3893</v>
      </c>
      <c r="F330" t="s">
        <v>2048</v>
      </c>
      <c r="G330">
        <v>0</v>
      </c>
      <c r="H330">
        <v>0</v>
      </c>
    </row>
    <row r="331" spans="1:8" hidden="1" x14ac:dyDescent="0.4">
      <c r="A331" s="93" t="s">
        <v>3668</v>
      </c>
      <c r="B331" s="1" t="s">
        <v>1471</v>
      </c>
      <c r="C331" s="1" t="s">
        <v>4171</v>
      </c>
      <c r="D331" s="1" t="s">
        <v>3669</v>
      </c>
      <c r="E331" t="s">
        <v>3894</v>
      </c>
      <c r="F331" t="s">
        <v>2022</v>
      </c>
      <c r="G331">
        <v>0</v>
      </c>
      <c r="H331">
        <v>0</v>
      </c>
    </row>
    <row r="332" spans="1:8" hidden="1" x14ac:dyDescent="0.4">
      <c r="A332" s="93" t="s">
        <v>3668</v>
      </c>
      <c r="B332" s="1" t="s">
        <v>1471</v>
      </c>
      <c r="C332" s="1" t="s">
        <v>4171</v>
      </c>
      <c r="D332" s="1" t="s">
        <v>3669</v>
      </c>
      <c r="E332" t="s">
        <v>3895</v>
      </c>
      <c r="F332" t="s">
        <v>2072</v>
      </c>
      <c r="G332">
        <v>0</v>
      </c>
      <c r="H332">
        <v>0</v>
      </c>
    </row>
    <row r="333" spans="1:8" hidden="1" x14ac:dyDescent="0.4">
      <c r="A333" s="93" t="s">
        <v>3668</v>
      </c>
      <c r="B333" s="1" t="s">
        <v>1471</v>
      </c>
      <c r="C333" s="1" t="s">
        <v>4171</v>
      </c>
      <c r="D333" s="1" t="s">
        <v>3669</v>
      </c>
      <c r="E333" t="s">
        <v>3896</v>
      </c>
      <c r="F333" t="s">
        <v>2101</v>
      </c>
      <c r="G333">
        <v>10116.5</v>
      </c>
      <c r="H333">
        <v>8727850</v>
      </c>
    </row>
    <row r="334" spans="1:8" hidden="1" x14ac:dyDescent="0.4">
      <c r="A334" s="93" t="s">
        <v>3668</v>
      </c>
      <c r="B334" s="1" t="s">
        <v>1471</v>
      </c>
      <c r="C334" s="1" t="s">
        <v>4171</v>
      </c>
      <c r="D334" s="1" t="s">
        <v>3669</v>
      </c>
      <c r="E334" t="s">
        <v>3897</v>
      </c>
      <c r="F334" t="s">
        <v>1966</v>
      </c>
      <c r="G334">
        <v>0</v>
      </c>
      <c r="H334">
        <v>0</v>
      </c>
    </row>
    <row r="335" spans="1:8" hidden="1" x14ac:dyDescent="0.4">
      <c r="A335" s="93" t="s">
        <v>3668</v>
      </c>
      <c r="B335" s="1" t="s">
        <v>1471</v>
      </c>
      <c r="C335" s="1" t="s">
        <v>4171</v>
      </c>
      <c r="D335" s="1" t="s">
        <v>3669</v>
      </c>
      <c r="E335" t="s">
        <v>3832</v>
      </c>
      <c r="F335" t="s">
        <v>2023</v>
      </c>
      <c r="G335">
        <v>0</v>
      </c>
      <c r="H335">
        <v>0</v>
      </c>
    </row>
    <row r="336" spans="1:8" hidden="1" x14ac:dyDescent="0.4">
      <c r="A336" s="93" t="s">
        <v>3668</v>
      </c>
      <c r="B336" s="1" t="s">
        <v>1471</v>
      </c>
      <c r="C336" s="1" t="s">
        <v>4176</v>
      </c>
      <c r="D336" s="1" t="s">
        <v>3669</v>
      </c>
      <c r="E336" t="s">
        <v>3885</v>
      </c>
      <c r="F336" t="s">
        <v>2064</v>
      </c>
      <c r="G336">
        <v>3037.5</v>
      </c>
      <c r="H336">
        <v>3212724</v>
      </c>
    </row>
    <row r="337" spans="1:8" hidden="1" x14ac:dyDescent="0.4">
      <c r="A337" s="93" t="s">
        <v>3668</v>
      </c>
      <c r="B337" s="1" t="s">
        <v>1471</v>
      </c>
      <c r="C337" s="1" t="s">
        <v>4176</v>
      </c>
      <c r="D337" s="1" t="s">
        <v>3669</v>
      </c>
      <c r="E337" t="s">
        <v>3890</v>
      </c>
      <c r="F337" t="s">
        <v>2045</v>
      </c>
      <c r="G337">
        <v>0</v>
      </c>
      <c r="H337">
        <v>0</v>
      </c>
    </row>
    <row r="338" spans="1:8" hidden="1" x14ac:dyDescent="0.4">
      <c r="A338" s="93" t="s">
        <v>3668</v>
      </c>
      <c r="B338" s="1" t="s">
        <v>1471</v>
      </c>
      <c r="C338" s="1" t="s">
        <v>4176</v>
      </c>
      <c r="D338" s="1" t="s">
        <v>3669</v>
      </c>
      <c r="E338" t="s">
        <v>3871</v>
      </c>
      <c r="F338" t="s">
        <v>3872</v>
      </c>
      <c r="G338">
        <v>1500</v>
      </c>
      <c r="H338">
        <v>775500</v>
      </c>
    </row>
    <row r="339" spans="1:8" hidden="1" x14ac:dyDescent="0.4">
      <c r="A339" s="93" t="s">
        <v>3668</v>
      </c>
      <c r="B339" s="1" t="s">
        <v>1471</v>
      </c>
      <c r="C339" s="1" t="s">
        <v>4176</v>
      </c>
      <c r="D339" s="1" t="s">
        <v>3669</v>
      </c>
      <c r="E339" t="s">
        <v>3873</v>
      </c>
      <c r="F339" t="s">
        <v>3874</v>
      </c>
      <c r="G339">
        <v>-1500</v>
      </c>
      <c r="H339">
        <v>-1083000</v>
      </c>
    </row>
    <row r="340" spans="1:8" hidden="1" x14ac:dyDescent="0.4">
      <c r="A340" s="93" t="s">
        <v>3668</v>
      </c>
      <c r="B340" s="1" t="s">
        <v>1471</v>
      </c>
      <c r="C340" s="1" t="s">
        <v>4176</v>
      </c>
      <c r="D340" s="1" t="s">
        <v>3669</v>
      </c>
      <c r="E340" t="s">
        <v>3869</v>
      </c>
      <c r="F340" t="s">
        <v>2032</v>
      </c>
      <c r="G340">
        <v>1680</v>
      </c>
      <c r="H340">
        <v>1167180</v>
      </c>
    </row>
    <row r="341" spans="1:8" hidden="1" x14ac:dyDescent="0.4">
      <c r="A341" s="93" t="s">
        <v>3668</v>
      </c>
      <c r="B341" s="1" t="s">
        <v>1471</v>
      </c>
      <c r="C341" s="1" t="s">
        <v>4176</v>
      </c>
      <c r="D341" s="1" t="s">
        <v>3669</v>
      </c>
      <c r="E341" t="s">
        <v>3886</v>
      </c>
      <c r="F341" t="s">
        <v>2037</v>
      </c>
      <c r="G341">
        <v>5000</v>
      </c>
      <c r="H341">
        <v>3530000</v>
      </c>
    </row>
    <row r="342" spans="1:8" hidden="1" x14ac:dyDescent="0.4">
      <c r="A342" s="93" t="s">
        <v>3668</v>
      </c>
      <c r="B342" s="1" t="s">
        <v>1471</v>
      </c>
      <c r="C342" s="1" t="s">
        <v>4176</v>
      </c>
      <c r="D342" s="1" t="s">
        <v>3669</v>
      </c>
      <c r="E342" t="s">
        <v>3887</v>
      </c>
      <c r="F342" t="s">
        <v>2037</v>
      </c>
      <c r="G342">
        <v>5167</v>
      </c>
      <c r="H342">
        <v>4944405</v>
      </c>
    </row>
    <row r="343" spans="1:8" hidden="1" x14ac:dyDescent="0.4">
      <c r="A343" s="93" t="s">
        <v>3668</v>
      </c>
      <c r="B343" s="1" t="s">
        <v>1471</v>
      </c>
      <c r="C343" s="1" t="s">
        <v>4176</v>
      </c>
      <c r="D343" s="1" t="s">
        <v>3669</v>
      </c>
      <c r="E343" t="s">
        <v>3888</v>
      </c>
      <c r="F343" t="s">
        <v>3889</v>
      </c>
      <c r="G343">
        <v>358</v>
      </c>
      <c r="H343">
        <v>446183</v>
      </c>
    </row>
    <row r="344" spans="1:8" hidden="1" x14ac:dyDescent="0.4">
      <c r="A344" s="93" t="s">
        <v>3668</v>
      </c>
      <c r="B344" s="1" t="s">
        <v>1471</v>
      </c>
      <c r="C344" s="1" t="s">
        <v>4176</v>
      </c>
      <c r="D344" s="1" t="s">
        <v>3669</v>
      </c>
      <c r="E344" t="s">
        <v>3866</v>
      </c>
      <c r="F344" t="s">
        <v>2047</v>
      </c>
      <c r="G344">
        <v>1549</v>
      </c>
      <c r="H344">
        <v>1363155</v>
      </c>
    </row>
    <row r="345" spans="1:8" hidden="1" x14ac:dyDescent="0.4">
      <c r="A345" s="93" t="s">
        <v>3668</v>
      </c>
      <c r="B345" s="1" t="s">
        <v>1471</v>
      </c>
      <c r="C345" s="1" t="s">
        <v>4176</v>
      </c>
      <c r="D345" s="1" t="s">
        <v>3669</v>
      </c>
      <c r="E345" t="s">
        <v>3896</v>
      </c>
      <c r="F345" t="s">
        <v>2101</v>
      </c>
      <c r="G345">
        <v>10116.5</v>
      </c>
      <c r="H345">
        <v>8727850</v>
      </c>
    </row>
    <row r="346" spans="1:8" hidden="1" x14ac:dyDescent="0.4">
      <c r="A346" s="93" t="s">
        <v>3668</v>
      </c>
      <c r="B346" s="1" t="s">
        <v>1471</v>
      </c>
      <c r="C346" s="1" t="s">
        <v>4176</v>
      </c>
      <c r="D346" s="1" t="s">
        <v>3669</v>
      </c>
      <c r="E346" t="s">
        <v>3897</v>
      </c>
      <c r="F346" t="s">
        <v>1966</v>
      </c>
      <c r="G346">
        <v>0</v>
      </c>
      <c r="H346">
        <v>0</v>
      </c>
    </row>
    <row r="347" spans="1:8" hidden="1" x14ac:dyDescent="0.4">
      <c r="A347" s="93" t="s">
        <v>3668</v>
      </c>
      <c r="B347" s="1" t="s">
        <v>1471</v>
      </c>
      <c r="C347" s="1" t="s">
        <v>4176</v>
      </c>
      <c r="D347" s="1" t="s">
        <v>3669</v>
      </c>
      <c r="E347" t="s">
        <v>3861</v>
      </c>
      <c r="F347" t="s">
        <v>2066</v>
      </c>
      <c r="G347">
        <v>0</v>
      </c>
      <c r="H347">
        <v>0</v>
      </c>
    </row>
    <row r="348" spans="1:8" hidden="1" x14ac:dyDescent="0.4">
      <c r="A348" s="93" t="s">
        <v>3668</v>
      </c>
      <c r="B348" s="1" t="s">
        <v>1471</v>
      </c>
      <c r="C348" s="1" t="s">
        <v>4179</v>
      </c>
      <c r="D348" s="1" t="s">
        <v>3669</v>
      </c>
      <c r="E348" t="s">
        <v>3898</v>
      </c>
      <c r="F348" t="s">
        <v>2067</v>
      </c>
      <c r="G348">
        <v>1501.34</v>
      </c>
      <c r="H348">
        <v>0</v>
      </c>
    </row>
    <row r="349" spans="1:8" hidden="1" x14ac:dyDescent="0.4">
      <c r="A349" s="93" t="s">
        <v>3668</v>
      </c>
      <c r="B349" s="1" t="s">
        <v>1471</v>
      </c>
      <c r="C349" s="1" t="s">
        <v>4179</v>
      </c>
      <c r="D349" s="1" t="s">
        <v>3669</v>
      </c>
      <c r="E349" t="s">
        <v>3899</v>
      </c>
      <c r="F349" t="s">
        <v>2138</v>
      </c>
      <c r="G349">
        <v>363</v>
      </c>
      <c r="H349">
        <v>0</v>
      </c>
    </row>
    <row r="350" spans="1:8" hidden="1" x14ac:dyDescent="0.4">
      <c r="A350" s="93" t="s">
        <v>3668</v>
      </c>
      <c r="B350" s="1" t="s">
        <v>1471</v>
      </c>
      <c r="C350" s="1" t="s">
        <v>4179</v>
      </c>
      <c r="D350" s="1" t="s">
        <v>3669</v>
      </c>
      <c r="E350" t="s">
        <v>3897</v>
      </c>
      <c r="F350" t="s">
        <v>1966</v>
      </c>
      <c r="G350">
        <v>355.65</v>
      </c>
      <c r="H350">
        <v>0</v>
      </c>
    </row>
    <row r="351" spans="1:8" hidden="1" x14ac:dyDescent="0.4">
      <c r="A351" s="93" t="s">
        <v>3668</v>
      </c>
      <c r="B351" s="1" t="s">
        <v>1468</v>
      </c>
      <c r="C351" s="1" t="s">
        <v>4174</v>
      </c>
      <c r="D351" s="1" t="s">
        <v>3669</v>
      </c>
      <c r="E351" t="s">
        <v>3900</v>
      </c>
      <c r="F351" t="s">
        <v>3901</v>
      </c>
      <c r="G351">
        <v>0</v>
      </c>
      <c r="H351">
        <v>0</v>
      </c>
    </row>
    <row r="352" spans="1:8" hidden="1" x14ac:dyDescent="0.4">
      <c r="A352" s="93" t="s">
        <v>3668</v>
      </c>
      <c r="B352" s="1" t="s">
        <v>1468</v>
      </c>
      <c r="C352" s="1" t="s">
        <v>4174</v>
      </c>
      <c r="D352" s="1" t="s">
        <v>3669</v>
      </c>
      <c r="E352" t="s">
        <v>3753</v>
      </c>
      <c r="F352" t="s">
        <v>1954</v>
      </c>
      <c r="G352">
        <v>0</v>
      </c>
      <c r="H352">
        <v>0</v>
      </c>
    </row>
    <row r="353" spans="1:8" hidden="1" x14ac:dyDescent="0.4">
      <c r="A353" s="93" t="s">
        <v>3668</v>
      </c>
      <c r="B353" s="1" t="s">
        <v>1468</v>
      </c>
      <c r="C353" s="1" t="s">
        <v>4174</v>
      </c>
      <c r="D353" s="1" t="s">
        <v>3669</v>
      </c>
      <c r="E353" t="s">
        <v>3902</v>
      </c>
      <c r="F353" t="s">
        <v>3903</v>
      </c>
      <c r="G353">
        <v>0</v>
      </c>
      <c r="H353">
        <v>0</v>
      </c>
    </row>
    <row r="354" spans="1:8" hidden="1" x14ac:dyDescent="0.4">
      <c r="A354" s="93" t="s">
        <v>3668</v>
      </c>
      <c r="B354" s="1" t="s">
        <v>1468</v>
      </c>
      <c r="C354" s="1" t="s">
        <v>4174</v>
      </c>
      <c r="D354" s="1" t="s">
        <v>3669</v>
      </c>
      <c r="E354" t="s">
        <v>3759</v>
      </c>
      <c r="F354" t="s">
        <v>1953</v>
      </c>
      <c r="G354">
        <v>0</v>
      </c>
      <c r="H354">
        <v>0</v>
      </c>
    </row>
    <row r="355" spans="1:8" hidden="1" x14ac:dyDescent="0.4">
      <c r="A355" s="93" t="s">
        <v>3668</v>
      </c>
      <c r="B355" s="1" t="s">
        <v>1468</v>
      </c>
      <c r="C355" s="1" t="s">
        <v>4174</v>
      </c>
      <c r="D355" s="1" t="s">
        <v>3669</v>
      </c>
      <c r="E355" t="s">
        <v>3760</v>
      </c>
      <c r="F355" t="s">
        <v>1956</v>
      </c>
      <c r="G355">
        <v>0</v>
      </c>
      <c r="H355">
        <v>0</v>
      </c>
    </row>
    <row r="356" spans="1:8" hidden="1" x14ac:dyDescent="0.4">
      <c r="A356" s="93" t="s">
        <v>3668</v>
      </c>
      <c r="B356" s="1" t="s">
        <v>1468</v>
      </c>
      <c r="C356" s="1" t="s">
        <v>4174</v>
      </c>
      <c r="D356" s="1" t="s">
        <v>3669</v>
      </c>
      <c r="E356" t="s">
        <v>3904</v>
      </c>
      <c r="F356" t="s">
        <v>1938</v>
      </c>
      <c r="G356">
        <v>0</v>
      </c>
      <c r="H356">
        <v>0</v>
      </c>
    </row>
    <row r="357" spans="1:8" hidden="1" x14ac:dyDescent="0.4">
      <c r="A357" s="93" t="s">
        <v>3668</v>
      </c>
      <c r="B357" s="1" t="s">
        <v>1468</v>
      </c>
      <c r="C357" s="1" t="s">
        <v>4174</v>
      </c>
      <c r="D357" s="1" t="s">
        <v>3669</v>
      </c>
      <c r="E357" t="s">
        <v>3905</v>
      </c>
      <c r="F357" t="s">
        <v>1939</v>
      </c>
      <c r="G357">
        <v>0</v>
      </c>
      <c r="H357">
        <v>0</v>
      </c>
    </row>
    <row r="358" spans="1:8" hidden="1" x14ac:dyDescent="0.4">
      <c r="A358" s="93" t="s">
        <v>3668</v>
      </c>
      <c r="B358" s="1" t="s">
        <v>1468</v>
      </c>
      <c r="C358" s="1" t="s">
        <v>4174</v>
      </c>
      <c r="D358" s="1" t="s">
        <v>3669</v>
      </c>
      <c r="E358" t="s">
        <v>3906</v>
      </c>
      <c r="F358" t="s">
        <v>3778</v>
      </c>
      <c r="G358">
        <v>0</v>
      </c>
      <c r="H358">
        <v>0</v>
      </c>
    </row>
    <row r="359" spans="1:8" hidden="1" x14ac:dyDescent="0.4">
      <c r="A359" s="93" t="s">
        <v>3668</v>
      </c>
      <c r="B359" s="1" t="s">
        <v>1468</v>
      </c>
      <c r="C359" s="1" t="s">
        <v>4174</v>
      </c>
      <c r="D359" s="1" t="s">
        <v>3669</v>
      </c>
      <c r="E359" t="s">
        <v>3907</v>
      </c>
      <c r="F359" t="s">
        <v>2125</v>
      </c>
      <c r="G359">
        <v>0</v>
      </c>
      <c r="H359">
        <v>0</v>
      </c>
    </row>
    <row r="360" spans="1:8" hidden="1" x14ac:dyDescent="0.4">
      <c r="A360" s="93" t="s">
        <v>3668</v>
      </c>
      <c r="B360" s="1" t="s">
        <v>1468</v>
      </c>
      <c r="C360" s="1" t="s">
        <v>4174</v>
      </c>
      <c r="D360" s="1" t="s">
        <v>3669</v>
      </c>
      <c r="E360" t="s">
        <v>3908</v>
      </c>
      <c r="F360" t="s">
        <v>3909</v>
      </c>
      <c r="G360">
        <v>0</v>
      </c>
      <c r="H360">
        <v>0</v>
      </c>
    </row>
    <row r="361" spans="1:8" hidden="1" x14ac:dyDescent="0.4">
      <c r="A361" s="93" t="s">
        <v>3668</v>
      </c>
      <c r="B361" s="1" t="s">
        <v>1468</v>
      </c>
      <c r="C361" s="1" t="s">
        <v>4174</v>
      </c>
      <c r="D361" s="1" t="s">
        <v>3669</v>
      </c>
      <c r="E361" t="s">
        <v>3910</v>
      </c>
      <c r="F361" t="s">
        <v>1936</v>
      </c>
      <c r="G361">
        <v>0</v>
      </c>
      <c r="H361">
        <v>0</v>
      </c>
    </row>
    <row r="362" spans="1:8" hidden="1" x14ac:dyDescent="0.4">
      <c r="A362" s="93" t="s">
        <v>3668</v>
      </c>
      <c r="B362" s="1" t="s">
        <v>1468</v>
      </c>
      <c r="C362" s="1" t="s">
        <v>4174</v>
      </c>
      <c r="D362" s="1" t="s">
        <v>3669</v>
      </c>
      <c r="E362" t="s">
        <v>3911</v>
      </c>
      <c r="F362" t="s">
        <v>1940</v>
      </c>
      <c r="G362">
        <v>0</v>
      </c>
      <c r="H362">
        <v>0</v>
      </c>
    </row>
    <row r="363" spans="1:8" hidden="1" x14ac:dyDescent="0.4">
      <c r="A363" s="93" t="s">
        <v>3668</v>
      </c>
      <c r="B363" s="1" t="s">
        <v>1468</v>
      </c>
      <c r="C363" s="1" t="s">
        <v>4174</v>
      </c>
      <c r="D363" s="1" t="s">
        <v>3669</v>
      </c>
      <c r="E363" t="s">
        <v>3912</v>
      </c>
      <c r="F363" t="s">
        <v>1944</v>
      </c>
      <c r="G363">
        <v>0</v>
      </c>
      <c r="H363">
        <v>0</v>
      </c>
    </row>
    <row r="364" spans="1:8" hidden="1" x14ac:dyDescent="0.4">
      <c r="A364" s="93" t="s">
        <v>3668</v>
      </c>
      <c r="B364" s="1" t="s">
        <v>1468</v>
      </c>
      <c r="C364" s="1" t="s">
        <v>4174</v>
      </c>
      <c r="D364" s="1" t="s">
        <v>3669</v>
      </c>
      <c r="E364" t="s">
        <v>3913</v>
      </c>
      <c r="F364" t="s">
        <v>1931</v>
      </c>
      <c r="G364">
        <v>0</v>
      </c>
      <c r="H364">
        <v>0</v>
      </c>
    </row>
    <row r="365" spans="1:8" hidden="1" x14ac:dyDescent="0.4">
      <c r="A365" s="93" t="s">
        <v>3668</v>
      </c>
      <c r="B365" s="1" t="s">
        <v>1468</v>
      </c>
      <c r="C365" s="1" t="s">
        <v>4174</v>
      </c>
      <c r="D365" s="1" t="s">
        <v>3669</v>
      </c>
      <c r="E365" t="s">
        <v>3914</v>
      </c>
      <c r="F365" t="s">
        <v>1943</v>
      </c>
      <c r="G365">
        <v>0</v>
      </c>
      <c r="H365">
        <v>0</v>
      </c>
    </row>
    <row r="366" spans="1:8" hidden="1" x14ac:dyDescent="0.4">
      <c r="A366" s="93" t="s">
        <v>3668</v>
      </c>
      <c r="B366" s="1" t="s">
        <v>1468</v>
      </c>
      <c r="C366" s="1" t="s">
        <v>4174</v>
      </c>
      <c r="D366" s="1" t="s">
        <v>3669</v>
      </c>
      <c r="E366" t="s">
        <v>3765</v>
      </c>
      <c r="F366" t="s">
        <v>1955</v>
      </c>
      <c r="G366">
        <v>0</v>
      </c>
      <c r="H366">
        <v>0</v>
      </c>
    </row>
  </sheetData>
  <autoFilter ref="A1:H366" xr:uid="{1AE90671-9B9E-4E67-BC64-FE767612AA40}">
    <filterColumn colId="1">
      <filters>
        <filter val="110"/>
      </filters>
    </filterColumn>
    <filterColumn colId="2">
      <filters>
        <filter val="原材料"/>
      </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1A90B-2712-4872-87F0-AD48FC91E041}">
  <sheetPr filterMode="1"/>
  <dimension ref="A1:H420"/>
  <sheetViews>
    <sheetView topLeftCell="A28" workbookViewId="0">
      <selection activeCell="C33" sqref="C33"/>
    </sheetView>
  </sheetViews>
  <sheetFormatPr defaultRowHeight="18.75" x14ac:dyDescent="0.4"/>
  <cols>
    <col min="1" max="1" width="7.5" style="1" bestFit="1" customWidth="1"/>
    <col min="2" max="2" width="7.875" style="1" bestFit="1" customWidth="1"/>
    <col min="3" max="3" width="20.375" style="1" bestFit="1" customWidth="1"/>
    <col min="4" max="4" width="9" style="1"/>
    <col min="5" max="5" width="8.375" bestFit="1" customWidth="1"/>
    <col min="6" max="6" width="24.25" bestFit="1" customWidth="1"/>
    <col min="7" max="8" width="11" bestFit="1" customWidth="1"/>
  </cols>
  <sheetData>
    <row r="1" spans="1:8" x14ac:dyDescent="0.4">
      <c r="A1" s="2" t="s">
        <v>3663</v>
      </c>
      <c r="B1" s="2" t="s">
        <v>4</v>
      </c>
      <c r="C1" s="2" t="s">
        <v>3664</v>
      </c>
      <c r="D1" s="2" t="s">
        <v>2</v>
      </c>
      <c r="E1" s="3" t="s">
        <v>3665</v>
      </c>
      <c r="F1" s="3" t="s">
        <v>11</v>
      </c>
      <c r="G1" s="3" t="s">
        <v>3666</v>
      </c>
      <c r="H1" s="3" t="s">
        <v>3667</v>
      </c>
    </row>
    <row r="2" spans="1:8" x14ac:dyDescent="0.4">
      <c r="A2" s="93" t="s">
        <v>3668</v>
      </c>
      <c r="B2" s="1" t="s">
        <v>1469</v>
      </c>
      <c r="C2" s="1" t="s">
        <v>4177</v>
      </c>
      <c r="D2" s="1" t="s">
        <v>3669</v>
      </c>
      <c r="E2" t="s">
        <v>4009</v>
      </c>
      <c r="F2" t="s">
        <v>2005</v>
      </c>
      <c r="G2">
        <v>0</v>
      </c>
      <c r="H2">
        <v>0</v>
      </c>
    </row>
    <row r="3" spans="1:8" x14ac:dyDescent="0.4">
      <c r="A3" s="93" t="s">
        <v>3668</v>
      </c>
      <c r="B3" s="1" t="s">
        <v>1469</v>
      </c>
      <c r="C3" s="1" t="s">
        <v>4172</v>
      </c>
      <c r="D3" s="1" t="s">
        <v>3669</v>
      </c>
      <c r="E3" t="s">
        <v>4007</v>
      </c>
      <c r="F3" t="s">
        <v>2006</v>
      </c>
      <c r="G3">
        <v>0</v>
      </c>
      <c r="H3">
        <v>0</v>
      </c>
    </row>
    <row r="4" spans="1:8" x14ac:dyDescent="0.4">
      <c r="A4" s="93" t="s">
        <v>3668</v>
      </c>
      <c r="B4" s="1" t="s">
        <v>1469</v>
      </c>
      <c r="C4" s="1" t="s">
        <v>4172</v>
      </c>
      <c r="D4" s="1" t="s">
        <v>3669</v>
      </c>
      <c r="E4" t="s">
        <v>4005</v>
      </c>
      <c r="F4" t="s">
        <v>1986</v>
      </c>
      <c r="G4">
        <v>0</v>
      </c>
      <c r="H4">
        <v>0</v>
      </c>
    </row>
    <row r="5" spans="1:8" x14ac:dyDescent="0.4">
      <c r="A5" s="93" t="s">
        <v>3668</v>
      </c>
      <c r="B5" s="1" t="s">
        <v>1469</v>
      </c>
      <c r="C5" s="1" t="s">
        <v>4172</v>
      </c>
      <c r="D5" s="1" t="s">
        <v>3669</v>
      </c>
      <c r="E5" t="s">
        <v>4000</v>
      </c>
      <c r="F5" t="s">
        <v>1975</v>
      </c>
      <c r="G5">
        <v>0</v>
      </c>
      <c r="H5">
        <v>0</v>
      </c>
    </row>
    <row r="6" spans="1:8" x14ac:dyDescent="0.4">
      <c r="A6" s="93" t="s">
        <v>3668</v>
      </c>
      <c r="B6" s="1" t="s">
        <v>1469</v>
      </c>
      <c r="C6" s="1" t="s">
        <v>4172</v>
      </c>
      <c r="D6" s="1" t="s">
        <v>3669</v>
      </c>
      <c r="E6" t="s">
        <v>4130</v>
      </c>
      <c r="F6" t="s">
        <v>1981</v>
      </c>
      <c r="G6">
        <v>0</v>
      </c>
      <c r="H6">
        <v>0</v>
      </c>
    </row>
    <row r="7" spans="1:8" x14ac:dyDescent="0.4">
      <c r="A7" s="93" t="s">
        <v>3668</v>
      </c>
      <c r="B7" s="1" t="s">
        <v>1469</v>
      </c>
      <c r="C7" s="1" t="s">
        <v>4172</v>
      </c>
      <c r="D7" s="1" t="s">
        <v>3669</v>
      </c>
      <c r="E7" t="s">
        <v>4128</v>
      </c>
      <c r="F7" t="s">
        <v>1965</v>
      </c>
      <c r="G7">
        <v>0</v>
      </c>
      <c r="H7">
        <v>0</v>
      </c>
    </row>
    <row r="8" spans="1:8" x14ac:dyDescent="0.4">
      <c r="A8" s="93" t="s">
        <v>3668</v>
      </c>
      <c r="B8" s="1" t="s">
        <v>1469</v>
      </c>
      <c r="C8" s="1" t="s">
        <v>4172</v>
      </c>
      <c r="D8" s="1" t="s">
        <v>3669</v>
      </c>
      <c r="E8" t="s">
        <v>4126</v>
      </c>
      <c r="F8" t="s">
        <v>1987</v>
      </c>
      <c r="G8">
        <v>0</v>
      </c>
      <c r="H8">
        <v>0</v>
      </c>
    </row>
    <row r="9" spans="1:8" x14ac:dyDescent="0.4">
      <c r="A9" s="93" t="s">
        <v>3668</v>
      </c>
      <c r="B9" s="1" t="s">
        <v>1469</v>
      </c>
      <c r="C9" s="1" t="s">
        <v>4172</v>
      </c>
      <c r="D9" s="1" t="s">
        <v>3669</v>
      </c>
      <c r="E9" t="s">
        <v>4125</v>
      </c>
      <c r="F9" t="s">
        <v>1967</v>
      </c>
      <c r="G9">
        <v>0</v>
      </c>
      <c r="H9">
        <v>0</v>
      </c>
    </row>
    <row r="10" spans="1:8" x14ac:dyDescent="0.4">
      <c r="A10" s="93" t="s">
        <v>3668</v>
      </c>
      <c r="B10" s="1" t="s">
        <v>1469</v>
      </c>
      <c r="C10" s="1" t="s">
        <v>4172</v>
      </c>
      <c r="D10" s="1" t="s">
        <v>3669</v>
      </c>
      <c r="E10" t="s">
        <v>4123</v>
      </c>
      <c r="F10" t="s">
        <v>1978</v>
      </c>
      <c r="G10">
        <v>0</v>
      </c>
      <c r="H10">
        <v>0</v>
      </c>
    </row>
    <row r="11" spans="1:8" x14ac:dyDescent="0.4">
      <c r="A11" s="93" t="s">
        <v>3668</v>
      </c>
      <c r="B11" s="1" t="s">
        <v>1469</v>
      </c>
      <c r="C11" s="1" t="s">
        <v>4172</v>
      </c>
      <c r="D11" s="1" t="s">
        <v>3669</v>
      </c>
      <c r="E11" t="s">
        <v>4122</v>
      </c>
      <c r="F11" t="s">
        <v>1968</v>
      </c>
      <c r="G11">
        <v>0</v>
      </c>
      <c r="H11">
        <v>0</v>
      </c>
    </row>
    <row r="12" spans="1:8" x14ac:dyDescent="0.4">
      <c r="A12" s="93" t="s">
        <v>3668</v>
      </c>
      <c r="B12" s="1" t="s">
        <v>1469</v>
      </c>
      <c r="C12" s="1" t="s">
        <v>4172</v>
      </c>
      <c r="D12" s="1" t="s">
        <v>3669</v>
      </c>
      <c r="E12" t="s">
        <v>4120</v>
      </c>
      <c r="F12" t="s">
        <v>1991</v>
      </c>
      <c r="G12">
        <v>0</v>
      </c>
      <c r="H12">
        <v>0</v>
      </c>
    </row>
    <row r="13" spans="1:8" x14ac:dyDescent="0.4">
      <c r="A13" s="93" t="s">
        <v>3668</v>
      </c>
      <c r="B13" s="1" t="s">
        <v>1469</v>
      </c>
      <c r="C13" s="1" t="s">
        <v>4172</v>
      </c>
      <c r="D13" s="1" t="s">
        <v>3669</v>
      </c>
      <c r="E13" t="s">
        <v>4119</v>
      </c>
      <c r="F13" t="s">
        <v>1990</v>
      </c>
      <c r="G13">
        <v>0</v>
      </c>
      <c r="H13">
        <v>0</v>
      </c>
    </row>
    <row r="14" spans="1:8" x14ac:dyDescent="0.4">
      <c r="A14" s="93" t="s">
        <v>3668</v>
      </c>
      <c r="B14" s="1" t="s">
        <v>1469</v>
      </c>
      <c r="C14" s="1" t="s">
        <v>4172</v>
      </c>
      <c r="D14" s="1" t="s">
        <v>3669</v>
      </c>
      <c r="E14" t="s">
        <v>4118</v>
      </c>
      <c r="F14" t="s">
        <v>1972</v>
      </c>
      <c r="G14">
        <v>0</v>
      </c>
      <c r="H14">
        <v>0</v>
      </c>
    </row>
    <row r="15" spans="1:8" x14ac:dyDescent="0.4">
      <c r="A15" s="93" t="s">
        <v>3668</v>
      </c>
      <c r="B15" s="1" t="s">
        <v>1469</v>
      </c>
      <c r="C15" s="1" t="s">
        <v>4172</v>
      </c>
      <c r="D15" s="1" t="s">
        <v>3669</v>
      </c>
      <c r="E15" t="s">
        <v>4116</v>
      </c>
      <c r="F15" t="s">
        <v>1961</v>
      </c>
      <c r="G15">
        <v>0</v>
      </c>
      <c r="H15">
        <v>0</v>
      </c>
    </row>
    <row r="16" spans="1:8" x14ac:dyDescent="0.4">
      <c r="A16" s="93" t="s">
        <v>3668</v>
      </c>
      <c r="B16" s="1" t="s">
        <v>1469</v>
      </c>
      <c r="C16" s="1" t="s">
        <v>4172</v>
      </c>
      <c r="D16" s="1" t="s">
        <v>3669</v>
      </c>
      <c r="E16" t="s">
        <v>4115</v>
      </c>
      <c r="F16" t="s">
        <v>1959</v>
      </c>
      <c r="G16">
        <v>0</v>
      </c>
      <c r="H16">
        <v>0</v>
      </c>
    </row>
    <row r="17" spans="1:8" x14ac:dyDescent="0.4">
      <c r="A17" s="93" t="s">
        <v>3668</v>
      </c>
      <c r="B17" s="1" t="s">
        <v>1469</v>
      </c>
      <c r="C17" s="1" t="s">
        <v>4172</v>
      </c>
      <c r="D17" s="1" t="s">
        <v>3669</v>
      </c>
      <c r="E17" t="s">
        <v>4113</v>
      </c>
      <c r="F17" t="s">
        <v>1966</v>
      </c>
      <c r="G17">
        <v>0</v>
      </c>
      <c r="H17">
        <v>0</v>
      </c>
    </row>
    <row r="18" spans="1:8" x14ac:dyDescent="0.4">
      <c r="A18" s="93" t="s">
        <v>3668</v>
      </c>
      <c r="B18" s="1" t="s">
        <v>1469</v>
      </c>
      <c r="C18" s="1" t="s">
        <v>4172</v>
      </c>
      <c r="D18" s="1" t="s">
        <v>3669</v>
      </c>
      <c r="E18" t="s">
        <v>4112</v>
      </c>
      <c r="F18" t="s">
        <v>1964</v>
      </c>
      <c r="G18">
        <v>0</v>
      </c>
      <c r="H18">
        <v>0</v>
      </c>
    </row>
    <row r="19" spans="1:8" x14ac:dyDescent="0.4">
      <c r="A19" s="93" t="s">
        <v>3668</v>
      </c>
      <c r="B19" s="1" t="s">
        <v>1469</v>
      </c>
      <c r="C19" s="1" t="s">
        <v>4177</v>
      </c>
      <c r="D19" s="1" t="s">
        <v>3669</v>
      </c>
      <c r="E19" t="s">
        <v>4135</v>
      </c>
      <c r="F19" t="s">
        <v>2008</v>
      </c>
      <c r="G19">
        <v>0</v>
      </c>
      <c r="H19">
        <v>0</v>
      </c>
    </row>
    <row r="20" spans="1:8" x14ac:dyDescent="0.4">
      <c r="A20" s="93" t="s">
        <v>3668</v>
      </c>
      <c r="B20" s="1" t="s">
        <v>1469</v>
      </c>
      <c r="C20" s="1" t="s">
        <v>4172</v>
      </c>
      <c r="D20" s="1" t="s">
        <v>3669</v>
      </c>
      <c r="E20" t="s">
        <v>3929</v>
      </c>
      <c r="F20" t="s">
        <v>1974</v>
      </c>
      <c r="G20">
        <v>0</v>
      </c>
      <c r="H20">
        <v>0</v>
      </c>
    </row>
    <row r="21" spans="1:8" x14ac:dyDescent="0.4">
      <c r="A21" s="93" t="s">
        <v>3668</v>
      </c>
      <c r="B21" s="1" t="s">
        <v>1469</v>
      </c>
      <c r="C21" s="1" t="s">
        <v>4172</v>
      </c>
      <c r="D21" s="1" t="s">
        <v>3669</v>
      </c>
      <c r="E21" t="s">
        <v>4110</v>
      </c>
      <c r="F21" t="s">
        <v>1983</v>
      </c>
      <c r="G21">
        <v>0</v>
      </c>
      <c r="H21">
        <v>0</v>
      </c>
    </row>
    <row r="22" spans="1:8" x14ac:dyDescent="0.4">
      <c r="A22" s="93" t="s">
        <v>3668</v>
      </c>
      <c r="B22" s="1" t="s">
        <v>1469</v>
      </c>
      <c r="C22" s="1" t="s">
        <v>4172</v>
      </c>
      <c r="D22" s="1" t="s">
        <v>3669</v>
      </c>
      <c r="E22" t="s">
        <v>4108</v>
      </c>
      <c r="F22" t="s">
        <v>1982</v>
      </c>
      <c r="G22">
        <v>0</v>
      </c>
      <c r="H22">
        <v>0</v>
      </c>
    </row>
    <row r="23" spans="1:8" x14ac:dyDescent="0.4">
      <c r="A23" s="93" t="s">
        <v>3668</v>
      </c>
      <c r="B23" s="1" t="s">
        <v>1469</v>
      </c>
      <c r="C23" s="1" t="s">
        <v>4172</v>
      </c>
      <c r="D23" s="1" t="s">
        <v>3669</v>
      </c>
      <c r="E23" t="s">
        <v>4107</v>
      </c>
      <c r="F23" t="s">
        <v>1973</v>
      </c>
      <c r="G23">
        <v>0</v>
      </c>
      <c r="H23">
        <v>0</v>
      </c>
    </row>
    <row r="24" spans="1:8" x14ac:dyDescent="0.4">
      <c r="A24" s="93" t="s">
        <v>3668</v>
      </c>
      <c r="B24" s="1" t="s">
        <v>1469</v>
      </c>
      <c r="C24" s="1" t="s">
        <v>4172</v>
      </c>
      <c r="D24" s="1" t="s">
        <v>3669</v>
      </c>
      <c r="E24" t="s">
        <v>4105</v>
      </c>
      <c r="F24" t="s">
        <v>1976</v>
      </c>
      <c r="G24">
        <v>0</v>
      </c>
      <c r="H24">
        <v>0</v>
      </c>
    </row>
    <row r="25" spans="1:8" x14ac:dyDescent="0.4">
      <c r="A25" s="93" t="s">
        <v>3668</v>
      </c>
      <c r="B25" s="1" t="s">
        <v>1469</v>
      </c>
      <c r="C25" s="1" t="s">
        <v>4172</v>
      </c>
      <c r="D25" s="1" t="s">
        <v>3669</v>
      </c>
      <c r="E25" t="s">
        <v>4103</v>
      </c>
      <c r="F25" t="s">
        <v>1989</v>
      </c>
      <c r="G25">
        <v>0</v>
      </c>
      <c r="H25">
        <v>0</v>
      </c>
    </row>
    <row r="26" spans="1:8" x14ac:dyDescent="0.4">
      <c r="A26" s="93" t="s">
        <v>3668</v>
      </c>
      <c r="B26" s="1" t="s">
        <v>1469</v>
      </c>
      <c r="C26" s="1" t="s">
        <v>4172</v>
      </c>
      <c r="D26" s="1" t="s">
        <v>3669</v>
      </c>
      <c r="E26" t="s">
        <v>4102</v>
      </c>
      <c r="F26" t="s">
        <v>1960</v>
      </c>
      <c r="G26">
        <v>0</v>
      </c>
      <c r="H26">
        <v>0</v>
      </c>
    </row>
    <row r="27" spans="1:8" x14ac:dyDescent="0.4">
      <c r="A27" s="93" t="s">
        <v>3668</v>
      </c>
      <c r="B27" s="1" t="s">
        <v>1469</v>
      </c>
      <c r="C27" s="1" t="s">
        <v>4172</v>
      </c>
      <c r="D27" s="1" t="s">
        <v>3669</v>
      </c>
      <c r="E27" t="s">
        <v>4100</v>
      </c>
      <c r="F27" t="s">
        <v>1980</v>
      </c>
      <c r="G27">
        <v>0</v>
      </c>
      <c r="H27">
        <v>0</v>
      </c>
    </row>
    <row r="28" spans="1:8" x14ac:dyDescent="0.4">
      <c r="A28" s="93" t="s">
        <v>3668</v>
      </c>
      <c r="B28" s="1" t="s">
        <v>1469</v>
      </c>
      <c r="C28" s="1" t="s">
        <v>4172</v>
      </c>
      <c r="D28" s="1" t="s">
        <v>3669</v>
      </c>
      <c r="E28" t="s">
        <v>4099</v>
      </c>
      <c r="F28" t="s">
        <v>1979</v>
      </c>
      <c r="G28">
        <v>0</v>
      </c>
      <c r="H28">
        <v>0</v>
      </c>
    </row>
    <row r="29" spans="1:8" x14ac:dyDescent="0.4">
      <c r="A29" s="93" t="s">
        <v>3668</v>
      </c>
      <c r="B29" s="1" t="s">
        <v>1469</v>
      </c>
      <c r="C29" s="1" t="s">
        <v>4172</v>
      </c>
      <c r="D29" s="1" t="s">
        <v>3669</v>
      </c>
      <c r="E29" t="s">
        <v>4098</v>
      </c>
      <c r="F29" t="s">
        <v>1958</v>
      </c>
      <c r="G29">
        <v>0</v>
      </c>
      <c r="H29">
        <v>0</v>
      </c>
    </row>
    <row r="30" spans="1:8" x14ac:dyDescent="0.4">
      <c r="A30" s="93" t="s">
        <v>3668</v>
      </c>
      <c r="B30" s="1" t="s">
        <v>1469</v>
      </c>
      <c r="C30" s="1" t="s">
        <v>4172</v>
      </c>
      <c r="D30" s="1" t="s">
        <v>3669</v>
      </c>
      <c r="E30" t="s">
        <v>4097</v>
      </c>
      <c r="F30" t="s">
        <v>1992</v>
      </c>
      <c r="G30">
        <v>0</v>
      </c>
      <c r="H30">
        <v>0</v>
      </c>
    </row>
    <row r="31" spans="1:8" x14ac:dyDescent="0.4">
      <c r="A31" s="93" t="s">
        <v>3668</v>
      </c>
      <c r="B31" s="1" t="s">
        <v>1469</v>
      </c>
      <c r="C31" s="1" t="s">
        <v>4172</v>
      </c>
      <c r="D31" s="1" t="s">
        <v>3669</v>
      </c>
      <c r="E31" t="s">
        <v>4095</v>
      </c>
      <c r="F31" t="s">
        <v>2059</v>
      </c>
      <c r="G31">
        <v>0</v>
      </c>
      <c r="H31">
        <v>0</v>
      </c>
    </row>
    <row r="32" spans="1:8" x14ac:dyDescent="0.4">
      <c r="A32" s="93" t="s">
        <v>3668</v>
      </c>
      <c r="B32" s="1" t="s">
        <v>1469</v>
      </c>
      <c r="C32" s="1" t="s">
        <v>4177</v>
      </c>
      <c r="D32" s="1" t="s">
        <v>3669</v>
      </c>
      <c r="E32" t="s">
        <v>4094</v>
      </c>
      <c r="F32" t="s">
        <v>1971</v>
      </c>
      <c r="G32">
        <v>0</v>
      </c>
      <c r="H32">
        <v>0</v>
      </c>
    </row>
    <row r="33" spans="1:8" x14ac:dyDescent="0.4">
      <c r="A33" s="93" t="s">
        <v>3668</v>
      </c>
      <c r="B33" s="1" t="s">
        <v>1469</v>
      </c>
      <c r="C33" s="1" t="s">
        <v>4180</v>
      </c>
      <c r="D33" s="1" t="s">
        <v>3669</v>
      </c>
      <c r="E33" t="s">
        <v>4010</v>
      </c>
      <c r="F33" t="s">
        <v>2005</v>
      </c>
      <c r="G33">
        <v>0</v>
      </c>
      <c r="H33">
        <v>0</v>
      </c>
    </row>
    <row r="34" spans="1:8" x14ac:dyDescent="0.4">
      <c r="A34" s="93" t="s">
        <v>3668</v>
      </c>
      <c r="B34" s="1" t="s">
        <v>1469</v>
      </c>
      <c r="C34" s="1" t="s">
        <v>4173</v>
      </c>
      <c r="D34" s="1" t="s">
        <v>3669</v>
      </c>
      <c r="E34" t="s">
        <v>4008</v>
      </c>
      <c r="F34" t="s">
        <v>2006</v>
      </c>
      <c r="G34">
        <v>0</v>
      </c>
      <c r="H34">
        <v>0</v>
      </c>
    </row>
    <row r="35" spans="1:8" x14ac:dyDescent="0.4">
      <c r="A35" s="93" t="s">
        <v>3668</v>
      </c>
      <c r="B35" s="1" t="s">
        <v>1469</v>
      </c>
      <c r="C35" s="1" t="s">
        <v>4173</v>
      </c>
      <c r="D35" s="1" t="s">
        <v>3669</v>
      </c>
      <c r="E35" t="s">
        <v>4001</v>
      </c>
      <c r="F35" t="s">
        <v>1975</v>
      </c>
      <c r="G35">
        <v>0</v>
      </c>
      <c r="H35">
        <v>0</v>
      </c>
    </row>
    <row r="36" spans="1:8" x14ac:dyDescent="0.4">
      <c r="A36" s="93" t="s">
        <v>3668</v>
      </c>
      <c r="B36" s="1" t="s">
        <v>1469</v>
      </c>
      <c r="C36" s="1" t="s">
        <v>4180</v>
      </c>
      <c r="D36" s="1" t="s">
        <v>3669</v>
      </c>
      <c r="E36" t="s">
        <v>4134</v>
      </c>
      <c r="F36" t="s">
        <v>2010</v>
      </c>
      <c r="G36">
        <v>108</v>
      </c>
      <c r="H36">
        <v>282309</v>
      </c>
    </row>
    <row r="37" spans="1:8" x14ac:dyDescent="0.4">
      <c r="A37" s="93" t="s">
        <v>3668</v>
      </c>
      <c r="B37" s="1" t="s">
        <v>1469</v>
      </c>
      <c r="C37" s="1" t="s">
        <v>4173</v>
      </c>
      <c r="D37" s="1" t="s">
        <v>3669</v>
      </c>
      <c r="E37" t="s">
        <v>4131</v>
      </c>
      <c r="F37" t="s">
        <v>1981</v>
      </c>
      <c r="G37">
        <v>2113.02</v>
      </c>
      <c r="H37">
        <v>4030712</v>
      </c>
    </row>
    <row r="38" spans="1:8" x14ac:dyDescent="0.4">
      <c r="A38" s="93" t="s">
        <v>3668</v>
      </c>
      <c r="B38" s="1" t="s">
        <v>1469</v>
      </c>
      <c r="C38" s="1" t="s">
        <v>4173</v>
      </c>
      <c r="D38" s="1" t="s">
        <v>3669</v>
      </c>
      <c r="E38" t="s">
        <v>4129</v>
      </c>
      <c r="F38" t="s">
        <v>1965</v>
      </c>
      <c r="G38">
        <v>0</v>
      </c>
      <c r="H38">
        <v>0</v>
      </c>
    </row>
    <row r="39" spans="1:8" x14ac:dyDescent="0.4">
      <c r="A39" s="93" t="s">
        <v>3668</v>
      </c>
      <c r="B39" s="1" t="s">
        <v>1469</v>
      </c>
      <c r="C39" s="1" t="s">
        <v>4173</v>
      </c>
      <c r="D39" s="1" t="s">
        <v>3669</v>
      </c>
      <c r="E39" t="s">
        <v>4127</v>
      </c>
      <c r="F39" t="s">
        <v>1987</v>
      </c>
      <c r="G39">
        <v>0</v>
      </c>
      <c r="H39">
        <v>0</v>
      </c>
    </row>
    <row r="40" spans="1:8" x14ac:dyDescent="0.4">
      <c r="A40" s="93" t="s">
        <v>3668</v>
      </c>
      <c r="B40" s="1" t="s">
        <v>1469</v>
      </c>
      <c r="C40" s="1" t="s">
        <v>4173</v>
      </c>
      <c r="D40" s="1" t="s">
        <v>3669</v>
      </c>
      <c r="E40" t="s">
        <v>3940</v>
      </c>
      <c r="F40" t="s">
        <v>1967</v>
      </c>
      <c r="G40">
        <v>0</v>
      </c>
      <c r="H40">
        <v>0</v>
      </c>
    </row>
    <row r="41" spans="1:8" x14ac:dyDescent="0.4">
      <c r="A41" s="93" t="s">
        <v>3668</v>
      </c>
      <c r="B41" s="1" t="s">
        <v>1469</v>
      </c>
      <c r="C41" s="1" t="s">
        <v>4173</v>
      </c>
      <c r="D41" s="1" t="s">
        <v>3669</v>
      </c>
      <c r="E41" t="s">
        <v>4124</v>
      </c>
      <c r="F41" t="s">
        <v>1978</v>
      </c>
      <c r="G41">
        <v>-0.02</v>
      </c>
      <c r="H41">
        <v>-98</v>
      </c>
    </row>
    <row r="42" spans="1:8" x14ac:dyDescent="0.4">
      <c r="A42" s="93" t="s">
        <v>3668</v>
      </c>
      <c r="B42" s="1" t="s">
        <v>1469</v>
      </c>
      <c r="C42" s="1" t="s">
        <v>4173</v>
      </c>
      <c r="D42" s="1" t="s">
        <v>3669</v>
      </c>
      <c r="E42" t="s">
        <v>3938</v>
      </c>
      <c r="F42" t="s">
        <v>1968</v>
      </c>
      <c r="G42">
        <v>0</v>
      </c>
      <c r="H42">
        <v>0</v>
      </c>
    </row>
    <row r="43" spans="1:8" x14ac:dyDescent="0.4">
      <c r="A43" s="93" t="s">
        <v>3668</v>
      </c>
      <c r="B43" s="1" t="s">
        <v>1469</v>
      </c>
      <c r="C43" s="1" t="s">
        <v>4173</v>
      </c>
      <c r="D43" s="1" t="s">
        <v>3669</v>
      </c>
      <c r="E43" t="s">
        <v>4121</v>
      </c>
      <c r="F43" t="s">
        <v>1991</v>
      </c>
      <c r="G43">
        <v>0</v>
      </c>
      <c r="H43">
        <v>0</v>
      </c>
    </row>
    <row r="44" spans="1:8" x14ac:dyDescent="0.4">
      <c r="A44" s="93" t="s">
        <v>3668</v>
      </c>
      <c r="B44" s="1" t="s">
        <v>1469</v>
      </c>
      <c r="C44" s="1" t="s">
        <v>4173</v>
      </c>
      <c r="D44" s="1" t="s">
        <v>3669</v>
      </c>
      <c r="E44" t="s">
        <v>3937</v>
      </c>
      <c r="F44" t="s">
        <v>1990</v>
      </c>
      <c r="G44">
        <v>0</v>
      </c>
      <c r="H44">
        <v>0</v>
      </c>
    </row>
    <row r="45" spans="1:8" x14ac:dyDescent="0.4">
      <c r="A45" s="93" t="s">
        <v>3668</v>
      </c>
      <c r="B45" s="1" t="s">
        <v>1469</v>
      </c>
      <c r="C45" s="1" t="s">
        <v>4173</v>
      </c>
      <c r="D45" s="1" t="s">
        <v>3669</v>
      </c>
      <c r="E45" t="s">
        <v>3936</v>
      </c>
      <c r="F45" t="s">
        <v>1972</v>
      </c>
      <c r="G45">
        <v>0</v>
      </c>
      <c r="H45">
        <v>0</v>
      </c>
    </row>
    <row r="46" spans="1:8" x14ac:dyDescent="0.4">
      <c r="A46" s="93" t="s">
        <v>3668</v>
      </c>
      <c r="B46" s="1" t="s">
        <v>1469</v>
      </c>
      <c r="C46" s="1" t="s">
        <v>4173</v>
      </c>
      <c r="D46" s="1" t="s">
        <v>3669</v>
      </c>
      <c r="E46" t="s">
        <v>4117</v>
      </c>
      <c r="F46" t="s">
        <v>1961</v>
      </c>
      <c r="G46">
        <v>0</v>
      </c>
      <c r="H46">
        <v>0</v>
      </c>
    </row>
    <row r="47" spans="1:8" x14ac:dyDescent="0.4">
      <c r="A47" s="93" t="s">
        <v>3668</v>
      </c>
      <c r="B47" s="1" t="s">
        <v>1469</v>
      </c>
      <c r="C47" s="1" t="s">
        <v>4173</v>
      </c>
      <c r="D47" s="1" t="s">
        <v>3669</v>
      </c>
      <c r="E47" t="s">
        <v>3935</v>
      </c>
      <c r="F47" t="s">
        <v>1959</v>
      </c>
      <c r="G47">
        <v>0</v>
      </c>
      <c r="H47">
        <v>0</v>
      </c>
    </row>
    <row r="48" spans="1:8" x14ac:dyDescent="0.4">
      <c r="A48" s="93" t="s">
        <v>3668</v>
      </c>
      <c r="B48" s="1" t="s">
        <v>1469</v>
      </c>
      <c r="C48" s="1" t="s">
        <v>4173</v>
      </c>
      <c r="D48" s="1" t="s">
        <v>3669</v>
      </c>
      <c r="E48" t="s">
        <v>4114</v>
      </c>
      <c r="F48" t="s">
        <v>1966</v>
      </c>
      <c r="G48">
        <v>0</v>
      </c>
      <c r="H48">
        <v>0</v>
      </c>
    </row>
    <row r="49" spans="1:8" x14ac:dyDescent="0.4">
      <c r="A49" s="93" t="s">
        <v>3668</v>
      </c>
      <c r="B49" s="1" t="s">
        <v>1469</v>
      </c>
      <c r="C49" s="1" t="s">
        <v>4173</v>
      </c>
      <c r="D49" s="1" t="s">
        <v>3669</v>
      </c>
      <c r="E49" t="s">
        <v>3933</v>
      </c>
      <c r="F49" t="s">
        <v>1964</v>
      </c>
      <c r="G49">
        <v>0</v>
      </c>
      <c r="H49">
        <v>0</v>
      </c>
    </row>
    <row r="50" spans="1:8" x14ac:dyDescent="0.4">
      <c r="A50" s="93" t="s">
        <v>3668</v>
      </c>
      <c r="B50" s="1" t="s">
        <v>1469</v>
      </c>
      <c r="C50" s="1" t="s">
        <v>4173</v>
      </c>
      <c r="D50" s="1" t="s">
        <v>3669</v>
      </c>
      <c r="E50" t="s">
        <v>3931</v>
      </c>
      <c r="F50" t="s">
        <v>2008</v>
      </c>
      <c r="G50">
        <v>0</v>
      </c>
      <c r="H50">
        <v>0</v>
      </c>
    </row>
    <row r="51" spans="1:8" x14ac:dyDescent="0.4">
      <c r="A51" s="93" t="s">
        <v>3668</v>
      </c>
      <c r="B51" s="1" t="s">
        <v>1469</v>
      </c>
      <c r="C51" s="1" t="s">
        <v>4173</v>
      </c>
      <c r="D51" s="1" t="s">
        <v>3669</v>
      </c>
      <c r="E51" t="s">
        <v>4133</v>
      </c>
      <c r="F51" t="s">
        <v>4132</v>
      </c>
      <c r="G51">
        <v>1313.31</v>
      </c>
      <c r="H51">
        <v>0</v>
      </c>
    </row>
    <row r="52" spans="1:8" x14ac:dyDescent="0.4">
      <c r="A52" s="93" t="s">
        <v>3668</v>
      </c>
      <c r="B52" s="1" t="s">
        <v>1469</v>
      </c>
      <c r="C52" s="1" t="s">
        <v>4173</v>
      </c>
      <c r="D52" s="1" t="s">
        <v>3669</v>
      </c>
      <c r="E52" t="s">
        <v>4111</v>
      </c>
      <c r="F52" t="s">
        <v>1983</v>
      </c>
      <c r="G52">
        <v>0</v>
      </c>
      <c r="H52">
        <v>0</v>
      </c>
    </row>
    <row r="53" spans="1:8" x14ac:dyDescent="0.4">
      <c r="A53" s="93" t="s">
        <v>3668</v>
      </c>
      <c r="B53" s="1" t="s">
        <v>1469</v>
      </c>
      <c r="C53" s="1" t="s">
        <v>4173</v>
      </c>
      <c r="D53" s="1" t="s">
        <v>3669</v>
      </c>
      <c r="E53" t="s">
        <v>4109</v>
      </c>
      <c r="F53" t="s">
        <v>1982</v>
      </c>
      <c r="G53">
        <v>0</v>
      </c>
      <c r="H53">
        <v>0</v>
      </c>
    </row>
    <row r="54" spans="1:8" x14ac:dyDescent="0.4">
      <c r="A54" s="93" t="s">
        <v>3668</v>
      </c>
      <c r="B54" s="1" t="s">
        <v>1469</v>
      </c>
      <c r="C54" s="1" t="s">
        <v>4173</v>
      </c>
      <c r="D54" s="1" t="s">
        <v>3669</v>
      </c>
      <c r="E54" t="s">
        <v>3928</v>
      </c>
      <c r="F54" t="s">
        <v>1985</v>
      </c>
      <c r="G54">
        <v>3144.96</v>
      </c>
      <c r="H54">
        <v>4771102</v>
      </c>
    </row>
    <row r="55" spans="1:8" x14ac:dyDescent="0.4">
      <c r="A55" s="93" t="s">
        <v>3668</v>
      </c>
      <c r="B55" s="1" t="s">
        <v>1469</v>
      </c>
      <c r="C55" s="1" t="s">
        <v>4173</v>
      </c>
      <c r="D55" s="1" t="s">
        <v>3669</v>
      </c>
      <c r="E55" t="s">
        <v>3927</v>
      </c>
      <c r="F55" t="s">
        <v>1973</v>
      </c>
      <c r="G55">
        <v>0</v>
      </c>
      <c r="H55">
        <v>0</v>
      </c>
    </row>
    <row r="56" spans="1:8" x14ac:dyDescent="0.4">
      <c r="A56" s="93" t="s">
        <v>3668</v>
      </c>
      <c r="B56" s="1" t="s">
        <v>1469</v>
      </c>
      <c r="C56" s="1" t="s">
        <v>4173</v>
      </c>
      <c r="D56" s="1" t="s">
        <v>3669</v>
      </c>
      <c r="E56" t="s">
        <v>4106</v>
      </c>
      <c r="F56" t="s">
        <v>1976</v>
      </c>
      <c r="G56">
        <v>1840.02</v>
      </c>
      <c r="H56">
        <v>889324</v>
      </c>
    </row>
    <row r="57" spans="1:8" x14ac:dyDescent="0.4">
      <c r="A57" s="93" t="s">
        <v>3668</v>
      </c>
      <c r="B57" s="1" t="s">
        <v>1469</v>
      </c>
      <c r="C57" s="1" t="s">
        <v>4173</v>
      </c>
      <c r="D57" s="1" t="s">
        <v>3669</v>
      </c>
      <c r="E57" t="s">
        <v>4104</v>
      </c>
      <c r="F57" t="s">
        <v>1989</v>
      </c>
      <c r="G57">
        <v>0</v>
      </c>
      <c r="H57">
        <v>0</v>
      </c>
    </row>
    <row r="58" spans="1:8" x14ac:dyDescent="0.4">
      <c r="A58" s="93" t="s">
        <v>3668</v>
      </c>
      <c r="B58" s="1" t="s">
        <v>1469</v>
      </c>
      <c r="C58" s="1" t="s">
        <v>4173</v>
      </c>
      <c r="D58" s="1" t="s">
        <v>3669</v>
      </c>
      <c r="E58" t="s">
        <v>3926</v>
      </c>
      <c r="F58" t="s">
        <v>1960</v>
      </c>
      <c r="G58">
        <v>0</v>
      </c>
      <c r="H58">
        <v>0</v>
      </c>
    </row>
    <row r="59" spans="1:8" x14ac:dyDescent="0.4">
      <c r="A59" s="93" t="s">
        <v>3668</v>
      </c>
      <c r="B59" s="1" t="s">
        <v>1469</v>
      </c>
      <c r="C59" s="1" t="s">
        <v>4173</v>
      </c>
      <c r="D59" s="1" t="s">
        <v>3669</v>
      </c>
      <c r="E59" t="s">
        <v>4101</v>
      </c>
      <c r="F59" t="s">
        <v>1980</v>
      </c>
      <c r="G59">
        <v>18.2</v>
      </c>
      <c r="H59">
        <v>42350</v>
      </c>
    </row>
    <row r="60" spans="1:8" x14ac:dyDescent="0.4">
      <c r="A60" s="93" t="s">
        <v>3668</v>
      </c>
      <c r="B60" s="1" t="s">
        <v>1469</v>
      </c>
      <c r="C60" s="1" t="s">
        <v>4173</v>
      </c>
      <c r="D60" s="1" t="s">
        <v>3669</v>
      </c>
      <c r="E60" t="s">
        <v>3924</v>
      </c>
      <c r="F60" t="s">
        <v>1979</v>
      </c>
      <c r="G60">
        <v>0</v>
      </c>
      <c r="H60">
        <v>0</v>
      </c>
    </row>
    <row r="61" spans="1:8" x14ac:dyDescent="0.4">
      <c r="A61" s="93" t="s">
        <v>3668</v>
      </c>
      <c r="B61" s="1" t="s">
        <v>1469</v>
      </c>
      <c r="C61" s="1" t="s">
        <v>4173</v>
      </c>
      <c r="D61" s="1" t="s">
        <v>3669</v>
      </c>
      <c r="E61" t="s">
        <v>3922</v>
      </c>
      <c r="F61" t="s">
        <v>1958</v>
      </c>
      <c r="G61">
        <v>0</v>
      </c>
      <c r="H61">
        <v>0</v>
      </c>
    </row>
    <row r="62" spans="1:8" x14ac:dyDescent="0.4">
      <c r="A62" s="93" t="s">
        <v>3668</v>
      </c>
      <c r="B62" s="1" t="s">
        <v>1469</v>
      </c>
      <c r="C62" s="1" t="s">
        <v>4173</v>
      </c>
      <c r="D62" s="1" t="s">
        <v>3669</v>
      </c>
      <c r="E62" t="s">
        <v>3920</v>
      </c>
      <c r="F62" t="s">
        <v>1992</v>
      </c>
      <c r="G62">
        <v>0</v>
      </c>
      <c r="H62">
        <v>0</v>
      </c>
    </row>
    <row r="63" spans="1:8" x14ac:dyDescent="0.4">
      <c r="A63" s="93" t="s">
        <v>3668</v>
      </c>
      <c r="B63" s="1" t="s">
        <v>1469</v>
      </c>
      <c r="C63" s="1" t="s">
        <v>4173</v>
      </c>
      <c r="D63" s="1" t="s">
        <v>3669</v>
      </c>
      <c r="E63" t="s">
        <v>4096</v>
      </c>
      <c r="F63" t="s">
        <v>2059</v>
      </c>
      <c r="G63">
        <v>26</v>
      </c>
      <c r="H63">
        <v>28947</v>
      </c>
    </row>
    <row r="64" spans="1:8" x14ac:dyDescent="0.4">
      <c r="A64" s="93" t="s">
        <v>3668</v>
      </c>
      <c r="B64" s="1" t="s">
        <v>1469</v>
      </c>
      <c r="C64" s="1" t="s">
        <v>4173</v>
      </c>
      <c r="D64" s="1" t="s">
        <v>3669</v>
      </c>
      <c r="E64" t="s">
        <v>3918</v>
      </c>
      <c r="F64" t="s">
        <v>1971</v>
      </c>
      <c r="G64">
        <v>0</v>
      </c>
      <c r="H64">
        <v>0</v>
      </c>
    </row>
    <row r="65" spans="1:8" hidden="1" x14ac:dyDescent="0.4">
      <c r="A65" s="93" t="s">
        <v>3668</v>
      </c>
      <c r="B65" s="1" t="s">
        <v>1469</v>
      </c>
      <c r="C65" s="1" t="s">
        <v>4174</v>
      </c>
      <c r="D65" s="1" t="s">
        <v>3669</v>
      </c>
      <c r="E65" t="s">
        <v>4010</v>
      </c>
      <c r="F65" t="s">
        <v>2005</v>
      </c>
      <c r="G65">
        <v>0</v>
      </c>
      <c r="H65">
        <v>0</v>
      </c>
    </row>
    <row r="66" spans="1:8" hidden="1" x14ac:dyDescent="0.4">
      <c r="A66" s="93" t="s">
        <v>3668</v>
      </c>
      <c r="B66" s="1" t="s">
        <v>1469</v>
      </c>
      <c r="C66" s="1" t="s">
        <v>4174</v>
      </c>
      <c r="D66" s="1" t="s">
        <v>3669</v>
      </c>
      <c r="E66" t="s">
        <v>3747</v>
      </c>
      <c r="F66" t="s">
        <v>2005</v>
      </c>
      <c r="G66">
        <v>0</v>
      </c>
      <c r="H66">
        <v>0</v>
      </c>
    </row>
    <row r="67" spans="1:8" hidden="1" x14ac:dyDescent="0.4">
      <c r="A67" s="93" t="s">
        <v>3668</v>
      </c>
      <c r="B67" s="1" t="s">
        <v>1469</v>
      </c>
      <c r="C67" s="1" t="s">
        <v>4174</v>
      </c>
      <c r="D67" s="1" t="s">
        <v>3669</v>
      </c>
      <c r="E67" t="s">
        <v>4008</v>
      </c>
      <c r="F67" t="s">
        <v>2006</v>
      </c>
      <c r="G67">
        <v>0</v>
      </c>
      <c r="H67">
        <v>0</v>
      </c>
    </row>
    <row r="68" spans="1:8" hidden="1" x14ac:dyDescent="0.4">
      <c r="A68" s="93" t="s">
        <v>3668</v>
      </c>
      <c r="B68" s="1" t="s">
        <v>1469</v>
      </c>
      <c r="C68" s="1" t="s">
        <v>4174</v>
      </c>
      <c r="D68" s="1" t="s">
        <v>3669</v>
      </c>
      <c r="E68" t="s">
        <v>3748</v>
      </c>
      <c r="F68" t="s">
        <v>2006</v>
      </c>
      <c r="G68">
        <v>0</v>
      </c>
      <c r="H68">
        <v>0</v>
      </c>
    </row>
    <row r="69" spans="1:8" hidden="1" x14ac:dyDescent="0.4">
      <c r="A69" s="93" t="s">
        <v>3668</v>
      </c>
      <c r="B69" s="1" t="s">
        <v>1469</v>
      </c>
      <c r="C69" s="1" t="s">
        <v>4174</v>
      </c>
      <c r="D69" s="1" t="s">
        <v>3669</v>
      </c>
      <c r="E69" t="s">
        <v>4005</v>
      </c>
      <c r="F69" t="s">
        <v>1986</v>
      </c>
      <c r="G69">
        <v>0</v>
      </c>
      <c r="H69">
        <v>0</v>
      </c>
    </row>
    <row r="70" spans="1:8" hidden="1" x14ac:dyDescent="0.4">
      <c r="A70" s="93" t="s">
        <v>3668</v>
      </c>
      <c r="B70" s="1" t="s">
        <v>1469</v>
      </c>
      <c r="C70" s="1" t="s">
        <v>4174</v>
      </c>
      <c r="D70" s="1" t="s">
        <v>3669</v>
      </c>
      <c r="E70" t="s">
        <v>4001</v>
      </c>
      <c r="F70" t="s">
        <v>1975</v>
      </c>
      <c r="G70">
        <v>0</v>
      </c>
      <c r="H70">
        <v>0</v>
      </c>
    </row>
    <row r="71" spans="1:8" hidden="1" x14ac:dyDescent="0.4">
      <c r="A71" s="93" t="s">
        <v>3668</v>
      </c>
      <c r="B71" s="1" t="s">
        <v>1469</v>
      </c>
      <c r="C71" s="1" t="s">
        <v>4174</v>
      </c>
      <c r="D71" s="1" t="s">
        <v>3669</v>
      </c>
      <c r="E71" t="s">
        <v>4000</v>
      </c>
      <c r="F71" t="s">
        <v>1975</v>
      </c>
      <c r="G71">
        <v>0</v>
      </c>
      <c r="H71">
        <v>0</v>
      </c>
    </row>
    <row r="72" spans="1:8" hidden="1" x14ac:dyDescent="0.4">
      <c r="A72" s="93" t="s">
        <v>3668</v>
      </c>
      <c r="B72" s="1" t="s">
        <v>1469</v>
      </c>
      <c r="C72" s="1" t="s">
        <v>4174</v>
      </c>
      <c r="D72" s="1" t="s">
        <v>3669</v>
      </c>
      <c r="E72" t="s">
        <v>3999</v>
      </c>
      <c r="F72" t="s">
        <v>1975</v>
      </c>
      <c r="G72">
        <v>0</v>
      </c>
      <c r="H72">
        <v>0</v>
      </c>
    </row>
    <row r="73" spans="1:8" hidden="1" x14ac:dyDescent="0.4">
      <c r="A73" s="93" t="s">
        <v>3668</v>
      </c>
      <c r="B73" s="1" t="s">
        <v>1469</v>
      </c>
      <c r="C73" s="1" t="s">
        <v>4174</v>
      </c>
      <c r="D73" s="1" t="s">
        <v>3669</v>
      </c>
      <c r="E73" t="s">
        <v>4131</v>
      </c>
      <c r="F73" t="s">
        <v>1981</v>
      </c>
      <c r="G73">
        <v>0</v>
      </c>
      <c r="H73">
        <v>0</v>
      </c>
    </row>
    <row r="74" spans="1:8" hidden="1" x14ac:dyDescent="0.4">
      <c r="A74" s="93" t="s">
        <v>3668</v>
      </c>
      <c r="B74" s="1" t="s">
        <v>1469</v>
      </c>
      <c r="C74" s="1" t="s">
        <v>4174</v>
      </c>
      <c r="D74" s="1" t="s">
        <v>3669</v>
      </c>
      <c r="E74" t="s">
        <v>4130</v>
      </c>
      <c r="F74" t="s">
        <v>1981</v>
      </c>
      <c r="G74">
        <v>0</v>
      </c>
      <c r="H74">
        <v>0</v>
      </c>
    </row>
    <row r="75" spans="1:8" hidden="1" x14ac:dyDescent="0.4">
      <c r="A75" s="93" t="s">
        <v>3668</v>
      </c>
      <c r="B75" s="1" t="s">
        <v>1469</v>
      </c>
      <c r="C75" s="1" t="s">
        <v>4174</v>
      </c>
      <c r="D75" s="1" t="s">
        <v>3669</v>
      </c>
      <c r="E75" t="s">
        <v>3752</v>
      </c>
      <c r="F75" t="s">
        <v>1981</v>
      </c>
      <c r="G75">
        <v>0</v>
      </c>
      <c r="H75">
        <v>0</v>
      </c>
    </row>
    <row r="76" spans="1:8" hidden="1" x14ac:dyDescent="0.4">
      <c r="A76" s="93" t="s">
        <v>3668</v>
      </c>
      <c r="B76" s="1" t="s">
        <v>1469</v>
      </c>
      <c r="C76" s="1" t="s">
        <v>4174</v>
      </c>
      <c r="D76" s="1" t="s">
        <v>3669</v>
      </c>
      <c r="E76" t="s">
        <v>3754</v>
      </c>
      <c r="F76" t="s">
        <v>2011</v>
      </c>
      <c r="G76">
        <v>0</v>
      </c>
      <c r="H76">
        <v>0</v>
      </c>
    </row>
    <row r="77" spans="1:8" hidden="1" x14ac:dyDescent="0.4">
      <c r="A77" s="93" t="s">
        <v>3668</v>
      </c>
      <c r="B77" s="1" t="s">
        <v>1469</v>
      </c>
      <c r="C77" s="1" t="s">
        <v>4174</v>
      </c>
      <c r="D77" s="1" t="s">
        <v>3669</v>
      </c>
      <c r="E77" t="s">
        <v>4087</v>
      </c>
      <c r="F77" t="s">
        <v>4086</v>
      </c>
      <c r="G77">
        <v>0</v>
      </c>
      <c r="H77">
        <v>0</v>
      </c>
    </row>
    <row r="78" spans="1:8" hidden="1" x14ac:dyDescent="0.4">
      <c r="A78" s="93" t="s">
        <v>3668</v>
      </c>
      <c r="B78" s="1" t="s">
        <v>1469</v>
      </c>
      <c r="C78" s="1" t="s">
        <v>4174</v>
      </c>
      <c r="D78" s="1" t="s">
        <v>3669</v>
      </c>
      <c r="E78" t="s">
        <v>3996</v>
      </c>
      <c r="F78" t="s">
        <v>1998</v>
      </c>
      <c r="G78">
        <v>0</v>
      </c>
      <c r="H78">
        <v>0</v>
      </c>
    </row>
    <row r="79" spans="1:8" hidden="1" x14ac:dyDescent="0.4">
      <c r="A79" s="93" t="s">
        <v>3668</v>
      </c>
      <c r="B79" s="1" t="s">
        <v>1469</v>
      </c>
      <c r="C79" s="1" t="s">
        <v>4174</v>
      </c>
      <c r="D79" s="1" t="s">
        <v>3669</v>
      </c>
      <c r="E79" t="s">
        <v>3995</v>
      </c>
      <c r="F79" t="s">
        <v>2001</v>
      </c>
      <c r="G79">
        <v>0</v>
      </c>
      <c r="H79">
        <v>0</v>
      </c>
    </row>
    <row r="80" spans="1:8" hidden="1" x14ac:dyDescent="0.4">
      <c r="A80" s="93" t="s">
        <v>3668</v>
      </c>
      <c r="B80" s="1" t="s">
        <v>1469</v>
      </c>
      <c r="C80" s="1" t="s">
        <v>4174</v>
      </c>
      <c r="D80" s="1" t="s">
        <v>3669</v>
      </c>
      <c r="E80" t="s">
        <v>3994</v>
      </c>
      <c r="F80" t="s">
        <v>1999</v>
      </c>
      <c r="G80">
        <v>0</v>
      </c>
      <c r="H80">
        <v>0</v>
      </c>
    </row>
    <row r="81" spans="1:8" hidden="1" x14ac:dyDescent="0.4">
      <c r="A81" s="93" t="s">
        <v>3668</v>
      </c>
      <c r="B81" s="1" t="s">
        <v>1469</v>
      </c>
      <c r="C81" s="1" t="s">
        <v>4174</v>
      </c>
      <c r="D81" s="1" t="s">
        <v>3669</v>
      </c>
      <c r="E81" t="s">
        <v>3989</v>
      </c>
      <c r="F81" t="s">
        <v>3988</v>
      </c>
      <c r="G81">
        <v>0</v>
      </c>
      <c r="H81">
        <v>0</v>
      </c>
    </row>
    <row r="82" spans="1:8" hidden="1" x14ac:dyDescent="0.4">
      <c r="A82" s="93" t="s">
        <v>3668</v>
      </c>
      <c r="B82" s="1" t="s">
        <v>1469</v>
      </c>
      <c r="C82" s="1" t="s">
        <v>4174</v>
      </c>
      <c r="D82" s="1" t="s">
        <v>3669</v>
      </c>
      <c r="E82" t="s">
        <v>3987</v>
      </c>
      <c r="F82" t="s">
        <v>2013</v>
      </c>
      <c r="G82">
        <v>0</v>
      </c>
      <c r="H82">
        <v>0</v>
      </c>
    </row>
    <row r="83" spans="1:8" hidden="1" x14ac:dyDescent="0.4">
      <c r="A83" s="93" t="s">
        <v>3668</v>
      </c>
      <c r="B83" s="1" t="s">
        <v>1469</v>
      </c>
      <c r="C83" s="1" t="s">
        <v>4174</v>
      </c>
      <c r="D83" s="1" t="s">
        <v>3669</v>
      </c>
      <c r="E83" t="s">
        <v>3986</v>
      </c>
      <c r="F83" t="s">
        <v>2000</v>
      </c>
      <c r="G83">
        <v>0</v>
      </c>
      <c r="H83">
        <v>0</v>
      </c>
    </row>
    <row r="84" spans="1:8" hidden="1" x14ac:dyDescent="0.4">
      <c r="A84" s="93" t="s">
        <v>3668</v>
      </c>
      <c r="B84" s="1" t="s">
        <v>1469</v>
      </c>
      <c r="C84" s="1" t="s">
        <v>4174</v>
      </c>
      <c r="D84" s="1" t="s">
        <v>3669</v>
      </c>
      <c r="E84" t="s">
        <v>4077</v>
      </c>
      <c r="F84" t="s">
        <v>4076</v>
      </c>
      <c r="G84">
        <v>0</v>
      </c>
      <c r="H84">
        <v>0</v>
      </c>
    </row>
    <row r="85" spans="1:8" hidden="1" x14ac:dyDescent="0.4">
      <c r="A85" s="93" t="s">
        <v>3668</v>
      </c>
      <c r="B85" s="1" t="s">
        <v>1469</v>
      </c>
      <c r="C85" s="1" t="s">
        <v>4174</v>
      </c>
      <c r="D85" s="1" t="s">
        <v>3669</v>
      </c>
      <c r="E85" t="s">
        <v>3974</v>
      </c>
      <c r="F85" t="s">
        <v>2004</v>
      </c>
      <c r="G85">
        <v>0</v>
      </c>
      <c r="H85">
        <v>0</v>
      </c>
    </row>
    <row r="86" spans="1:8" hidden="1" x14ac:dyDescent="0.4">
      <c r="A86" s="93" t="s">
        <v>3668</v>
      </c>
      <c r="B86" s="1" t="s">
        <v>1469</v>
      </c>
      <c r="C86" s="1" t="s">
        <v>4174</v>
      </c>
      <c r="D86" s="1" t="s">
        <v>3669</v>
      </c>
      <c r="E86" t="s">
        <v>3969</v>
      </c>
      <c r="F86" t="s">
        <v>2003</v>
      </c>
      <c r="G86">
        <v>0</v>
      </c>
      <c r="H86">
        <v>0</v>
      </c>
    </row>
    <row r="87" spans="1:8" hidden="1" x14ac:dyDescent="0.4">
      <c r="A87" s="93" t="s">
        <v>3668</v>
      </c>
      <c r="B87" s="1" t="s">
        <v>1469</v>
      </c>
      <c r="C87" s="1" t="s">
        <v>4174</v>
      </c>
      <c r="D87" s="1" t="s">
        <v>3669</v>
      </c>
      <c r="E87" t="s">
        <v>4067</v>
      </c>
      <c r="F87" t="s">
        <v>2002</v>
      </c>
      <c r="G87">
        <v>0</v>
      </c>
      <c r="H87">
        <v>0</v>
      </c>
    </row>
    <row r="88" spans="1:8" hidden="1" x14ac:dyDescent="0.4">
      <c r="A88" s="93" t="s">
        <v>3668</v>
      </c>
      <c r="B88" s="1" t="s">
        <v>1469</v>
      </c>
      <c r="C88" s="1" t="s">
        <v>4174</v>
      </c>
      <c r="D88" s="1" t="s">
        <v>3669</v>
      </c>
      <c r="E88" t="s">
        <v>3968</v>
      </c>
      <c r="F88" t="s">
        <v>3967</v>
      </c>
      <c r="G88">
        <v>0</v>
      </c>
      <c r="H88">
        <v>0</v>
      </c>
    </row>
    <row r="89" spans="1:8" hidden="1" x14ac:dyDescent="0.4">
      <c r="A89" s="93" t="s">
        <v>3668</v>
      </c>
      <c r="B89" s="1" t="s">
        <v>1469</v>
      </c>
      <c r="C89" s="1" t="s">
        <v>4174</v>
      </c>
      <c r="D89" s="1" t="s">
        <v>3669</v>
      </c>
      <c r="E89" t="s">
        <v>3966</v>
      </c>
      <c r="F89" t="s">
        <v>3965</v>
      </c>
      <c r="G89">
        <v>0</v>
      </c>
      <c r="H89">
        <v>0</v>
      </c>
    </row>
    <row r="90" spans="1:8" hidden="1" x14ac:dyDescent="0.4">
      <c r="A90" s="93" t="s">
        <v>3668</v>
      </c>
      <c r="B90" s="1" t="s">
        <v>1469</v>
      </c>
      <c r="C90" s="1" t="s">
        <v>4174</v>
      </c>
      <c r="D90" s="1" t="s">
        <v>3669</v>
      </c>
      <c r="E90" t="s">
        <v>3960</v>
      </c>
      <c r="F90" t="s">
        <v>3959</v>
      </c>
      <c r="G90">
        <v>0</v>
      </c>
      <c r="H90">
        <v>0</v>
      </c>
    </row>
    <row r="91" spans="1:8" hidden="1" x14ac:dyDescent="0.4">
      <c r="A91" s="93" t="s">
        <v>3668</v>
      </c>
      <c r="B91" s="1" t="s">
        <v>1469</v>
      </c>
      <c r="C91" s="1" t="s">
        <v>4174</v>
      </c>
      <c r="D91" s="1" t="s">
        <v>3669</v>
      </c>
      <c r="E91" t="s">
        <v>4064</v>
      </c>
      <c r="F91" t="s">
        <v>4063</v>
      </c>
      <c r="G91">
        <v>0</v>
      </c>
      <c r="H91">
        <v>0</v>
      </c>
    </row>
    <row r="92" spans="1:8" hidden="1" x14ac:dyDescent="0.4">
      <c r="A92" s="93" t="s">
        <v>3668</v>
      </c>
      <c r="B92" s="1" t="s">
        <v>1469</v>
      </c>
      <c r="C92" s="1" t="s">
        <v>4174</v>
      </c>
      <c r="D92" s="1" t="s">
        <v>3669</v>
      </c>
      <c r="E92" t="s">
        <v>3958</v>
      </c>
      <c r="F92" t="s">
        <v>2009</v>
      </c>
      <c r="G92">
        <v>0</v>
      </c>
      <c r="H92">
        <v>0</v>
      </c>
    </row>
    <row r="93" spans="1:8" hidden="1" x14ac:dyDescent="0.4">
      <c r="A93" s="93" t="s">
        <v>3668</v>
      </c>
      <c r="B93" s="1" t="s">
        <v>1469</v>
      </c>
      <c r="C93" s="1" t="s">
        <v>4174</v>
      </c>
      <c r="D93" s="1" t="s">
        <v>3669</v>
      </c>
      <c r="E93" t="s">
        <v>4062</v>
      </c>
      <c r="F93" t="s">
        <v>2012</v>
      </c>
      <c r="G93">
        <v>0</v>
      </c>
      <c r="H93">
        <v>0</v>
      </c>
    </row>
    <row r="94" spans="1:8" hidden="1" x14ac:dyDescent="0.4">
      <c r="A94" s="93" t="s">
        <v>3668</v>
      </c>
      <c r="B94" s="1" t="s">
        <v>1469</v>
      </c>
      <c r="C94" s="1" t="s">
        <v>4174</v>
      </c>
      <c r="D94" s="1" t="s">
        <v>3669</v>
      </c>
      <c r="E94" t="s">
        <v>4059</v>
      </c>
      <c r="F94" t="s">
        <v>4058</v>
      </c>
      <c r="G94">
        <v>0</v>
      </c>
      <c r="H94">
        <v>0</v>
      </c>
    </row>
    <row r="95" spans="1:8" hidden="1" x14ac:dyDescent="0.4">
      <c r="A95" s="93" t="s">
        <v>3668</v>
      </c>
      <c r="B95" s="1" t="s">
        <v>1469</v>
      </c>
      <c r="C95" s="1" t="s">
        <v>4174</v>
      </c>
      <c r="D95" s="1" t="s">
        <v>3669</v>
      </c>
      <c r="E95" t="s">
        <v>4057</v>
      </c>
      <c r="F95" t="s">
        <v>2014</v>
      </c>
      <c r="G95">
        <v>0</v>
      </c>
      <c r="H95">
        <v>0</v>
      </c>
    </row>
    <row r="96" spans="1:8" hidden="1" x14ac:dyDescent="0.4">
      <c r="A96" s="93" t="s">
        <v>3668</v>
      </c>
      <c r="B96" s="1" t="s">
        <v>1469</v>
      </c>
      <c r="C96" s="1" t="s">
        <v>4174</v>
      </c>
      <c r="D96" s="1" t="s">
        <v>3669</v>
      </c>
      <c r="E96" t="s">
        <v>4056</v>
      </c>
      <c r="F96" t="s">
        <v>4055</v>
      </c>
      <c r="G96">
        <v>0</v>
      </c>
      <c r="H96">
        <v>0</v>
      </c>
    </row>
    <row r="97" spans="1:8" hidden="1" x14ac:dyDescent="0.4">
      <c r="A97" s="93" t="s">
        <v>3668</v>
      </c>
      <c r="B97" s="1" t="s">
        <v>1469</v>
      </c>
      <c r="C97" s="1" t="s">
        <v>4174</v>
      </c>
      <c r="D97" s="1" t="s">
        <v>3669</v>
      </c>
      <c r="E97" t="s">
        <v>3760</v>
      </c>
      <c r="F97" t="s">
        <v>1956</v>
      </c>
      <c r="G97">
        <v>0</v>
      </c>
      <c r="H97">
        <v>0</v>
      </c>
    </row>
    <row r="98" spans="1:8" hidden="1" x14ac:dyDescent="0.4">
      <c r="A98" s="93" t="s">
        <v>3668</v>
      </c>
      <c r="B98" s="1" t="s">
        <v>1469</v>
      </c>
      <c r="C98" s="1" t="s">
        <v>4174</v>
      </c>
      <c r="D98" s="1" t="s">
        <v>3669</v>
      </c>
      <c r="E98" t="s">
        <v>3955</v>
      </c>
      <c r="F98" t="s">
        <v>3954</v>
      </c>
      <c r="G98">
        <v>0</v>
      </c>
      <c r="H98">
        <v>0</v>
      </c>
    </row>
    <row r="99" spans="1:8" hidden="1" x14ac:dyDescent="0.4">
      <c r="A99" s="93" t="s">
        <v>3668</v>
      </c>
      <c r="B99" s="1" t="s">
        <v>1469</v>
      </c>
      <c r="C99" s="1" t="s">
        <v>4174</v>
      </c>
      <c r="D99" s="1" t="s">
        <v>3669</v>
      </c>
      <c r="E99" t="s">
        <v>4052</v>
      </c>
      <c r="F99" t="s">
        <v>4051</v>
      </c>
      <c r="G99">
        <v>0</v>
      </c>
      <c r="H99">
        <v>0</v>
      </c>
    </row>
    <row r="100" spans="1:8" hidden="1" x14ac:dyDescent="0.4">
      <c r="A100" s="93" t="s">
        <v>3668</v>
      </c>
      <c r="B100" s="1" t="s">
        <v>1469</v>
      </c>
      <c r="C100" s="1" t="s">
        <v>4174</v>
      </c>
      <c r="D100" s="1" t="s">
        <v>3669</v>
      </c>
      <c r="E100" t="s">
        <v>4050</v>
      </c>
      <c r="F100" t="s">
        <v>4049</v>
      </c>
      <c r="G100">
        <v>0</v>
      </c>
      <c r="H100">
        <v>0</v>
      </c>
    </row>
    <row r="101" spans="1:8" hidden="1" x14ac:dyDescent="0.4">
      <c r="A101" s="93" t="s">
        <v>3668</v>
      </c>
      <c r="B101" s="1" t="s">
        <v>1469</v>
      </c>
      <c r="C101" s="1" t="s">
        <v>4174</v>
      </c>
      <c r="D101" s="1" t="s">
        <v>3669</v>
      </c>
      <c r="E101" t="s">
        <v>4044</v>
      </c>
      <c r="F101" t="s">
        <v>2015</v>
      </c>
      <c r="G101">
        <v>0</v>
      </c>
      <c r="H101">
        <v>0</v>
      </c>
    </row>
    <row r="102" spans="1:8" hidden="1" x14ac:dyDescent="0.4">
      <c r="A102" s="93" t="s">
        <v>3668</v>
      </c>
      <c r="B102" s="1" t="s">
        <v>1469</v>
      </c>
      <c r="C102" s="1" t="s">
        <v>4174</v>
      </c>
      <c r="D102" s="1" t="s">
        <v>3669</v>
      </c>
      <c r="E102" t="s">
        <v>3951</v>
      </c>
      <c r="F102" t="s">
        <v>3950</v>
      </c>
      <c r="G102">
        <v>0</v>
      </c>
      <c r="H102">
        <v>0</v>
      </c>
    </row>
    <row r="103" spans="1:8" hidden="1" x14ac:dyDescent="0.4">
      <c r="A103" s="93" t="s">
        <v>3668</v>
      </c>
      <c r="B103" s="1" t="s">
        <v>1469</v>
      </c>
      <c r="C103" s="1" t="s">
        <v>4174</v>
      </c>
      <c r="D103" s="1" t="s">
        <v>3669</v>
      </c>
      <c r="E103" t="s">
        <v>3949</v>
      </c>
      <c r="F103" t="s">
        <v>3948</v>
      </c>
      <c r="G103">
        <v>0</v>
      </c>
      <c r="H103">
        <v>0</v>
      </c>
    </row>
    <row r="104" spans="1:8" hidden="1" x14ac:dyDescent="0.4">
      <c r="A104" s="93" t="s">
        <v>3668</v>
      </c>
      <c r="B104" s="1" t="s">
        <v>1469</v>
      </c>
      <c r="C104" s="1" t="s">
        <v>4174</v>
      </c>
      <c r="D104" s="1" t="s">
        <v>3669</v>
      </c>
      <c r="E104" t="s">
        <v>3947</v>
      </c>
      <c r="F104" t="s">
        <v>3946</v>
      </c>
      <c r="G104">
        <v>0</v>
      </c>
      <c r="H104">
        <v>0</v>
      </c>
    </row>
    <row r="105" spans="1:8" hidden="1" x14ac:dyDescent="0.4">
      <c r="A105" s="93" t="s">
        <v>3668</v>
      </c>
      <c r="B105" s="1" t="s">
        <v>1469</v>
      </c>
      <c r="C105" s="1" t="s">
        <v>4174</v>
      </c>
      <c r="D105" s="1" t="s">
        <v>3669</v>
      </c>
      <c r="E105" t="s">
        <v>4043</v>
      </c>
      <c r="F105" t="s">
        <v>2019</v>
      </c>
      <c r="G105">
        <v>0</v>
      </c>
      <c r="H105">
        <v>0</v>
      </c>
    </row>
    <row r="106" spans="1:8" hidden="1" x14ac:dyDescent="0.4">
      <c r="A106" s="93" t="s">
        <v>3668</v>
      </c>
      <c r="B106" s="1" t="s">
        <v>1469</v>
      </c>
      <c r="C106" s="1" t="s">
        <v>4174</v>
      </c>
      <c r="D106" s="1" t="s">
        <v>3669</v>
      </c>
      <c r="E106" t="s">
        <v>3945</v>
      </c>
      <c r="F106" t="s">
        <v>3944</v>
      </c>
      <c r="G106">
        <v>0</v>
      </c>
      <c r="H106">
        <v>0</v>
      </c>
    </row>
    <row r="107" spans="1:8" hidden="1" x14ac:dyDescent="0.4">
      <c r="A107" s="93" t="s">
        <v>3668</v>
      </c>
      <c r="B107" s="1" t="s">
        <v>1469</v>
      </c>
      <c r="C107" s="1" t="s">
        <v>4174</v>
      </c>
      <c r="D107" s="1" t="s">
        <v>3669</v>
      </c>
      <c r="E107" t="s">
        <v>3943</v>
      </c>
      <c r="F107" t="s">
        <v>3942</v>
      </c>
      <c r="G107">
        <v>0</v>
      </c>
      <c r="H107">
        <v>0</v>
      </c>
    </row>
    <row r="108" spans="1:8" hidden="1" x14ac:dyDescent="0.4">
      <c r="A108" s="93" t="s">
        <v>3668</v>
      </c>
      <c r="B108" s="1" t="s">
        <v>1469</v>
      </c>
      <c r="C108" s="1" t="s">
        <v>4174</v>
      </c>
      <c r="D108" s="1" t="s">
        <v>3669</v>
      </c>
      <c r="E108" t="s">
        <v>3941</v>
      </c>
      <c r="F108" t="s">
        <v>2018</v>
      </c>
      <c r="G108">
        <v>0</v>
      </c>
      <c r="H108">
        <v>0</v>
      </c>
    </row>
    <row r="109" spans="1:8" hidden="1" x14ac:dyDescent="0.4">
      <c r="A109" s="93" t="s">
        <v>3668</v>
      </c>
      <c r="B109" s="1" t="s">
        <v>1469</v>
      </c>
      <c r="C109" s="1" t="s">
        <v>4174</v>
      </c>
      <c r="D109" s="1" t="s">
        <v>3669</v>
      </c>
      <c r="E109" t="s">
        <v>4129</v>
      </c>
      <c r="F109" t="s">
        <v>1965</v>
      </c>
      <c r="G109">
        <v>0</v>
      </c>
      <c r="H109">
        <v>0</v>
      </c>
    </row>
    <row r="110" spans="1:8" hidden="1" x14ac:dyDescent="0.4">
      <c r="A110" s="93" t="s">
        <v>3668</v>
      </c>
      <c r="B110" s="1" t="s">
        <v>1469</v>
      </c>
      <c r="C110" s="1" t="s">
        <v>4174</v>
      </c>
      <c r="D110" s="1" t="s">
        <v>3669</v>
      </c>
      <c r="E110" t="s">
        <v>4128</v>
      </c>
      <c r="F110" t="s">
        <v>1965</v>
      </c>
      <c r="G110">
        <v>0</v>
      </c>
      <c r="H110">
        <v>0</v>
      </c>
    </row>
    <row r="111" spans="1:8" hidden="1" x14ac:dyDescent="0.4">
      <c r="A111" s="93" t="s">
        <v>3668</v>
      </c>
      <c r="B111" s="1" t="s">
        <v>1469</v>
      </c>
      <c r="C111" s="1" t="s">
        <v>4174</v>
      </c>
      <c r="D111" s="1" t="s">
        <v>3669</v>
      </c>
      <c r="E111" t="s">
        <v>4040</v>
      </c>
      <c r="F111" t="s">
        <v>1965</v>
      </c>
      <c r="G111">
        <v>0</v>
      </c>
      <c r="H111">
        <v>0</v>
      </c>
    </row>
    <row r="112" spans="1:8" hidden="1" x14ac:dyDescent="0.4">
      <c r="A112" s="93" t="s">
        <v>3668</v>
      </c>
      <c r="B112" s="1" t="s">
        <v>1469</v>
      </c>
      <c r="C112" s="1" t="s">
        <v>4174</v>
      </c>
      <c r="D112" s="1" t="s">
        <v>3669</v>
      </c>
      <c r="E112" t="s">
        <v>4127</v>
      </c>
      <c r="F112" t="s">
        <v>1987</v>
      </c>
      <c r="G112">
        <v>0</v>
      </c>
      <c r="H112">
        <v>0</v>
      </c>
    </row>
    <row r="113" spans="1:8" hidden="1" x14ac:dyDescent="0.4">
      <c r="A113" s="93" t="s">
        <v>3668</v>
      </c>
      <c r="B113" s="1" t="s">
        <v>1469</v>
      </c>
      <c r="C113" s="1" t="s">
        <v>4174</v>
      </c>
      <c r="D113" s="1" t="s">
        <v>3669</v>
      </c>
      <c r="E113" t="s">
        <v>4126</v>
      </c>
      <c r="F113" t="s">
        <v>1987</v>
      </c>
      <c r="G113">
        <v>0</v>
      </c>
      <c r="H113">
        <v>0</v>
      </c>
    </row>
    <row r="114" spans="1:8" hidden="1" x14ac:dyDescent="0.4">
      <c r="A114" s="93" t="s">
        <v>3668</v>
      </c>
      <c r="B114" s="1" t="s">
        <v>1469</v>
      </c>
      <c r="C114" s="1" t="s">
        <v>4174</v>
      </c>
      <c r="D114" s="1" t="s">
        <v>3669</v>
      </c>
      <c r="E114" t="s">
        <v>4039</v>
      </c>
      <c r="F114" t="s">
        <v>1987</v>
      </c>
      <c r="G114">
        <v>0</v>
      </c>
      <c r="H114">
        <v>0</v>
      </c>
    </row>
    <row r="115" spans="1:8" hidden="1" x14ac:dyDescent="0.4">
      <c r="A115" s="93" t="s">
        <v>3668</v>
      </c>
      <c r="B115" s="1" t="s">
        <v>1469</v>
      </c>
      <c r="C115" s="1" t="s">
        <v>4174</v>
      </c>
      <c r="D115" s="1" t="s">
        <v>3669</v>
      </c>
      <c r="E115" t="s">
        <v>3940</v>
      </c>
      <c r="F115" t="s">
        <v>1967</v>
      </c>
      <c r="G115">
        <v>0</v>
      </c>
      <c r="H115">
        <v>0</v>
      </c>
    </row>
    <row r="116" spans="1:8" hidden="1" x14ac:dyDescent="0.4">
      <c r="A116" s="93" t="s">
        <v>3668</v>
      </c>
      <c r="B116" s="1" t="s">
        <v>1469</v>
      </c>
      <c r="C116" s="1" t="s">
        <v>4174</v>
      </c>
      <c r="D116" s="1" t="s">
        <v>3669</v>
      </c>
      <c r="E116" t="s">
        <v>4125</v>
      </c>
      <c r="F116" t="s">
        <v>1967</v>
      </c>
      <c r="G116">
        <v>0</v>
      </c>
      <c r="H116">
        <v>0</v>
      </c>
    </row>
    <row r="117" spans="1:8" hidden="1" x14ac:dyDescent="0.4">
      <c r="A117" s="93" t="s">
        <v>3668</v>
      </c>
      <c r="B117" s="1" t="s">
        <v>1469</v>
      </c>
      <c r="C117" s="1" t="s">
        <v>4174</v>
      </c>
      <c r="D117" s="1" t="s">
        <v>3669</v>
      </c>
      <c r="E117" t="s">
        <v>3939</v>
      </c>
      <c r="F117" t="s">
        <v>1967</v>
      </c>
      <c r="G117">
        <v>0</v>
      </c>
      <c r="H117">
        <v>0</v>
      </c>
    </row>
    <row r="118" spans="1:8" hidden="1" x14ac:dyDescent="0.4">
      <c r="A118" s="93" t="s">
        <v>3668</v>
      </c>
      <c r="B118" s="1" t="s">
        <v>1469</v>
      </c>
      <c r="C118" s="1" t="s">
        <v>4174</v>
      </c>
      <c r="D118" s="1" t="s">
        <v>3669</v>
      </c>
      <c r="E118" t="s">
        <v>4124</v>
      </c>
      <c r="F118" t="s">
        <v>1978</v>
      </c>
      <c r="G118">
        <v>0</v>
      </c>
      <c r="H118">
        <v>0</v>
      </c>
    </row>
    <row r="119" spans="1:8" hidden="1" x14ac:dyDescent="0.4">
      <c r="A119" s="93" t="s">
        <v>3668</v>
      </c>
      <c r="B119" s="1" t="s">
        <v>1469</v>
      </c>
      <c r="C119" s="1" t="s">
        <v>4174</v>
      </c>
      <c r="D119" s="1" t="s">
        <v>3669</v>
      </c>
      <c r="E119" t="s">
        <v>4123</v>
      </c>
      <c r="F119" t="s">
        <v>1978</v>
      </c>
      <c r="G119">
        <v>0</v>
      </c>
      <c r="H119">
        <v>0</v>
      </c>
    </row>
    <row r="120" spans="1:8" hidden="1" x14ac:dyDescent="0.4">
      <c r="A120" s="93" t="s">
        <v>3668</v>
      </c>
      <c r="B120" s="1" t="s">
        <v>1469</v>
      </c>
      <c r="C120" s="1" t="s">
        <v>4174</v>
      </c>
      <c r="D120" s="1" t="s">
        <v>3669</v>
      </c>
      <c r="E120" t="s">
        <v>3938</v>
      </c>
      <c r="F120" t="s">
        <v>1968</v>
      </c>
      <c r="G120">
        <v>0</v>
      </c>
      <c r="H120">
        <v>0</v>
      </c>
    </row>
    <row r="121" spans="1:8" hidden="1" x14ac:dyDescent="0.4">
      <c r="A121" s="93" t="s">
        <v>3668</v>
      </c>
      <c r="B121" s="1" t="s">
        <v>1469</v>
      </c>
      <c r="C121" s="1" t="s">
        <v>4174</v>
      </c>
      <c r="D121" s="1" t="s">
        <v>3669</v>
      </c>
      <c r="E121" t="s">
        <v>4122</v>
      </c>
      <c r="F121" t="s">
        <v>1968</v>
      </c>
      <c r="G121">
        <v>0</v>
      </c>
      <c r="H121">
        <v>0</v>
      </c>
    </row>
    <row r="122" spans="1:8" hidden="1" x14ac:dyDescent="0.4">
      <c r="A122" s="93" t="s">
        <v>3668</v>
      </c>
      <c r="B122" s="1" t="s">
        <v>1469</v>
      </c>
      <c r="C122" s="1" t="s">
        <v>4174</v>
      </c>
      <c r="D122" s="1" t="s">
        <v>3669</v>
      </c>
      <c r="E122" t="s">
        <v>3808</v>
      </c>
      <c r="F122" t="s">
        <v>1968</v>
      </c>
      <c r="G122">
        <v>0</v>
      </c>
      <c r="H122">
        <v>0</v>
      </c>
    </row>
    <row r="123" spans="1:8" hidden="1" x14ac:dyDescent="0.4">
      <c r="A123" s="93" t="s">
        <v>3668</v>
      </c>
      <c r="B123" s="1" t="s">
        <v>1469</v>
      </c>
      <c r="C123" s="1" t="s">
        <v>4174</v>
      </c>
      <c r="D123" s="1" t="s">
        <v>3669</v>
      </c>
      <c r="E123" t="s">
        <v>4121</v>
      </c>
      <c r="F123" t="s">
        <v>1991</v>
      </c>
      <c r="G123">
        <v>0</v>
      </c>
      <c r="H123">
        <v>0</v>
      </c>
    </row>
    <row r="124" spans="1:8" hidden="1" x14ac:dyDescent="0.4">
      <c r="A124" s="93" t="s">
        <v>3668</v>
      </c>
      <c r="B124" s="1" t="s">
        <v>1469</v>
      </c>
      <c r="C124" s="1" t="s">
        <v>4174</v>
      </c>
      <c r="D124" s="1" t="s">
        <v>3669</v>
      </c>
      <c r="E124" t="s">
        <v>4120</v>
      </c>
      <c r="F124" t="s">
        <v>1991</v>
      </c>
      <c r="G124">
        <v>0</v>
      </c>
      <c r="H124">
        <v>0</v>
      </c>
    </row>
    <row r="125" spans="1:8" hidden="1" x14ac:dyDescent="0.4">
      <c r="A125" s="93" t="s">
        <v>3668</v>
      </c>
      <c r="B125" s="1" t="s">
        <v>1469</v>
      </c>
      <c r="C125" s="1" t="s">
        <v>4174</v>
      </c>
      <c r="D125" s="1" t="s">
        <v>3669</v>
      </c>
      <c r="E125" t="s">
        <v>3809</v>
      </c>
      <c r="F125" t="s">
        <v>1991</v>
      </c>
      <c r="G125">
        <v>0</v>
      </c>
      <c r="H125">
        <v>0</v>
      </c>
    </row>
    <row r="126" spans="1:8" hidden="1" x14ac:dyDescent="0.4">
      <c r="A126" s="93" t="s">
        <v>3668</v>
      </c>
      <c r="B126" s="1" t="s">
        <v>1469</v>
      </c>
      <c r="C126" s="1" t="s">
        <v>4174</v>
      </c>
      <c r="D126" s="1" t="s">
        <v>3669</v>
      </c>
      <c r="E126" t="s">
        <v>3937</v>
      </c>
      <c r="F126" t="s">
        <v>1990</v>
      </c>
      <c r="G126">
        <v>0</v>
      </c>
      <c r="H126">
        <v>0</v>
      </c>
    </row>
    <row r="127" spans="1:8" hidden="1" x14ac:dyDescent="0.4">
      <c r="A127" s="93" t="s">
        <v>3668</v>
      </c>
      <c r="B127" s="1" t="s">
        <v>1469</v>
      </c>
      <c r="C127" s="1" t="s">
        <v>4174</v>
      </c>
      <c r="D127" s="1" t="s">
        <v>3669</v>
      </c>
      <c r="E127" t="s">
        <v>4119</v>
      </c>
      <c r="F127" t="s">
        <v>1990</v>
      </c>
      <c r="G127">
        <v>0</v>
      </c>
      <c r="H127">
        <v>0</v>
      </c>
    </row>
    <row r="128" spans="1:8" hidden="1" x14ac:dyDescent="0.4">
      <c r="A128" s="93" t="s">
        <v>3668</v>
      </c>
      <c r="B128" s="1" t="s">
        <v>1469</v>
      </c>
      <c r="C128" s="1" t="s">
        <v>4174</v>
      </c>
      <c r="D128" s="1" t="s">
        <v>3669</v>
      </c>
      <c r="E128" t="s">
        <v>3810</v>
      </c>
      <c r="F128" t="s">
        <v>1990</v>
      </c>
      <c r="G128">
        <v>0</v>
      </c>
      <c r="H128">
        <v>0</v>
      </c>
    </row>
    <row r="129" spans="1:8" hidden="1" x14ac:dyDescent="0.4">
      <c r="A129" s="93" t="s">
        <v>3668</v>
      </c>
      <c r="B129" s="1" t="s">
        <v>1469</v>
      </c>
      <c r="C129" s="1" t="s">
        <v>4174</v>
      </c>
      <c r="D129" s="1" t="s">
        <v>3669</v>
      </c>
      <c r="E129" t="s">
        <v>3936</v>
      </c>
      <c r="F129" t="s">
        <v>1972</v>
      </c>
      <c r="G129">
        <v>0</v>
      </c>
      <c r="H129">
        <v>0</v>
      </c>
    </row>
    <row r="130" spans="1:8" hidden="1" x14ac:dyDescent="0.4">
      <c r="A130" s="93" t="s">
        <v>3668</v>
      </c>
      <c r="B130" s="1" t="s">
        <v>1469</v>
      </c>
      <c r="C130" s="1" t="s">
        <v>4174</v>
      </c>
      <c r="D130" s="1" t="s">
        <v>3669</v>
      </c>
      <c r="E130" t="s">
        <v>4118</v>
      </c>
      <c r="F130" t="s">
        <v>1972</v>
      </c>
      <c r="G130">
        <v>0</v>
      </c>
      <c r="H130">
        <v>0</v>
      </c>
    </row>
    <row r="131" spans="1:8" hidden="1" x14ac:dyDescent="0.4">
      <c r="A131" s="93" t="s">
        <v>3668</v>
      </c>
      <c r="B131" s="1" t="s">
        <v>1469</v>
      </c>
      <c r="C131" s="1" t="s">
        <v>4174</v>
      </c>
      <c r="D131" s="1" t="s">
        <v>3669</v>
      </c>
      <c r="E131" t="s">
        <v>3811</v>
      </c>
      <c r="F131" t="s">
        <v>1972</v>
      </c>
      <c r="G131">
        <v>0</v>
      </c>
      <c r="H131">
        <v>0</v>
      </c>
    </row>
    <row r="132" spans="1:8" hidden="1" x14ac:dyDescent="0.4">
      <c r="A132" s="93" t="s">
        <v>3668</v>
      </c>
      <c r="B132" s="1" t="s">
        <v>1469</v>
      </c>
      <c r="C132" s="1" t="s">
        <v>4174</v>
      </c>
      <c r="D132" s="1" t="s">
        <v>3669</v>
      </c>
      <c r="E132" t="s">
        <v>4117</v>
      </c>
      <c r="F132" t="s">
        <v>1961</v>
      </c>
      <c r="G132">
        <v>0</v>
      </c>
      <c r="H132">
        <v>0</v>
      </c>
    </row>
    <row r="133" spans="1:8" hidden="1" x14ac:dyDescent="0.4">
      <c r="A133" s="93" t="s">
        <v>3668</v>
      </c>
      <c r="B133" s="1" t="s">
        <v>1469</v>
      </c>
      <c r="C133" s="1" t="s">
        <v>4174</v>
      </c>
      <c r="D133" s="1" t="s">
        <v>3669</v>
      </c>
      <c r="E133" t="s">
        <v>4116</v>
      </c>
      <c r="F133" t="s">
        <v>1961</v>
      </c>
      <c r="G133">
        <v>0</v>
      </c>
      <c r="H133">
        <v>0</v>
      </c>
    </row>
    <row r="134" spans="1:8" hidden="1" x14ac:dyDescent="0.4">
      <c r="A134" s="93" t="s">
        <v>3668</v>
      </c>
      <c r="B134" s="1" t="s">
        <v>1469</v>
      </c>
      <c r="C134" s="1" t="s">
        <v>4174</v>
      </c>
      <c r="D134" s="1" t="s">
        <v>3669</v>
      </c>
      <c r="E134" t="s">
        <v>4036</v>
      </c>
      <c r="F134" t="s">
        <v>1961</v>
      </c>
      <c r="G134">
        <v>0</v>
      </c>
      <c r="H134">
        <v>0</v>
      </c>
    </row>
    <row r="135" spans="1:8" hidden="1" x14ac:dyDescent="0.4">
      <c r="A135" s="93" t="s">
        <v>3668</v>
      </c>
      <c r="B135" s="1" t="s">
        <v>1469</v>
      </c>
      <c r="C135" s="1" t="s">
        <v>4174</v>
      </c>
      <c r="D135" s="1" t="s">
        <v>3669</v>
      </c>
      <c r="E135" t="s">
        <v>3935</v>
      </c>
      <c r="F135" t="s">
        <v>1959</v>
      </c>
      <c r="G135">
        <v>0</v>
      </c>
      <c r="H135">
        <v>0</v>
      </c>
    </row>
    <row r="136" spans="1:8" hidden="1" x14ac:dyDescent="0.4">
      <c r="A136" s="93" t="s">
        <v>3668</v>
      </c>
      <c r="B136" s="1" t="s">
        <v>1469</v>
      </c>
      <c r="C136" s="1" t="s">
        <v>4174</v>
      </c>
      <c r="D136" s="1" t="s">
        <v>3669</v>
      </c>
      <c r="E136" t="s">
        <v>4115</v>
      </c>
      <c r="F136" t="s">
        <v>1959</v>
      </c>
      <c r="G136">
        <v>0</v>
      </c>
      <c r="H136">
        <v>0</v>
      </c>
    </row>
    <row r="137" spans="1:8" hidden="1" x14ac:dyDescent="0.4">
      <c r="A137" s="93" t="s">
        <v>3668</v>
      </c>
      <c r="B137" s="1" t="s">
        <v>1469</v>
      </c>
      <c r="C137" s="1" t="s">
        <v>4174</v>
      </c>
      <c r="D137" s="1" t="s">
        <v>3669</v>
      </c>
      <c r="E137" t="s">
        <v>3934</v>
      </c>
      <c r="F137" t="s">
        <v>1959</v>
      </c>
      <c r="G137">
        <v>0</v>
      </c>
      <c r="H137">
        <v>0</v>
      </c>
    </row>
    <row r="138" spans="1:8" hidden="1" x14ac:dyDescent="0.4">
      <c r="A138" s="93" t="s">
        <v>3668</v>
      </c>
      <c r="B138" s="1" t="s">
        <v>1469</v>
      </c>
      <c r="C138" s="1" t="s">
        <v>4174</v>
      </c>
      <c r="D138" s="1" t="s">
        <v>3669</v>
      </c>
      <c r="E138" t="s">
        <v>4114</v>
      </c>
      <c r="F138" t="s">
        <v>1966</v>
      </c>
      <c r="G138">
        <v>0</v>
      </c>
      <c r="H138">
        <v>0</v>
      </c>
    </row>
    <row r="139" spans="1:8" hidden="1" x14ac:dyDescent="0.4">
      <c r="A139" s="93" t="s">
        <v>3668</v>
      </c>
      <c r="B139" s="1" t="s">
        <v>1469</v>
      </c>
      <c r="C139" s="1" t="s">
        <v>4174</v>
      </c>
      <c r="D139" s="1" t="s">
        <v>3669</v>
      </c>
      <c r="E139" t="s">
        <v>4113</v>
      </c>
      <c r="F139" t="s">
        <v>1966</v>
      </c>
      <c r="G139">
        <v>0</v>
      </c>
      <c r="H139">
        <v>0</v>
      </c>
    </row>
    <row r="140" spans="1:8" hidden="1" x14ac:dyDescent="0.4">
      <c r="A140" s="93" t="s">
        <v>3668</v>
      </c>
      <c r="B140" s="1" t="s">
        <v>1469</v>
      </c>
      <c r="C140" s="1" t="s">
        <v>4174</v>
      </c>
      <c r="D140" s="1" t="s">
        <v>3669</v>
      </c>
      <c r="E140" t="s">
        <v>4034</v>
      </c>
      <c r="F140" t="s">
        <v>1966</v>
      </c>
      <c r="G140">
        <v>0</v>
      </c>
      <c r="H140">
        <v>0</v>
      </c>
    </row>
    <row r="141" spans="1:8" hidden="1" x14ac:dyDescent="0.4">
      <c r="A141" s="93" t="s">
        <v>3668</v>
      </c>
      <c r="B141" s="1" t="s">
        <v>1469</v>
      </c>
      <c r="C141" s="1" t="s">
        <v>4174</v>
      </c>
      <c r="D141" s="1" t="s">
        <v>3669</v>
      </c>
      <c r="E141" t="s">
        <v>3933</v>
      </c>
      <c r="F141" t="s">
        <v>1964</v>
      </c>
      <c r="G141">
        <v>0</v>
      </c>
      <c r="H141">
        <v>0</v>
      </c>
    </row>
    <row r="142" spans="1:8" hidden="1" x14ac:dyDescent="0.4">
      <c r="A142" s="93" t="s">
        <v>3668</v>
      </c>
      <c r="B142" s="1" t="s">
        <v>1469</v>
      </c>
      <c r="C142" s="1" t="s">
        <v>4174</v>
      </c>
      <c r="D142" s="1" t="s">
        <v>3669</v>
      </c>
      <c r="E142" t="s">
        <v>4112</v>
      </c>
      <c r="F142" t="s">
        <v>1964</v>
      </c>
      <c r="G142">
        <v>0</v>
      </c>
      <c r="H142">
        <v>0</v>
      </c>
    </row>
    <row r="143" spans="1:8" hidden="1" x14ac:dyDescent="0.4">
      <c r="A143" s="93" t="s">
        <v>3668</v>
      </c>
      <c r="B143" s="1" t="s">
        <v>1469</v>
      </c>
      <c r="C143" s="1" t="s">
        <v>4174</v>
      </c>
      <c r="D143" s="1" t="s">
        <v>3669</v>
      </c>
      <c r="E143" t="s">
        <v>3932</v>
      </c>
      <c r="F143" t="s">
        <v>1964</v>
      </c>
      <c r="G143">
        <v>0</v>
      </c>
      <c r="H143">
        <v>0</v>
      </c>
    </row>
    <row r="144" spans="1:8" hidden="1" x14ac:dyDescent="0.4">
      <c r="A144" s="93" t="s">
        <v>3668</v>
      </c>
      <c r="B144" s="1" t="s">
        <v>1469</v>
      </c>
      <c r="C144" s="1" t="s">
        <v>4174</v>
      </c>
      <c r="D144" s="1" t="s">
        <v>3669</v>
      </c>
      <c r="E144" t="s">
        <v>3931</v>
      </c>
      <c r="F144" t="s">
        <v>2008</v>
      </c>
      <c r="G144">
        <v>0</v>
      </c>
      <c r="H144">
        <v>0</v>
      </c>
    </row>
    <row r="145" spans="1:8" hidden="1" x14ac:dyDescent="0.4">
      <c r="A145" s="93" t="s">
        <v>3668</v>
      </c>
      <c r="B145" s="1" t="s">
        <v>1469</v>
      </c>
      <c r="C145" s="1" t="s">
        <v>4174</v>
      </c>
      <c r="D145" s="1" t="s">
        <v>3669</v>
      </c>
      <c r="E145" t="s">
        <v>3762</v>
      </c>
      <c r="F145" t="s">
        <v>2008</v>
      </c>
      <c r="G145">
        <v>0</v>
      </c>
      <c r="H145">
        <v>0</v>
      </c>
    </row>
    <row r="146" spans="1:8" hidden="1" x14ac:dyDescent="0.4">
      <c r="A146" s="93" t="s">
        <v>3668</v>
      </c>
      <c r="B146" s="1" t="s">
        <v>1469</v>
      </c>
      <c r="C146" s="1" t="s">
        <v>4174</v>
      </c>
      <c r="D146" s="1" t="s">
        <v>3669</v>
      </c>
      <c r="E146" t="s">
        <v>3929</v>
      </c>
      <c r="F146" t="s">
        <v>1974</v>
      </c>
      <c r="G146">
        <v>0</v>
      </c>
      <c r="H146">
        <v>0</v>
      </c>
    </row>
    <row r="147" spans="1:8" hidden="1" x14ac:dyDescent="0.4">
      <c r="A147" s="93" t="s">
        <v>3668</v>
      </c>
      <c r="B147" s="1" t="s">
        <v>1469</v>
      </c>
      <c r="C147" s="1" t="s">
        <v>4174</v>
      </c>
      <c r="D147" s="1" t="s">
        <v>3669</v>
      </c>
      <c r="E147" t="s">
        <v>4111</v>
      </c>
      <c r="F147" t="s">
        <v>1983</v>
      </c>
      <c r="G147">
        <v>0</v>
      </c>
      <c r="H147">
        <v>0</v>
      </c>
    </row>
    <row r="148" spans="1:8" hidden="1" x14ac:dyDescent="0.4">
      <c r="A148" s="93" t="s">
        <v>3668</v>
      </c>
      <c r="B148" s="1" t="s">
        <v>1469</v>
      </c>
      <c r="C148" s="1" t="s">
        <v>4174</v>
      </c>
      <c r="D148" s="1" t="s">
        <v>3669</v>
      </c>
      <c r="E148" t="s">
        <v>4110</v>
      </c>
      <c r="F148" t="s">
        <v>1983</v>
      </c>
      <c r="G148">
        <v>0</v>
      </c>
      <c r="H148">
        <v>0</v>
      </c>
    </row>
    <row r="149" spans="1:8" hidden="1" x14ac:dyDescent="0.4">
      <c r="A149" s="93" t="s">
        <v>3668</v>
      </c>
      <c r="B149" s="1" t="s">
        <v>1469</v>
      </c>
      <c r="C149" s="1" t="s">
        <v>4174</v>
      </c>
      <c r="D149" s="1" t="s">
        <v>3669</v>
      </c>
      <c r="E149" t="s">
        <v>3675</v>
      </c>
      <c r="F149" t="s">
        <v>1983</v>
      </c>
      <c r="G149">
        <v>0</v>
      </c>
      <c r="H149">
        <v>0</v>
      </c>
    </row>
    <row r="150" spans="1:8" hidden="1" x14ac:dyDescent="0.4">
      <c r="A150" s="93" t="s">
        <v>3668</v>
      </c>
      <c r="B150" s="1" t="s">
        <v>1469</v>
      </c>
      <c r="C150" s="1" t="s">
        <v>4174</v>
      </c>
      <c r="D150" s="1" t="s">
        <v>3669</v>
      </c>
      <c r="E150" t="s">
        <v>4109</v>
      </c>
      <c r="F150" t="s">
        <v>1982</v>
      </c>
      <c r="G150">
        <v>0</v>
      </c>
      <c r="H150">
        <v>0</v>
      </c>
    </row>
    <row r="151" spans="1:8" hidden="1" x14ac:dyDescent="0.4">
      <c r="A151" s="93" t="s">
        <v>3668</v>
      </c>
      <c r="B151" s="1" t="s">
        <v>1469</v>
      </c>
      <c r="C151" s="1" t="s">
        <v>4174</v>
      </c>
      <c r="D151" s="1" t="s">
        <v>3669</v>
      </c>
      <c r="E151" t="s">
        <v>4108</v>
      </c>
      <c r="F151" t="s">
        <v>1982</v>
      </c>
      <c r="G151">
        <v>0</v>
      </c>
      <c r="H151">
        <v>0</v>
      </c>
    </row>
    <row r="152" spans="1:8" hidden="1" x14ac:dyDescent="0.4">
      <c r="A152" s="93" t="s">
        <v>3668</v>
      </c>
      <c r="B152" s="1" t="s">
        <v>1469</v>
      </c>
      <c r="C152" s="1" t="s">
        <v>4174</v>
      </c>
      <c r="D152" s="1" t="s">
        <v>3669</v>
      </c>
      <c r="E152" t="s">
        <v>3678</v>
      </c>
      <c r="F152" t="s">
        <v>1985</v>
      </c>
      <c r="G152">
        <v>0</v>
      </c>
      <c r="H152">
        <v>0</v>
      </c>
    </row>
    <row r="153" spans="1:8" hidden="1" x14ac:dyDescent="0.4">
      <c r="A153" s="93" t="s">
        <v>3668</v>
      </c>
      <c r="B153" s="1" t="s">
        <v>1469</v>
      </c>
      <c r="C153" s="1" t="s">
        <v>4174</v>
      </c>
      <c r="D153" s="1" t="s">
        <v>3669</v>
      </c>
      <c r="E153" t="s">
        <v>3927</v>
      </c>
      <c r="F153" t="s">
        <v>1973</v>
      </c>
      <c r="G153">
        <v>0</v>
      </c>
      <c r="H153">
        <v>0</v>
      </c>
    </row>
    <row r="154" spans="1:8" hidden="1" x14ac:dyDescent="0.4">
      <c r="A154" s="93" t="s">
        <v>3668</v>
      </c>
      <c r="B154" s="1" t="s">
        <v>1469</v>
      </c>
      <c r="C154" s="1" t="s">
        <v>4174</v>
      </c>
      <c r="D154" s="1" t="s">
        <v>3669</v>
      </c>
      <c r="E154" t="s">
        <v>4107</v>
      </c>
      <c r="F154" t="s">
        <v>1973</v>
      </c>
      <c r="G154">
        <v>0</v>
      </c>
      <c r="H154">
        <v>0</v>
      </c>
    </row>
    <row r="155" spans="1:8" hidden="1" x14ac:dyDescent="0.4">
      <c r="A155" s="93" t="s">
        <v>3668</v>
      </c>
      <c r="B155" s="1" t="s">
        <v>1469</v>
      </c>
      <c r="C155" s="1" t="s">
        <v>4174</v>
      </c>
      <c r="D155" s="1" t="s">
        <v>3669</v>
      </c>
      <c r="E155" t="s">
        <v>3679</v>
      </c>
      <c r="F155" t="s">
        <v>1973</v>
      </c>
      <c r="G155">
        <v>0</v>
      </c>
      <c r="H155">
        <v>0</v>
      </c>
    </row>
    <row r="156" spans="1:8" hidden="1" x14ac:dyDescent="0.4">
      <c r="A156" s="93" t="s">
        <v>3668</v>
      </c>
      <c r="B156" s="1" t="s">
        <v>1469</v>
      </c>
      <c r="C156" s="1" t="s">
        <v>4174</v>
      </c>
      <c r="D156" s="1" t="s">
        <v>3669</v>
      </c>
      <c r="E156" t="s">
        <v>4106</v>
      </c>
      <c r="F156" t="s">
        <v>1976</v>
      </c>
      <c r="G156">
        <v>0</v>
      </c>
      <c r="H156">
        <v>0</v>
      </c>
    </row>
    <row r="157" spans="1:8" hidden="1" x14ac:dyDescent="0.4">
      <c r="A157" s="93" t="s">
        <v>3668</v>
      </c>
      <c r="B157" s="1" t="s">
        <v>1469</v>
      </c>
      <c r="C157" s="1" t="s">
        <v>4174</v>
      </c>
      <c r="D157" s="1" t="s">
        <v>3669</v>
      </c>
      <c r="E157" t="s">
        <v>4105</v>
      </c>
      <c r="F157" t="s">
        <v>1976</v>
      </c>
      <c r="G157">
        <v>0</v>
      </c>
      <c r="H157">
        <v>0</v>
      </c>
    </row>
    <row r="158" spans="1:8" hidden="1" x14ac:dyDescent="0.4">
      <c r="A158" s="93" t="s">
        <v>3668</v>
      </c>
      <c r="B158" s="1" t="s">
        <v>1469</v>
      </c>
      <c r="C158" s="1" t="s">
        <v>4174</v>
      </c>
      <c r="D158" s="1" t="s">
        <v>3669</v>
      </c>
      <c r="E158" t="s">
        <v>3680</v>
      </c>
      <c r="F158" t="s">
        <v>1976</v>
      </c>
      <c r="G158">
        <v>0</v>
      </c>
      <c r="H158">
        <v>0</v>
      </c>
    </row>
    <row r="159" spans="1:8" hidden="1" x14ac:dyDescent="0.4">
      <c r="A159" s="93" t="s">
        <v>3668</v>
      </c>
      <c r="B159" s="1" t="s">
        <v>1469</v>
      </c>
      <c r="C159" s="1" t="s">
        <v>4174</v>
      </c>
      <c r="D159" s="1" t="s">
        <v>3669</v>
      </c>
      <c r="E159" t="s">
        <v>4104</v>
      </c>
      <c r="F159" t="s">
        <v>1989</v>
      </c>
      <c r="G159">
        <v>0</v>
      </c>
      <c r="H159">
        <v>0</v>
      </c>
    </row>
    <row r="160" spans="1:8" hidden="1" x14ac:dyDescent="0.4">
      <c r="A160" s="93" t="s">
        <v>3668</v>
      </c>
      <c r="B160" s="1" t="s">
        <v>1469</v>
      </c>
      <c r="C160" s="1" t="s">
        <v>4174</v>
      </c>
      <c r="D160" s="1" t="s">
        <v>3669</v>
      </c>
      <c r="E160" t="s">
        <v>4103</v>
      </c>
      <c r="F160" t="s">
        <v>1989</v>
      </c>
      <c r="G160">
        <v>0</v>
      </c>
      <c r="H160">
        <v>0</v>
      </c>
    </row>
    <row r="161" spans="1:8" hidden="1" x14ac:dyDescent="0.4">
      <c r="A161" s="93" t="s">
        <v>3668</v>
      </c>
      <c r="B161" s="1" t="s">
        <v>1469</v>
      </c>
      <c r="C161" s="1" t="s">
        <v>4174</v>
      </c>
      <c r="D161" s="1" t="s">
        <v>3669</v>
      </c>
      <c r="E161" t="s">
        <v>3681</v>
      </c>
      <c r="F161" t="s">
        <v>1989</v>
      </c>
      <c r="G161">
        <v>0</v>
      </c>
      <c r="H161">
        <v>0</v>
      </c>
    </row>
    <row r="162" spans="1:8" hidden="1" x14ac:dyDescent="0.4">
      <c r="A162" s="93" t="s">
        <v>3668</v>
      </c>
      <c r="B162" s="1" t="s">
        <v>1469</v>
      </c>
      <c r="C162" s="1" t="s">
        <v>4174</v>
      </c>
      <c r="D162" s="1" t="s">
        <v>3669</v>
      </c>
      <c r="E162" t="s">
        <v>3926</v>
      </c>
      <c r="F162" t="s">
        <v>1960</v>
      </c>
      <c r="G162">
        <v>0</v>
      </c>
      <c r="H162">
        <v>0</v>
      </c>
    </row>
    <row r="163" spans="1:8" hidden="1" x14ac:dyDescent="0.4">
      <c r="A163" s="93" t="s">
        <v>3668</v>
      </c>
      <c r="B163" s="1" t="s">
        <v>1469</v>
      </c>
      <c r="C163" s="1" t="s">
        <v>4174</v>
      </c>
      <c r="D163" s="1" t="s">
        <v>3669</v>
      </c>
      <c r="E163" t="s">
        <v>4102</v>
      </c>
      <c r="F163" t="s">
        <v>1960</v>
      </c>
      <c r="G163">
        <v>0</v>
      </c>
      <c r="H163">
        <v>0</v>
      </c>
    </row>
    <row r="164" spans="1:8" hidden="1" x14ac:dyDescent="0.4">
      <c r="A164" s="93" t="s">
        <v>3668</v>
      </c>
      <c r="B164" s="1" t="s">
        <v>1469</v>
      </c>
      <c r="C164" s="1" t="s">
        <v>4174</v>
      </c>
      <c r="D164" s="1" t="s">
        <v>3669</v>
      </c>
      <c r="E164" t="s">
        <v>3925</v>
      </c>
      <c r="F164" t="s">
        <v>1960</v>
      </c>
      <c r="G164">
        <v>0</v>
      </c>
      <c r="H164">
        <v>0</v>
      </c>
    </row>
    <row r="165" spans="1:8" hidden="1" x14ac:dyDescent="0.4">
      <c r="A165" s="93" t="s">
        <v>3668</v>
      </c>
      <c r="B165" s="1" t="s">
        <v>1469</v>
      </c>
      <c r="C165" s="1" t="s">
        <v>4174</v>
      </c>
      <c r="D165" s="1" t="s">
        <v>3669</v>
      </c>
      <c r="E165" t="s">
        <v>4101</v>
      </c>
      <c r="F165" t="s">
        <v>1980</v>
      </c>
      <c r="G165">
        <v>0</v>
      </c>
      <c r="H165">
        <v>0</v>
      </c>
    </row>
    <row r="166" spans="1:8" hidden="1" x14ac:dyDescent="0.4">
      <c r="A166" s="93" t="s">
        <v>3668</v>
      </c>
      <c r="B166" s="1" t="s">
        <v>1469</v>
      </c>
      <c r="C166" s="1" t="s">
        <v>4174</v>
      </c>
      <c r="D166" s="1" t="s">
        <v>3669</v>
      </c>
      <c r="E166" t="s">
        <v>4100</v>
      </c>
      <c r="F166" t="s">
        <v>1980</v>
      </c>
      <c r="G166">
        <v>0</v>
      </c>
      <c r="H166">
        <v>0</v>
      </c>
    </row>
    <row r="167" spans="1:8" hidden="1" x14ac:dyDescent="0.4">
      <c r="A167" s="93" t="s">
        <v>3668</v>
      </c>
      <c r="B167" s="1" t="s">
        <v>1469</v>
      </c>
      <c r="C167" s="1" t="s">
        <v>4174</v>
      </c>
      <c r="D167" s="1" t="s">
        <v>3669</v>
      </c>
      <c r="E167" t="s">
        <v>3682</v>
      </c>
      <c r="F167" t="s">
        <v>1980</v>
      </c>
      <c r="G167">
        <v>0</v>
      </c>
      <c r="H167">
        <v>0</v>
      </c>
    </row>
    <row r="168" spans="1:8" hidden="1" x14ac:dyDescent="0.4">
      <c r="A168" s="93" t="s">
        <v>3668</v>
      </c>
      <c r="B168" s="1" t="s">
        <v>1469</v>
      </c>
      <c r="C168" s="1" t="s">
        <v>4174</v>
      </c>
      <c r="D168" s="1" t="s">
        <v>3669</v>
      </c>
      <c r="E168" t="s">
        <v>3924</v>
      </c>
      <c r="F168" t="s">
        <v>1979</v>
      </c>
      <c r="G168">
        <v>0</v>
      </c>
      <c r="H168">
        <v>0</v>
      </c>
    </row>
    <row r="169" spans="1:8" hidden="1" x14ac:dyDescent="0.4">
      <c r="A169" s="93" t="s">
        <v>3668</v>
      </c>
      <c r="B169" s="1" t="s">
        <v>1469</v>
      </c>
      <c r="C169" s="1" t="s">
        <v>4174</v>
      </c>
      <c r="D169" s="1" t="s">
        <v>3669</v>
      </c>
      <c r="E169" t="s">
        <v>4099</v>
      </c>
      <c r="F169" t="s">
        <v>1979</v>
      </c>
      <c r="G169">
        <v>0</v>
      </c>
      <c r="H169">
        <v>0</v>
      </c>
    </row>
    <row r="170" spans="1:8" hidden="1" x14ac:dyDescent="0.4">
      <c r="A170" s="93" t="s">
        <v>3668</v>
      </c>
      <c r="B170" s="1" t="s">
        <v>1469</v>
      </c>
      <c r="C170" s="1" t="s">
        <v>4174</v>
      </c>
      <c r="D170" s="1" t="s">
        <v>3669</v>
      </c>
      <c r="E170" t="s">
        <v>3923</v>
      </c>
      <c r="F170" t="s">
        <v>1979</v>
      </c>
      <c r="G170">
        <v>0</v>
      </c>
      <c r="H170">
        <v>0</v>
      </c>
    </row>
    <row r="171" spans="1:8" hidden="1" x14ac:dyDescent="0.4">
      <c r="A171" s="93" t="s">
        <v>3668</v>
      </c>
      <c r="B171" s="1" t="s">
        <v>1469</v>
      </c>
      <c r="C171" s="1" t="s">
        <v>4174</v>
      </c>
      <c r="D171" s="1" t="s">
        <v>3669</v>
      </c>
      <c r="E171" t="s">
        <v>3922</v>
      </c>
      <c r="F171" t="s">
        <v>1958</v>
      </c>
      <c r="G171">
        <v>0</v>
      </c>
      <c r="H171">
        <v>0</v>
      </c>
    </row>
    <row r="172" spans="1:8" hidden="1" x14ac:dyDescent="0.4">
      <c r="A172" s="93" t="s">
        <v>3668</v>
      </c>
      <c r="B172" s="1" t="s">
        <v>1469</v>
      </c>
      <c r="C172" s="1" t="s">
        <v>4174</v>
      </c>
      <c r="D172" s="1" t="s">
        <v>3669</v>
      </c>
      <c r="E172" t="s">
        <v>4098</v>
      </c>
      <c r="F172" t="s">
        <v>1958</v>
      </c>
      <c r="G172">
        <v>0</v>
      </c>
      <c r="H172">
        <v>0</v>
      </c>
    </row>
    <row r="173" spans="1:8" hidden="1" x14ac:dyDescent="0.4">
      <c r="A173" s="93" t="s">
        <v>3668</v>
      </c>
      <c r="B173" s="1" t="s">
        <v>1469</v>
      </c>
      <c r="C173" s="1" t="s">
        <v>4174</v>
      </c>
      <c r="D173" s="1" t="s">
        <v>3669</v>
      </c>
      <c r="E173" t="s">
        <v>3921</v>
      </c>
      <c r="F173" t="s">
        <v>1958</v>
      </c>
      <c r="G173">
        <v>0</v>
      </c>
      <c r="H173">
        <v>0</v>
      </c>
    </row>
    <row r="174" spans="1:8" hidden="1" x14ac:dyDescent="0.4">
      <c r="A174" s="93" t="s">
        <v>3668</v>
      </c>
      <c r="B174" s="1" t="s">
        <v>1469</v>
      </c>
      <c r="C174" s="1" t="s">
        <v>4174</v>
      </c>
      <c r="D174" s="1" t="s">
        <v>3669</v>
      </c>
      <c r="E174" t="s">
        <v>3920</v>
      </c>
      <c r="F174" t="s">
        <v>1992</v>
      </c>
      <c r="G174">
        <v>0</v>
      </c>
      <c r="H174">
        <v>0</v>
      </c>
    </row>
    <row r="175" spans="1:8" hidden="1" x14ac:dyDescent="0.4">
      <c r="A175" s="93" t="s">
        <v>3668</v>
      </c>
      <c r="B175" s="1" t="s">
        <v>1469</v>
      </c>
      <c r="C175" s="1" t="s">
        <v>4174</v>
      </c>
      <c r="D175" s="1" t="s">
        <v>3669</v>
      </c>
      <c r="E175" t="s">
        <v>4097</v>
      </c>
      <c r="F175" t="s">
        <v>1992</v>
      </c>
      <c r="G175">
        <v>0.02</v>
      </c>
      <c r="H175">
        <v>64</v>
      </c>
    </row>
    <row r="176" spans="1:8" hidden="1" x14ac:dyDescent="0.4">
      <c r="A176" s="93" t="s">
        <v>3668</v>
      </c>
      <c r="B176" s="1" t="s">
        <v>1469</v>
      </c>
      <c r="C176" s="1" t="s">
        <v>4174</v>
      </c>
      <c r="D176" s="1" t="s">
        <v>3669</v>
      </c>
      <c r="E176" t="s">
        <v>3919</v>
      </c>
      <c r="F176" t="s">
        <v>1992</v>
      </c>
      <c r="G176">
        <v>0</v>
      </c>
      <c r="H176">
        <v>0</v>
      </c>
    </row>
    <row r="177" spans="1:8" hidden="1" x14ac:dyDescent="0.4">
      <c r="A177" s="93" t="s">
        <v>3668</v>
      </c>
      <c r="B177" s="1" t="s">
        <v>1469</v>
      </c>
      <c r="C177" s="1" t="s">
        <v>4174</v>
      </c>
      <c r="D177" s="1" t="s">
        <v>3669</v>
      </c>
      <c r="E177" t="s">
        <v>4096</v>
      </c>
      <c r="F177" t="s">
        <v>2059</v>
      </c>
      <c r="G177">
        <v>0</v>
      </c>
      <c r="H177">
        <v>0</v>
      </c>
    </row>
    <row r="178" spans="1:8" hidden="1" x14ac:dyDescent="0.4">
      <c r="A178" s="93" t="s">
        <v>3668</v>
      </c>
      <c r="B178" s="1" t="s">
        <v>1469</v>
      </c>
      <c r="C178" s="1" t="s">
        <v>4174</v>
      </c>
      <c r="D178" s="1" t="s">
        <v>3669</v>
      </c>
      <c r="E178" t="s">
        <v>4095</v>
      </c>
      <c r="F178" t="s">
        <v>2059</v>
      </c>
      <c r="G178">
        <v>0</v>
      </c>
      <c r="H178">
        <v>0</v>
      </c>
    </row>
    <row r="179" spans="1:8" hidden="1" x14ac:dyDescent="0.4">
      <c r="A179" s="93" t="s">
        <v>3668</v>
      </c>
      <c r="B179" s="1" t="s">
        <v>1469</v>
      </c>
      <c r="C179" s="1" t="s">
        <v>4174</v>
      </c>
      <c r="D179" s="1" t="s">
        <v>3669</v>
      </c>
      <c r="E179" t="s">
        <v>4033</v>
      </c>
      <c r="F179" t="s">
        <v>2059</v>
      </c>
      <c r="G179">
        <v>0</v>
      </c>
      <c r="H179">
        <v>0</v>
      </c>
    </row>
    <row r="180" spans="1:8" hidden="1" x14ac:dyDescent="0.4">
      <c r="A180" s="93" t="s">
        <v>3668</v>
      </c>
      <c r="B180" s="1" t="s">
        <v>1469</v>
      </c>
      <c r="C180" s="1" t="s">
        <v>4174</v>
      </c>
      <c r="D180" s="1" t="s">
        <v>3669</v>
      </c>
      <c r="E180" t="s">
        <v>3918</v>
      </c>
      <c r="F180" t="s">
        <v>1971</v>
      </c>
      <c r="G180">
        <v>0</v>
      </c>
      <c r="H180">
        <v>0</v>
      </c>
    </row>
    <row r="181" spans="1:8" hidden="1" x14ac:dyDescent="0.4">
      <c r="A181" s="93" t="s">
        <v>3668</v>
      </c>
      <c r="B181" s="1" t="s">
        <v>1469</v>
      </c>
      <c r="C181" s="1" t="s">
        <v>4174</v>
      </c>
      <c r="D181" s="1" t="s">
        <v>3669</v>
      </c>
      <c r="E181" t="s">
        <v>4094</v>
      </c>
      <c r="F181" t="s">
        <v>1971</v>
      </c>
      <c r="G181">
        <v>0</v>
      </c>
      <c r="H181">
        <v>0</v>
      </c>
    </row>
    <row r="182" spans="1:8" hidden="1" x14ac:dyDescent="0.4">
      <c r="A182" s="93" t="s">
        <v>3668</v>
      </c>
      <c r="B182" s="1" t="s">
        <v>1469</v>
      </c>
      <c r="C182" s="1" t="s">
        <v>4174</v>
      </c>
      <c r="D182" s="1" t="s">
        <v>3669</v>
      </c>
      <c r="E182" t="s">
        <v>3917</v>
      </c>
      <c r="F182" t="s">
        <v>1971</v>
      </c>
      <c r="G182">
        <v>0</v>
      </c>
      <c r="H182">
        <v>0</v>
      </c>
    </row>
    <row r="183" spans="1:8" hidden="1" x14ac:dyDescent="0.4">
      <c r="A183" s="93" t="s">
        <v>3668</v>
      </c>
      <c r="B183" s="1" t="s">
        <v>1469</v>
      </c>
      <c r="C183" s="1" t="s">
        <v>4174</v>
      </c>
      <c r="D183" s="1" t="s">
        <v>3669</v>
      </c>
      <c r="E183" t="s">
        <v>4024</v>
      </c>
      <c r="F183" t="s">
        <v>4023</v>
      </c>
      <c r="G183">
        <v>0</v>
      </c>
      <c r="H183">
        <v>0</v>
      </c>
    </row>
    <row r="184" spans="1:8" hidden="1" x14ac:dyDescent="0.4">
      <c r="A184" s="93" t="s">
        <v>3668</v>
      </c>
      <c r="B184" s="1" t="s">
        <v>1469</v>
      </c>
      <c r="C184" s="1" t="s">
        <v>4174</v>
      </c>
      <c r="D184" s="1" t="s">
        <v>3669</v>
      </c>
      <c r="E184" t="s">
        <v>4022</v>
      </c>
      <c r="F184" t="s">
        <v>4021</v>
      </c>
      <c r="G184">
        <v>0</v>
      </c>
      <c r="H184">
        <v>0</v>
      </c>
    </row>
    <row r="185" spans="1:8" hidden="1" x14ac:dyDescent="0.4">
      <c r="A185" s="93" t="s">
        <v>3668</v>
      </c>
      <c r="B185" s="1" t="s">
        <v>1469</v>
      </c>
      <c r="C185" s="1" t="s">
        <v>4174</v>
      </c>
      <c r="D185" s="1" t="s">
        <v>3669</v>
      </c>
      <c r="E185" t="s">
        <v>4020</v>
      </c>
      <c r="F185" t="s">
        <v>4019</v>
      </c>
      <c r="G185">
        <v>0</v>
      </c>
      <c r="H185">
        <v>0</v>
      </c>
    </row>
    <row r="186" spans="1:8" hidden="1" x14ac:dyDescent="0.4">
      <c r="A186" s="93" t="s">
        <v>3668</v>
      </c>
      <c r="B186" s="1" t="s">
        <v>1469</v>
      </c>
      <c r="C186" s="1" t="s">
        <v>4174</v>
      </c>
      <c r="D186" s="1" t="s">
        <v>3669</v>
      </c>
      <c r="E186" t="s">
        <v>4018</v>
      </c>
      <c r="F186" t="s">
        <v>4017</v>
      </c>
      <c r="G186">
        <v>0</v>
      </c>
      <c r="H186">
        <v>0</v>
      </c>
    </row>
    <row r="187" spans="1:8" hidden="1" x14ac:dyDescent="0.4">
      <c r="A187" s="93" t="s">
        <v>3668</v>
      </c>
      <c r="B187" s="1" t="s">
        <v>1469</v>
      </c>
      <c r="C187" s="1" t="s">
        <v>4174</v>
      </c>
      <c r="D187" s="1" t="s">
        <v>3669</v>
      </c>
      <c r="E187" t="s">
        <v>4016</v>
      </c>
      <c r="F187" t="s">
        <v>4015</v>
      </c>
      <c r="G187">
        <v>0</v>
      </c>
      <c r="H187">
        <v>0</v>
      </c>
    </row>
    <row r="188" spans="1:8" hidden="1" x14ac:dyDescent="0.4">
      <c r="A188" s="93" t="s">
        <v>3668</v>
      </c>
      <c r="B188" s="1" t="s">
        <v>1469</v>
      </c>
      <c r="C188" s="1" t="s">
        <v>4178</v>
      </c>
      <c r="D188" s="1" t="s">
        <v>3669</v>
      </c>
      <c r="E188" t="s">
        <v>3747</v>
      </c>
      <c r="F188" t="s">
        <v>2005</v>
      </c>
      <c r="G188">
        <v>0</v>
      </c>
      <c r="H188">
        <v>0</v>
      </c>
    </row>
    <row r="189" spans="1:8" hidden="1" x14ac:dyDescent="0.4">
      <c r="A189" s="93" t="s">
        <v>3668</v>
      </c>
      <c r="B189" s="1" t="s">
        <v>1469</v>
      </c>
      <c r="C189" s="1" t="s">
        <v>4175</v>
      </c>
      <c r="D189" s="1" t="s">
        <v>3669</v>
      </c>
      <c r="E189" t="s">
        <v>3748</v>
      </c>
      <c r="F189" t="s">
        <v>2006</v>
      </c>
      <c r="G189">
        <v>0</v>
      </c>
      <c r="H189">
        <v>0</v>
      </c>
    </row>
    <row r="190" spans="1:8" hidden="1" x14ac:dyDescent="0.4">
      <c r="A190" s="93" t="s">
        <v>3668</v>
      </c>
      <c r="B190" s="1" t="s">
        <v>1469</v>
      </c>
      <c r="C190" s="1" t="s">
        <v>4175</v>
      </c>
      <c r="D190" s="1" t="s">
        <v>3669</v>
      </c>
      <c r="E190" t="s">
        <v>4004</v>
      </c>
      <c r="F190" t="s">
        <v>4003</v>
      </c>
      <c r="G190">
        <v>2840.85</v>
      </c>
      <c r="H190">
        <v>174736</v>
      </c>
    </row>
    <row r="191" spans="1:8" hidden="1" x14ac:dyDescent="0.4">
      <c r="A191" s="93" t="s">
        <v>3668</v>
      </c>
      <c r="B191" s="1" t="s">
        <v>1469</v>
      </c>
      <c r="C191" s="1" t="s">
        <v>4175</v>
      </c>
      <c r="D191" s="1" t="s">
        <v>3669</v>
      </c>
      <c r="E191" t="s">
        <v>3999</v>
      </c>
      <c r="F191" t="s">
        <v>1975</v>
      </c>
      <c r="G191">
        <v>0</v>
      </c>
      <c r="H191">
        <v>0</v>
      </c>
    </row>
    <row r="192" spans="1:8" hidden="1" x14ac:dyDescent="0.4">
      <c r="A192" s="93" t="s">
        <v>3668</v>
      </c>
      <c r="B192" s="1" t="s">
        <v>1469</v>
      </c>
      <c r="C192" s="1" t="s">
        <v>4175</v>
      </c>
      <c r="D192" s="1" t="s">
        <v>3669</v>
      </c>
      <c r="E192" t="s">
        <v>3749</v>
      </c>
      <c r="F192" t="s">
        <v>2010</v>
      </c>
      <c r="G192">
        <v>1666.9</v>
      </c>
      <c r="H192">
        <v>4450623</v>
      </c>
    </row>
    <row r="193" spans="1:8" hidden="1" x14ac:dyDescent="0.4">
      <c r="A193" s="93" t="s">
        <v>3668</v>
      </c>
      <c r="B193" s="1" t="s">
        <v>1469</v>
      </c>
      <c r="C193" s="1" t="s">
        <v>4175</v>
      </c>
      <c r="D193" s="1" t="s">
        <v>3669</v>
      </c>
      <c r="E193" t="s">
        <v>3752</v>
      </c>
      <c r="F193" t="s">
        <v>1981</v>
      </c>
      <c r="G193">
        <v>1724.86</v>
      </c>
      <c r="H193">
        <v>3504898</v>
      </c>
    </row>
    <row r="194" spans="1:8" hidden="1" x14ac:dyDescent="0.4">
      <c r="A194" s="93" t="s">
        <v>3668</v>
      </c>
      <c r="B194" s="1" t="s">
        <v>1469</v>
      </c>
      <c r="C194" s="1" t="s">
        <v>4175</v>
      </c>
      <c r="D194" s="1" t="s">
        <v>3669</v>
      </c>
      <c r="E194" t="s">
        <v>4093</v>
      </c>
      <c r="F194" t="s">
        <v>4092</v>
      </c>
      <c r="G194">
        <v>318.39999999999998</v>
      </c>
      <c r="H194">
        <v>16384</v>
      </c>
    </row>
    <row r="195" spans="1:8" hidden="1" x14ac:dyDescent="0.4">
      <c r="A195" s="93" t="s">
        <v>3668</v>
      </c>
      <c r="B195" s="1" t="s">
        <v>1469</v>
      </c>
      <c r="C195" s="1" t="s">
        <v>4175</v>
      </c>
      <c r="D195" s="1" t="s">
        <v>3669</v>
      </c>
      <c r="E195" t="s">
        <v>4091</v>
      </c>
      <c r="F195" t="s">
        <v>4090</v>
      </c>
      <c r="G195">
        <v>349.2</v>
      </c>
      <c r="H195">
        <v>21308</v>
      </c>
    </row>
    <row r="196" spans="1:8" hidden="1" x14ac:dyDescent="0.4">
      <c r="A196" s="93" t="s">
        <v>3668</v>
      </c>
      <c r="B196" s="1" t="s">
        <v>1469</v>
      </c>
      <c r="C196" s="1" t="s">
        <v>4175</v>
      </c>
      <c r="D196" s="1" t="s">
        <v>3669</v>
      </c>
      <c r="E196" t="s">
        <v>4089</v>
      </c>
      <c r="F196" t="s">
        <v>4088</v>
      </c>
      <c r="G196">
        <v>790</v>
      </c>
      <c r="H196">
        <v>53404</v>
      </c>
    </row>
    <row r="197" spans="1:8" hidden="1" x14ac:dyDescent="0.4">
      <c r="A197" s="93" t="s">
        <v>3668</v>
      </c>
      <c r="B197" s="1" t="s">
        <v>1469</v>
      </c>
      <c r="C197" s="1" t="s">
        <v>4175</v>
      </c>
      <c r="D197" s="1" t="s">
        <v>3669</v>
      </c>
      <c r="E197" t="s">
        <v>3998</v>
      </c>
      <c r="F197" t="s">
        <v>3997</v>
      </c>
      <c r="G197">
        <v>3927</v>
      </c>
      <c r="H197">
        <v>232969</v>
      </c>
    </row>
    <row r="198" spans="1:8" hidden="1" x14ac:dyDescent="0.4">
      <c r="A198" s="93" t="s">
        <v>3668</v>
      </c>
      <c r="B198" s="1" t="s">
        <v>1469</v>
      </c>
      <c r="C198" s="1" t="s">
        <v>4175</v>
      </c>
      <c r="D198" s="1" t="s">
        <v>3669</v>
      </c>
      <c r="E198" t="s">
        <v>3754</v>
      </c>
      <c r="F198" t="s">
        <v>2011</v>
      </c>
      <c r="G198">
        <v>289.58</v>
      </c>
      <c r="H198">
        <v>19659</v>
      </c>
    </row>
    <row r="199" spans="1:8" hidden="1" x14ac:dyDescent="0.4">
      <c r="A199" s="93" t="s">
        <v>3668</v>
      </c>
      <c r="B199" s="1" t="s">
        <v>1469</v>
      </c>
      <c r="C199" s="1" t="s">
        <v>4175</v>
      </c>
      <c r="D199" s="1" t="s">
        <v>3669</v>
      </c>
      <c r="E199" t="s">
        <v>4087</v>
      </c>
      <c r="F199" t="s">
        <v>4086</v>
      </c>
      <c r="G199">
        <v>17248.400000000001</v>
      </c>
      <c r="H199">
        <v>516541</v>
      </c>
    </row>
    <row r="200" spans="1:8" hidden="1" x14ac:dyDescent="0.4">
      <c r="A200" s="93" t="s">
        <v>3668</v>
      </c>
      <c r="B200" s="1" t="s">
        <v>1469</v>
      </c>
      <c r="C200" s="1" t="s">
        <v>4175</v>
      </c>
      <c r="D200" s="1" t="s">
        <v>3669</v>
      </c>
      <c r="E200" t="s">
        <v>3996</v>
      </c>
      <c r="F200" t="s">
        <v>1998</v>
      </c>
      <c r="G200">
        <v>5207.1099999999997</v>
      </c>
      <c r="H200">
        <v>355996</v>
      </c>
    </row>
    <row r="201" spans="1:8" hidden="1" x14ac:dyDescent="0.4">
      <c r="A201" s="93" t="s">
        <v>3668</v>
      </c>
      <c r="B201" s="1" t="s">
        <v>1469</v>
      </c>
      <c r="C201" s="1" t="s">
        <v>4175</v>
      </c>
      <c r="D201" s="1" t="s">
        <v>3669</v>
      </c>
      <c r="E201" t="s">
        <v>3995</v>
      </c>
      <c r="F201" t="s">
        <v>2001</v>
      </c>
      <c r="G201">
        <v>4314.46</v>
      </c>
      <c r="H201">
        <v>310336</v>
      </c>
    </row>
    <row r="202" spans="1:8" hidden="1" x14ac:dyDescent="0.4">
      <c r="A202" s="93" t="s">
        <v>3668</v>
      </c>
      <c r="B202" s="1" t="s">
        <v>1469</v>
      </c>
      <c r="C202" s="1" t="s">
        <v>4175</v>
      </c>
      <c r="D202" s="1" t="s">
        <v>3669</v>
      </c>
      <c r="E202" t="s">
        <v>3994</v>
      </c>
      <c r="F202" t="s">
        <v>1999</v>
      </c>
      <c r="G202">
        <v>5307.23</v>
      </c>
      <c r="H202">
        <v>368104</v>
      </c>
    </row>
    <row r="203" spans="1:8" hidden="1" x14ac:dyDescent="0.4">
      <c r="A203" s="93" t="s">
        <v>3668</v>
      </c>
      <c r="B203" s="1" t="s">
        <v>1469</v>
      </c>
      <c r="C203" s="1" t="s">
        <v>4175</v>
      </c>
      <c r="D203" s="1" t="s">
        <v>3669</v>
      </c>
      <c r="E203" t="s">
        <v>4085</v>
      </c>
      <c r="F203" t="s">
        <v>4084</v>
      </c>
      <c r="G203">
        <v>798.5</v>
      </c>
      <c r="H203">
        <v>49412</v>
      </c>
    </row>
    <row r="204" spans="1:8" hidden="1" x14ac:dyDescent="0.4">
      <c r="A204" s="93" t="s">
        <v>3668</v>
      </c>
      <c r="B204" s="1" t="s">
        <v>1469</v>
      </c>
      <c r="C204" s="1" t="s">
        <v>4175</v>
      </c>
      <c r="D204" s="1" t="s">
        <v>3669</v>
      </c>
      <c r="E204" t="s">
        <v>3993</v>
      </c>
      <c r="F204" t="s">
        <v>3992</v>
      </c>
      <c r="G204">
        <v>1303.5</v>
      </c>
      <c r="H204">
        <v>104423</v>
      </c>
    </row>
    <row r="205" spans="1:8" hidden="1" x14ac:dyDescent="0.4">
      <c r="A205" s="93" t="s">
        <v>3668</v>
      </c>
      <c r="B205" s="1" t="s">
        <v>1469</v>
      </c>
      <c r="C205" s="1" t="s">
        <v>4175</v>
      </c>
      <c r="D205" s="1" t="s">
        <v>3669</v>
      </c>
      <c r="E205" t="s">
        <v>4083</v>
      </c>
      <c r="F205" t="s">
        <v>4082</v>
      </c>
      <c r="G205">
        <v>4018</v>
      </c>
      <c r="H205">
        <v>199815</v>
      </c>
    </row>
    <row r="206" spans="1:8" hidden="1" x14ac:dyDescent="0.4">
      <c r="A206" s="93" t="s">
        <v>3668</v>
      </c>
      <c r="B206" s="1" t="s">
        <v>1469</v>
      </c>
      <c r="C206" s="1" t="s">
        <v>4175</v>
      </c>
      <c r="D206" s="1" t="s">
        <v>3669</v>
      </c>
      <c r="E206" t="s">
        <v>4081</v>
      </c>
      <c r="F206" t="s">
        <v>4080</v>
      </c>
      <c r="G206">
        <v>467.5</v>
      </c>
      <c r="H206">
        <v>17766</v>
      </c>
    </row>
    <row r="207" spans="1:8" hidden="1" x14ac:dyDescent="0.4">
      <c r="A207" s="93" t="s">
        <v>3668</v>
      </c>
      <c r="B207" s="1" t="s">
        <v>1469</v>
      </c>
      <c r="C207" s="1" t="s">
        <v>4175</v>
      </c>
      <c r="D207" s="1" t="s">
        <v>3669</v>
      </c>
      <c r="E207" t="s">
        <v>3991</v>
      </c>
      <c r="F207" t="s">
        <v>3990</v>
      </c>
      <c r="G207">
        <v>2302.25</v>
      </c>
      <c r="H207">
        <v>158807</v>
      </c>
    </row>
    <row r="208" spans="1:8" hidden="1" x14ac:dyDescent="0.4">
      <c r="A208" s="93" t="s">
        <v>3668</v>
      </c>
      <c r="B208" s="1" t="s">
        <v>1469</v>
      </c>
      <c r="C208" s="1" t="s">
        <v>4175</v>
      </c>
      <c r="D208" s="1" t="s">
        <v>3669</v>
      </c>
      <c r="E208" t="s">
        <v>3989</v>
      </c>
      <c r="F208" t="s">
        <v>3988</v>
      </c>
      <c r="G208">
        <v>1045.96</v>
      </c>
      <c r="H208">
        <v>66325</v>
      </c>
    </row>
    <row r="209" spans="1:8" hidden="1" x14ac:dyDescent="0.4">
      <c r="A209" s="93" t="s">
        <v>3668</v>
      </c>
      <c r="B209" s="1" t="s">
        <v>1469</v>
      </c>
      <c r="C209" s="1" t="s">
        <v>4175</v>
      </c>
      <c r="D209" s="1" t="s">
        <v>3669</v>
      </c>
      <c r="E209" t="s">
        <v>3987</v>
      </c>
      <c r="F209" t="s">
        <v>2013</v>
      </c>
      <c r="G209">
        <v>7729.67</v>
      </c>
      <c r="H209">
        <v>597251</v>
      </c>
    </row>
    <row r="210" spans="1:8" hidden="1" x14ac:dyDescent="0.4">
      <c r="A210" s="93" t="s">
        <v>3668</v>
      </c>
      <c r="B210" s="1" t="s">
        <v>1469</v>
      </c>
      <c r="C210" s="1" t="s">
        <v>4175</v>
      </c>
      <c r="D210" s="1" t="s">
        <v>3669</v>
      </c>
      <c r="E210" t="s">
        <v>4079</v>
      </c>
      <c r="F210" t="s">
        <v>4078</v>
      </c>
      <c r="G210">
        <v>1917.5</v>
      </c>
      <c r="H210">
        <v>120419</v>
      </c>
    </row>
    <row r="211" spans="1:8" hidden="1" x14ac:dyDescent="0.4">
      <c r="A211" s="93" t="s">
        <v>3668</v>
      </c>
      <c r="B211" s="1" t="s">
        <v>1469</v>
      </c>
      <c r="C211" s="1" t="s">
        <v>4175</v>
      </c>
      <c r="D211" s="1" t="s">
        <v>3669</v>
      </c>
      <c r="E211" t="s">
        <v>3986</v>
      </c>
      <c r="F211" t="s">
        <v>2000</v>
      </c>
      <c r="G211">
        <v>5844.22</v>
      </c>
      <c r="H211">
        <v>455206</v>
      </c>
    </row>
    <row r="212" spans="1:8" hidden="1" x14ac:dyDescent="0.4">
      <c r="A212" s="93" t="s">
        <v>3668</v>
      </c>
      <c r="B212" s="1" t="s">
        <v>1469</v>
      </c>
      <c r="C212" s="1" t="s">
        <v>4175</v>
      </c>
      <c r="D212" s="1" t="s">
        <v>3669</v>
      </c>
      <c r="E212" t="s">
        <v>3985</v>
      </c>
      <c r="F212" t="s">
        <v>3984</v>
      </c>
      <c r="G212">
        <v>152</v>
      </c>
      <c r="H212">
        <v>12287</v>
      </c>
    </row>
    <row r="213" spans="1:8" hidden="1" x14ac:dyDescent="0.4">
      <c r="A213" s="93" t="s">
        <v>3668</v>
      </c>
      <c r="B213" s="1" t="s">
        <v>1469</v>
      </c>
      <c r="C213" s="1" t="s">
        <v>4175</v>
      </c>
      <c r="D213" s="1" t="s">
        <v>3669</v>
      </c>
      <c r="E213" t="s">
        <v>3983</v>
      </c>
      <c r="F213" t="s">
        <v>3982</v>
      </c>
      <c r="G213">
        <v>190</v>
      </c>
      <c r="H213">
        <v>13699</v>
      </c>
    </row>
    <row r="214" spans="1:8" hidden="1" x14ac:dyDescent="0.4">
      <c r="A214" s="93" t="s">
        <v>3668</v>
      </c>
      <c r="B214" s="1" t="s">
        <v>1469</v>
      </c>
      <c r="C214" s="1" t="s">
        <v>4175</v>
      </c>
      <c r="D214" s="1" t="s">
        <v>3669</v>
      </c>
      <c r="E214" t="s">
        <v>4077</v>
      </c>
      <c r="F214" t="s">
        <v>4076</v>
      </c>
      <c r="G214">
        <v>307.48</v>
      </c>
      <c r="H214">
        <v>26394</v>
      </c>
    </row>
    <row r="215" spans="1:8" hidden="1" x14ac:dyDescent="0.4">
      <c r="A215" s="93" t="s">
        <v>3668</v>
      </c>
      <c r="B215" s="1" t="s">
        <v>1469</v>
      </c>
      <c r="C215" s="1" t="s">
        <v>4175</v>
      </c>
      <c r="D215" s="1" t="s">
        <v>3669</v>
      </c>
      <c r="E215" t="s">
        <v>4075</v>
      </c>
      <c r="F215" t="s">
        <v>4074</v>
      </c>
      <c r="G215">
        <v>542.85</v>
      </c>
      <c r="H215">
        <v>41055</v>
      </c>
    </row>
    <row r="216" spans="1:8" hidden="1" x14ac:dyDescent="0.4">
      <c r="A216" s="93" t="s">
        <v>3668</v>
      </c>
      <c r="B216" s="1" t="s">
        <v>1469</v>
      </c>
      <c r="C216" s="1" t="s">
        <v>4175</v>
      </c>
      <c r="D216" s="1" t="s">
        <v>3669</v>
      </c>
      <c r="E216" t="s">
        <v>3981</v>
      </c>
      <c r="F216" t="s">
        <v>1969</v>
      </c>
      <c r="G216">
        <v>0</v>
      </c>
      <c r="H216">
        <v>0</v>
      </c>
    </row>
    <row r="217" spans="1:8" hidden="1" x14ac:dyDescent="0.4">
      <c r="A217" s="93" t="s">
        <v>3668</v>
      </c>
      <c r="B217" s="1" t="s">
        <v>1469</v>
      </c>
      <c r="C217" s="1" t="s">
        <v>4175</v>
      </c>
      <c r="D217" s="1" t="s">
        <v>3669</v>
      </c>
      <c r="E217" t="s">
        <v>3980</v>
      </c>
      <c r="F217" t="s">
        <v>3979</v>
      </c>
      <c r="G217">
        <v>472.5</v>
      </c>
      <c r="H217">
        <v>28917</v>
      </c>
    </row>
    <row r="218" spans="1:8" hidden="1" x14ac:dyDescent="0.4">
      <c r="A218" s="93" t="s">
        <v>3668</v>
      </c>
      <c r="B218" s="1" t="s">
        <v>1469</v>
      </c>
      <c r="C218" s="1" t="s">
        <v>4175</v>
      </c>
      <c r="D218" s="1" t="s">
        <v>3669</v>
      </c>
      <c r="E218" t="s">
        <v>3978</v>
      </c>
      <c r="F218" t="s">
        <v>3977</v>
      </c>
      <c r="G218">
        <v>517.4</v>
      </c>
      <c r="H218">
        <v>40615</v>
      </c>
    </row>
    <row r="219" spans="1:8" hidden="1" x14ac:dyDescent="0.4">
      <c r="A219" s="93" t="s">
        <v>3668</v>
      </c>
      <c r="B219" s="1" t="s">
        <v>1469</v>
      </c>
      <c r="C219" s="1" t="s">
        <v>4175</v>
      </c>
      <c r="D219" s="1" t="s">
        <v>3669</v>
      </c>
      <c r="E219" t="s">
        <v>4073</v>
      </c>
      <c r="F219" t="s">
        <v>4072</v>
      </c>
      <c r="G219">
        <v>1710</v>
      </c>
      <c r="H219">
        <v>140972</v>
      </c>
    </row>
    <row r="220" spans="1:8" hidden="1" x14ac:dyDescent="0.4">
      <c r="A220" s="93" t="s">
        <v>3668</v>
      </c>
      <c r="B220" s="1" t="s">
        <v>1469</v>
      </c>
      <c r="C220" s="1" t="s">
        <v>4175</v>
      </c>
      <c r="D220" s="1" t="s">
        <v>3669</v>
      </c>
      <c r="E220" t="s">
        <v>3976</v>
      </c>
      <c r="F220" t="s">
        <v>3975</v>
      </c>
      <c r="G220">
        <v>234.5</v>
      </c>
      <c r="H220">
        <v>72695</v>
      </c>
    </row>
    <row r="221" spans="1:8" hidden="1" x14ac:dyDescent="0.4">
      <c r="A221" s="93" t="s">
        <v>3668</v>
      </c>
      <c r="B221" s="1" t="s">
        <v>1469</v>
      </c>
      <c r="C221" s="1" t="s">
        <v>4175</v>
      </c>
      <c r="D221" s="1" t="s">
        <v>3669</v>
      </c>
      <c r="E221" t="s">
        <v>4071</v>
      </c>
      <c r="F221" t="s">
        <v>4070</v>
      </c>
      <c r="G221">
        <v>960</v>
      </c>
      <c r="H221">
        <v>162316</v>
      </c>
    </row>
    <row r="222" spans="1:8" hidden="1" x14ac:dyDescent="0.4">
      <c r="A222" s="93" t="s">
        <v>3668</v>
      </c>
      <c r="B222" s="1" t="s">
        <v>1469</v>
      </c>
      <c r="C222" s="1" t="s">
        <v>4175</v>
      </c>
      <c r="D222" s="1" t="s">
        <v>3669</v>
      </c>
      <c r="E222" t="s">
        <v>3974</v>
      </c>
      <c r="F222" t="s">
        <v>2004</v>
      </c>
      <c r="G222">
        <v>3043.92</v>
      </c>
      <c r="H222">
        <v>432105</v>
      </c>
    </row>
    <row r="223" spans="1:8" hidden="1" x14ac:dyDescent="0.4">
      <c r="A223" s="93" t="s">
        <v>3668</v>
      </c>
      <c r="B223" s="1" t="s">
        <v>1469</v>
      </c>
      <c r="C223" s="1" t="s">
        <v>4175</v>
      </c>
      <c r="D223" s="1" t="s">
        <v>3669</v>
      </c>
      <c r="E223" t="s">
        <v>3973</v>
      </c>
      <c r="F223" t="s">
        <v>3972</v>
      </c>
      <c r="G223">
        <v>2940.3</v>
      </c>
      <c r="H223">
        <v>192559</v>
      </c>
    </row>
    <row r="224" spans="1:8" hidden="1" x14ac:dyDescent="0.4">
      <c r="A224" s="93" t="s">
        <v>3668</v>
      </c>
      <c r="B224" s="1" t="s">
        <v>1469</v>
      </c>
      <c r="C224" s="1" t="s">
        <v>4175</v>
      </c>
      <c r="D224" s="1" t="s">
        <v>3669</v>
      </c>
      <c r="E224" t="s">
        <v>3971</v>
      </c>
      <c r="F224" t="s">
        <v>3970</v>
      </c>
      <c r="G224">
        <v>1986</v>
      </c>
      <c r="H224">
        <v>191928</v>
      </c>
    </row>
    <row r="225" spans="1:8" hidden="1" x14ac:dyDescent="0.4">
      <c r="A225" s="93" t="s">
        <v>3668</v>
      </c>
      <c r="B225" s="1" t="s">
        <v>1469</v>
      </c>
      <c r="C225" s="1" t="s">
        <v>4175</v>
      </c>
      <c r="D225" s="1" t="s">
        <v>3669</v>
      </c>
      <c r="E225" t="s">
        <v>4069</v>
      </c>
      <c r="F225" t="s">
        <v>4068</v>
      </c>
      <c r="G225">
        <v>445.5</v>
      </c>
      <c r="H225">
        <v>35640</v>
      </c>
    </row>
    <row r="226" spans="1:8" hidden="1" x14ac:dyDescent="0.4">
      <c r="A226" s="93" t="s">
        <v>3668</v>
      </c>
      <c r="B226" s="1" t="s">
        <v>1469</v>
      </c>
      <c r="C226" s="1" t="s">
        <v>4175</v>
      </c>
      <c r="D226" s="1" t="s">
        <v>3669</v>
      </c>
      <c r="E226" t="s">
        <v>3969</v>
      </c>
      <c r="F226" t="s">
        <v>2003</v>
      </c>
      <c r="G226">
        <v>9528.1200000000008</v>
      </c>
      <c r="H226">
        <v>1152833</v>
      </c>
    </row>
    <row r="227" spans="1:8" hidden="1" x14ac:dyDescent="0.4">
      <c r="A227" s="93" t="s">
        <v>3668</v>
      </c>
      <c r="B227" s="1" t="s">
        <v>1469</v>
      </c>
      <c r="C227" s="1" t="s">
        <v>4175</v>
      </c>
      <c r="D227" s="1" t="s">
        <v>3669</v>
      </c>
      <c r="E227" t="s">
        <v>4067</v>
      </c>
      <c r="F227" t="s">
        <v>2002</v>
      </c>
      <c r="G227">
        <v>1383.3</v>
      </c>
      <c r="H227">
        <v>87024</v>
      </c>
    </row>
    <row r="228" spans="1:8" hidden="1" x14ac:dyDescent="0.4">
      <c r="A228" s="93" t="s">
        <v>3668</v>
      </c>
      <c r="B228" s="1" t="s">
        <v>1469</v>
      </c>
      <c r="C228" s="1" t="s">
        <v>4175</v>
      </c>
      <c r="D228" s="1" t="s">
        <v>3669</v>
      </c>
      <c r="E228" t="s">
        <v>3968</v>
      </c>
      <c r="F228" t="s">
        <v>3967</v>
      </c>
      <c r="G228">
        <v>2488.65</v>
      </c>
      <c r="H228">
        <v>226797</v>
      </c>
    </row>
    <row r="229" spans="1:8" hidden="1" x14ac:dyDescent="0.4">
      <c r="A229" s="93" t="s">
        <v>3668</v>
      </c>
      <c r="B229" s="1" t="s">
        <v>1469</v>
      </c>
      <c r="C229" s="1" t="s">
        <v>4175</v>
      </c>
      <c r="D229" s="1" t="s">
        <v>3669</v>
      </c>
      <c r="E229" t="s">
        <v>3966</v>
      </c>
      <c r="F229" t="s">
        <v>3965</v>
      </c>
      <c r="G229">
        <v>3461.05</v>
      </c>
      <c r="H229">
        <v>473921</v>
      </c>
    </row>
    <row r="230" spans="1:8" hidden="1" x14ac:dyDescent="0.4">
      <c r="A230" s="93" t="s">
        <v>3668</v>
      </c>
      <c r="B230" s="1" t="s">
        <v>1469</v>
      </c>
      <c r="C230" s="1" t="s">
        <v>4175</v>
      </c>
      <c r="D230" s="1" t="s">
        <v>3669</v>
      </c>
      <c r="E230" t="s">
        <v>4066</v>
      </c>
      <c r="F230" t="s">
        <v>4065</v>
      </c>
      <c r="G230">
        <v>800</v>
      </c>
      <c r="H230">
        <v>0</v>
      </c>
    </row>
    <row r="231" spans="1:8" hidden="1" x14ac:dyDescent="0.4">
      <c r="A231" s="93" t="s">
        <v>3668</v>
      </c>
      <c r="B231" s="1" t="s">
        <v>1469</v>
      </c>
      <c r="C231" s="1" t="s">
        <v>4175</v>
      </c>
      <c r="D231" s="1" t="s">
        <v>3669</v>
      </c>
      <c r="E231" t="s">
        <v>3964</v>
      </c>
      <c r="F231" t="s">
        <v>3963</v>
      </c>
      <c r="G231">
        <v>734.4</v>
      </c>
      <c r="H231">
        <v>94036</v>
      </c>
    </row>
    <row r="232" spans="1:8" hidden="1" x14ac:dyDescent="0.4">
      <c r="A232" s="93" t="s">
        <v>3668</v>
      </c>
      <c r="B232" s="1" t="s">
        <v>1469</v>
      </c>
      <c r="C232" s="1" t="s">
        <v>4175</v>
      </c>
      <c r="D232" s="1" t="s">
        <v>3669</v>
      </c>
      <c r="E232" t="s">
        <v>3962</v>
      </c>
      <c r="F232" t="s">
        <v>3961</v>
      </c>
      <c r="G232">
        <v>173.25</v>
      </c>
      <c r="H232">
        <v>16145</v>
      </c>
    </row>
    <row r="233" spans="1:8" hidden="1" x14ac:dyDescent="0.4">
      <c r="A233" s="93" t="s">
        <v>3668</v>
      </c>
      <c r="B233" s="1" t="s">
        <v>1469</v>
      </c>
      <c r="C233" s="1" t="s">
        <v>4175</v>
      </c>
      <c r="D233" s="1" t="s">
        <v>3669</v>
      </c>
      <c r="E233" t="s">
        <v>3960</v>
      </c>
      <c r="F233" t="s">
        <v>3959</v>
      </c>
      <c r="G233">
        <v>6100.27</v>
      </c>
      <c r="H233">
        <v>734335</v>
      </c>
    </row>
    <row r="234" spans="1:8" hidden="1" x14ac:dyDescent="0.4">
      <c r="A234" s="93" t="s">
        <v>3668</v>
      </c>
      <c r="B234" s="1" t="s">
        <v>1469</v>
      </c>
      <c r="C234" s="1" t="s">
        <v>4175</v>
      </c>
      <c r="D234" s="1" t="s">
        <v>3669</v>
      </c>
      <c r="E234" t="s">
        <v>4064</v>
      </c>
      <c r="F234" t="s">
        <v>4063</v>
      </c>
      <c r="G234">
        <v>79080.95</v>
      </c>
      <c r="H234">
        <v>7188680</v>
      </c>
    </row>
    <row r="235" spans="1:8" hidden="1" x14ac:dyDescent="0.4">
      <c r="A235" s="93" t="s">
        <v>3668</v>
      </c>
      <c r="B235" s="1" t="s">
        <v>1469</v>
      </c>
      <c r="C235" s="1" t="s">
        <v>4175</v>
      </c>
      <c r="D235" s="1" t="s">
        <v>3669</v>
      </c>
      <c r="E235" t="s">
        <v>3958</v>
      </c>
      <c r="F235" t="s">
        <v>2009</v>
      </c>
      <c r="G235">
        <v>104429</v>
      </c>
      <c r="H235">
        <v>10580198</v>
      </c>
    </row>
    <row r="236" spans="1:8" hidden="1" x14ac:dyDescent="0.4">
      <c r="A236" s="93" t="s">
        <v>3668</v>
      </c>
      <c r="B236" s="1" t="s">
        <v>1469</v>
      </c>
      <c r="C236" s="1" t="s">
        <v>4175</v>
      </c>
      <c r="D236" s="1" t="s">
        <v>3669</v>
      </c>
      <c r="E236" t="s">
        <v>4062</v>
      </c>
      <c r="F236" t="s">
        <v>2012</v>
      </c>
      <c r="G236">
        <v>19557.59</v>
      </c>
      <c r="H236">
        <v>2662961</v>
      </c>
    </row>
    <row r="237" spans="1:8" hidden="1" x14ac:dyDescent="0.4">
      <c r="A237" s="93" t="s">
        <v>3668</v>
      </c>
      <c r="B237" s="1" t="s">
        <v>1469</v>
      </c>
      <c r="C237" s="1" t="s">
        <v>4175</v>
      </c>
      <c r="D237" s="1" t="s">
        <v>3669</v>
      </c>
      <c r="E237" t="s">
        <v>4061</v>
      </c>
      <c r="F237" t="s">
        <v>4060</v>
      </c>
      <c r="G237">
        <v>1842</v>
      </c>
      <c r="H237">
        <v>244525</v>
      </c>
    </row>
    <row r="238" spans="1:8" hidden="1" x14ac:dyDescent="0.4">
      <c r="A238" s="93" t="s">
        <v>3668</v>
      </c>
      <c r="B238" s="1" t="s">
        <v>1469</v>
      </c>
      <c r="C238" s="1" t="s">
        <v>4175</v>
      </c>
      <c r="D238" s="1" t="s">
        <v>3669</v>
      </c>
      <c r="E238" t="s">
        <v>4059</v>
      </c>
      <c r="F238" t="s">
        <v>4058</v>
      </c>
      <c r="G238">
        <v>9423.2999999999993</v>
      </c>
      <c r="H238">
        <v>1421458</v>
      </c>
    </row>
    <row r="239" spans="1:8" hidden="1" x14ac:dyDescent="0.4">
      <c r="A239" s="93" t="s">
        <v>3668</v>
      </c>
      <c r="B239" s="1" t="s">
        <v>1469</v>
      </c>
      <c r="C239" s="1" t="s">
        <v>4175</v>
      </c>
      <c r="D239" s="1" t="s">
        <v>3669</v>
      </c>
      <c r="E239" t="s">
        <v>4057</v>
      </c>
      <c r="F239" t="s">
        <v>2014</v>
      </c>
      <c r="G239">
        <v>6061.41</v>
      </c>
      <c r="H239">
        <v>672462</v>
      </c>
    </row>
    <row r="240" spans="1:8" hidden="1" x14ac:dyDescent="0.4">
      <c r="A240" s="93" t="s">
        <v>3668</v>
      </c>
      <c r="B240" s="1" t="s">
        <v>1469</v>
      </c>
      <c r="C240" s="1" t="s">
        <v>4175</v>
      </c>
      <c r="D240" s="1" t="s">
        <v>3669</v>
      </c>
      <c r="E240" t="s">
        <v>4056</v>
      </c>
      <c r="F240" t="s">
        <v>4055</v>
      </c>
      <c r="G240">
        <v>9011.6</v>
      </c>
      <c r="H240">
        <v>1333356</v>
      </c>
    </row>
    <row r="241" spans="1:8" hidden="1" x14ac:dyDescent="0.4">
      <c r="A241" s="93" t="s">
        <v>3668</v>
      </c>
      <c r="B241" s="1" t="s">
        <v>1469</v>
      </c>
      <c r="C241" s="1" t="s">
        <v>4175</v>
      </c>
      <c r="D241" s="1" t="s">
        <v>3669</v>
      </c>
      <c r="E241" t="s">
        <v>3957</v>
      </c>
      <c r="F241" t="s">
        <v>3956</v>
      </c>
      <c r="G241">
        <v>2901.6</v>
      </c>
      <c r="H241">
        <v>350455</v>
      </c>
    </row>
    <row r="242" spans="1:8" hidden="1" x14ac:dyDescent="0.4">
      <c r="A242" s="93" t="s">
        <v>3668</v>
      </c>
      <c r="B242" s="1" t="s">
        <v>1469</v>
      </c>
      <c r="C242" s="1" t="s">
        <v>4175</v>
      </c>
      <c r="D242" s="1" t="s">
        <v>3669</v>
      </c>
      <c r="E242" t="s">
        <v>3760</v>
      </c>
      <c r="F242" t="s">
        <v>1956</v>
      </c>
      <c r="G242">
        <v>2818.88</v>
      </c>
      <c r="H242">
        <v>789260</v>
      </c>
    </row>
    <row r="243" spans="1:8" hidden="1" x14ac:dyDescent="0.4">
      <c r="A243" s="93" t="s">
        <v>3668</v>
      </c>
      <c r="B243" s="1" t="s">
        <v>1469</v>
      </c>
      <c r="C243" s="1" t="s">
        <v>4175</v>
      </c>
      <c r="D243" s="1" t="s">
        <v>3669</v>
      </c>
      <c r="E243" t="s">
        <v>3955</v>
      </c>
      <c r="F243" t="s">
        <v>3954</v>
      </c>
      <c r="G243">
        <v>1377.12</v>
      </c>
      <c r="H243">
        <v>108627</v>
      </c>
    </row>
    <row r="244" spans="1:8" hidden="1" x14ac:dyDescent="0.4">
      <c r="A244" s="93" t="s">
        <v>3668</v>
      </c>
      <c r="B244" s="1" t="s">
        <v>1469</v>
      </c>
      <c r="C244" s="1" t="s">
        <v>4175</v>
      </c>
      <c r="D244" s="1" t="s">
        <v>3669</v>
      </c>
      <c r="E244" t="s">
        <v>3953</v>
      </c>
      <c r="F244" t="s">
        <v>3952</v>
      </c>
      <c r="G244">
        <v>2846</v>
      </c>
      <c r="H244">
        <v>215432</v>
      </c>
    </row>
    <row r="245" spans="1:8" hidden="1" x14ac:dyDescent="0.4">
      <c r="A245" s="93" t="s">
        <v>3668</v>
      </c>
      <c r="B245" s="1" t="s">
        <v>1469</v>
      </c>
      <c r="C245" s="1" t="s">
        <v>4175</v>
      </c>
      <c r="D245" s="1" t="s">
        <v>3669</v>
      </c>
      <c r="E245" t="s">
        <v>4054</v>
      </c>
      <c r="F245" t="s">
        <v>4053</v>
      </c>
      <c r="G245">
        <v>3</v>
      </c>
      <c r="H245">
        <v>2067</v>
      </c>
    </row>
    <row r="246" spans="1:8" hidden="1" x14ac:dyDescent="0.4">
      <c r="A246" s="93" t="s">
        <v>3668</v>
      </c>
      <c r="B246" s="1" t="s">
        <v>1469</v>
      </c>
      <c r="C246" s="1" t="s">
        <v>4175</v>
      </c>
      <c r="D246" s="1" t="s">
        <v>3669</v>
      </c>
      <c r="E246" t="s">
        <v>4052</v>
      </c>
      <c r="F246" t="s">
        <v>4051</v>
      </c>
      <c r="G246">
        <v>112.23</v>
      </c>
      <c r="H246">
        <v>20476</v>
      </c>
    </row>
    <row r="247" spans="1:8" hidden="1" x14ac:dyDescent="0.4">
      <c r="A247" s="93" t="s">
        <v>3668</v>
      </c>
      <c r="B247" s="1" t="s">
        <v>1469</v>
      </c>
      <c r="C247" s="1" t="s">
        <v>4175</v>
      </c>
      <c r="D247" s="1" t="s">
        <v>3669</v>
      </c>
      <c r="E247" t="s">
        <v>4050</v>
      </c>
      <c r="F247" t="s">
        <v>4049</v>
      </c>
      <c r="G247">
        <v>54.87</v>
      </c>
      <c r="H247">
        <v>239181</v>
      </c>
    </row>
    <row r="248" spans="1:8" hidden="1" x14ac:dyDescent="0.4">
      <c r="A248" s="93" t="s">
        <v>3668</v>
      </c>
      <c r="B248" s="1" t="s">
        <v>1469</v>
      </c>
      <c r="C248" s="1" t="s">
        <v>4175</v>
      </c>
      <c r="D248" s="1" t="s">
        <v>3669</v>
      </c>
      <c r="E248" t="s">
        <v>4048</v>
      </c>
      <c r="F248" t="s">
        <v>4047</v>
      </c>
      <c r="G248">
        <v>1200</v>
      </c>
      <c r="H248">
        <v>462708</v>
      </c>
    </row>
    <row r="249" spans="1:8" hidden="1" x14ac:dyDescent="0.4">
      <c r="A249" s="93" t="s">
        <v>3668</v>
      </c>
      <c r="B249" s="1" t="s">
        <v>1469</v>
      </c>
      <c r="C249" s="1" t="s">
        <v>4175</v>
      </c>
      <c r="D249" s="1" t="s">
        <v>3669</v>
      </c>
      <c r="E249" t="s">
        <v>4046</v>
      </c>
      <c r="F249" t="s">
        <v>4045</v>
      </c>
      <c r="G249">
        <v>84</v>
      </c>
      <c r="H249">
        <v>0</v>
      </c>
    </row>
    <row r="250" spans="1:8" hidden="1" x14ac:dyDescent="0.4">
      <c r="A250" s="93" t="s">
        <v>3668</v>
      </c>
      <c r="B250" s="1" t="s">
        <v>1469</v>
      </c>
      <c r="C250" s="1" t="s">
        <v>4175</v>
      </c>
      <c r="D250" s="1" t="s">
        <v>3669</v>
      </c>
      <c r="E250" t="s">
        <v>4044</v>
      </c>
      <c r="F250" t="s">
        <v>2015</v>
      </c>
      <c r="G250">
        <v>629.79999999999995</v>
      </c>
      <c r="H250">
        <v>152414</v>
      </c>
    </row>
    <row r="251" spans="1:8" hidden="1" x14ac:dyDescent="0.4">
      <c r="A251" s="93" t="s">
        <v>3668</v>
      </c>
      <c r="B251" s="1" t="s">
        <v>1469</v>
      </c>
      <c r="C251" s="1" t="s">
        <v>4175</v>
      </c>
      <c r="D251" s="1" t="s">
        <v>3669</v>
      </c>
      <c r="E251" t="s">
        <v>3951</v>
      </c>
      <c r="F251" t="s">
        <v>3950</v>
      </c>
      <c r="G251">
        <v>1853.69</v>
      </c>
      <c r="H251">
        <v>1006423</v>
      </c>
    </row>
    <row r="252" spans="1:8" hidden="1" x14ac:dyDescent="0.4">
      <c r="A252" s="93" t="s">
        <v>3668</v>
      </c>
      <c r="B252" s="1" t="s">
        <v>1469</v>
      </c>
      <c r="C252" s="1" t="s">
        <v>4175</v>
      </c>
      <c r="D252" s="1" t="s">
        <v>3669</v>
      </c>
      <c r="E252" t="s">
        <v>3949</v>
      </c>
      <c r="F252" t="s">
        <v>3948</v>
      </c>
      <c r="G252">
        <v>120.87</v>
      </c>
      <c r="H252">
        <v>87483</v>
      </c>
    </row>
    <row r="253" spans="1:8" hidden="1" x14ac:dyDescent="0.4">
      <c r="A253" s="93" t="s">
        <v>3668</v>
      </c>
      <c r="B253" s="1" t="s">
        <v>1469</v>
      </c>
      <c r="C253" s="1" t="s">
        <v>4175</v>
      </c>
      <c r="D253" s="1" t="s">
        <v>3669</v>
      </c>
      <c r="E253" t="s">
        <v>3947</v>
      </c>
      <c r="F253" t="s">
        <v>3946</v>
      </c>
      <c r="G253">
        <v>200</v>
      </c>
      <c r="H253">
        <v>68512</v>
      </c>
    </row>
    <row r="254" spans="1:8" hidden="1" x14ac:dyDescent="0.4">
      <c r="A254" s="93" t="s">
        <v>3668</v>
      </c>
      <c r="B254" s="1" t="s">
        <v>1469</v>
      </c>
      <c r="C254" s="1" t="s">
        <v>4175</v>
      </c>
      <c r="D254" s="1" t="s">
        <v>3669</v>
      </c>
      <c r="E254" t="s">
        <v>4043</v>
      </c>
      <c r="F254" t="s">
        <v>2019</v>
      </c>
      <c r="G254">
        <v>3044.22</v>
      </c>
      <c r="H254">
        <v>1382046</v>
      </c>
    </row>
    <row r="255" spans="1:8" hidden="1" x14ac:dyDescent="0.4">
      <c r="A255" s="93" t="s">
        <v>3668</v>
      </c>
      <c r="B255" s="1" t="s">
        <v>1469</v>
      </c>
      <c r="C255" s="1" t="s">
        <v>4175</v>
      </c>
      <c r="D255" s="1" t="s">
        <v>3669</v>
      </c>
      <c r="E255" t="s">
        <v>4042</v>
      </c>
      <c r="F255" t="s">
        <v>4041</v>
      </c>
      <c r="G255">
        <v>3118.5</v>
      </c>
      <c r="H255">
        <v>145914</v>
      </c>
    </row>
    <row r="256" spans="1:8" hidden="1" x14ac:dyDescent="0.4">
      <c r="A256" s="93" t="s">
        <v>3668</v>
      </c>
      <c r="B256" s="1" t="s">
        <v>1469</v>
      </c>
      <c r="C256" s="1" t="s">
        <v>4175</v>
      </c>
      <c r="D256" s="1" t="s">
        <v>3669</v>
      </c>
      <c r="E256" t="s">
        <v>3945</v>
      </c>
      <c r="F256" t="s">
        <v>3944</v>
      </c>
      <c r="G256">
        <v>333.57</v>
      </c>
      <c r="H256">
        <v>6227</v>
      </c>
    </row>
    <row r="257" spans="1:8" hidden="1" x14ac:dyDescent="0.4">
      <c r="A257" s="93" t="s">
        <v>3668</v>
      </c>
      <c r="B257" s="1" t="s">
        <v>1469</v>
      </c>
      <c r="C257" s="1" t="s">
        <v>4175</v>
      </c>
      <c r="D257" s="1" t="s">
        <v>3669</v>
      </c>
      <c r="E257" t="s">
        <v>3943</v>
      </c>
      <c r="F257" t="s">
        <v>3942</v>
      </c>
      <c r="G257">
        <v>15209.6</v>
      </c>
      <c r="H257">
        <v>141905</v>
      </c>
    </row>
    <row r="258" spans="1:8" hidden="1" x14ac:dyDescent="0.4">
      <c r="A258" s="93" t="s">
        <v>3668</v>
      </c>
      <c r="B258" s="1" t="s">
        <v>1469</v>
      </c>
      <c r="C258" s="1" t="s">
        <v>4175</v>
      </c>
      <c r="D258" s="1" t="s">
        <v>3669</v>
      </c>
      <c r="E258" t="s">
        <v>3941</v>
      </c>
      <c r="F258" t="s">
        <v>2018</v>
      </c>
      <c r="G258">
        <v>3418.01</v>
      </c>
      <c r="H258">
        <v>102541</v>
      </c>
    </row>
    <row r="259" spans="1:8" hidden="1" x14ac:dyDescent="0.4">
      <c r="A259" s="93" t="s">
        <v>3668</v>
      </c>
      <c r="B259" s="1" t="s">
        <v>1469</v>
      </c>
      <c r="C259" s="1" t="s">
        <v>4175</v>
      </c>
      <c r="D259" s="1" t="s">
        <v>3669</v>
      </c>
      <c r="E259" t="s">
        <v>4040</v>
      </c>
      <c r="F259" t="s">
        <v>1965</v>
      </c>
      <c r="G259">
        <v>0</v>
      </c>
      <c r="H259">
        <v>0</v>
      </c>
    </row>
    <row r="260" spans="1:8" hidden="1" x14ac:dyDescent="0.4">
      <c r="A260" s="93" t="s">
        <v>3668</v>
      </c>
      <c r="B260" s="1" t="s">
        <v>1469</v>
      </c>
      <c r="C260" s="1" t="s">
        <v>4175</v>
      </c>
      <c r="D260" s="1" t="s">
        <v>3669</v>
      </c>
      <c r="E260" t="s">
        <v>4039</v>
      </c>
      <c r="F260" t="s">
        <v>1987</v>
      </c>
      <c r="G260">
        <v>66.05</v>
      </c>
      <c r="H260">
        <v>111176</v>
      </c>
    </row>
    <row r="261" spans="1:8" hidden="1" x14ac:dyDescent="0.4">
      <c r="A261" s="93" t="s">
        <v>3668</v>
      </c>
      <c r="B261" s="1" t="s">
        <v>1469</v>
      </c>
      <c r="C261" s="1" t="s">
        <v>4175</v>
      </c>
      <c r="D261" s="1" t="s">
        <v>3669</v>
      </c>
      <c r="E261" t="s">
        <v>3939</v>
      </c>
      <c r="F261" t="s">
        <v>1967</v>
      </c>
      <c r="G261">
        <v>0</v>
      </c>
      <c r="H261">
        <v>0</v>
      </c>
    </row>
    <row r="262" spans="1:8" hidden="1" x14ac:dyDescent="0.4">
      <c r="A262" s="93" t="s">
        <v>3668</v>
      </c>
      <c r="B262" s="1" t="s">
        <v>1469</v>
      </c>
      <c r="C262" s="1" t="s">
        <v>4175</v>
      </c>
      <c r="D262" s="1" t="s">
        <v>3669</v>
      </c>
      <c r="E262" t="s">
        <v>3808</v>
      </c>
      <c r="F262" t="s">
        <v>1968</v>
      </c>
      <c r="G262">
        <v>0</v>
      </c>
      <c r="H262">
        <v>0</v>
      </c>
    </row>
    <row r="263" spans="1:8" hidden="1" x14ac:dyDescent="0.4">
      <c r="A263" s="93" t="s">
        <v>3668</v>
      </c>
      <c r="B263" s="1" t="s">
        <v>1469</v>
      </c>
      <c r="C263" s="1" t="s">
        <v>4175</v>
      </c>
      <c r="D263" s="1" t="s">
        <v>3669</v>
      </c>
      <c r="E263" t="s">
        <v>3809</v>
      </c>
      <c r="F263" t="s">
        <v>1991</v>
      </c>
      <c r="G263">
        <v>0</v>
      </c>
      <c r="H263">
        <v>0</v>
      </c>
    </row>
    <row r="264" spans="1:8" hidden="1" x14ac:dyDescent="0.4">
      <c r="A264" s="93" t="s">
        <v>3668</v>
      </c>
      <c r="B264" s="1" t="s">
        <v>1469</v>
      </c>
      <c r="C264" s="1" t="s">
        <v>4175</v>
      </c>
      <c r="D264" s="1" t="s">
        <v>3669</v>
      </c>
      <c r="E264" t="s">
        <v>3810</v>
      </c>
      <c r="F264" t="s">
        <v>1990</v>
      </c>
      <c r="G264">
        <v>0</v>
      </c>
      <c r="H264">
        <v>0</v>
      </c>
    </row>
    <row r="265" spans="1:8" hidden="1" x14ac:dyDescent="0.4">
      <c r="A265" s="93" t="s">
        <v>3668</v>
      </c>
      <c r="B265" s="1" t="s">
        <v>1469</v>
      </c>
      <c r="C265" s="1" t="s">
        <v>4175</v>
      </c>
      <c r="D265" s="1" t="s">
        <v>3669</v>
      </c>
      <c r="E265" t="s">
        <v>3811</v>
      </c>
      <c r="F265" t="s">
        <v>1972</v>
      </c>
      <c r="G265">
        <v>0</v>
      </c>
      <c r="H265">
        <v>0</v>
      </c>
    </row>
    <row r="266" spans="1:8" hidden="1" x14ac:dyDescent="0.4">
      <c r="A266" s="93" t="s">
        <v>3668</v>
      </c>
      <c r="B266" s="1" t="s">
        <v>1469</v>
      </c>
      <c r="C266" s="1" t="s">
        <v>4175</v>
      </c>
      <c r="D266" s="1" t="s">
        <v>3669</v>
      </c>
      <c r="E266" t="s">
        <v>4038</v>
      </c>
      <c r="F266" t="s">
        <v>2020</v>
      </c>
      <c r="G266">
        <v>1287.2</v>
      </c>
      <c r="H266">
        <v>2123880</v>
      </c>
    </row>
    <row r="267" spans="1:8" hidden="1" x14ac:dyDescent="0.4">
      <c r="A267" s="93" t="s">
        <v>3668</v>
      </c>
      <c r="B267" s="1" t="s">
        <v>1469</v>
      </c>
      <c r="C267" s="1" t="s">
        <v>4175</v>
      </c>
      <c r="D267" s="1" t="s">
        <v>3669</v>
      </c>
      <c r="E267" t="s">
        <v>4037</v>
      </c>
      <c r="F267" t="s">
        <v>1962</v>
      </c>
      <c r="G267">
        <v>0</v>
      </c>
      <c r="H267">
        <v>0</v>
      </c>
    </row>
    <row r="268" spans="1:8" hidden="1" x14ac:dyDescent="0.4">
      <c r="A268" s="93" t="s">
        <v>3668</v>
      </c>
      <c r="B268" s="1" t="s">
        <v>1469</v>
      </c>
      <c r="C268" s="1" t="s">
        <v>4175</v>
      </c>
      <c r="D268" s="1" t="s">
        <v>3669</v>
      </c>
      <c r="E268" t="s">
        <v>4036</v>
      </c>
      <c r="F268" t="s">
        <v>1961</v>
      </c>
      <c r="G268">
        <v>0</v>
      </c>
      <c r="H268">
        <v>0</v>
      </c>
    </row>
    <row r="269" spans="1:8" hidden="1" x14ac:dyDescent="0.4">
      <c r="A269" s="93" t="s">
        <v>3668</v>
      </c>
      <c r="B269" s="1" t="s">
        <v>1469</v>
      </c>
      <c r="C269" s="1" t="s">
        <v>4175</v>
      </c>
      <c r="D269" s="1" t="s">
        <v>3669</v>
      </c>
      <c r="E269" t="s">
        <v>4036</v>
      </c>
      <c r="F269" t="s">
        <v>1961</v>
      </c>
      <c r="G269">
        <v>0</v>
      </c>
      <c r="H269">
        <v>0</v>
      </c>
    </row>
    <row r="270" spans="1:8" hidden="1" x14ac:dyDescent="0.4">
      <c r="A270" s="93" t="s">
        <v>3668</v>
      </c>
      <c r="B270" s="1" t="s">
        <v>1469</v>
      </c>
      <c r="C270" s="1" t="s">
        <v>4175</v>
      </c>
      <c r="D270" s="1" t="s">
        <v>3669</v>
      </c>
      <c r="E270" t="s">
        <v>3934</v>
      </c>
      <c r="F270" t="s">
        <v>1959</v>
      </c>
      <c r="G270">
        <v>0</v>
      </c>
      <c r="H270">
        <v>0</v>
      </c>
    </row>
    <row r="271" spans="1:8" hidden="1" x14ac:dyDescent="0.4">
      <c r="A271" s="93" t="s">
        <v>3668</v>
      </c>
      <c r="B271" s="1" t="s">
        <v>1469</v>
      </c>
      <c r="C271" s="1" t="s">
        <v>4175</v>
      </c>
      <c r="D271" s="1" t="s">
        <v>3669</v>
      </c>
      <c r="E271" t="s">
        <v>3934</v>
      </c>
      <c r="F271" t="s">
        <v>1959</v>
      </c>
      <c r="G271">
        <v>0</v>
      </c>
      <c r="H271">
        <v>0</v>
      </c>
    </row>
    <row r="272" spans="1:8" hidden="1" x14ac:dyDescent="0.4">
      <c r="A272" s="93" t="s">
        <v>3668</v>
      </c>
      <c r="B272" s="1" t="s">
        <v>1469</v>
      </c>
      <c r="C272" s="1" t="s">
        <v>4175</v>
      </c>
      <c r="D272" s="1" t="s">
        <v>3669</v>
      </c>
      <c r="E272" t="s">
        <v>4035</v>
      </c>
      <c r="F272" t="s">
        <v>1963</v>
      </c>
      <c r="G272">
        <v>0</v>
      </c>
      <c r="H272">
        <v>0</v>
      </c>
    </row>
    <row r="273" spans="1:8" hidden="1" x14ac:dyDescent="0.4">
      <c r="A273" s="93" t="s">
        <v>3668</v>
      </c>
      <c r="B273" s="1" t="s">
        <v>1469</v>
      </c>
      <c r="C273" s="1" t="s">
        <v>4175</v>
      </c>
      <c r="D273" s="1" t="s">
        <v>3669</v>
      </c>
      <c r="E273" t="s">
        <v>4034</v>
      </c>
      <c r="F273" t="s">
        <v>1966</v>
      </c>
      <c r="G273">
        <v>1001</v>
      </c>
      <c r="H273">
        <v>1001000</v>
      </c>
    </row>
    <row r="274" spans="1:8" hidden="1" x14ac:dyDescent="0.4">
      <c r="A274" s="93" t="s">
        <v>3668</v>
      </c>
      <c r="B274" s="1" t="s">
        <v>1469</v>
      </c>
      <c r="C274" s="1" t="s">
        <v>4175</v>
      </c>
      <c r="D274" s="1" t="s">
        <v>3669</v>
      </c>
      <c r="E274" t="s">
        <v>3932</v>
      </c>
      <c r="F274" t="s">
        <v>1964</v>
      </c>
      <c r="G274">
        <v>0</v>
      </c>
      <c r="H274">
        <v>0</v>
      </c>
    </row>
    <row r="275" spans="1:8" hidden="1" x14ac:dyDescent="0.4">
      <c r="A275" s="93" t="s">
        <v>3668</v>
      </c>
      <c r="B275" s="1" t="s">
        <v>1469</v>
      </c>
      <c r="C275" s="1" t="s">
        <v>4175</v>
      </c>
      <c r="D275" s="1" t="s">
        <v>3669</v>
      </c>
      <c r="E275" t="s">
        <v>3762</v>
      </c>
      <c r="F275" t="s">
        <v>2008</v>
      </c>
      <c r="G275">
        <v>0</v>
      </c>
      <c r="H275">
        <v>0</v>
      </c>
    </row>
    <row r="276" spans="1:8" hidden="1" x14ac:dyDescent="0.4">
      <c r="A276" s="93" t="s">
        <v>3668</v>
      </c>
      <c r="B276" s="1" t="s">
        <v>1469</v>
      </c>
      <c r="C276" s="1" t="s">
        <v>4175</v>
      </c>
      <c r="D276" s="1" t="s">
        <v>3669</v>
      </c>
      <c r="E276" t="s">
        <v>3675</v>
      </c>
      <c r="F276" t="s">
        <v>1983</v>
      </c>
      <c r="G276">
        <v>0</v>
      </c>
      <c r="H276">
        <v>0</v>
      </c>
    </row>
    <row r="277" spans="1:8" hidden="1" x14ac:dyDescent="0.4">
      <c r="A277" s="93" t="s">
        <v>3668</v>
      </c>
      <c r="B277" s="1" t="s">
        <v>1469</v>
      </c>
      <c r="C277" s="1" t="s">
        <v>4175</v>
      </c>
      <c r="D277" s="1" t="s">
        <v>3669</v>
      </c>
      <c r="E277" t="s">
        <v>3677</v>
      </c>
      <c r="F277" t="s">
        <v>1957</v>
      </c>
      <c r="G277">
        <v>749.45</v>
      </c>
      <c r="H277">
        <v>745695</v>
      </c>
    </row>
    <row r="278" spans="1:8" hidden="1" x14ac:dyDescent="0.4">
      <c r="A278" s="93" t="s">
        <v>3668</v>
      </c>
      <c r="B278" s="1" t="s">
        <v>1469</v>
      </c>
      <c r="C278" s="1" t="s">
        <v>4175</v>
      </c>
      <c r="D278" s="1" t="s">
        <v>3669</v>
      </c>
      <c r="E278" t="s">
        <v>3678</v>
      </c>
      <c r="F278" t="s">
        <v>1985</v>
      </c>
      <c r="G278">
        <v>2057.8000000000002</v>
      </c>
      <c r="H278">
        <v>2778030</v>
      </c>
    </row>
    <row r="279" spans="1:8" hidden="1" x14ac:dyDescent="0.4">
      <c r="A279" s="93" t="s">
        <v>3668</v>
      </c>
      <c r="B279" s="1" t="s">
        <v>1469</v>
      </c>
      <c r="C279" s="1" t="s">
        <v>4175</v>
      </c>
      <c r="D279" s="1" t="s">
        <v>3669</v>
      </c>
      <c r="E279" t="s">
        <v>3679</v>
      </c>
      <c r="F279" t="s">
        <v>1973</v>
      </c>
      <c r="G279">
        <v>1170</v>
      </c>
      <c r="H279">
        <v>1696500</v>
      </c>
    </row>
    <row r="280" spans="1:8" hidden="1" x14ac:dyDescent="0.4">
      <c r="A280" s="93" t="s">
        <v>3668</v>
      </c>
      <c r="B280" s="1" t="s">
        <v>1469</v>
      </c>
      <c r="C280" s="1" t="s">
        <v>4175</v>
      </c>
      <c r="D280" s="1" t="s">
        <v>3669</v>
      </c>
      <c r="E280" t="s">
        <v>3680</v>
      </c>
      <c r="F280" t="s">
        <v>1976</v>
      </c>
      <c r="G280">
        <v>0</v>
      </c>
      <c r="H280">
        <v>0</v>
      </c>
    </row>
    <row r="281" spans="1:8" hidden="1" x14ac:dyDescent="0.4">
      <c r="A281" s="93" t="s">
        <v>3668</v>
      </c>
      <c r="B281" s="1" t="s">
        <v>1469</v>
      </c>
      <c r="C281" s="1" t="s">
        <v>4175</v>
      </c>
      <c r="D281" s="1" t="s">
        <v>3669</v>
      </c>
      <c r="E281" t="s">
        <v>3681</v>
      </c>
      <c r="F281" t="s">
        <v>1989</v>
      </c>
      <c r="G281">
        <v>0</v>
      </c>
      <c r="H281">
        <v>0</v>
      </c>
    </row>
    <row r="282" spans="1:8" hidden="1" x14ac:dyDescent="0.4">
      <c r="A282" s="93" t="s">
        <v>3668</v>
      </c>
      <c r="B282" s="1" t="s">
        <v>1469</v>
      </c>
      <c r="C282" s="1" t="s">
        <v>4175</v>
      </c>
      <c r="D282" s="1" t="s">
        <v>3669</v>
      </c>
      <c r="E282" t="s">
        <v>3925</v>
      </c>
      <c r="F282" t="s">
        <v>1960</v>
      </c>
      <c r="G282">
        <v>0</v>
      </c>
      <c r="H282">
        <v>0</v>
      </c>
    </row>
    <row r="283" spans="1:8" hidden="1" x14ac:dyDescent="0.4">
      <c r="A283" s="93" t="s">
        <v>3668</v>
      </c>
      <c r="B283" s="1" t="s">
        <v>1469</v>
      </c>
      <c r="C283" s="1" t="s">
        <v>4175</v>
      </c>
      <c r="D283" s="1" t="s">
        <v>3669</v>
      </c>
      <c r="E283" t="s">
        <v>3682</v>
      </c>
      <c r="F283" t="s">
        <v>1980</v>
      </c>
      <c r="G283">
        <v>0</v>
      </c>
      <c r="H283">
        <v>0</v>
      </c>
    </row>
    <row r="284" spans="1:8" hidden="1" x14ac:dyDescent="0.4">
      <c r="A284" s="93" t="s">
        <v>3668</v>
      </c>
      <c r="B284" s="1" t="s">
        <v>1469</v>
      </c>
      <c r="C284" s="1" t="s">
        <v>4175</v>
      </c>
      <c r="D284" s="1" t="s">
        <v>3669</v>
      </c>
      <c r="E284" t="s">
        <v>3923</v>
      </c>
      <c r="F284" t="s">
        <v>1979</v>
      </c>
      <c r="G284">
        <v>20.95</v>
      </c>
      <c r="H284">
        <v>0</v>
      </c>
    </row>
    <row r="285" spans="1:8" hidden="1" x14ac:dyDescent="0.4">
      <c r="A285" s="93" t="s">
        <v>3668</v>
      </c>
      <c r="B285" s="1" t="s">
        <v>1469</v>
      </c>
      <c r="C285" s="1" t="s">
        <v>4175</v>
      </c>
      <c r="D285" s="1" t="s">
        <v>3669</v>
      </c>
      <c r="E285" t="s">
        <v>3921</v>
      </c>
      <c r="F285" t="s">
        <v>1958</v>
      </c>
      <c r="G285">
        <v>0</v>
      </c>
      <c r="H285">
        <v>0</v>
      </c>
    </row>
    <row r="286" spans="1:8" hidden="1" x14ac:dyDescent="0.4">
      <c r="A286" s="93" t="s">
        <v>3668</v>
      </c>
      <c r="B286" s="1" t="s">
        <v>1469</v>
      </c>
      <c r="C286" s="1" t="s">
        <v>4175</v>
      </c>
      <c r="D286" s="1" t="s">
        <v>3669</v>
      </c>
      <c r="E286" t="s">
        <v>3919</v>
      </c>
      <c r="F286" t="s">
        <v>1992</v>
      </c>
      <c r="G286">
        <v>1080.5</v>
      </c>
      <c r="H286">
        <v>1907071</v>
      </c>
    </row>
    <row r="287" spans="1:8" hidden="1" x14ac:dyDescent="0.4">
      <c r="A287" s="93" t="s">
        <v>3668</v>
      </c>
      <c r="B287" s="1" t="s">
        <v>1469</v>
      </c>
      <c r="C287" s="1" t="s">
        <v>4175</v>
      </c>
      <c r="D287" s="1" t="s">
        <v>3669</v>
      </c>
      <c r="E287" t="s">
        <v>4033</v>
      </c>
      <c r="F287" t="s">
        <v>2059</v>
      </c>
      <c r="G287">
        <v>0</v>
      </c>
      <c r="H287">
        <v>0</v>
      </c>
    </row>
    <row r="288" spans="1:8" hidden="1" x14ac:dyDescent="0.4">
      <c r="A288" s="93" t="s">
        <v>3668</v>
      </c>
      <c r="B288" s="1" t="s">
        <v>1469</v>
      </c>
      <c r="C288" s="1" t="s">
        <v>4175</v>
      </c>
      <c r="D288" s="1" t="s">
        <v>3669</v>
      </c>
      <c r="E288" t="s">
        <v>3917</v>
      </c>
      <c r="F288" t="s">
        <v>1971</v>
      </c>
      <c r="G288">
        <v>0</v>
      </c>
      <c r="H288">
        <v>0</v>
      </c>
    </row>
    <row r="289" spans="1:8" hidden="1" x14ac:dyDescent="0.4">
      <c r="A289" s="93" t="s">
        <v>3668</v>
      </c>
      <c r="B289" s="1" t="s">
        <v>1469</v>
      </c>
      <c r="C289" s="1" t="s">
        <v>4175</v>
      </c>
      <c r="D289" s="1" t="s">
        <v>3669</v>
      </c>
      <c r="E289" t="s">
        <v>3916</v>
      </c>
      <c r="F289" t="s">
        <v>1971</v>
      </c>
      <c r="G289">
        <v>0</v>
      </c>
      <c r="H289">
        <v>0</v>
      </c>
    </row>
    <row r="290" spans="1:8" hidden="1" x14ac:dyDescent="0.4">
      <c r="A290" s="93" t="s">
        <v>3668</v>
      </c>
      <c r="B290" s="1" t="s">
        <v>1469</v>
      </c>
      <c r="C290" s="1" t="s">
        <v>4175</v>
      </c>
      <c r="D290" s="1" t="s">
        <v>3669</v>
      </c>
      <c r="E290" t="s">
        <v>4032</v>
      </c>
      <c r="F290" t="s">
        <v>4031</v>
      </c>
      <c r="G290">
        <v>5944</v>
      </c>
      <c r="H290">
        <v>50524</v>
      </c>
    </row>
    <row r="291" spans="1:8" hidden="1" x14ac:dyDescent="0.4">
      <c r="A291" s="93" t="s">
        <v>3668</v>
      </c>
      <c r="B291" s="1" t="s">
        <v>1469</v>
      </c>
      <c r="C291" s="1" t="s">
        <v>4175</v>
      </c>
      <c r="D291" s="1" t="s">
        <v>3669</v>
      </c>
      <c r="E291" t="s">
        <v>4030</v>
      </c>
      <c r="F291" t="s">
        <v>4029</v>
      </c>
      <c r="G291">
        <v>24</v>
      </c>
      <c r="H291">
        <v>15124</v>
      </c>
    </row>
    <row r="292" spans="1:8" hidden="1" x14ac:dyDescent="0.4">
      <c r="A292" s="93" t="s">
        <v>3668</v>
      </c>
      <c r="B292" s="1" t="s">
        <v>1469</v>
      </c>
      <c r="C292" s="1" t="s">
        <v>4175</v>
      </c>
      <c r="D292" s="1" t="s">
        <v>3669</v>
      </c>
      <c r="E292" t="s">
        <v>4028</v>
      </c>
      <c r="F292" t="s">
        <v>4027</v>
      </c>
      <c r="G292">
        <v>65</v>
      </c>
      <c r="H292">
        <v>51355</v>
      </c>
    </row>
    <row r="293" spans="1:8" hidden="1" x14ac:dyDescent="0.4">
      <c r="A293" s="93" t="s">
        <v>3668</v>
      </c>
      <c r="B293" s="1" t="s">
        <v>1469</v>
      </c>
      <c r="C293" s="1" t="s">
        <v>4175</v>
      </c>
      <c r="D293" s="1" t="s">
        <v>3669</v>
      </c>
      <c r="E293" t="s">
        <v>4026</v>
      </c>
      <c r="F293" t="s">
        <v>4025</v>
      </c>
      <c r="G293">
        <v>16.100000000000001</v>
      </c>
      <c r="H293">
        <v>386400</v>
      </c>
    </row>
    <row r="294" spans="1:8" hidden="1" x14ac:dyDescent="0.4">
      <c r="A294" s="93" t="s">
        <v>3668</v>
      </c>
      <c r="B294" s="1" t="s">
        <v>1469</v>
      </c>
      <c r="C294" s="1" t="s">
        <v>4175</v>
      </c>
      <c r="D294" s="1" t="s">
        <v>3669</v>
      </c>
      <c r="E294" t="s">
        <v>4024</v>
      </c>
      <c r="F294" t="s">
        <v>4023</v>
      </c>
      <c r="G294">
        <v>30.43</v>
      </c>
      <c r="H294">
        <v>115634</v>
      </c>
    </row>
    <row r="295" spans="1:8" hidden="1" x14ac:dyDescent="0.4">
      <c r="A295" s="93" t="s">
        <v>3668</v>
      </c>
      <c r="B295" s="1" t="s">
        <v>1469</v>
      </c>
      <c r="C295" s="1" t="s">
        <v>4175</v>
      </c>
      <c r="D295" s="1" t="s">
        <v>3669</v>
      </c>
      <c r="E295" t="s">
        <v>4022</v>
      </c>
      <c r="F295" t="s">
        <v>4021</v>
      </c>
      <c r="G295">
        <v>6.64</v>
      </c>
      <c r="H295">
        <v>6640</v>
      </c>
    </row>
    <row r="296" spans="1:8" hidden="1" x14ac:dyDescent="0.4">
      <c r="A296" s="93" t="s">
        <v>3668</v>
      </c>
      <c r="B296" s="1" t="s">
        <v>1469</v>
      </c>
      <c r="C296" s="1" t="s">
        <v>4175</v>
      </c>
      <c r="D296" s="1" t="s">
        <v>3669</v>
      </c>
      <c r="E296" t="s">
        <v>4020</v>
      </c>
      <c r="F296" t="s">
        <v>4019</v>
      </c>
      <c r="G296">
        <v>9.4499999999999993</v>
      </c>
      <c r="H296">
        <v>48195</v>
      </c>
    </row>
    <row r="297" spans="1:8" hidden="1" x14ac:dyDescent="0.4">
      <c r="A297" s="93" t="s">
        <v>3668</v>
      </c>
      <c r="B297" s="1" t="s">
        <v>1469</v>
      </c>
      <c r="C297" s="1" t="s">
        <v>4175</v>
      </c>
      <c r="D297" s="1" t="s">
        <v>3669</v>
      </c>
      <c r="E297" t="s">
        <v>4018</v>
      </c>
      <c r="F297" t="s">
        <v>4017</v>
      </c>
      <c r="G297">
        <v>-2.7</v>
      </c>
      <c r="H297">
        <v>-2023</v>
      </c>
    </row>
    <row r="298" spans="1:8" hidden="1" x14ac:dyDescent="0.4">
      <c r="A298" s="93" t="s">
        <v>3668</v>
      </c>
      <c r="B298" s="1" t="s">
        <v>1469</v>
      </c>
      <c r="C298" s="1" t="s">
        <v>4175</v>
      </c>
      <c r="D298" s="1" t="s">
        <v>3669</v>
      </c>
      <c r="E298" t="s">
        <v>4016</v>
      </c>
      <c r="F298" t="s">
        <v>4015</v>
      </c>
      <c r="G298">
        <v>2.93</v>
      </c>
      <c r="H298">
        <v>3338</v>
      </c>
    </row>
    <row r="299" spans="1:8" hidden="1" x14ac:dyDescent="0.4">
      <c r="A299" s="93" t="s">
        <v>3668</v>
      </c>
      <c r="B299" s="1" t="s">
        <v>1469</v>
      </c>
      <c r="C299" s="1" t="s">
        <v>4175</v>
      </c>
      <c r="D299" s="1" t="s">
        <v>3669</v>
      </c>
      <c r="E299" t="s">
        <v>3915</v>
      </c>
      <c r="F299" t="s">
        <v>1993</v>
      </c>
      <c r="G299">
        <v>0</v>
      </c>
      <c r="H299">
        <v>0</v>
      </c>
    </row>
    <row r="300" spans="1:8" hidden="1" x14ac:dyDescent="0.4">
      <c r="A300" s="93" t="s">
        <v>3668</v>
      </c>
      <c r="B300" s="1" t="s">
        <v>1469</v>
      </c>
      <c r="C300" s="1" t="s">
        <v>4171</v>
      </c>
      <c r="D300" s="1" t="s">
        <v>3669</v>
      </c>
      <c r="E300" t="s">
        <v>4006</v>
      </c>
      <c r="F300" t="s">
        <v>1986</v>
      </c>
      <c r="G300">
        <v>0</v>
      </c>
      <c r="H300">
        <v>0</v>
      </c>
    </row>
    <row r="301" spans="1:8" hidden="1" x14ac:dyDescent="0.4">
      <c r="A301" s="93" t="s">
        <v>3668</v>
      </c>
      <c r="B301" s="1" t="s">
        <v>1469</v>
      </c>
      <c r="C301" s="1" t="s">
        <v>4171</v>
      </c>
      <c r="D301" s="1" t="s">
        <v>3669</v>
      </c>
      <c r="E301" t="s">
        <v>4002</v>
      </c>
      <c r="F301" t="s">
        <v>1975</v>
      </c>
      <c r="G301">
        <v>0</v>
      </c>
      <c r="H301">
        <v>0</v>
      </c>
    </row>
    <row r="302" spans="1:8" hidden="1" x14ac:dyDescent="0.4">
      <c r="A302" s="93" t="s">
        <v>3668</v>
      </c>
      <c r="B302" s="1" t="s">
        <v>1469</v>
      </c>
      <c r="C302" s="1" t="s">
        <v>4171</v>
      </c>
      <c r="D302" s="1" t="s">
        <v>3669</v>
      </c>
      <c r="E302" t="s">
        <v>4014</v>
      </c>
      <c r="F302" t="s">
        <v>1981</v>
      </c>
      <c r="G302">
        <v>0</v>
      </c>
      <c r="H302">
        <v>0</v>
      </c>
    </row>
    <row r="303" spans="1:8" hidden="1" x14ac:dyDescent="0.4">
      <c r="A303" s="93" t="s">
        <v>3668</v>
      </c>
      <c r="B303" s="1" t="s">
        <v>1469</v>
      </c>
      <c r="C303" s="1" t="s">
        <v>4171</v>
      </c>
      <c r="D303" s="1" t="s">
        <v>3669</v>
      </c>
      <c r="E303" t="s">
        <v>3683</v>
      </c>
      <c r="F303" t="s">
        <v>1988</v>
      </c>
      <c r="G303">
        <v>0</v>
      </c>
      <c r="H303">
        <v>0</v>
      </c>
    </row>
    <row r="304" spans="1:8" hidden="1" x14ac:dyDescent="0.4">
      <c r="A304" s="93" t="s">
        <v>3668</v>
      </c>
      <c r="B304" s="1" t="s">
        <v>1469</v>
      </c>
      <c r="C304" s="1" t="s">
        <v>4171</v>
      </c>
      <c r="D304" s="1" t="s">
        <v>3669</v>
      </c>
      <c r="E304" t="s">
        <v>3684</v>
      </c>
      <c r="F304" t="s">
        <v>1977</v>
      </c>
      <c r="G304">
        <v>0</v>
      </c>
      <c r="H304">
        <v>0</v>
      </c>
    </row>
    <row r="305" spans="1:8" hidden="1" x14ac:dyDescent="0.4">
      <c r="A305" s="93" t="s">
        <v>3668</v>
      </c>
      <c r="B305" s="1" t="s">
        <v>1469</v>
      </c>
      <c r="C305" s="1" t="s">
        <v>4171</v>
      </c>
      <c r="D305" s="1" t="s">
        <v>3669</v>
      </c>
      <c r="E305" t="s">
        <v>3821</v>
      </c>
      <c r="F305" t="s">
        <v>1965</v>
      </c>
      <c r="G305">
        <v>0</v>
      </c>
      <c r="H305">
        <v>0</v>
      </c>
    </row>
    <row r="306" spans="1:8" hidden="1" x14ac:dyDescent="0.4">
      <c r="A306" s="93" t="s">
        <v>3668</v>
      </c>
      <c r="B306" s="1" t="s">
        <v>1469</v>
      </c>
      <c r="C306" s="1" t="s">
        <v>4171</v>
      </c>
      <c r="D306" s="1" t="s">
        <v>3669</v>
      </c>
      <c r="E306" t="s">
        <v>3822</v>
      </c>
      <c r="F306" t="s">
        <v>1987</v>
      </c>
      <c r="G306">
        <v>0</v>
      </c>
      <c r="H306">
        <v>0</v>
      </c>
    </row>
    <row r="307" spans="1:8" hidden="1" x14ac:dyDescent="0.4">
      <c r="A307" s="93" t="s">
        <v>3668</v>
      </c>
      <c r="B307" s="1" t="s">
        <v>1469</v>
      </c>
      <c r="C307" s="1" t="s">
        <v>4171</v>
      </c>
      <c r="D307" s="1" t="s">
        <v>3669</v>
      </c>
      <c r="E307" t="s">
        <v>3825</v>
      </c>
      <c r="F307" t="s">
        <v>1967</v>
      </c>
      <c r="G307">
        <v>0</v>
      </c>
      <c r="H307">
        <v>0</v>
      </c>
    </row>
    <row r="308" spans="1:8" hidden="1" x14ac:dyDescent="0.4">
      <c r="A308" s="93" t="s">
        <v>3668</v>
      </c>
      <c r="B308" s="1" t="s">
        <v>1469</v>
      </c>
      <c r="C308" s="1" t="s">
        <v>4171</v>
      </c>
      <c r="D308" s="1" t="s">
        <v>3669</v>
      </c>
      <c r="E308" t="s">
        <v>3826</v>
      </c>
      <c r="F308" t="s">
        <v>1978</v>
      </c>
      <c r="G308">
        <v>0</v>
      </c>
      <c r="H308">
        <v>0</v>
      </c>
    </row>
    <row r="309" spans="1:8" hidden="1" x14ac:dyDescent="0.4">
      <c r="A309" s="93" t="s">
        <v>3668</v>
      </c>
      <c r="B309" s="1" t="s">
        <v>1469</v>
      </c>
      <c r="C309" s="1" t="s">
        <v>4171</v>
      </c>
      <c r="D309" s="1" t="s">
        <v>3669</v>
      </c>
      <c r="E309" t="s">
        <v>3828</v>
      </c>
      <c r="F309" t="s">
        <v>1968</v>
      </c>
      <c r="G309">
        <v>0</v>
      </c>
      <c r="H309">
        <v>0</v>
      </c>
    </row>
    <row r="310" spans="1:8" hidden="1" x14ac:dyDescent="0.4">
      <c r="A310" s="93" t="s">
        <v>3668</v>
      </c>
      <c r="B310" s="1" t="s">
        <v>1469</v>
      </c>
      <c r="C310" s="1" t="s">
        <v>4171</v>
      </c>
      <c r="D310" s="1" t="s">
        <v>3669</v>
      </c>
      <c r="E310" t="s">
        <v>3829</v>
      </c>
      <c r="F310" t="s">
        <v>1991</v>
      </c>
      <c r="G310">
        <v>0</v>
      </c>
      <c r="H310">
        <v>0</v>
      </c>
    </row>
    <row r="311" spans="1:8" hidden="1" x14ac:dyDescent="0.4">
      <c r="A311" s="93" t="s">
        <v>3668</v>
      </c>
      <c r="B311" s="1" t="s">
        <v>1469</v>
      </c>
      <c r="C311" s="1" t="s">
        <v>4171</v>
      </c>
      <c r="D311" s="1" t="s">
        <v>3669</v>
      </c>
      <c r="E311" t="s">
        <v>3830</v>
      </c>
      <c r="F311" t="s">
        <v>1990</v>
      </c>
      <c r="G311">
        <v>0</v>
      </c>
      <c r="H311">
        <v>0</v>
      </c>
    </row>
    <row r="312" spans="1:8" hidden="1" x14ac:dyDescent="0.4">
      <c r="A312" s="93" t="s">
        <v>3668</v>
      </c>
      <c r="B312" s="1" t="s">
        <v>1469</v>
      </c>
      <c r="C312" s="1" t="s">
        <v>4171</v>
      </c>
      <c r="D312" s="1" t="s">
        <v>3669</v>
      </c>
      <c r="E312" t="s">
        <v>3831</v>
      </c>
      <c r="F312" t="s">
        <v>1972</v>
      </c>
      <c r="G312">
        <v>0</v>
      </c>
      <c r="H312">
        <v>0</v>
      </c>
    </row>
    <row r="313" spans="1:8" hidden="1" x14ac:dyDescent="0.4">
      <c r="A313" s="93" t="s">
        <v>3668</v>
      </c>
      <c r="B313" s="1" t="s">
        <v>1469</v>
      </c>
      <c r="C313" s="1" t="s">
        <v>4171</v>
      </c>
      <c r="D313" s="1" t="s">
        <v>3669</v>
      </c>
      <c r="E313" t="s">
        <v>3690</v>
      </c>
      <c r="F313" t="s">
        <v>1961</v>
      </c>
      <c r="G313">
        <v>0</v>
      </c>
      <c r="H313">
        <v>0</v>
      </c>
    </row>
    <row r="314" spans="1:8" hidden="1" x14ac:dyDescent="0.4">
      <c r="A314" s="93" t="s">
        <v>3668</v>
      </c>
      <c r="B314" s="1" t="s">
        <v>1469</v>
      </c>
      <c r="C314" s="1" t="s">
        <v>4171</v>
      </c>
      <c r="D314" s="1" t="s">
        <v>3669</v>
      </c>
      <c r="E314" t="s">
        <v>3691</v>
      </c>
      <c r="F314" t="s">
        <v>1959</v>
      </c>
      <c r="G314">
        <v>102.28</v>
      </c>
      <c r="H314">
        <v>216493</v>
      </c>
    </row>
    <row r="315" spans="1:8" hidden="1" x14ac:dyDescent="0.4">
      <c r="A315" s="93" t="s">
        <v>3668</v>
      </c>
      <c r="B315" s="1" t="s">
        <v>1469</v>
      </c>
      <c r="C315" s="1" t="s">
        <v>4171</v>
      </c>
      <c r="D315" s="1" t="s">
        <v>3669</v>
      </c>
      <c r="E315" t="s">
        <v>4013</v>
      </c>
      <c r="F315" t="s">
        <v>1966</v>
      </c>
      <c r="G315">
        <v>0</v>
      </c>
      <c r="H315">
        <v>0</v>
      </c>
    </row>
    <row r="316" spans="1:8" hidden="1" x14ac:dyDescent="0.4">
      <c r="A316" s="93" t="s">
        <v>3668</v>
      </c>
      <c r="B316" s="1" t="s">
        <v>1469</v>
      </c>
      <c r="C316" s="1" t="s">
        <v>4171</v>
      </c>
      <c r="D316" s="1" t="s">
        <v>3669</v>
      </c>
      <c r="E316" t="s">
        <v>3701</v>
      </c>
      <c r="F316" t="s">
        <v>1964</v>
      </c>
      <c r="G316">
        <v>0</v>
      </c>
      <c r="H316">
        <v>0</v>
      </c>
    </row>
    <row r="317" spans="1:8" hidden="1" x14ac:dyDescent="0.4">
      <c r="A317" s="93" t="s">
        <v>3668</v>
      </c>
      <c r="B317" s="1" t="s">
        <v>1469</v>
      </c>
      <c r="C317" s="1" t="s">
        <v>4171</v>
      </c>
      <c r="D317" s="1" t="s">
        <v>3669</v>
      </c>
      <c r="E317" t="s">
        <v>3930</v>
      </c>
      <c r="F317" t="s">
        <v>1974</v>
      </c>
      <c r="G317">
        <v>0</v>
      </c>
      <c r="H317">
        <v>0</v>
      </c>
    </row>
    <row r="318" spans="1:8" hidden="1" x14ac:dyDescent="0.4">
      <c r="A318" s="93" t="s">
        <v>3668</v>
      </c>
      <c r="B318" s="1" t="s">
        <v>1469</v>
      </c>
      <c r="C318" s="1" t="s">
        <v>4171</v>
      </c>
      <c r="D318" s="1" t="s">
        <v>3669</v>
      </c>
      <c r="E318" t="s">
        <v>3703</v>
      </c>
      <c r="F318" t="s">
        <v>1983</v>
      </c>
      <c r="G318">
        <v>0</v>
      </c>
      <c r="H318">
        <v>0</v>
      </c>
    </row>
    <row r="319" spans="1:8" hidden="1" x14ac:dyDescent="0.4">
      <c r="A319" s="93" t="s">
        <v>3668</v>
      </c>
      <c r="B319" s="1" t="s">
        <v>1469</v>
      </c>
      <c r="C319" s="1" t="s">
        <v>4171</v>
      </c>
      <c r="D319" s="1" t="s">
        <v>3669</v>
      </c>
      <c r="E319" t="s">
        <v>3704</v>
      </c>
      <c r="F319" t="s">
        <v>1983</v>
      </c>
      <c r="G319">
        <v>0</v>
      </c>
      <c r="H319">
        <v>0</v>
      </c>
    </row>
    <row r="320" spans="1:8" hidden="1" x14ac:dyDescent="0.4">
      <c r="A320" s="93" t="s">
        <v>3668</v>
      </c>
      <c r="B320" s="1" t="s">
        <v>1469</v>
      </c>
      <c r="C320" s="1" t="s">
        <v>4171</v>
      </c>
      <c r="D320" s="1" t="s">
        <v>3669</v>
      </c>
      <c r="E320" t="s">
        <v>3705</v>
      </c>
      <c r="F320" t="s">
        <v>1982</v>
      </c>
      <c r="G320">
        <v>334.88</v>
      </c>
      <c r="H320">
        <v>752803</v>
      </c>
    </row>
    <row r="321" spans="1:8" hidden="1" x14ac:dyDescent="0.4">
      <c r="A321" s="93" t="s">
        <v>3668</v>
      </c>
      <c r="B321" s="1" t="s">
        <v>1469</v>
      </c>
      <c r="C321" s="1" t="s">
        <v>4171</v>
      </c>
      <c r="D321" s="1" t="s">
        <v>3669</v>
      </c>
      <c r="E321" t="s">
        <v>3706</v>
      </c>
      <c r="F321" t="s">
        <v>1957</v>
      </c>
      <c r="G321">
        <v>0</v>
      </c>
      <c r="H321">
        <v>0</v>
      </c>
    </row>
    <row r="322" spans="1:8" hidden="1" x14ac:dyDescent="0.4">
      <c r="A322" s="93" t="s">
        <v>3668</v>
      </c>
      <c r="B322" s="1" t="s">
        <v>1469</v>
      </c>
      <c r="C322" s="1" t="s">
        <v>4171</v>
      </c>
      <c r="D322" s="1" t="s">
        <v>3669</v>
      </c>
      <c r="E322" t="s">
        <v>3707</v>
      </c>
      <c r="F322" t="s">
        <v>1985</v>
      </c>
      <c r="G322">
        <v>0</v>
      </c>
      <c r="H322">
        <v>0</v>
      </c>
    </row>
    <row r="323" spans="1:8" hidden="1" x14ac:dyDescent="0.4">
      <c r="A323" s="93" t="s">
        <v>3668</v>
      </c>
      <c r="B323" s="1" t="s">
        <v>1469</v>
      </c>
      <c r="C323" s="1" t="s">
        <v>4171</v>
      </c>
      <c r="D323" s="1" t="s">
        <v>3669</v>
      </c>
      <c r="E323" t="s">
        <v>3708</v>
      </c>
      <c r="F323" t="s">
        <v>1973</v>
      </c>
      <c r="G323">
        <v>39.31</v>
      </c>
      <c r="H323">
        <v>114508</v>
      </c>
    </row>
    <row r="324" spans="1:8" hidden="1" x14ac:dyDescent="0.4">
      <c r="A324" s="93" t="s">
        <v>3668</v>
      </c>
      <c r="B324" s="1" t="s">
        <v>1469</v>
      </c>
      <c r="C324" s="1" t="s">
        <v>4171</v>
      </c>
      <c r="D324" s="1" t="s">
        <v>3669</v>
      </c>
      <c r="E324" t="s">
        <v>3710</v>
      </c>
      <c r="F324" t="s">
        <v>1984</v>
      </c>
      <c r="G324">
        <v>0.01</v>
      </c>
      <c r="H324">
        <v>18</v>
      </c>
    </row>
    <row r="325" spans="1:8" hidden="1" x14ac:dyDescent="0.4">
      <c r="A325" s="93" t="s">
        <v>3668</v>
      </c>
      <c r="B325" s="1" t="s">
        <v>1469</v>
      </c>
      <c r="C325" s="1" t="s">
        <v>4171</v>
      </c>
      <c r="D325" s="1" t="s">
        <v>3669</v>
      </c>
      <c r="E325" t="s">
        <v>3711</v>
      </c>
      <c r="F325" t="s">
        <v>2129</v>
      </c>
      <c r="G325">
        <v>271.54000000000002</v>
      </c>
      <c r="H325">
        <v>474366</v>
      </c>
    </row>
    <row r="326" spans="1:8" hidden="1" x14ac:dyDescent="0.4">
      <c r="A326" s="93" t="s">
        <v>3668</v>
      </c>
      <c r="B326" s="1" t="s">
        <v>1469</v>
      </c>
      <c r="C326" s="1" t="s">
        <v>4171</v>
      </c>
      <c r="D326" s="1" t="s">
        <v>3669</v>
      </c>
      <c r="E326" t="s">
        <v>3712</v>
      </c>
      <c r="F326" t="s">
        <v>1976</v>
      </c>
      <c r="G326">
        <v>349.06</v>
      </c>
      <c r="H326">
        <v>289356</v>
      </c>
    </row>
    <row r="327" spans="1:8" hidden="1" x14ac:dyDescent="0.4">
      <c r="A327" s="93" t="s">
        <v>3668</v>
      </c>
      <c r="B327" s="1" t="s">
        <v>1469</v>
      </c>
      <c r="C327" s="1" t="s">
        <v>4171</v>
      </c>
      <c r="D327" s="1" t="s">
        <v>3669</v>
      </c>
      <c r="E327" t="s">
        <v>3713</v>
      </c>
      <c r="F327" t="s">
        <v>1989</v>
      </c>
      <c r="G327">
        <v>0</v>
      </c>
      <c r="H327">
        <v>0</v>
      </c>
    </row>
    <row r="328" spans="1:8" hidden="1" x14ac:dyDescent="0.4">
      <c r="A328" s="93" t="s">
        <v>3668</v>
      </c>
      <c r="B328" s="1" t="s">
        <v>1469</v>
      </c>
      <c r="C328" s="1" t="s">
        <v>4171</v>
      </c>
      <c r="D328" s="1" t="s">
        <v>3669</v>
      </c>
      <c r="E328" t="s">
        <v>3714</v>
      </c>
      <c r="F328" t="s">
        <v>1960</v>
      </c>
      <c r="G328">
        <v>0</v>
      </c>
      <c r="H328">
        <v>0</v>
      </c>
    </row>
    <row r="329" spans="1:8" hidden="1" x14ac:dyDescent="0.4">
      <c r="A329" s="93" t="s">
        <v>3668</v>
      </c>
      <c r="B329" s="1" t="s">
        <v>1469</v>
      </c>
      <c r="C329" s="1" t="s">
        <v>4171</v>
      </c>
      <c r="D329" s="1" t="s">
        <v>3669</v>
      </c>
      <c r="E329" t="s">
        <v>3715</v>
      </c>
      <c r="F329" t="s">
        <v>1980</v>
      </c>
      <c r="G329">
        <v>0</v>
      </c>
      <c r="H329">
        <v>0</v>
      </c>
    </row>
    <row r="330" spans="1:8" hidden="1" x14ac:dyDescent="0.4">
      <c r="A330" s="93" t="s">
        <v>3668</v>
      </c>
      <c r="B330" s="1" t="s">
        <v>1469</v>
      </c>
      <c r="C330" s="1" t="s">
        <v>4171</v>
      </c>
      <c r="D330" s="1" t="s">
        <v>3669</v>
      </c>
      <c r="E330" t="s">
        <v>4012</v>
      </c>
      <c r="F330" t="s">
        <v>1979</v>
      </c>
      <c r="G330">
        <v>0</v>
      </c>
      <c r="H330">
        <v>0</v>
      </c>
    </row>
    <row r="331" spans="1:8" hidden="1" x14ac:dyDescent="0.4">
      <c r="A331" s="93" t="s">
        <v>3668</v>
      </c>
      <c r="B331" s="1" t="s">
        <v>1469</v>
      </c>
      <c r="C331" s="1" t="s">
        <v>4171</v>
      </c>
      <c r="D331" s="1" t="s">
        <v>3669</v>
      </c>
      <c r="E331" t="s">
        <v>3716</v>
      </c>
      <c r="F331" t="s">
        <v>1958</v>
      </c>
      <c r="G331">
        <v>0</v>
      </c>
      <c r="H331">
        <v>0</v>
      </c>
    </row>
    <row r="332" spans="1:8" hidden="1" x14ac:dyDescent="0.4">
      <c r="A332" s="93" t="s">
        <v>3668</v>
      </c>
      <c r="B332" s="1" t="s">
        <v>1469</v>
      </c>
      <c r="C332" s="1" t="s">
        <v>4171</v>
      </c>
      <c r="D332" s="1" t="s">
        <v>3669</v>
      </c>
      <c r="E332" t="s">
        <v>3717</v>
      </c>
      <c r="F332" t="s">
        <v>1992</v>
      </c>
      <c r="G332">
        <v>78.98</v>
      </c>
      <c r="H332">
        <v>258342</v>
      </c>
    </row>
    <row r="333" spans="1:8" hidden="1" x14ac:dyDescent="0.4">
      <c r="A333" s="93" t="s">
        <v>3668</v>
      </c>
      <c r="B333" s="1" t="s">
        <v>1469</v>
      </c>
      <c r="C333" s="1" t="s">
        <v>4171</v>
      </c>
      <c r="D333" s="1" t="s">
        <v>3669</v>
      </c>
      <c r="E333" t="s">
        <v>3718</v>
      </c>
      <c r="F333" t="s">
        <v>1970</v>
      </c>
      <c r="G333">
        <v>0</v>
      </c>
      <c r="H333">
        <v>0</v>
      </c>
    </row>
    <row r="334" spans="1:8" hidden="1" x14ac:dyDescent="0.4">
      <c r="A334" s="93" t="s">
        <v>3668</v>
      </c>
      <c r="B334" s="1" t="s">
        <v>1469</v>
      </c>
      <c r="C334" s="1" t="s">
        <v>4171</v>
      </c>
      <c r="D334" s="1" t="s">
        <v>3669</v>
      </c>
      <c r="E334" t="s">
        <v>3719</v>
      </c>
      <c r="F334" t="s">
        <v>2059</v>
      </c>
      <c r="G334">
        <v>0</v>
      </c>
      <c r="H334">
        <v>0</v>
      </c>
    </row>
    <row r="335" spans="1:8" hidden="1" x14ac:dyDescent="0.4">
      <c r="A335" s="93" t="s">
        <v>3668</v>
      </c>
      <c r="B335" s="1" t="s">
        <v>1469</v>
      </c>
      <c r="C335" s="1" t="s">
        <v>4171</v>
      </c>
      <c r="D335" s="1" t="s">
        <v>3669</v>
      </c>
      <c r="E335" t="s">
        <v>3720</v>
      </c>
      <c r="F335" t="s">
        <v>1971</v>
      </c>
      <c r="G335">
        <v>154.33000000000001</v>
      </c>
      <c r="H335">
        <v>173926</v>
      </c>
    </row>
    <row r="336" spans="1:8" hidden="1" x14ac:dyDescent="0.4">
      <c r="A336" s="93" t="s">
        <v>3668</v>
      </c>
      <c r="B336" s="1" t="s">
        <v>1469</v>
      </c>
      <c r="C336" s="1" t="s">
        <v>4171</v>
      </c>
      <c r="D336" s="1" t="s">
        <v>3669</v>
      </c>
      <c r="E336" t="s">
        <v>4011</v>
      </c>
      <c r="F336" t="s">
        <v>1993</v>
      </c>
      <c r="G336">
        <v>0</v>
      </c>
      <c r="H336">
        <v>0</v>
      </c>
    </row>
    <row r="337" spans="1:8" hidden="1" x14ac:dyDescent="0.4">
      <c r="A337" s="93" t="s">
        <v>3668</v>
      </c>
      <c r="B337" s="1" t="s">
        <v>1469</v>
      </c>
      <c r="C337" s="1" t="s">
        <v>4171</v>
      </c>
      <c r="D337" s="1" t="s">
        <v>3669</v>
      </c>
      <c r="E337" t="s">
        <v>4011</v>
      </c>
      <c r="F337" t="s">
        <v>1994</v>
      </c>
      <c r="G337">
        <v>0</v>
      </c>
      <c r="H337">
        <v>0</v>
      </c>
    </row>
    <row r="338" spans="1:8" hidden="1" x14ac:dyDescent="0.4">
      <c r="A338" s="93" t="s">
        <v>3668</v>
      </c>
      <c r="B338" s="1" t="s">
        <v>1469</v>
      </c>
      <c r="C338" s="1" t="s">
        <v>4171</v>
      </c>
      <c r="D338" s="1" t="s">
        <v>3669</v>
      </c>
      <c r="E338" t="s">
        <v>4011</v>
      </c>
      <c r="F338" t="s">
        <v>1995</v>
      </c>
      <c r="G338">
        <v>0</v>
      </c>
      <c r="H338">
        <v>0</v>
      </c>
    </row>
    <row r="339" spans="1:8" hidden="1" x14ac:dyDescent="0.4">
      <c r="A339" s="93" t="s">
        <v>3668</v>
      </c>
      <c r="B339" s="1" t="s">
        <v>1469</v>
      </c>
      <c r="C339" s="1" t="s">
        <v>4171</v>
      </c>
      <c r="D339" s="1" t="s">
        <v>3669</v>
      </c>
      <c r="E339" t="s">
        <v>4011</v>
      </c>
      <c r="F339" t="s">
        <v>1996</v>
      </c>
      <c r="G339">
        <v>0</v>
      </c>
      <c r="H339">
        <v>0</v>
      </c>
    </row>
    <row r="340" spans="1:8" hidden="1" x14ac:dyDescent="0.4">
      <c r="A340" s="93" t="s">
        <v>3668</v>
      </c>
      <c r="B340" s="1" t="s">
        <v>1469</v>
      </c>
      <c r="C340" s="1" t="s">
        <v>4176</v>
      </c>
      <c r="D340" s="1" t="s">
        <v>3669</v>
      </c>
      <c r="E340" t="s">
        <v>4010</v>
      </c>
      <c r="F340" t="s">
        <v>2005</v>
      </c>
      <c r="G340">
        <v>0</v>
      </c>
      <c r="H340">
        <v>0</v>
      </c>
    </row>
    <row r="341" spans="1:8" hidden="1" x14ac:dyDescent="0.4">
      <c r="A341" s="93" t="s">
        <v>3668</v>
      </c>
      <c r="B341" s="1" t="s">
        <v>1469</v>
      </c>
      <c r="C341" s="1" t="s">
        <v>4176</v>
      </c>
      <c r="D341" s="1" t="s">
        <v>3669</v>
      </c>
      <c r="E341" t="s">
        <v>4009</v>
      </c>
      <c r="F341" t="s">
        <v>2005</v>
      </c>
      <c r="G341">
        <v>0</v>
      </c>
      <c r="H341">
        <v>0</v>
      </c>
    </row>
    <row r="342" spans="1:8" hidden="1" x14ac:dyDescent="0.4">
      <c r="A342" s="93" t="s">
        <v>3668</v>
      </c>
      <c r="B342" s="1" t="s">
        <v>1469</v>
      </c>
      <c r="C342" s="1" t="s">
        <v>4176</v>
      </c>
      <c r="D342" s="1" t="s">
        <v>3669</v>
      </c>
      <c r="E342" t="s">
        <v>3747</v>
      </c>
      <c r="F342" t="s">
        <v>2005</v>
      </c>
      <c r="G342">
        <v>0</v>
      </c>
      <c r="H342">
        <v>0</v>
      </c>
    </row>
    <row r="343" spans="1:8" hidden="1" x14ac:dyDescent="0.4">
      <c r="A343" s="93" t="s">
        <v>3668</v>
      </c>
      <c r="B343" s="1" t="s">
        <v>1469</v>
      </c>
      <c r="C343" s="1" t="s">
        <v>4176</v>
      </c>
      <c r="D343" s="1" t="s">
        <v>3669</v>
      </c>
      <c r="E343" t="s">
        <v>4008</v>
      </c>
      <c r="F343" t="s">
        <v>2006</v>
      </c>
      <c r="G343">
        <v>0</v>
      </c>
      <c r="H343">
        <v>0</v>
      </c>
    </row>
    <row r="344" spans="1:8" hidden="1" x14ac:dyDescent="0.4">
      <c r="A344" s="93" t="s">
        <v>3668</v>
      </c>
      <c r="B344" s="1" t="s">
        <v>1469</v>
      </c>
      <c r="C344" s="1" t="s">
        <v>4176</v>
      </c>
      <c r="D344" s="1" t="s">
        <v>3669</v>
      </c>
      <c r="E344" t="s">
        <v>4007</v>
      </c>
      <c r="F344" t="s">
        <v>2006</v>
      </c>
      <c r="G344">
        <v>0</v>
      </c>
      <c r="H344">
        <v>0</v>
      </c>
    </row>
    <row r="345" spans="1:8" hidden="1" x14ac:dyDescent="0.4">
      <c r="A345" s="93" t="s">
        <v>3668</v>
      </c>
      <c r="B345" s="1" t="s">
        <v>1469</v>
      </c>
      <c r="C345" s="1" t="s">
        <v>4176</v>
      </c>
      <c r="D345" s="1" t="s">
        <v>3669</v>
      </c>
      <c r="E345" t="s">
        <v>3748</v>
      </c>
      <c r="F345" t="s">
        <v>2006</v>
      </c>
      <c r="G345">
        <v>0</v>
      </c>
      <c r="H345">
        <v>0</v>
      </c>
    </row>
    <row r="346" spans="1:8" hidden="1" x14ac:dyDescent="0.4">
      <c r="A346" s="93" t="s">
        <v>3668</v>
      </c>
      <c r="B346" s="1" t="s">
        <v>1469</v>
      </c>
      <c r="C346" s="1" t="s">
        <v>4176</v>
      </c>
      <c r="D346" s="1" t="s">
        <v>3669</v>
      </c>
      <c r="E346" t="s">
        <v>4006</v>
      </c>
      <c r="F346" t="s">
        <v>1986</v>
      </c>
      <c r="G346">
        <v>0</v>
      </c>
      <c r="H346">
        <v>0</v>
      </c>
    </row>
    <row r="347" spans="1:8" hidden="1" x14ac:dyDescent="0.4">
      <c r="A347" s="93" t="s">
        <v>3668</v>
      </c>
      <c r="B347" s="1" t="s">
        <v>1469</v>
      </c>
      <c r="C347" s="1" t="s">
        <v>4176</v>
      </c>
      <c r="D347" s="1" t="s">
        <v>3669</v>
      </c>
      <c r="E347" t="s">
        <v>4005</v>
      </c>
      <c r="F347" t="s">
        <v>1986</v>
      </c>
      <c r="G347">
        <v>0</v>
      </c>
      <c r="H347">
        <v>0</v>
      </c>
    </row>
    <row r="348" spans="1:8" hidden="1" x14ac:dyDescent="0.4">
      <c r="A348" s="93" t="s">
        <v>3668</v>
      </c>
      <c r="B348" s="1" t="s">
        <v>1469</v>
      </c>
      <c r="C348" s="1" t="s">
        <v>4176</v>
      </c>
      <c r="D348" s="1" t="s">
        <v>3669</v>
      </c>
      <c r="E348" t="s">
        <v>4004</v>
      </c>
      <c r="F348" t="s">
        <v>4003</v>
      </c>
      <c r="G348">
        <v>2592</v>
      </c>
      <c r="H348">
        <v>160199</v>
      </c>
    </row>
    <row r="349" spans="1:8" hidden="1" x14ac:dyDescent="0.4">
      <c r="A349" s="93" t="s">
        <v>3668</v>
      </c>
      <c r="B349" s="1" t="s">
        <v>1469</v>
      </c>
      <c r="C349" s="1" t="s">
        <v>4176</v>
      </c>
      <c r="D349" s="1" t="s">
        <v>3669</v>
      </c>
      <c r="E349" t="s">
        <v>4002</v>
      </c>
      <c r="F349" t="s">
        <v>1975</v>
      </c>
      <c r="G349">
        <v>0</v>
      </c>
      <c r="H349">
        <v>0</v>
      </c>
    </row>
    <row r="350" spans="1:8" hidden="1" x14ac:dyDescent="0.4">
      <c r="A350" s="93" t="s">
        <v>3668</v>
      </c>
      <c r="B350" s="1" t="s">
        <v>1469</v>
      </c>
      <c r="C350" s="1" t="s">
        <v>4176</v>
      </c>
      <c r="D350" s="1" t="s">
        <v>3669</v>
      </c>
      <c r="E350" t="s">
        <v>4001</v>
      </c>
      <c r="F350" t="s">
        <v>1975</v>
      </c>
      <c r="G350">
        <v>0</v>
      </c>
      <c r="H350">
        <v>0</v>
      </c>
    </row>
    <row r="351" spans="1:8" hidden="1" x14ac:dyDescent="0.4">
      <c r="A351" s="93" t="s">
        <v>3668</v>
      </c>
      <c r="B351" s="1" t="s">
        <v>1469</v>
      </c>
      <c r="C351" s="1" t="s">
        <v>4176</v>
      </c>
      <c r="D351" s="1" t="s">
        <v>3669</v>
      </c>
      <c r="E351" t="s">
        <v>4000</v>
      </c>
      <c r="F351" t="s">
        <v>1975</v>
      </c>
      <c r="G351">
        <v>0</v>
      </c>
      <c r="H351">
        <v>0</v>
      </c>
    </row>
    <row r="352" spans="1:8" hidden="1" x14ac:dyDescent="0.4">
      <c r="A352" s="93" t="s">
        <v>3668</v>
      </c>
      <c r="B352" s="1" t="s">
        <v>1469</v>
      </c>
      <c r="C352" s="1" t="s">
        <v>4176</v>
      </c>
      <c r="D352" s="1" t="s">
        <v>3669</v>
      </c>
      <c r="E352" t="s">
        <v>3999</v>
      </c>
      <c r="F352" t="s">
        <v>1975</v>
      </c>
      <c r="G352">
        <v>0</v>
      </c>
      <c r="H352">
        <v>0</v>
      </c>
    </row>
    <row r="353" spans="1:8" hidden="1" x14ac:dyDescent="0.4">
      <c r="A353" s="93" t="s">
        <v>3668</v>
      </c>
      <c r="B353" s="1" t="s">
        <v>1469</v>
      </c>
      <c r="C353" s="1" t="s">
        <v>4176</v>
      </c>
      <c r="D353" s="1" t="s">
        <v>3669</v>
      </c>
      <c r="E353" t="s">
        <v>3998</v>
      </c>
      <c r="F353" t="s">
        <v>3997</v>
      </c>
      <c r="G353">
        <v>963</v>
      </c>
      <c r="H353">
        <v>63704</v>
      </c>
    </row>
    <row r="354" spans="1:8" hidden="1" x14ac:dyDescent="0.4">
      <c r="A354" s="93" t="s">
        <v>3668</v>
      </c>
      <c r="B354" s="1" t="s">
        <v>1469</v>
      </c>
      <c r="C354" s="1" t="s">
        <v>4176</v>
      </c>
      <c r="D354" s="1" t="s">
        <v>3669</v>
      </c>
      <c r="E354" t="s">
        <v>3754</v>
      </c>
      <c r="F354" t="s">
        <v>2011</v>
      </c>
      <c r="G354">
        <v>289.58</v>
      </c>
      <c r="H354">
        <v>19659</v>
      </c>
    </row>
    <row r="355" spans="1:8" hidden="1" x14ac:dyDescent="0.4">
      <c r="A355" s="93" t="s">
        <v>3668</v>
      </c>
      <c r="B355" s="1" t="s">
        <v>1469</v>
      </c>
      <c r="C355" s="1" t="s">
        <v>4176</v>
      </c>
      <c r="D355" s="1" t="s">
        <v>3669</v>
      </c>
      <c r="E355" t="s">
        <v>3996</v>
      </c>
      <c r="F355" t="s">
        <v>1998</v>
      </c>
      <c r="G355">
        <v>1833.78</v>
      </c>
      <c r="H355">
        <v>127444</v>
      </c>
    </row>
    <row r="356" spans="1:8" hidden="1" x14ac:dyDescent="0.4">
      <c r="A356" s="93" t="s">
        <v>3668</v>
      </c>
      <c r="B356" s="1" t="s">
        <v>1469</v>
      </c>
      <c r="C356" s="1" t="s">
        <v>4176</v>
      </c>
      <c r="D356" s="1" t="s">
        <v>3669</v>
      </c>
      <c r="E356" t="s">
        <v>3995</v>
      </c>
      <c r="F356" t="s">
        <v>2001</v>
      </c>
      <c r="G356">
        <v>3603.46</v>
      </c>
      <c r="H356">
        <v>259024</v>
      </c>
    </row>
    <row r="357" spans="1:8" hidden="1" x14ac:dyDescent="0.4">
      <c r="A357" s="93" t="s">
        <v>3668</v>
      </c>
      <c r="B357" s="1" t="s">
        <v>1469</v>
      </c>
      <c r="C357" s="1" t="s">
        <v>4176</v>
      </c>
      <c r="D357" s="1" t="s">
        <v>3669</v>
      </c>
      <c r="E357" t="s">
        <v>3994</v>
      </c>
      <c r="F357" t="s">
        <v>1999</v>
      </c>
      <c r="G357">
        <v>2126.3200000000002</v>
      </c>
      <c r="H357">
        <v>150819</v>
      </c>
    </row>
    <row r="358" spans="1:8" hidden="1" x14ac:dyDescent="0.4">
      <c r="A358" s="93" t="s">
        <v>3668</v>
      </c>
      <c r="B358" s="1" t="s">
        <v>1469</v>
      </c>
      <c r="C358" s="1" t="s">
        <v>4176</v>
      </c>
      <c r="D358" s="1" t="s">
        <v>3669</v>
      </c>
      <c r="E358" t="s">
        <v>3993</v>
      </c>
      <c r="F358" t="s">
        <v>3992</v>
      </c>
      <c r="G358">
        <v>1303.5</v>
      </c>
      <c r="H358">
        <v>104423</v>
      </c>
    </row>
    <row r="359" spans="1:8" hidden="1" x14ac:dyDescent="0.4">
      <c r="A359" s="93" t="s">
        <v>3668</v>
      </c>
      <c r="B359" s="1" t="s">
        <v>1469</v>
      </c>
      <c r="C359" s="1" t="s">
        <v>4176</v>
      </c>
      <c r="D359" s="1" t="s">
        <v>3669</v>
      </c>
      <c r="E359" t="s">
        <v>3991</v>
      </c>
      <c r="F359" t="s">
        <v>3990</v>
      </c>
      <c r="G359">
        <v>116</v>
      </c>
      <c r="H359">
        <v>8282</v>
      </c>
    </row>
    <row r="360" spans="1:8" hidden="1" x14ac:dyDescent="0.4">
      <c r="A360" s="93" t="s">
        <v>3668</v>
      </c>
      <c r="B360" s="1" t="s">
        <v>1469</v>
      </c>
      <c r="C360" s="1" t="s">
        <v>4176</v>
      </c>
      <c r="D360" s="1" t="s">
        <v>3669</v>
      </c>
      <c r="E360" t="s">
        <v>3989</v>
      </c>
      <c r="F360" t="s">
        <v>3988</v>
      </c>
      <c r="G360">
        <v>334.96</v>
      </c>
      <c r="H360">
        <v>24746</v>
      </c>
    </row>
    <row r="361" spans="1:8" hidden="1" x14ac:dyDescent="0.4">
      <c r="A361" s="93" t="s">
        <v>3668</v>
      </c>
      <c r="B361" s="1" t="s">
        <v>1469</v>
      </c>
      <c r="C361" s="1" t="s">
        <v>4176</v>
      </c>
      <c r="D361" s="1" t="s">
        <v>3669</v>
      </c>
      <c r="E361" t="s">
        <v>3987</v>
      </c>
      <c r="F361" t="s">
        <v>2013</v>
      </c>
      <c r="G361">
        <v>2788.2</v>
      </c>
      <c r="H361">
        <v>215302</v>
      </c>
    </row>
    <row r="362" spans="1:8" hidden="1" x14ac:dyDescent="0.4">
      <c r="A362" s="93" t="s">
        <v>3668</v>
      </c>
      <c r="B362" s="1" t="s">
        <v>1469</v>
      </c>
      <c r="C362" s="1" t="s">
        <v>4176</v>
      </c>
      <c r="D362" s="1" t="s">
        <v>3669</v>
      </c>
      <c r="E362" t="s">
        <v>3986</v>
      </c>
      <c r="F362" t="s">
        <v>2000</v>
      </c>
      <c r="G362">
        <v>5844.22</v>
      </c>
      <c r="H362">
        <v>455206</v>
      </c>
    </row>
    <row r="363" spans="1:8" hidden="1" x14ac:dyDescent="0.4">
      <c r="A363" s="93" t="s">
        <v>3668</v>
      </c>
      <c r="B363" s="1" t="s">
        <v>1469</v>
      </c>
      <c r="C363" s="1" t="s">
        <v>4176</v>
      </c>
      <c r="D363" s="1" t="s">
        <v>3669</v>
      </c>
      <c r="E363" t="s">
        <v>3985</v>
      </c>
      <c r="F363" t="s">
        <v>3984</v>
      </c>
      <c r="G363">
        <v>152</v>
      </c>
      <c r="H363">
        <v>12287</v>
      </c>
    </row>
    <row r="364" spans="1:8" hidden="1" x14ac:dyDescent="0.4">
      <c r="A364" s="93" t="s">
        <v>3668</v>
      </c>
      <c r="B364" s="1" t="s">
        <v>1469</v>
      </c>
      <c r="C364" s="1" t="s">
        <v>4176</v>
      </c>
      <c r="D364" s="1" t="s">
        <v>3669</v>
      </c>
      <c r="E364" t="s">
        <v>3983</v>
      </c>
      <c r="F364" t="s">
        <v>3982</v>
      </c>
      <c r="G364">
        <v>190</v>
      </c>
      <c r="H364">
        <v>13699</v>
      </c>
    </row>
    <row r="365" spans="1:8" hidden="1" x14ac:dyDescent="0.4">
      <c r="A365" s="93" t="s">
        <v>3668</v>
      </c>
      <c r="B365" s="1" t="s">
        <v>1469</v>
      </c>
      <c r="C365" s="1" t="s">
        <v>4176</v>
      </c>
      <c r="D365" s="1" t="s">
        <v>3669</v>
      </c>
      <c r="E365" t="s">
        <v>3981</v>
      </c>
      <c r="F365" t="s">
        <v>1969</v>
      </c>
      <c r="G365">
        <v>0</v>
      </c>
      <c r="H365">
        <v>0</v>
      </c>
    </row>
    <row r="366" spans="1:8" hidden="1" x14ac:dyDescent="0.4">
      <c r="A366" s="93" t="s">
        <v>3668</v>
      </c>
      <c r="B366" s="1" t="s">
        <v>1469</v>
      </c>
      <c r="C366" s="1" t="s">
        <v>4176</v>
      </c>
      <c r="D366" s="1" t="s">
        <v>3669</v>
      </c>
      <c r="E366" t="s">
        <v>3980</v>
      </c>
      <c r="F366" t="s">
        <v>3979</v>
      </c>
      <c r="G366">
        <v>472.5</v>
      </c>
      <c r="H366">
        <v>28917</v>
      </c>
    </row>
    <row r="367" spans="1:8" hidden="1" x14ac:dyDescent="0.4">
      <c r="A367" s="93" t="s">
        <v>3668</v>
      </c>
      <c r="B367" s="1" t="s">
        <v>1469</v>
      </c>
      <c r="C367" s="1" t="s">
        <v>4176</v>
      </c>
      <c r="D367" s="1" t="s">
        <v>3669</v>
      </c>
      <c r="E367" t="s">
        <v>3978</v>
      </c>
      <c r="F367" t="s">
        <v>3977</v>
      </c>
      <c r="G367">
        <v>517.4</v>
      </c>
      <c r="H367">
        <v>40615</v>
      </c>
    </row>
    <row r="368" spans="1:8" hidden="1" x14ac:dyDescent="0.4">
      <c r="A368" s="93" t="s">
        <v>3668</v>
      </c>
      <c r="B368" s="1" t="s">
        <v>1469</v>
      </c>
      <c r="C368" s="1" t="s">
        <v>4176</v>
      </c>
      <c r="D368" s="1" t="s">
        <v>3669</v>
      </c>
      <c r="E368" t="s">
        <v>3976</v>
      </c>
      <c r="F368" t="s">
        <v>3975</v>
      </c>
      <c r="G368">
        <v>234.5</v>
      </c>
      <c r="H368">
        <v>72695</v>
      </c>
    </row>
    <row r="369" spans="1:8" hidden="1" x14ac:dyDescent="0.4">
      <c r="A369" s="93" t="s">
        <v>3668</v>
      </c>
      <c r="B369" s="1" t="s">
        <v>1469</v>
      </c>
      <c r="C369" s="1" t="s">
        <v>4176</v>
      </c>
      <c r="D369" s="1" t="s">
        <v>3669</v>
      </c>
      <c r="E369" t="s">
        <v>3974</v>
      </c>
      <c r="F369" t="s">
        <v>2004</v>
      </c>
      <c r="G369">
        <v>2299.44</v>
      </c>
      <c r="H369">
        <v>336328</v>
      </c>
    </row>
    <row r="370" spans="1:8" hidden="1" x14ac:dyDescent="0.4">
      <c r="A370" s="93" t="s">
        <v>3668</v>
      </c>
      <c r="B370" s="1" t="s">
        <v>1469</v>
      </c>
      <c r="C370" s="1" t="s">
        <v>4176</v>
      </c>
      <c r="D370" s="1" t="s">
        <v>3669</v>
      </c>
      <c r="E370" t="s">
        <v>3973</v>
      </c>
      <c r="F370" t="s">
        <v>3972</v>
      </c>
      <c r="G370">
        <v>1581.5</v>
      </c>
      <c r="H370">
        <v>103584</v>
      </c>
    </row>
    <row r="371" spans="1:8" hidden="1" x14ac:dyDescent="0.4">
      <c r="A371" s="93" t="s">
        <v>3668</v>
      </c>
      <c r="B371" s="1" t="s">
        <v>1469</v>
      </c>
      <c r="C371" s="1" t="s">
        <v>4176</v>
      </c>
      <c r="D371" s="1" t="s">
        <v>3669</v>
      </c>
      <c r="E371" t="s">
        <v>3971</v>
      </c>
      <c r="F371" t="s">
        <v>3970</v>
      </c>
      <c r="G371">
        <v>1794</v>
      </c>
      <c r="H371">
        <v>179400</v>
      </c>
    </row>
    <row r="372" spans="1:8" hidden="1" x14ac:dyDescent="0.4">
      <c r="A372" s="93" t="s">
        <v>3668</v>
      </c>
      <c r="B372" s="1" t="s">
        <v>1469</v>
      </c>
      <c r="C372" s="1" t="s">
        <v>4176</v>
      </c>
      <c r="D372" s="1" t="s">
        <v>3669</v>
      </c>
      <c r="E372" t="s">
        <v>3969</v>
      </c>
      <c r="F372" t="s">
        <v>2003</v>
      </c>
      <c r="G372">
        <v>580</v>
      </c>
      <c r="H372">
        <v>70181</v>
      </c>
    </row>
    <row r="373" spans="1:8" hidden="1" x14ac:dyDescent="0.4">
      <c r="A373" s="93" t="s">
        <v>3668</v>
      </c>
      <c r="B373" s="1" t="s">
        <v>1469</v>
      </c>
      <c r="C373" s="1" t="s">
        <v>4176</v>
      </c>
      <c r="D373" s="1" t="s">
        <v>3669</v>
      </c>
      <c r="E373" t="s">
        <v>3968</v>
      </c>
      <c r="F373" t="s">
        <v>3967</v>
      </c>
      <c r="G373">
        <v>1182.1500000000001</v>
      </c>
      <c r="H373">
        <v>107410</v>
      </c>
    </row>
    <row r="374" spans="1:8" hidden="1" x14ac:dyDescent="0.4">
      <c r="A374" s="93" t="s">
        <v>3668</v>
      </c>
      <c r="B374" s="1" t="s">
        <v>1469</v>
      </c>
      <c r="C374" s="1" t="s">
        <v>4176</v>
      </c>
      <c r="D374" s="1" t="s">
        <v>3669</v>
      </c>
      <c r="E374" t="s">
        <v>3966</v>
      </c>
      <c r="F374" t="s">
        <v>3965</v>
      </c>
      <c r="G374">
        <v>3461.05</v>
      </c>
      <c r="H374">
        <v>473921</v>
      </c>
    </row>
    <row r="375" spans="1:8" hidden="1" x14ac:dyDescent="0.4">
      <c r="A375" s="93" t="s">
        <v>3668</v>
      </c>
      <c r="B375" s="1" t="s">
        <v>1469</v>
      </c>
      <c r="C375" s="1" t="s">
        <v>4176</v>
      </c>
      <c r="D375" s="1" t="s">
        <v>3669</v>
      </c>
      <c r="E375" t="s">
        <v>3964</v>
      </c>
      <c r="F375" t="s">
        <v>3963</v>
      </c>
      <c r="G375">
        <v>483</v>
      </c>
      <c r="H375">
        <v>58385</v>
      </c>
    </row>
    <row r="376" spans="1:8" hidden="1" x14ac:dyDescent="0.4">
      <c r="A376" s="93" t="s">
        <v>3668</v>
      </c>
      <c r="B376" s="1" t="s">
        <v>1469</v>
      </c>
      <c r="C376" s="1" t="s">
        <v>4176</v>
      </c>
      <c r="D376" s="1" t="s">
        <v>3669</v>
      </c>
      <c r="E376" t="s">
        <v>3962</v>
      </c>
      <c r="F376" t="s">
        <v>3961</v>
      </c>
      <c r="G376">
        <v>173.25</v>
      </c>
      <c r="H376">
        <v>16145</v>
      </c>
    </row>
    <row r="377" spans="1:8" hidden="1" x14ac:dyDescent="0.4">
      <c r="A377" s="93" t="s">
        <v>3668</v>
      </c>
      <c r="B377" s="1" t="s">
        <v>1469</v>
      </c>
      <c r="C377" s="1" t="s">
        <v>4176</v>
      </c>
      <c r="D377" s="1" t="s">
        <v>3669</v>
      </c>
      <c r="E377" t="s">
        <v>3960</v>
      </c>
      <c r="F377" t="s">
        <v>3959</v>
      </c>
      <c r="G377">
        <v>3938.47</v>
      </c>
      <c r="H377">
        <v>483727</v>
      </c>
    </row>
    <row r="378" spans="1:8" hidden="1" x14ac:dyDescent="0.4">
      <c r="A378" s="93" t="s">
        <v>3668</v>
      </c>
      <c r="B378" s="1" t="s">
        <v>1469</v>
      </c>
      <c r="C378" s="1" t="s">
        <v>4176</v>
      </c>
      <c r="D378" s="1" t="s">
        <v>3669</v>
      </c>
      <c r="E378" t="s">
        <v>3958</v>
      </c>
      <c r="F378" t="s">
        <v>2009</v>
      </c>
      <c r="G378">
        <v>0</v>
      </c>
      <c r="H378">
        <v>0</v>
      </c>
    </row>
    <row r="379" spans="1:8" hidden="1" x14ac:dyDescent="0.4">
      <c r="A379" s="93" t="s">
        <v>3668</v>
      </c>
      <c r="B379" s="1" t="s">
        <v>1469</v>
      </c>
      <c r="C379" s="1" t="s">
        <v>4176</v>
      </c>
      <c r="D379" s="1" t="s">
        <v>3669</v>
      </c>
      <c r="E379" t="s">
        <v>3957</v>
      </c>
      <c r="F379" t="s">
        <v>3956</v>
      </c>
      <c r="G379">
        <v>2901.6</v>
      </c>
      <c r="H379">
        <v>350455</v>
      </c>
    </row>
    <row r="380" spans="1:8" hidden="1" x14ac:dyDescent="0.4">
      <c r="A380" s="93" t="s">
        <v>3668</v>
      </c>
      <c r="B380" s="1" t="s">
        <v>1469</v>
      </c>
      <c r="C380" s="1" t="s">
        <v>4176</v>
      </c>
      <c r="D380" s="1" t="s">
        <v>3669</v>
      </c>
      <c r="E380" t="s">
        <v>3760</v>
      </c>
      <c r="F380" t="s">
        <v>1956</v>
      </c>
      <c r="G380">
        <v>1300</v>
      </c>
      <c r="H380">
        <v>363987</v>
      </c>
    </row>
    <row r="381" spans="1:8" hidden="1" x14ac:dyDescent="0.4">
      <c r="A381" s="93" t="s">
        <v>3668</v>
      </c>
      <c r="B381" s="1" t="s">
        <v>1469</v>
      </c>
      <c r="C381" s="1" t="s">
        <v>4176</v>
      </c>
      <c r="D381" s="1" t="s">
        <v>3669</v>
      </c>
      <c r="E381" t="s">
        <v>3955</v>
      </c>
      <c r="F381" t="s">
        <v>3954</v>
      </c>
      <c r="G381">
        <v>1377.12</v>
      </c>
      <c r="H381">
        <v>108627</v>
      </c>
    </row>
    <row r="382" spans="1:8" hidden="1" x14ac:dyDescent="0.4">
      <c r="A382" s="93" t="s">
        <v>3668</v>
      </c>
      <c r="B382" s="1" t="s">
        <v>1469</v>
      </c>
      <c r="C382" s="1" t="s">
        <v>4176</v>
      </c>
      <c r="D382" s="1" t="s">
        <v>3669</v>
      </c>
      <c r="E382" t="s">
        <v>3953</v>
      </c>
      <c r="F382" t="s">
        <v>3952</v>
      </c>
      <c r="G382">
        <v>684</v>
      </c>
      <c r="H382">
        <v>58064</v>
      </c>
    </row>
    <row r="383" spans="1:8" hidden="1" x14ac:dyDescent="0.4">
      <c r="A383" s="93" t="s">
        <v>3668</v>
      </c>
      <c r="B383" s="1" t="s">
        <v>1469</v>
      </c>
      <c r="C383" s="1" t="s">
        <v>4176</v>
      </c>
      <c r="D383" s="1" t="s">
        <v>3669</v>
      </c>
      <c r="E383" t="s">
        <v>3951</v>
      </c>
      <c r="F383" t="s">
        <v>3950</v>
      </c>
      <c r="G383">
        <v>1853.69</v>
      </c>
      <c r="H383">
        <v>1006423</v>
      </c>
    </row>
    <row r="384" spans="1:8" hidden="1" x14ac:dyDescent="0.4">
      <c r="A384" s="93" t="s">
        <v>3668</v>
      </c>
      <c r="B384" s="1" t="s">
        <v>1469</v>
      </c>
      <c r="C384" s="1" t="s">
        <v>4176</v>
      </c>
      <c r="D384" s="1" t="s">
        <v>3669</v>
      </c>
      <c r="E384" t="s">
        <v>3949</v>
      </c>
      <c r="F384" t="s">
        <v>3948</v>
      </c>
      <c r="G384">
        <v>120.87</v>
      </c>
      <c r="H384">
        <v>87483</v>
      </c>
    </row>
    <row r="385" spans="1:8" hidden="1" x14ac:dyDescent="0.4">
      <c r="A385" s="93" t="s">
        <v>3668</v>
      </c>
      <c r="B385" s="1" t="s">
        <v>1469</v>
      </c>
      <c r="C385" s="1" t="s">
        <v>4176</v>
      </c>
      <c r="D385" s="1" t="s">
        <v>3669</v>
      </c>
      <c r="E385" t="s">
        <v>3947</v>
      </c>
      <c r="F385" t="s">
        <v>3946</v>
      </c>
      <c r="G385">
        <v>200</v>
      </c>
      <c r="H385">
        <v>68512</v>
      </c>
    </row>
    <row r="386" spans="1:8" hidden="1" x14ac:dyDescent="0.4">
      <c r="A386" s="93" t="s">
        <v>3668</v>
      </c>
      <c r="B386" s="1" t="s">
        <v>1469</v>
      </c>
      <c r="C386" s="1" t="s">
        <v>4176</v>
      </c>
      <c r="D386" s="1" t="s">
        <v>3669</v>
      </c>
      <c r="E386" t="s">
        <v>3945</v>
      </c>
      <c r="F386" t="s">
        <v>3944</v>
      </c>
      <c r="G386">
        <v>333.57</v>
      </c>
      <c r="H386">
        <v>6227</v>
      </c>
    </row>
    <row r="387" spans="1:8" hidden="1" x14ac:dyDescent="0.4">
      <c r="A387" s="93" t="s">
        <v>3668</v>
      </c>
      <c r="B387" s="1" t="s">
        <v>1469</v>
      </c>
      <c r="C387" s="1" t="s">
        <v>4176</v>
      </c>
      <c r="D387" s="1" t="s">
        <v>3669</v>
      </c>
      <c r="E387" t="s">
        <v>3943</v>
      </c>
      <c r="F387" t="s">
        <v>3942</v>
      </c>
      <c r="G387">
        <v>15209.6</v>
      </c>
      <c r="H387">
        <v>141905</v>
      </c>
    </row>
    <row r="388" spans="1:8" hidden="1" x14ac:dyDescent="0.4">
      <c r="A388" s="93" t="s">
        <v>3668</v>
      </c>
      <c r="B388" s="1" t="s">
        <v>1469</v>
      </c>
      <c r="C388" s="1" t="s">
        <v>4176</v>
      </c>
      <c r="D388" s="1" t="s">
        <v>3669</v>
      </c>
      <c r="E388" t="s">
        <v>3941</v>
      </c>
      <c r="F388" t="s">
        <v>2018</v>
      </c>
      <c r="G388">
        <v>3418.01</v>
      </c>
      <c r="H388">
        <v>102541</v>
      </c>
    </row>
    <row r="389" spans="1:8" hidden="1" x14ac:dyDescent="0.4">
      <c r="A389" s="93" t="s">
        <v>3668</v>
      </c>
      <c r="B389" s="1" t="s">
        <v>1469</v>
      </c>
      <c r="C389" s="1" t="s">
        <v>4176</v>
      </c>
      <c r="D389" s="1" t="s">
        <v>3669</v>
      </c>
      <c r="E389" t="s">
        <v>3940</v>
      </c>
      <c r="F389" t="s">
        <v>1967</v>
      </c>
      <c r="G389">
        <v>0</v>
      </c>
      <c r="H389">
        <v>0</v>
      </c>
    </row>
    <row r="390" spans="1:8" hidden="1" x14ac:dyDescent="0.4">
      <c r="A390" s="93" t="s">
        <v>3668</v>
      </c>
      <c r="B390" s="1" t="s">
        <v>1469</v>
      </c>
      <c r="C390" s="1" t="s">
        <v>4176</v>
      </c>
      <c r="D390" s="1" t="s">
        <v>3669</v>
      </c>
      <c r="E390" t="s">
        <v>3939</v>
      </c>
      <c r="F390" t="s">
        <v>1967</v>
      </c>
      <c r="G390">
        <v>0</v>
      </c>
      <c r="H390">
        <v>0</v>
      </c>
    </row>
    <row r="391" spans="1:8" hidden="1" x14ac:dyDescent="0.4">
      <c r="A391" s="93" t="s">
        <v>3668</v>
      </c>
      <c r="B391" s="1" t="s">
        <v>1469</v>
      </c>
      <c r="C391" s="1" t="s">
        <v>4176</v>
      </c>
      <c r="D391" s="1" t="s">
        <v>3669</v>
      </c>
      <c r="E391" t="s">
        <v>3938</v>
      </c>
      <c r="F391" t="s">
        <v>1968</v>
      </c>
      <c r="G391">
        <v>0</v>
      </c>
      <c r="H391">
        <v>0</v>
      </c>
    </row>
    <row r="392" spans="1:8" hidden="1" x14ac:dyDescent="0.4">
      <c r="A392" s="93" t="s">
        <v>3668</v>
      </c>
      <c r="B392" s="1" t="s">
        <v>1469</v>
      </c>
      <c r="C392" s="1" t="s">
        <v>4176</v>
      </c>
      <c r="D392" s="1" t="s">
        <v>3669</v>
      </c>
      <c r="E392" t="s">
        <v>3808</v>
      </c>
      <c r="F392" t="s">
        <v>1968</v>
      </c>
      <c r="G392">
        <v>0</v>
      </c>
      <c r="H392">
        <v>0</v>
      </c>
    </row>
    <row r="393" spans="1:8" hidden="1" x14ac:dyDescent="0.4">
      <c r="A393" s="93" t="s">
        <v>3668</v>
      </c>
      <c r="B393" s="1" t="s">
        <v>1469</v>
      </c>
      <c r="C393" s="1" t="s">
        <v>4176</v>
      </c>
      <c r="D393" s="1" t="s">
        <v>3669</v>
      </c>
      <c r="E393" t="s">
        <v>3937</v>
      </c>
      <c r="F393" t="s">
        <v>1990</v>
      </c>
      <c r="G393">
        <v>0</v>
      </c>
      <c r="H393">
        <v>0</v>
      </c>
    </row>
    <row r="394" spans="1:8" hidden="1" x14ac:dyDescent="0.4">
      <c r="A394" s="93" t="s">
        <v>3668</v>
      </c>
      <c r="B394" s="1" t="s">
        <v>1469</v>
      </c>
      <c r="C394" s="1" t="s">
        <v>4176</v>
      </c>
      <c r="D394" s="1" t="s">
        <v>3669</v>
      </c>
      <c r="E394" t="s">
        <v>3810</v>
      </c>
      <c r="F394" t="s">
        <v>1990</v>
      </c>
      <c r="G394">
        <v>0</v>
      </c>
      <c r="H394">
        <v>0</v>
      </c>
    </row>
    <row r="395" spans="1:8" hidden="1" x14ac:dyDescent="0.4">
      <c r="A395" s="93" t="s">
        <v>3668</v>
      </c>
      <c r="B395" s="1" t="s">
        <v>1469</v>
      </c>
      <c r="C395" s="1" t="s">
        <v>4176</v>
      </c>
      <c r="D395" s="1" t="s">
        <v>3669</v>
      </c>
      <c r="E395" t="s">
        <v>3936</v>
      </c>
      <c r="F395" t="s">
        <v>1972</v>
      </c>
      <c r="G395">
        <v>0</v>
      </c>
      <c r="H395">
        <v>0</v>
      </c>
    </row>
    <row r="396" spans="1:8" hidden="1" x14ac:dyDescent="0.4">
      <c r="A396" s="93" t="s">
        <v>3668</v>
      </c>
      <c r="B396" s="1" t="s">
        <v>1469</v>
      </c>
      <c r="C396" s="1" t="s">
        <v>4176</v>
      </c>
      <c r="D396" s="1" t="s">
        <v>3669</v>
      </c>
      <c r="E396" t="s">
        <v>3811</v>
      </c>
      <c r="F396" t="s">
        <v>1972</v>
      </c>
      <c r="G396">
        <v>0</v>
      </c>
      <c r="H396">
        <v>0</v>
      </c>
    </row>
    <row r="397" spans="1:8" hidden="1" x14ac:dyDescent="0.4">
      <c r="A397" s="93" t="s">
        <v>3668</v>
      </c>
      <c r="B397" s="1" t="s">
        <v>1469</v>
      </c>
      <c r="C397" s="1" t="s">
        <v>4176</v>
      </c>
      <c r="D397" s="1" t="s">
        <v>3669</v>
      </c>
      <c r="E397" t="s">
        <v>3935</v>
      </c>
      <c r="F397" t="s">
        <v>1959</v>
      </c>
      <c r="G397">
        <v>0</v>
      </c>
      <c r="H397">
        <v>0</v>
      </c>
    </row>
    <row r="398" spans="1:8" hidden="1" x14ac:dyDescent="0.4">
      <c r="A398" s="93" t="s">
        <v>3668</v>
      </c>
      <c r="B398" s="1" t="s">
        <v>1469</v>
      </c>
      <c r="C398" s="1" t="s">
        <v>4176</v>
      </c>
      <c r="D398" s="1" t="s">
        <v>3669</v>
      </c>
      <c r="E398" t="s">
        <v>3934</v>
      </c>
      <c r="F398" t="s">
        <v>1959</v>
      </c>
      <c r="G398">
        <v>0</v>
      </c>
      <c r="H398">
        <v>0</v>
      </c>
    </row>
    <row r="399" spans="1:8" hidden="1" x14ac:dyDescent="0.4">
      <c r="A399" s="93" t="s">
        <v>3668</v>
      </c>
      <c r="B399" s="1" t="s">
        <v>1469</v>
      </c>
      <c r="C399" s="1" t="s">
        <v>4176</v>
      </c>
      <c r="D399" s="1" t="s">
        <v>3669</v>
      </c>
      <c r="E399" t="s">
        <v>3933</v>
      </c>
      <c r="F399" t="s">
        <v>1964</v>
      </c>
      <c r="G399">
        <v>0</v>
      </c>
      <c r="H399">
        <v>0</v>
      </c>
    </row>
    <row r="400" spans="1:8" hidden="1" x14ac:dyDescent="0.4">
      <c r="A400" s="93" t="s">
        <v>3668</v>
      </c>
      <c r="B400" s="1" t="s">
        <v>1469</v>
      </c>
      <c r="C400" s="1" t="s">
        <v>4176</v>
      </c>
      <c r="D400" s="1" t="s">
        <v>3669</v>
      </c>
      <c r="E400" t="s">
        <v>3932</v>
      </c>
      <c r="F400" t="s">
        <v>1964</v>
      </c>
      <c r="G400">
        <v>0</v>
      </c>
      <c r="H400">
        <v>0</v>
      </c>
    </row>
    <row r="401" spans="1:8" hidden="1" x14ac:dyDescent="0.4">
      <c r="A401" s="93" t="s">
        <v>3668</v>
      </c>
      <c r="B401" s="1" t="s">
        <v>1469</v>
      </c>
      <c r="C401" s="1" t="s">
        <v>4176</v>
      </c>
      <c r="D401" s="1" t="s">
        <v>3669</v>
      </c>
      <c r="E401" t="s">
        <v>3931</v>
      </c>
      <c r="F401" t="s">
        <v>2008</v>
      </c>
      <c r="G401">
        <v>0</v>
      </c>
      <c r="H401">
        <v>0</v>
      </c>
    </row>
    <row r="402" spans="1:8" hidden="1" x14ac:dyDescent="0.4">
      <c r="A402" s="93" t="s">
        <v>3668</v>
      </c>
      <c r="B402" s="1" t="s">
        <v>1469</v>
      </c>
      <c r="C402" s="1" t="s">
        <v>4176</v>
      </c>
      <c r="D402" s="1" t="s">
        <v>3669</v>
      </c>
      <c r="E402" t="s">
        <v>3762</v>
      </c>
      <c r="F402" t="s">
        <v>2008</v>
      </c>
      <c r="G402">
        <v>0</v>
      </c>
      <c r="H402">
        <v>0</v>
      </c>
    </row>
    <row r="403" spans="1:8" hidden="1" x14ac:dyDescent="0.4">
      <c r="A403" s="93" t="s">
        <v>3668</v>
      </c>
      <c r="B403" s="1" t="s">
        <v>1469</v>
      </c>
      <c r="C403" s="1" t="s">
        <v>4176</v>
      </c>
      <c r="D403" s="1" t="s">
        <v>3669</v>
      </c>
      <c r="E403" t="s">
        <v>3930</v>
      </c>
      <c r="F403" t="s">
        <v>1974</v>
      </c>
      <c r="G403">
        <v>0</v>
      </c>
      <c r="H403">
        <v>0</v>
      </c>
    </row>
    <row r="404" spans="1:8" hidden="1" x14ac:dyDescent="0.4">
      <c r="A404" s="93" t="s">
        <v>3668</v>
      </c>
      <c r="B404" s="1" t="s">
        <v>1469</v>
      </c>
      <c r="C404" s="1" t="s">
        <v>4176</v>
      </c>
      <c r="D404" s="1" t="s">
        <v>3669</v>
      </c>
      <c r="E404" t="s">
        <v>3929</v>
      </c>
      <c r="F404" t="s">
        <v>1974</v>
      </c>
      <c r="G404">
        <v>0</v>
      </c>
      <c r="H404">
        <v>0</v>
      </c>
    </row>
    <row r="405" spans="1:8" hidden="1" x14ac:dyDescent="0.4">
      <c r="A405" s="93" t="s">
        <v>3668</v>
      </c>
      <c r="B405" s="1" t="s">
        <v>1469</v>
      </c>
      <c r="C405" s="1" t="s">
        <v>4176</v>
      </c>
      <c r="D405" s="1" t="s">
        <v>3669</v>
      </c>
      <c r="E405" t="s">
        <v>3928</v>
      </c>
      <c r="F405" t="s">
        <v>1985</v>
      </c>
      <c r="G405">
        <v>0</v>
      </c>
      <c r="H405">
        <v>0</v>
      </c>
    </row>
    <row r="406" spans="1:8" hidden="1" x14ac:dyDescent="0.4">
      <c r="A406" s="93" t="s">
        <v>3668</v>
      </c>
      <c r="B406" s="1" t="s">
        <v>1469</v>
      </c>
      <c r="C406" s="1" t="s">
        <v>4176</v>
      </c>
      <c r="D406" s="1" t="s">
        <v>3669</v>
      </c>
      <c r="E406" t="s">
        <v>3678</v>
      </c>
      <c r="F406" t="s">
        <v>1985</v>
      </c>
      <c r="G406">
        <v>2057.8000000000002</v>
      </c>
      <c r="H406">
        <v>2778030</v>
      </c>
    </row>
    <row r="407" spans="1:8" hidden="1" x14ac:dyDescent="0.4">
      <c r="A407" s="93" t="s">
        <v>3668</v>
      </c>
      <c r="B407" s="1" t="s">
        <v>1469</v>
      </c>
      <c r="C407" s="1" t="s">
        <v>4176</v>
      </c>
      <c r="D407" s="1" t="s">
        <v>3669</v>
      </c>
      <c r="E407" t="s">
        <v>3927</v>
      </c>
      <c r="F407" t="s">
        <v>1973</v>
      </c>
      <c r="G407">
        <v>0</v>
      </c>
      <c r="H407">
        <v>0</v>
      </c>
    </row>
    <row r="408" spans="1:8" hidden="1" x14ac:dyDescent="0.4">
      <c r="A408" s="93" t="s">
        <v>3668</v>
      </c>
      <c r="B408" s="1" t="s">
        <v>1469</v>
      </c>
      <c r="C408" s="1" t="s">
        <v>4176</v>
      </c>
      <c r="D408" s="1" t="s">
        <v>3669</v>
      </c>
      <c r="E408" t="s">
        <v>3679</v>
      </c>
      <c r="F408" t="s">
        <v>1973</v>
      </c>
      <c r="G408">
        <v>1170</v>
      </c>
      <c r="H408">
        <v>1696500</v>
      </c>
    </row>
    <row r="409" spans="1:8" hidden="1" x14ac:dyDescent="0.4">
      <c r="A409" s="93" t="s">
        <v>3668</v>
      </c>
      <c r="B409" s="1" t="s">
        <v>1469</v>
      </c>
      <c r="C409" s="1" t="s">
        <v>4176</v>
      </c>
      <c r="D409" s="1" t="s">
        <v>3669</v>
      </c>
      <c r="E409" t="s">
        <v>3926</v>
      </c>
      <c r="F409" t="s">
        <v>1960</v>
      </c>
      <c r="G409">
        <v>0</v>
      </c>
      <c r="H409">
        <v>0</v>
      </c>
    </row>
    <row r="410" spans="1:8" hidden="1" x14ac:dyDescent="0.4">
      <c r="A410" s="93" t="s">
        <v>3668</v>
      </c>
      <c r="B410" s="1" t="s">
        <v>1469</v>
      </c>
      <c r="C410" s="1" t="s">
        <v>4176</v>
      </c>
      <c r="D410" s="1" t="s">
        <v>3669</v>
      </c>
      <c r="E410" t="s">
        <v>3925</v>
      </c>
      <c r="F410" t="s">
        <v>1960</v>
      </c>
      <c r="G410">
        <v>0</v>
      </c>
      <c r="H410">
        <v>0</v>
      </c>
    </row>
    <row r="411" spans="1:8" hidden="1" x14ac:dyDescent="0.4">
      <c r="A411" s="93" t="s">
        <v>3668</v>
      </c>
      <c r="B411" s="1" t="s">
        <v>1469</v>
      </c>
      <c r="C411" s="1" t="s">
        <v>4176</v>
      </c>
      <c r="D411" s="1" t="s">
        <v>3669</v>
      </c>
      <c r="E411" t="s">
        <v>3924</v>
      </c>
      <c r="F411" t="s">
        <v>1979</v>
      </c>
      <c r="G411">
        <v>0</v>
      </c>
      <c r="H411">
        <v>0</v>
      </c>
    </row>
    <row r="412" spans="1:8" hidden="1" x14ac:dyDescent="0.4">
      <c r="A412" s="93" t="s">
        <v>3668</v>
      </c>
      <c r="B412" s="1" t="s">
        <v>1469</v>
      </c>
      <c r="C412" s="1" t="s">
        <v>4176</v>
      </c>
      <c r="D412" s="1" t="s">
        <v>3669</v>
      </c>
      <c r="E412" t="s">
        <v>3923</v>
      </c>
      <c r="F412" t="s">
        <v>1979</v>
      </c>
      <c r="G412">
        <v>0</v>
      </c>
      <c r="H412">
        <v>0</v>
      </c>
    </row>
    <row r="413" spans="1:8" hidden="1" x14ac:dyDescent="0.4">
      <c r="A413" s="93" t="s">
        <v>3668</v>
      </c>
      <c r="B413" s="1" t="s">
        <v>1469</v>
      </c>
      <c r="C413" s="1" t="s">
        <v>4176</v>
      </c>
      <c r="D413" s="1" t="s">
        <v>3669</v>
      </c>
      <c r="E413" t="s">
        <v>3922</v>
      </c>
      <c r="F413" t="s">
        <v>1958</v>
      </c>
      <c r="G413">
        <v>0</v>
      </c>
      <c r="H413">
        <v>0</v>
      </c>
    </row>
    <row r="414" spans="1:8" hidden="1" x14ac:dyDescent="0.4">
      <c r="A414" s="93" t="s">
        <v>3668</v>
      </c>
      <c r="B414" s="1" t="s">
        <v>1469</v>
      </c>
      <c r="C414" s="1" t="s">
        <v>4176</v>
      </c>
      <c r="D414" s="1" t="s">
        <v>3669</v>
      </c>
      <c r="E414" t="s">
        <v>3921</v>
      </c>
      <c r="F414" t="s">
        <v>1958</v>
      </c>
      <c r="G414">
        <v>0</v>
      </c>
      <c r="H414">
        <v>0</v>
      </c>
    </row>
    <row r="415" spans="1:8" hidden="1" x14ac:dyDescent="0.4">
      <c r="A415" s="93" t="s">
        <v>3668</v>
      </c>
      <c r="B415" s="1" t="s">
        <v>1469</v>
      </c>
      <c r="C415" s="1" t="s">
        <v>4176</v>
      </c>
      <c r="D415" s="1" t="s">
        <v>3669</v>
      </c>
      <c r="E415" t="s">
        <v>3920</v>
      </c>
      <c r="F415" t="s">
        <v>1992</v>
      </c>
      <c r="G415">
        <v>0</v>
      </c>
      <c r="H415">
        <v>0</v>
      </c>
    </row>
    <row r="416" spans="1:8" hidden="1" x14ac:dyDescent="0.4">
      <c r="A416" s="93" t="s">
        <v>3668</v>
      </c>
      <c r="B416" s="1" t="s">
        <v>1469</v>
      </c>
      <c r="C416" s="1" t="s">
        <v>4176</v>
      </c>
      <c r="D416" s="1" t="s">
        <v>3669</v>
      </c>
      <c r="E416" t="s">
        <v>3919</v>
      </c>
      <c r="F416" t="s">
        <v>1992</v>
      </c>
      <c r="G416">
        <v>1080.5</v>
      </c>
      <c r="H416">
        <v>1907071</v>
      </c>
    </row>
    <row r="417" spans="1:8" hidden="1" x14ac:dyDescent="0.4">
      <c r="A417" s="93" t="s">
        <v>3668</v>
      </c>
      <c r="B417" s="1" t="s">
        <v>1469</v>
      </c>
      <c r="C417" s="1" t="s">
        <v>4176</v>
      </c>
      <c r="D417" s="1" t="s">
        <v>3669</v>
      </c>
      <c r="E417" t="s">
        <v>3918</v>
      </c>
      <c r="F417" t="s">
        <v>1971</v>
      </c>
      <c r="G417">
        <v>0</v>
      </c>
      <c r="H417">
        <v>0</v>
      </c>
    </row>
    <row r="418" spans="1:8" hidden="1" x14ac:dyDescent="0.4">
      <c r="A418" s="93" t="s">
        <v>3668</v>
      </c>
      <c r="B418" s="1" t="s">
        <v>1469</v>
      </c>
      <c r="C418" s="1" t="s">
        <v>4176</v>
      </c>
      <c r="D418" s="1" t="s">
        <v>3669</v>
      </c>
      <c r="E418" t="s">
        <v>3917</v>
      </c>
      <c r="F418" t="s">
        <v>1971</v>
      </c>
      <c r="G418">
        <v>0</v>
      </c>
      <c r="H418">
        <v>0</v>
      </c>
    </row>
    <row r="419" spans="1:8" hidden="1" x14ac:dyDescent="0.4">
      <c r="A419" s="93" t="s">
        <v>3668</v>
      </c>
      <c r="B419" s="1" t="s">
        <v>1469</v>
      </c>
      <c r="C419" s="1" t="s">
        <v>4176</v>
      </c>
      <c r="D419" s="1" t="s">
        <v>3669</v>
      </c>
      <c r="E419" t="s">
        <v>3916</v>
      </c>
      <c r="F419" t="s">
        <v>1971</v>
      </c>
      <c r="G419">
        <v>0</v>
      </c>
      <c r="H419">
        <v>0</v>
      </c>
    </row>
    <row r="420" spans="1:8" hidden="1" x14ac:dyDescent="0.4">
      <c r="A420" s="93" t="s">
        <v>3668</v>
      </c>
      <c r="B420" s="1" t="s">
        <v>1469</v>
      </c>
      <c r="C420" s="1" t="s">
        <v>4176</v>
      </c>
      <c r="D420" s="1" t="s">
        <v>3669</v>
      </c>
      <c r="E420" t="s">
        <v>3915</v>
      </c>
      <c r="F420" t="s">
        <v>1993</v>
      </c>
      <c r="G420">
        <v>0</v>
      </c>
      <c r="H420">
        <v>0</v>
      </c>
    </row>
  </sheetData>
  <autoFilter ref="A1:H420" xr:uid="{05B25264-8995-4680-8944-E6734668B961}">
    <filterColumn colId="2">
      <filters>
        <filter val="コーティング半製品"/>
        <filter val="タフト半製品"/>
      </filters>
    </filterColumn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F692-F471-499E-BF88-A94BF8438389}">
  <dimension ref="A1:H49"/>
  <sheetViews>
    <sheetView workbookViewId="0">
      <selection activeCell="C2" sqref="C2"/>
    </sheetView>
  </sheetViews>
  <sheetFormatPr defaultRowHeight="18.75" x14ac:dyDescent="0.4"/>
  <cols>
    <col min="1" max="1" width="7.5" style="1" bestFit="1" customWidth="1"/>
    <col min="2" max="2" width="7.875" style="1" bestFit="1" customWidth="1"/>
    <col min="3" max="3" width="20.375" style="1" bestFit="1" customWidth="1"/>
    <col min="4" max="4" width="9" style="1"/>
    <col min="5" max="5" width="8.375" bestFit="1" customWidth="1"/>
    <col min="6" max="6" width="23.625" bestFit="1" customWidth="1"/>
    <col min="7" max="8" width="11" bestFit="1" customWidth="1"/>
  </cols>
  <sheetData>
    <row r="1" spans="1:8" x14ac:dyDescent="0.4">
      <c r="A1" s="2" t="s">
        <v>3663</v>
      </c>
      <c r="B1" s="2" t="s">
        <v>4</v>
      </c>
      <c r="C1" s="2" t="s">
        <v>3664</v>
      </c>
      <c r="D1" s="2" t="s">
        <v>2</v>
      </c>
      <c r="E1" s="3" t="s">
        <v>3665</v>
      </c>
      <c r="F1" s="3" t="s">
        <v>11</v>
      </c>
      <c r="G1" s="3" t="s">
        <v>3666</v>
      </c>
      <c r="H1" s="3" t="s">
        <v>3667</v>
      </c>
    </row>
    <row r="2" spans="1:8" x14ac:dyDescent="0.4">
      <c r="A2" s="93" t="s">
        <v>3668</v>
      </c>
      <c r="B2" s="1" t="s">
        <v>1468</v>
      </c>
      <c r="C2" s="1" t="s">
        <v>4177</v>
      </c>
      <c r="D2" s="1" t="s">
        <v>3669</v>
      </c>
      <c r="E2" t="s">
        <v>4169</v>
      </c>
      <c r="F2" t="s">
        <v>2033</v>
      </c>
      <c r="G2">
        <v>10825.8</v>
      </c>
      <c r="H2">
        <v>21207092</v>
      </c>
    </row>
    <row r="3" spans="1:8" x14ac:dyDescent="0.4">
      <c r="A3" s="93" t="s">
        <v>3668</v>
      </c>
      <c r="B3" s="1" t="s">
        <v>1468</v>
      </c>
      <c r="C3" s="1" t="s">
        <v>4172</v>
      </c>
      <c r="D3" s="1" t="s">
        <v>3669</v>
      </c>
      <c r="E3" t="s">
        <v>3900</v>
      </c>
      <c r="F3" t="s">
        <v>3901</v>
      </c>
      <c r="G3">
        <v>7544.4</v>
      </c>
      <c r="H3">
        <v>12479493</v>
      </c>
    </row>
    <row r="4" spans="1:8" x14ac:dyDescent="0.4">
      <c r="A4" s="93" t="s">
        <v>3668</v>
      </c>
      <c r="B4" s="1" t="s">
        <v>1468</v>
      </c>
      <c r="C4" s="1" t="s">
        <v>4172</v>
      </c>
      <c r="D4" s="1" t="s">
        <v>3669</v>
      </c>
      <c r="E4" t="s">
        <v>4168</v>
      </c>
      <c r="F4" t="s">
        <v>2034</v>
      </c>
      <c r="G4">
        <v>3124.2</v>
      </c>
      <c r="H4">
        <v>7439251</v>
      </c>
    </row>
    <row r="5" spans="1:8" x14ac:dyDescent="0.4">
      <c r="A5" s="93" t="s">
        <v>3668</v>
      </c>
      <c r="B5" s="1" t="s">
        <v>1468</v>
      </c>
      <c r="C5" s="1" t="s">
        <v>4172</v>
      </c>
      <c r="D5" s="1" t="s">
        <v>3669</v>
      </c>
      <c r="E5" t="s">
        <v>3904</v>
      </c>
      <c r="F5" t="s">
        <v>1938</v>
      </c>
      <c r="G5">
        <v>1012.68</v>
      </c>
      <c r="H5">
        <v>1861903</v>
      </c>
    </row>
    <row r="6" spans="1:8" x14ac:dyDescent="0.4">
      <c r="A6" s="93" t="s">
        <v>3668</v>
      </c>
      <c r="B6" s="1" t="s">
        <v>1468</v>
      </c>
      <c r="C6" s="1" t="s">
        <v>4172</v>
      </c>
      <c r="D6" s="1" t="s">
        <v>3669</v>
      </c>
      <c r="E6" t="s">
        <v>4167</v>
      </c>
      <c r="F6" t="s">
        <v>4166</v>
      </c>
      <c r="G6">
        <v>32.28</v>
      </c>
      <c r="H6">
        <v>34461</v>
      </c>
    </row>
    <row r="7" spans="1:8" x14ac:dyDescent="0.4">
      <c r="A7" s="93" t="s">
        <v>3668</v>
      </c>
      <c r="B7" s="1" t="s">
        <v>1468</v>
      </c>
      <c r="C7" s="1" t="s">
        <v>4172</v>
      </c>
      <c r="D7" s="1" t="s">
        <v>3669</v>
      </c>
      <c r="E7" t="s">
        <v>3905</v>
      </c>
      <c r="F7" t="s">
        <v>1939</v>
      </c>
      <c r="G7">
        <v>518.14</v>
      </c>
      <c r="H7">
        <v>818096</v>
      </c>
    </row>
    <row r="8" spans="1:8" x14ac:dyDescent="0.4">
      <c r="A8" s="93" t="s">
        <v>3668</v>
      </c>
      <c r="B8" s="1" t="s">
        <v>1468</v>
      </c>
      <c r="C8" s="1" t="s">
        <v>4172</v>
      </c>
      <c r="D8" s="1" t="s">
        <v>3669</v>
      </c>
      <c r="E8" t="s">
        <v>3906</v>
      </c>
      <c r="F8" t="s">
        <v>3778</v>
      </c>
      <c r="G8">
        <v>2.8</v>
      </c>
      <c r="H8">
        <v>7203</v>
      </c>
    </row>
    <row r="9" spans="1:8" x14ac:dyDescent="0.4">
      <c r="A9" s="93" t="s">
        <v>3668</v>
      </c>
      <c r="B9" s="1" t="s">
        <v>1468</v>
      </c>
      <c r="C9" s="1" t="s">
        <v>4177</v>
      </c>
      <c r="D9" s="1" t="s">
        <v>3669</v>
      </c>
      <c r="E9" t="s">
        <v>3907</v>
      </c>
      <c r="F9" t="s">
        <v>2125</v>
      </c>
      <c r="G9">
        <v>2336.35</v>
      </c>
      <c r="H9">
        <v>3672602</v>
      </c>
    </row>
    <row r="10" spans="1:8" x14ac:dyDescent="0.4">
      <c r="A10" s="93" t="s">
        <v>3668</v>
      </c>
      <c r="B10" s="1" t="s">
        <v>1468</v>
      </c>
      <c r="C10" s="1" t="s">
        <v>4172</v>
      </c>
      <c r="D10" s="1" t="s">
        <v>3669</v>
      </c>
      <c r="E10" t="s">
        <v>3908</v>
      </c>
      <c r="F10" t="s">
        <v>3909</v>
      </c>
      <c r="G10">
        <v>2008.75</v>
      </c>
      <c r="H10">
        <v>3387596</v>
      </c>
    </row>
    <row r="11" spans="1:8" x14ac:dyDescent="0.4">
      <c r="A11" s="93" t="s">
        <v>3668</v>
      </c>
      <c r="B11" s="1" t="s">
        <v>1468</v>
      </c>
      <c r="C11" s="1" t="s">
        <v>4172</v>
      </c>
      <c r="D11" s="1" t="s">
        <v>3669</v>
      </c>
      <c r="E11" t="s">
        <v>3910</v>
      </c>
      <c r="F11" t="s">
        <v>1936</v>
      </c>
      <c r="G11">
        <v>1107.8499999999999</v>
      </c>
      <c r="H11">
        <v>1777999</v>
      </c>
    </row>
    <row r="12" spans="1:8" x14ac:dyDescent="0.4">
      <c r="A12" s="93" t="s">
        <v>3668</v>
      </c>
      <c r="B12" s="1" t="s">
        <v>1468</v>
      </c>
      <c r="C12" s="1" t="s">
        <v>4177</v>
      </c>
      <c r="D12" s="1" t="s">
        <v>3669</v>
      </c>
      <c r="E12" t="s">
        <v>4165</v>
      </c>
      <c r="F12" t="s">
        <v>2104</v>
      </c>
      <c r="G12">
        <v>1073.46</v>
      </c>
      <c r="H12">
        <v>1866993</v>
      </c>
    </row>
    <row r="13" spans="1:8" x14ac:dyDescent="0.4">
      <c r="A13" s="93" t="s">
        <v>3668</v>
      </c>
      <c r="B13" s="1" t="s">
        <v>1468</v>
      </c>
      <c r="C13" s="1" t="s">
        <v>4172</v>
      </c>
      <c r="D13" s="1" t="s">
        <v>3669</v>
      </c>
      <c r="E13" t="s">
        <v>3911</v>
      </c>
      <c r="F13" t="s">
        <v>1940</v>
      </c>
      <c r="G13">
        <v>1014.56</v>
      </c>
      <c r="H13">
        <v>1363954</v>
      </c>
    </row>
    <row r="14" spans="1:8" x14ac:dyDescent="0.4">
      <c r="A14" s="93" t="s">
        <v>3668</v>
      </c>
      <c r="B14" s="1" t="s">
        <v>1468</v>
      </c>
      <c r="C14" s="1" t="s">
        <v>4172</v>
      </c>
      <c r="D14" s="1" t="s">
        <v>3669</v>
      </c>
      <c r="E14" t="s">
        <v>3912</v>
      </c>
      <c r="F14" t="s">
        <v>1944</v>
      </c>
      <c r="G14">
        <v>579.79999999999995</v>
      </c>
      <c r="H14">
        <v>753003</v>
      </c>
    </row>
    <row r="15" spans="1:8" x14ac:dyDescent="0.4">
      <c r="A15" s="93" t="s">
        <v>3668</v>
      </c>
      <c r="B15" s="1" t="s">
        <v>1468</v>
      </c>
      <c r="C15" s="1" t="s">
        <v>4177</v>
      </c>
      <c r="D15" s="1" t="s">
        <v>3669</v>
      </c>
      <c r="E15" t="s">
        <v>3913</v>
      </c>
      <c r="F15" t="s">
        <v>1931</v>
      </c>
      <c r="G15">
        <v>1610.44</v>
      </c>
      <c r="H15">
        <v>1445066</v>
      </c>
    </row>
    <row r="16" spans="1:8" x14ac:dyDescent="0.4">
      <c r="A16" s="93" t="s">
        <v>3668</v>
      </c>
      <c r="B16" s="1" t="s">
        <v>1468</v>
      </c>
      <c r="C16" s="1" t="s">
        <v>4172</v>
      </c>
      <c r="D16" s="1" t="s">
        <v>3669</v>
      </c>
      <c r="E16" t="s">
        <v>3914</v>
      </c>
      <c r="F16" t="s">
        <v>1943</v>
      </c>
      <c r="G16">
        <v>2593.38</v>
      </c>
      <c r="H16">
        <v>4362246</v>
      </c>
    </row>
    <row r="17" spans="1:8" x14ac:dyDescent="0.4">
      <c r="A17" s="93" t="s">
        <v>3668</v>
      </c>
      <c r="B17" s="1" t="s">
        <v>1468</v>
      </c>
      <c r="C17" s="1" t="s">
        <v>4177</v>
      </c>
      <c r="D17" s="1" t="s">
        <v>3669</v>
      </c>
      <c r="E17" t="s">
        <v>4164</v>
      </c>
      <c r="F17" t="s">
        <v>4163</v>
      </c>
      <c r="G17">
        <v>689.02</v>
      </c>
      <c r="H17">
        <v>1080328</v>
      </c>
    </row>
    <row r="18" spans="1:8" x14ac:dyDescent="0.4">
      <c r="A18" s="93" t="s">
        <v>3668</v>
      </c>
      <c r="B18" s="1" t="s">
        <v>1468</v>
      </c>
      <c r="C18" s="1" t="s">
        <v>4175</v>
      </c>
      <c r="D18" s="1" t="s">
        <v>3669</v>
      </c>
      <c r="E18" t="s">
        <v>3753</v>
      </c>
      <c r="F18" t="s">
        <v>1954</v>
      </c>
      <c r="G18">
        <v>14797</v>
      </c>
      <c r="H18">
        <v>22145930</v>
      </c>
    </row>
    <row r="19" spans="1:8" x14ac:dyDescent="0.4">
      <c r="A19" s="93" t="s">
        <v>3668</v>
      </c>
      <c r="B19" s="1" t="s">
        <v>1468</v>
      </c>
      <c r="C19" s="1" t="s">
        <v>4178</v>
      </c>
      <c r="D19" s="1" t="s">
        <v>3669</v>
      </c>
      <c r="E19" t="s">
        <v>3902</v>
      </c>
      <c r="F19" t="s">
        <v>3903</v>
      </c>
      <c r="G19">
        <v>2831</v>
      </c>
      <c r="H19">
        <v>382128</v>
      </c>
    </row>
    <row r="20" spans="1:8" x14ac:dyDescent="0.4">
      <c r="A20" s="93" t="s">
        <v>3668</v>
      </c>
      <c r="B20" s="1" t="s">
        <v>1468</v>
      </c>
      <c r="C20" s="1" t="s">
        <v>4175</v>
      </c>
      <c r="D20" s="1" t="s">
        <v>3669</v>
      </c>
      <c r="E20" t="s">
        <v>3759</v>
      </c>
      <c r="F20" t="s">
        <v>1953</v>
      </c>
      <c r="G20">
        <v>19642.919999999998</v>
      </c>
      <c r="H20">
        <v>16357248</v>
      </c>
    </row>
    <row r="21" spans="1:8" x14ac:dyDescent="0.4">
      <c r="A21" s="93" t="s">
        <v>3668</v>
      </c>
      <c r="B21" s="1" t="s">
        <v>1468</v>
      </c>
      <c r="C21" s="1" t="s">
        <v>4175</v>
      </c>
      <c r="D21" s="1" t="s">
        <v>3669</v>
      </c>
      <c r="E21" t="s">
        <v>3760</v>
      </c>
      <c r="F21" t="s">
        <v>1956</v>
      </c>
      <c r="G21">
        <v>3500</v>
      </c>
      <c r="H21">
        <v>979790</v>
      </c>
    </row>
    <row r="22" spans="1:8" x14ac:dyDescent="0.4">
      <c r="A22" s="93" t="s">
        <v>3668</v>
      </c>
      <c r="B22" s="1" t="s">
        <v>1468</v>
      </c>
      <c r="C22" s="1" t="s">
        <v>4175</v>
      </c>
      <c r="D22" s="1" t="s">
        <v>3669</v>
      </c>
      <c r="E22" t="s">
        <v>3765</v>
      </c>
      <c r="F22" t="s">
        <v>1955</v>
      </c>
      <c r="G22">
        <v>3333</v>
      </c>
      <c r="H22">
        <v>5026730</v>
      </c>
    </row>
    <row r="23" spans="1:8" x14ac:dyDescent="0.4">
      <c r="A23" s="93" t="s">
        <v>3668</v>
      </c>
      <c r="B23" s="1" t="s">
        <v>1468</v>
      </c>
      <c r="C23" s="1" t="s">
        <v>4171</v>
      </c>
      <c r="D23" s="1" t="s">
        <v>3669</v>
      </c>
      <c r="E23" t="s">
        <v>4162</v>
      </c>
      <c r="F23" t="s">
        <v>1924</v>
      </c>
      <c r="G23">
        <v>0</v>
      </c>
      <c r="H23">
        <v>0</v>
      </c>
    </row>
    <row r="24" spans="1:8" x14ac:dyDescent="0.4">
      <c r="A24" s="93" t="s">
        <v>3668</v>
      </c>
      <c r="B24" s="1" t="s">
        <v>1468</v>
      </c>
      <c r="C24" s="1" t="s">
        <v>4171</v>
      </c>
      <c r="D24" s="1" t="s">
        <v>3669</v>
      </c>
      <c r="E24" t="s">
        <v>4161</v>
      </c>
      <c r="F24" t="s">
        <v>1932</v>
      </c>
      <c r="G24">
        <v>0</v>
      </c>
      <c r="H24">
        <v>0</v>
      </c>
    </row>
    <row r="25" spans="1:8" x14ac:dyDescent="0.4">
      <c r="A25" s="93" t="s">
        <v>3668</v>
      </c>
      <c r="B25" s="1" t="s">
        <v>1468</v>
      </c>
      <c r="C25" s="1" t="s">
        <v>4171</v>
      </c>
      <c r="D25" s="1" t="s">
        <v>3669</v>
      </c>
      <c r="E25" t="s">
        <v>4160</v>
      </c>
      <c r="F25" t="s">
        <v>1927</v>
      </c>
      <c r="G25">
        <v>0</v>
      </c>
      <c r="H25">
        <v>0</v>
      </c>
    </row>
    <row r="26" spans="1:8" x14ac:dyDescent="0.4">
      <c r="A26" s="93" t="s">
        <v>3668</v>
      </c>
      <c r="B26" s="1" t="s">
        <v>1468</v>
      </c>
      <c r="C26" s="1" t="s">
        <v>4171</v>
      </c>
      <c r="D26" s="1" t="s">
        <v>3669</v>
      </c>
      <c r="E26" t="s">
        <v>4159</v>
      </c>
      <c r="F26" t="s">
        <v>1954</v>
      </c>
      <c r="G26">
        <v>0</v>
      </c>
      <c r="H26">
        <v>0</v>
      </c>
    </row>
    <row r="27" spans="1:8" x14ac:dyDescent="0.4">
      <c r="A27" s="93" t="s">
        <v>3668</v>
      </c>
      <c r="B27" s="1" t="s">
        <v>1468</v>
      </c>
      <c r="C27" s="1" t="s">
        <v>4171</v>
      </c>
      <c r="D27" s="1" t="s">
        <v>3669</v>
      </c>
      <c r="E27" t="s">
        <v>4158</v>
      </c>
      <c r="F27" t="s">
        <v>1938</v>
      </c>
      <c r="G27">
        <v>0</v>
      </c>
      <c r="H27">
        <v>0</v>
      </c>
    </row>
    <row r="28" spans="1:8" x14ac:dyDescent="0.4">
      <c r="A28" s="93" t="s">
        <v>3668</v>
      </c>
      <c r="B28" s="1" t="s">
        <v>1468</v>
      </c>
      <c r="C28" s="1" t="s">
        <v>4171</v>
      </c>
      <c r="D28" s="1" t="s">
        <v>3669</v>
      </c>
      <c r="E28" t="s">
        <v>4157</v>
      </c>
      <c r="F28" t="s">
        <v>1939</v>
      </c>
      <c r="G28">
        <v>0</v>
      </c>
      <c r="H28">
        <v>0</v>
      </c>
    </row>
    <row r="29" spans="1:8" x14ac:dyDescent="0.4">
      <c r="A29" s="93" t="s">
        <v>3668</v>
      </c>
      <c r="B29" s="1" t="s">
        <v>1468</v>
      </c>
      <c r="C29" s="1" t="s">
        <v>4171</v>
      </c>
      <c r="D29" s="1" t="s">
        <v>3669</v>
      </c>
      <c r="E29" t="s">
        <v>4156</v>
      </c>
      <c r="F29" t="s">
        <v>3778</v>
      </c>
      <c r="G29">
        <v>0</v>
      </c>
      <c r="H29">
        <v>0</v>
      </c>
    </row>
    <row r="30" spans="1:8" x14ac:dyDescent="0.4">
      <c r="A30" s="93" t="s">
        <v>3668</v>
      </c>
      <c r="B30" s="1" t="s">
        <v>1468</v>
      </c>
      <c r="C30" s="1" t="s">
        <v>4171</v>
      </c>
      <c r="D30" s="1" t="s">
        <v>3669</v>
      </c>
      <c r="E30" t="s">
        <v>4155</v>
      </c>
      <c r="F30" t="s">
        <v>1928</v>
      </c>
      <c r="G30">
        <v>0</v>
      </c>
      <c r="H30">
        <v>0</v>
      </c>
    </row>
    <row r="31" spans="1:8" x14ac:dyDescent="0.4">
      <c r="A31" s="93" t="s">
        <v>3668</v>
      </c>
      <c r="B31" s="1" t="s">
        <v>1468</v>
      </c>
      <c r="C31" s="1" t="s">
        <v>4171</v>
      </c>
      <c r="D31" s="1" t="s">
        <v>3669</v>
      </c>
      <c r="E31" t="s">
        <v>4154</v>
      </c>
      <c r="F31" t="s">
        <v>1937</v>
      </c>
      <c r="G31">
        <v>0</v>
      </c>
      <c r="H31">
        <v>0</v>
      </c>
    </row>
    <row r="32" spans="1:8" x14ac:dyDescent="0.4">
      <c r="A32" s="93" t="s">
        <v>3668</v>
      </c>
      <c r="B32" s="1" t="s">
        <v>1468</v>
      </c>
      <c r="C32" s="1" t="s">
        <v>4171</v>
      </c>
      <c r="D32" s="1" t="s">
        <v>3669</v>
      </c>
      <c r="E32" t="s">
        <v>4153</v>
      </c>
      <c r="F32" t="s">
        <v>1946</v>
      </c>
      <c r="G32">
        <v>0</v>
      </c>
      <c r="H32">
        <v>0</v>
      </c>
    </row>
    <row r="33" spans="1:8" x14ac:dyDescent="0.4">
      <c r="A33" s="93" t="s">
        <v>3668</v>
      </c>
      <c r="B33" s="1" t="s">
        <v>1468</v>
      </c>
      <c r="C33" s="1" t="s">
        <v>4171</v>
      </c>
      <c r="D33" s="1" t="s">
        <v>3669</v>
      </c>
      <c r="E33" t="s">
        <v>4152</v>
      </c>
      <c r="F33" t="s">
        <v>1942</v>
      </c>
      <c r="G33">
        <v>0</v>
      </c>
      <c r="H33">
        <v>0</v>
      </c>
    </row>
    <row r="34" spans="1:8" x14ac:dyDescent="0.4">
      <c r="A34" s="93" t="s">
        <v>3668</v>
      </c>
      <c r="B34" s="1" t="s">
        <v>1468</v>
      </c>
      <c r="C34" s="1" t="s">
        <v>4171</v>
      </c>
      <c r="D34" s="1" t="s">
        <v>3669</v>
      </c>
      <c r="E34" t="s">
        <v>4151</v>
      </c>
      <c r="F34" t="s">
        <v>1935</v>
      </c>
      <c r="G34">
        <v>0</v>
      </c>
      <c r="H34">
        <v>0</v>
      </c>
    </row>
    <row r="35" spans="1:8" x14ac:dyDescent="0.4">
      <c r="A35" s="93" t="s">
        <v>3668</v>
      </c>
      <c r="B35" s="1" t="s">
        <v>1468</v>
      </c>
      <c r="C35" s="1" t="s">
        <v>4171</v>
      </c>
      <c r="D35" s="1" t="s">
        <v>3669</v>
      </c>
      <c r="E35" t="s">
        <v>4150</v>
      </c>
      <c r="F35" t="s">
        <v>1930</v>
      </c>
      <c r="G35">
        <v>0</v>
      </c>
      <c r="H35">
        <v>0</v>
      </c>
    </row>
    <row r="36" spans="1:8" x14ac:dyDescent="0.4">
      <c r="A36" s="93" t="s">
        <v>3668</v>
      </c>
      <c r="B36" s="1" t="s">
        <v>1468</v>
      </c>
      <c r="C36" s="1" t="s">
        <v>4171</v>
      </c>
      <c r="D36" s="1" t="s">
        <v>3669</v>
      </c>
      <c r="E36" t="s">
        <v>4149</v>
      </c>
      <c r="F36" t="s">
        <v>1945</v>
      </c>
      <c r="G36">
        <v>0</v>
      </c>
      <c r="H36">
        <v>0</v>
      </c>
    </row>
    <row r="37" spans="1:8" x14ac:dyDescent="0.4">
      <c r="A37" s="93" t="s">
        <v>3668</v>
      </c>
      <c r="B37" s="1" t="s">
        <v>1468</v>
      </c>
      <c r="C37" s="1" t="s">
        <v>4171</v>
      </c>
      <c r="D37" s="1" t="s">
        <v>3669</v>
      </c>
      <c r="E37" t="s">
        <v>4148</v>
      </c>
      <c r="F37" t="s">
        <v>1941</v>
      </c>
      <c r="G37">
        <v>0</v>
      </c>
      <c r="H37">
        <v>0</v>
      </c>
    </row>
    <row r="38" spans="1:8" x14ac:dyDescent="0.4">
      <c r="A38" s="93" t="s">
        <v>3668</v>
      </c>
      <c r="B38" s="1" t="s">
        <v>1468</v>
      </c>
      <c r="C38" s="1" t="s">
        <v>4171</v>
      </c>
      <c r="D38" s="1" t="s">
        <v>3669</v>
      </c>
      <c r="E38" t="s">
        <v>4147</v>
      </c>
      <c r="F38" t="s">
        <v>1949</v>
      </c>
      <c r="G38">
        <v>0</v>
      </c>
      <c r="H38">
        <v>0</v>
      </c>
    </row>
    <row r="39" spans="1:8" x14ac:dyDescent="0.4">
      <c r="A39" s="93" t="s">
        <v>3668</v>
      </c>
      <c r="B39" s="1" t="s">
        <v>1468</v>
      </c>
      <c r="C39" s="1" t="s">
        <v>4171</v>
      </c>
      <c r="D39" s="1" t="s">
        <v>3669</v>
      </c>
      <c r="E39" t="s">
        <v>4146</v>
      </c>
      <c r="F39" t="s">
        <v>1936</v>
      </c>
      <c r="G39">
        <v>0</v>
      </c>
      <c r="H39">
        <v>0</v>
      </c>
    </row>
    <row r="40" spans="1:8" x14ac:dyDescent="0.4">
      <c r="A40" s="93" t="s">
        <v>3668</v>
      </c>
      <c r="B40" s="1" t="s">
        <v>1468</v>
      </c>
      <c r="C40" s="1" t="s">
        <v>4171</v>
      </c>
      <c r="D40" s="1" t="s">
        <v>3669</v>
      </c>
      <c r="E40" t="s">
        <v>4145</v>
      </c>
      <c r="F40" t="s">
        <v>1940</v>
      </c>
      <c r="G40">
        <v>0</v>
      </c>
      <c r="H40">
        <v>0</v>
      </c>
    </row>
    <row r="41" spans="1:8" x14ac:dyDescent="0.4">
      <c r="A41" s="93" t="s">
        <v>3668</v>
      </c>
      <c r="B41" s="1" t="s">
        <v>1468</v>
      </c>
      <c r="C41" s="1" t="s">
        <v>4171</v>
      </c>
      <c r="D41" s="1" t="s">
        <v>3669</v>
      </c>
      <c r="E41" t="s">
        <v>4144</v>
      </c>
      <c r="F41" t="s">
        <v>1944</v>
      </c>
      <c r="G41">
        <v>0</v>
      </c>
      <c r="H41">
        <v>0</v>
      </c>
    </row>
    <row r="42" spans="1:8" x14ac:dyDescent="0.4">
      <c r="A42" s="93" t="s">
        <v>3668</v>
      </c>
      <c r="B42" s="1" t="s">
        <v>1468</v>
      </c>
      <c r="C42" s="1" t="s">
        <v>4171</v>
      </c>
      <c r="D42" s="1" t="s">
        <v>3669</v>
      </c>
      <c r="E42" t="s">
        <v>4143</v>
      </c>
      <c r="F42" t="s">
        <v>1929</v>
      </c>
      <c r="G42">
        <v>0</v>
      </c>
      <c r="H42">
        <v>0</v>
      </c>
    </row>
    <row r="43" spans="1:8" x14ac:dyDescent="0.4">
      <c r="A43" s="93" t="s">
        <v>3668</v>
      </c>
      <c r="B43" s="1" t="s">
        <v>1468</v>
      </c>
      <c r="C43" s="1" t="s">
        <v>4171</v>
      </c>
      <c r="D43" s="1" t="s">
        <v>3669</v>
      </c>
      <c r="E43" t="s">
        <v>4142</v>
      </c>
      <c r="F43" t="s">
        <v>1931</v>
      </c>
      <c r="G43">
        <v>0</v>
      </c>
      <c r="H43">
        <v>0</v>
      </c>
    </row>
    <row r="44" spans="1:8" x14ac:dyDescent="0.4">
      <c r="A44" s="93" t="s">
        <v>3668</v>
      </c>
      <c r="B44" s="1" t="s">
        <v>1468</v>
      </c>
      <c r="C44" s="1" t="s">
        <v>4171</v>
      </c>
      <c r="D44" s="1" t="s">
        <v>3669</v>
      </c>
      <c r="E44" t="s">
        <v>4141</v>
      </c>
      <c r="F44" t="s">
        <v>1925</v>
      </c>
      <c r="G44">
        <v>0</v>
      </c>
      <c r="H44">
        <v>0</v>
      </c>
    </row>
    <row r="45" spans="1:8" x14ac:dyDescent="0.4">
      <c r="A45" s="93" t="s">
        <v>3668</v>
      </c>
      <c r="B45" s="1" t="s">
        <v>1468</v>
      </c>
      <c r="C45" s="1" t="s">
        <v>4171</v>
      </c>
      <c r="D45" s="1" t="s">
        <v>3669</v>
      </c>
      <c r="E45" t="s">
        <v>4140</v>
      </c>
      <c r="F45" t="s">
        <v>1926</v>
      </c>
      <c r="G45">
        <v>0</v>
      </c>
      <c r="H45">
        <v>0</v>
      </c>
    </row>
    <row r="46" spans="1:8" x14ac:dyDescent="0.4">
      <c r="A46" s="93" t="s">
        <v>3668</v>
      </c>
      <c r="B46" s="1" t="s">
        <v>1468</v>
      </c>
      <c r="C46" s="1" t="s">
        <v>4171</v>
      </c>
      <c r="D46" s="1" t="s">
        <v>3669</v>
      </c>
      <c r="E46" t="s">
        <v>4139</v>
      </c>
      <c r="F46" t="s">
        <v>1943</v>
      </c>
      <c r="G46">
        <v>0</v>
      </c>
      <c r="H46">
        <v>0</v>
      </c>
    </row>
    <row r="47" spans="1:8" x14ac:dyDescent="0.4">
      <c r="A47" s="93" t="s">
        <v>3668</v>
      </c>
      <c r="B47" s="1" t="s">
        <v>1468</v>
      </c>
      <c r="C47" s="1" t="s">
        <v>4171</v>
      </c>
      <c r="D47" s="1" t="s">
        <v>3669</v>
      </c>
      <c r="E47" t="s">
        <v>4138</v>
      </c>
      <c r="F47" t="s">
        <v>1947</v>
      </c>
      <c r="G47">
        <v>0</v>
      </c>
      <c r="H47">
        <v>0</v>
      </c>
    </row>
    <row r="48" spans="1:8" x14ac:dyDescent="0.4">
      <c r="A48" s="93" t="s">
        <v>3668</v>
      </c>
      <c r="B48" s="1" t="s">
        <v>1468</v>
      </c>
      <c r="C48" s="1" t="s">
        <v>4171</v>
      </c>
      <c r="D48" s="1" t="s">
        <v>3669</v>
      </c>
      <c r="E48" t="s">
        <v>4137</v>
      </c>
      <c r="F48" t="s">
        <v>1950</v>
      </c>
      <c r="G48">
        <v>0</v>
      </c>
      <c r="H48">
        <v>0</v>
      </c>
    </row>
    <row r="49" spans="1:8" x14ac:dyDescent="0.4">
      <c r="A49" s="93" t="s">
        <v>3668</v>
      </c>
      <c r="B49" s="1" t="s">
        <v>1468</v>
      </c>
      <c r="C49" s="1" t="s">
        <v>4171</v>
      </c>
      <c r="D49" s="1" t="s">
        <v>3669</v>
      </c>
      <c r="E49" t="s">
        <v>4136</v>
      </c>
      <c r="F49" t="s">
        <v>2086</v>
      </c>
      <c r="G49">
        <v>0</v>
      </c>
      <c r="H49">
        <v>0</v>
      </c>
    </row>
  </sheetData>
  <autoFilter ref="A1:H49" xr:uid="{9E30775C-0488-4E27-A948-F033FC678B75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Sheet1</vt:lpstr>
      <vt:lpstr>売上・仕入</vt:lpstr>
      <vt:lpstr>在庫_オーノ</vt:lpstr>
      <vt:lpstr>在庫_カーペット</vt:lpstr>
      <vt:lpstr>在庫_ダスコン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Ohno</dc:creator>
  <cp:lastModifiedBy>. Ohno</cp:lastModifiedBy>
  <cp:lastPrinted>2026-01-06T02:02:23Z</cp:lastPrinted>
  <dcterms:created xsi:type="dcterms:W3CDTF">2026-01-05T23:51:21Z</dcterms:created>
  <dcterms:modified xsi:type="dcterms:W3CDTF">2026-01-06T07:33:24Z</dcterms:modified>
</cp:coreProperties>
</file>